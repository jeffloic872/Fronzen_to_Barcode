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9669\Desktop\"/>
    </mc:Choice>
  </mc:AlternateContent>
  <bookViews>
    <workbookView xWindow="0" yWindow="0" windowWidth="20520" windowHeight="7890" activeTab="5"/>
  </bookViews>
  <sheets>
    <sheet name="統計看板" sheetId="1" r:id="rId1"/>
    <sheet name="刷條碼區" sheetId="2" r:id="rId2"/>
    <sheet name="點上線資訊" sheetId="3" r:id="rId3"/>
    <sheet name="線別" sheetId="5" state="hidden" r:id="rId4"/>
    <sheet name="MB51" sheetId="6" r:id="rId5"/>
    <sheet name="已除帳印單" sheetId="4" r:id="rId6"/>
  </sheets>
  <definedNames>
    <definedName name="_xlnm._FilterDatabase" localSheetId="4" hidden="1">'MB51'!$A$1:$U$1125</definedName>
    <definedName name="_xlnm._FilterDatabase" localSheetId="5" hidden="1">已除帳印單!$A$1:$J$1563</definedName>
    <definedName name="_xlnm._FilterDatabase" localSheetId="2" hidden="1">點上線資訊!$A$1:$AE$1802</definedName>
    <definedName name="Z_0BB82081_F5AA_4C00_AB7E_4917EF9D865E_.wvu.FilterData" localSheetId="5" hidden="1">已除帳印單!$A$1:$G$38</definedName>
    <definedName name="Z_0BB82081_F5AA_4C00_AB7E_4917EF9D865E_.wvu.FilterData" localSheetId="2" hidden="1">點上線資訊!$A$1:$AB$948</definedName>
    <definedName name="Z_5DA7D1EB_F14D_48FB_BC54_1DED3BFC27CF_.wvu.FilterData" localSheetId="5" hidden="1">已除帳印單!$A$1:$G$38</definedName>
    <definedName name="Z_5DA7D1EB_F14D_48FB_BC54_1DED3BFC27CF_.wvu.FilterData" localSheetId="2" hidden="1">點上線資訊!$A$1:$AB$948</definedName>
  </definedNames>
  <calcPr calcId="152511"/>
  <customWorkbookViews>
    <customWorkbookView name="g93514 - 個人檢視畫面" guid="{5DA7D1EB-F14D-48FB-BC54-1DED3BFC27CF}" autoUpdate="1" mergeInterval="5" changesSavedWin="1" onlySync="1" personalView="1" maximized="1" xWindow="1" yWindow="1" windowWidth="1916" windowHeight="837" activeSheetId="1"/>
    <customWorkbookView name="Nicole Lin 林芸嫻 - 個人檢視畫面" guid="{0BB82081-F5AA-4C00-AB7E-4917EF9D865E}" mergeInterval="0" personalView="1" maximized="1" xWindow="1" yWindow="1" windowWidth="1916" windowHeight="795" activeSheetId="1"/>
  </customWorkbookViews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2" i="4"/>
  <c r="I53" i="4"/>
  <c r="I54" i="4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F1128" i="4"/>
  <c r="F1127" i="4"/>
  <c r="R949" i="3" l="1"/>
  <c r="T949" i="3"/>
  <c r="U949" i="3"/>
  <c r="AB949" i="3"/>
  <c r="R950" i="3"/>
  <c r="T950" i="3"/>
  <c r="U950" i="3"/>
  <c r="AB950" i="3"/>
  <c r="R951" i="3"/>
  <c r="T951" i="3"/>
  <c r="U951" i="3"/>
  <c r="AB951" i="3"/>
  <c r="R952" i="3"/>
  <c r="T952" i="3"/>
  <c r="U952" i="3"/>
  <c r="AB952" i="3"/>
  <c r="R953" i="3"/>
  <c r="T953" i="3"/>
  <c r="U953" i="3"/>
  <c r="AB953" i="3"/>
  <c r="R954" i="3"/>
  <c r="T954" i="3"/>
  <c r="U954" i="3"/>
  <c r="AB954" i="3"/>
  <c r="R955" i="3"/>
  <c r="T955" i="3"/>
  <c r="U955" i="3"/>
  <c r="AB955" i="3"/>
  <c r="R956" i="3"/>
  <c r="T956" i="3"/>
  <c r="U956" i="3"/>
  <c r="AB956" i="3"/>
  <c r="R957" i="3"/>
  <c r="T957" i="3"/>
  <c r="U957" i="3"/>
  <c r="AB957" i="3"/>
  <c r="R958" i="3"/>
  <c r="T958" i="3"/>
  <c r="U958" i="3"/>
  <c r="AB958" i="3"/>
  <c r="R959" i="3"/>
  <c r="T959" i="3"/>
  <c r="U959" i="3"/>
  <c r="AB959" i="3"/>
  <c r="R960" i="3"/>
  <c r="T960" i="3"/>
  <c r="U960" i="3"/>
  <c r="AB960" i="3"/>
  <c r="R961" i="3"/>
  <c r="T961" i="3"/>
  <c r="U961" i="3"/>
  <c r="AB961" i="3"/>
  <c r="R962" i="3"/>
  <c r="T962" i="3"/>
  <c r="U962" i="3"/>
  <c r="AB962" i="3"/>
  <c r="R963" i="3"/>
  <c r="T963" i="3"/>
  <c r="U963" i="3"/>
  <c r="AB963" i="3"/>
  <c r="R964" i="3"/>
  <c r="T964" i="3"/>
  <c r="U964" i="3"/>
  <c r="AB964" i="3"/>
  <c r="R965" i="3"/>
  <c r="T965" i="3"/>
  <c r="U965" i="3"/>
  <c r="AB965" i="3"/>
  <c r="R966" i="3"/>
  <c r="T966" i="3"/>
  <c r="U966" i="3"/>
  <c r="AB966" i="3"/>
  <c r="R967" i="3"/>
  <c r="T967" i="3"/>
  <c r="U967" i="3"/>
  <c r="AB967" i="3"/>
  <c r="R968" i="3"/>
  <c r="T968" i="3"/>
  <c r="U968" i="3"/>
  <c r="AB968" i="3"/>
  <c r="R969" i="3"/>
  <c r="T969" i="3"/>
  <c r="U969" i="3"/>
  <c r="AB969" i="3"/>
  <c r="R970" i="3"/>
  <c r="T970" i="3"/>
  <c r="U970" i="3"/>
  <c r="AB970" i="3"/>
  <c r="R971" i="3"/>
  <c r="T971" i="3"/>
  <c r="U971" i="3"/>
  <c r="AB971" i="3"/>
  <c r="R972" i="3"/>
  <c r="T972" i="3"/>
  <c r="U972" i="3"/>
  <c r="AB972" i="3"/>
  <c r="R973" i="3"/>
  <c r="T973" i="3"/>
  <c r="U973" i="3"/>
  <c r="AB973" i="3"/>
  <c r="R974" i="3"/>
  <c r="T974" i="3"/>
  <c r="U974" i="3"/>
  <c r="AB974" i="3"/>
  <c r="R975" i="3"/>
  <c r="T975" i="3"/>
  <c r="U975" i="3"/>
  <c r="AB975" i="3"/>
  <c r="R976" i="3"/>
  <c r="T976" i="3"/>
  <c r="U976" i="3"/>
  <c r="AB976" i="3"/>
  <c r="R977" i="3"/>
  <c r="T977" i="3"/>
  <c r="U977" i="3"/>
  <c r="AB977" i="3"/>
  <c r="R978" i="3"/>
  <c r="T978" i="3"/>
  <c r="U978" i="3"/>
  <c r="AB978" i="3"/>
  <c r="R979" i="3"/>
  <c r="T979" i="3"/>
  <c r="U979" i="3"/>
  <c r="AB979" i="3"/>
  <c r="R980" i="3"/>
  <c r="T980" i="3"/>
  <c r="U980" i="3"/>
  <c r="AB980" i="3"/>
  <c r="R981" i="3"/>
  <c r="T981" i="3"/>
  <c r="U981" i="3"/>
  <c r="AB981" i="3"/>
  <c r="R982" i="3"/>
  <c r="T982" i="3"/>
  <c r="U982" i="3"/>
  <c r="AB982" i="3"/>
  <c r="R983" i="3"/>
  <c r="T983" i="3"/>
  <c r="U983" i="3"/>
  <c r="AB983" i="3"/>
  <c r="R984" i="3"/>
  <c r="T984" i="3"/>
  <c r="U984" i="3"/>
  <c r="AB984" i="3"/>
  <c r="R985" i="3"/>
  <c r="T985" i="3"/>
  <c r="U985" i="3"/>
  <c r="AB985" i="3"/>
  <c r="R986" i="3"/>
  <c r="T986" i="3"/>
  <c r="U986" i="3"/>
  <c r="AB986" i="3"/>
  <c r="R987" i="3"/>
  <c r="T987" i="3"/>
  <c r="U987" i="3"/>
  <c r="AB987" i="3"/>
  <c r="R988" i="3"/>
  <c r="T988" i="3"/>
  <c r="U988" i="3"/>
  <c r="AB988" i="3"/>
  <c r="R989" i="3"/>
  <c r="T989" i="3"/>
  <c r="U989" i="3"/>
  <c r="AB989" i="3"/>
  <c r="R990" i="3"/>
  <c r="T990" i="3"/>
  <c r="U990" i="3"/>
  <c r="AB990" i="3"/>
  <c r="R991" i="3"/>
  <c r="T991" i="3"/>
  <c r="U991" i="3"/>
  <c r="AB991" i="3"/>
  <c r="R992" i="3"/>
  <c r="T992" i="3"/>
  <c r="U992" i="3"/>
  <c r="AB992" i="3"/>
  <c r="R993" i="3"/>
  <c r="T993" i="3"/>
  <c r="U993" i="3"/>
  <c r="AB993" i="3"/>
  <c r="R994" i="3"/>
  <c r="T994" i="3"/>
  <c r="U994" i="3"/>
  <c r="AB994" i="3"/>
  <c r="R995" i="3"/>
  <c r="T995" i="3"/>
  <c r="U995" i="3"/>
  <c r="AB995" i="3"/>
  <c r="R996" i="3"/>
  <c r="T996" i="3"/>
  <c r="U996" i="3"/>
  <c r="AB996" i="3"/>
  <c r="R997" i="3"/>
  <c r="T997" i="3"/>
  <c r="U997" i="3"/>
  <c r="AB997" i="3"/>
  <c r="R998" i="3"/>
  <c r="T998" i="3"/>
  <c r="U998" i="3"/>
  <c r="AB998" i="3"/>
  <c r="R999" i="3"/>
  <c r="T999" i="3"/>
  <c r="U999" i="3"/>
  <c r="AB999" i="3"/>
  <c r="R1000" i="3"/>
  <c r="T1000" i="3"/>
  <c r="U1000" i="3"/>
  <c r="AB1000" i="3"/>
  <c r="R1001" i="3"/>
  <c r="T1001" i="3"/>
  <c r="U1001" i="3"/>
  <c r="AB1001" i="3"/>
  <c r="R1002" i="3"/>
  <c r="T1002" i="3"/>
  <c r="U1002" i="3"/>
  <c r="AB1002" i="3"/>
  <c r="R1003" i="3"/>
  <c r="T1003" i="3"/>
  <c r="U1003" i="3"/>
  <c r="AB1003" i="3"/>
  <c r="R1004" i="3"/>
  <c r="T1004" i="3"/>
  <c r="U1004" i="3"/>
  <c r="AB1004" i="3"/>
  <c r="R1005" i="3"/>
  <c r="T1005" i="3"/>
  <c r="U1005" i="3"/>
  <c r="AB1005" i="3"/>
  <c r="R1006" i="3"/>
  <c r="T1006" i="3"/>
  <c r="U1006" i="3"/>
  <c r="AB1006" i="3"/>
  <c r="R1007" i="3"/>
  <c r="T1007" i="3"/>
  <c r="U1007" i="3"/>
  <c r="AB1007" i="3"/>
  <c r="R1008" i="3"/>
  <c r="T1008" i="3"/>
  <c r="U1008" i="3"/>
  <c r="AB1008" i="3"/>
  <c r="R1009" i="3"/>
  <c r="T1009" i="3"/>
  <c r="U1009" i="3"/>
  <c r="AB1009" i="3"/>
  <c r="R1010" i="3"/>
  <c r="T1010" i="3"/>
  <c r="U1010" i="3"/>
  <c r="AB1010" i="3"/>
  <c r="R1011" i="3"/>
  <c r="T1011" i="3"/>
  <c r="U1011" i="3"/>
  <c r="AB1011" i="3"/>
  <c r="R1012" i="3"/>
  <c r="T1012" i="3"/>
  <c r="U1012" i="3"/>
  <c r="AB1012" i="3"/>
  <c r="R1013" i="3"/>
  <c r="T1013" i="3"/>
  <c r="U1013" i="3"/>
  <c r="AB1013" i="3"/>
  <c r="R1014" i="3"/>
  <c r="T1014" i="3"/>
  <c r="U1014" i="3"/>
  <c r="AB1014" i="3"/>
  <c r="R1015" i="3"/>
  <c r="T1015" i="3"/>
  <c r="U1015" i="3"/>
  <c r="AB1015" i="3"/>
  <c r="R1016" i="3"/>
  <c r="T1016" i="3"/>
  <c r="U1016" i="3"/>
  <c r="AB1016" i="3"/>
  <c r="R1017" i="3"/>
  <c r="T1017" i="3"/>
  <c r="U1017" i="3"/>
  <c r="AB1017" i="3"/>
  <c r="R1018" i="3"/>
  <c r="T1018" i="3"/>
  <c r="U1018" i="3"/>
  <c r="AB1018" i="3"/>
  <c r="R1019" i="3"/>
  <c r="T1019" i="3"/>
  <c r="U1019" i="3"/>
  <c r="AB1019" i="3"/>
  <c r="R1020" i="3"/>
  <c r="T1020" i="3"/>
  <c r="U1020" i="3"/>
  <c r="AB1020" i="3"/>
  <c r="R1021" i="3"/>
  <c r="T1021" i="3"/>
  <c r="U1021" i="3"/>
  <c r="AB1021" i="3"/>
  <c r="R1022" i="3"/>
  <c r="T1022" i="3"/>
  <c r="U1022" i="3"/>
  <c r="AB1022" i="3"/>
  <c r="R1023" i="3"/>
  <c r="T1023" i="3"/>
  <c r="U1023" i="3"/>
  <c r="AB1023" i="3"/>
  <c r="R1024" i="3"/>
  <c r="T1024" i="3"/>
  <c r="U1024" i="3"/>
  <c r="AB1024" i="3"/>
  <c r="R1025" i="3"/>
  <c r="T1025" i="3"/>
  <c r="U1025" i="3"/>
  <c r="AB1025" i="3"/>
  <c r="R1026" i="3"/>
  <c r="T1026" i="3"/>
  <c r="U1026" i="3"/>
  <c r="AB1026" i="3"/>
  <c r="R1027" i="3"/>
  <c r="T1027" i="3"/>
  <c r="U1027" i="3"/>
  <c r="AB1027" i="3"/>
  <c r="R1028" i="3"/>
  <c r="T1028" i="3"/>
  <c r="U1028" i="3"/>
  <c r="AB1028" i="3"/>
  <c r="R1029" i="3"/>
  <c r="T1029" i="3"/>
  <c r="U1029" i="3"/>
  <c r="AB1029" i="3"/>
  <c r="R1030" i="3"/>
  <c r="T1030" i="3"/>
  <c r="U1030" i="3"/>
  <c r="AB1030" i="3"/>
  <c r="R1031" i="3"/>
  <c r="T1031" i="3"/>
  <c r="U1031" i="3"/>
  <c r="AB1031" i="3"/>
  <c r="R1032" i="3"/>
  <c r="T1032" i="3"/>
  <c r="U1032" i="3"/>
  <c r="AB1032" i="3"/>
  <c r="R1033" i="3"/>
  <c r="T1033" i="3"/>
  <c r="U1033" i="3"/>
  <c r="AB1033" i="3"/>
  <c r="R1034" i="3"/>
  <c r="T1034" i="3"/>
  <c r="U1034" i="3"/>
  <c r="AB1034" i="3"/>
  <c r="R1035" i="3"/>
  <c r="T1035" i="3"/>
  <c r="U1035" i="3"/>
  <c r="AB1035" i="3"/>
  <c r="R1036" i="3"/>
  <c r="T1036" i="3"/>
  <c r="U1036" i="3"/>
  <c r="AB1036" i="3"/>
  <c r="R1037" i="3"/>
  <c r="T1037" i="3"/>
  <c r="U1037" i="3"/>
  <c r="AB1037" i="3"/>
  <c r="R1038" i="3"/>
  <c r="T1038" i="3"/>
  <c r="U1038" i="3"/>
  <c r="AB1038" i="3"/>
  <c r="R1039" i="3"/>
  <c r="T1039" i="3"/>
  <c r="U1039" i="3"/>
  <c r="AB1039" i="3"/>
  <c r="R1040" i="3"/>
  <c r="T1040" i="3"/>
  <c r="U1040" i="3"/>
  <c r="AB1040" i="3"/>
  <c r="R1041" i="3"/>
  <c r="T1041" i="3"/>
  <c r="U1041" i="3"/>
  <c r="AB1041" i="3"/>
  <c r="R1042" i="3"/>
  <c r="T1042" i="3"/>
  <c r="U1042" i="3"/>
  <c r="AB1042" i="3"/>
  <c r="R1043" i="3"/>
  <c r="T1043" i="3"/>
  <c r="U1043" i="3"/>
  <c r="AB1043" i="3"/>
  <c r="R1044" i="3"/>
  <c r="T1044" i="3"/>
  <c r="U1044" i="3"/>
  <c r="AB1044" i="3"/>
  <c r="R1045" i="3"/>
  <c r="T1045" i="3"/>
  <c r="U1045" i="3"/>
  <c r="AB1045" i="3"/>
  <c r="R1046" i="3"/>
  <c r="T1046" i="3"/>
  <c r="U1046" i="3"/>
  <c r="AB1046" i="3"/>
  <c r="R1047" i="3"/>
  <c r="T1047" i="3"/>
  <c r="U1047" i="3"/>
  <c r="AB1047" i="3"/>
  <c r="R1048" i="3"/>
  <c r="T1048" i="3"/>
  <c r="U1048" i="3"/>
  <c r="AB1048" i="3"/>
  <c r="R1049" i="3"/>
  <c r="T1049" i="3"/>
  <c r="U1049" i="3"/>
  <c r="AB1049" i="3"/>
  <c r="R1050" i="3"/>
  <c r="T1050" i="3"/>
  <c r="U1050" i="3"/>
  <c r="AB1050" i="3"/>
  <c r="R1051" i="3"/>
  <c r="T1051" i="3"/>
  <c r="U1051" i="3"/>
  <c r="AB1051" i="3"/>
  <c r="R1052" i="3"/>
  <c r="T1052" i="3"/>
  <c r="U1052" i="3"/>
  <c r="AB1052" i="3"/>
  <c r="R1053" i="3"/>
  <c r="T1053" i="3"/>
  <c r="U1053" i="3"/>
  <c r="AB1053" i="3"/>
  <c r="R1054" i="3"/>
  <c r="T1054" i="3"/>
  <c r="U1054" i="3"/>
  <c r="AB1054" i="3"/>
  <c r="R1055" i="3"/>
  <c r="T1055" i="3"/>
  <c r="U1055" i="3"/>
  <c r="AB1055" i="3"/>
  <c r="R1056" i="3"/>
  <c r="T1056" i="3"/>
  <c r="U1056" i="3"/>
  <c r="AB1056" i="3"/>
  <c r="R1057" i="3"/>
  <c r="T1057" i="3"/>
  <c r="U1057" i="3"/>
  <c r="AB1057" i="3"/>
  <c r="R1058" i="3"/>
  <c r="T1058" i="3"/>
  <c r="U1058" i="3"/>
  <c r="AB1058" i="3"/>
  <c r="R1059" i="3"/>
  <c r="T1059" i="3"/>
  <c r="U1059" i="3"/>
  <c r="AB1059" i="3"/>
  <c r="R1060" i="3"/>
  <c r="T1060" i="3"/>
  <c r="U1060" i="3"/>
  <c r="AB1060" i="3"/>
  <c r="R1061" i="3"/>
  <c r="T1061" i="3"/>
  <c r="U1061" i="3"/>
  <c r="AB1061" i="3"/>
  <c r="R1062" i="3"/>
  <c r="T1062" i="3"/>
  <c r="U1062" i="3"/>
  <c r="AB1062" i="3"/>
  <c r="R1063" i="3"/>
  <c r="T1063" i="3"/>
  <c r="U1063" i="3"/>
  <c r="AB1063" i="3"/>
  <c r="R1064" i="3"/>
  <c r="T1064" i="3"/>
  <c r="U1064" i="3"/>
  <c r="AB1064" i="3"/>
  <c r="R1065" i="3"/>
  <c r="T1065" i="3"/>
  <c r="U1065" i="3"/>
  <c r="AB1065" i="3"/>
  <c r="R1066" i="3"/>
  <c r="T1066" i="3"/>
  <c r="U1066" i="3"/>
  <c r="AB1066" i="3"/>
  <c r="R1067" i="3"/>
  <c r="T1067" i="3"/>
  <c r="U1067" i="3"/>
  <c r="AB1067" i="3"/>
  <c r="R1068" i="3"/>
  <c r="T1068" i="3"/>
  <c r="U1068" i="3"/>
  <c r="AB1068" i="3"/>
  <c r="R1069" i="3"/>
  <c r="T1069" i="3"/>
  <c r="U1069" i="3"/>
  <c r="AB1069" i="3"/>
  <c r="R1070" i="3"/>
  <c r="T1070" i="3"/>
  <c r="U1070" i="3"/>
  <c r="AB1070" i="3"/>
  <c r="R1071" i="3"/>
  <c r="T1071" i="3"/>
  <c r="U1071" i="3"/>
  <c r="AB1071" i="3"/>
  <c r="R1072" i="3"/>
  <c r="T1072" i="3"/>
  <c r="U1072" i="3"/>
  <c r="AB1072" i="3"/>
  <c r="R1073" i="3"/>
  <c r="T1073" i="3"/>
  <c r="U1073" i="3"/>
  <c r="AB1073" i="3"/>
  <c r="R1074" i="3"/>
  <c r="T1074" i="3"/>
  <c r="U1074" i="3"/>
  <c r="AB1074" i="3"/>
  <c r="R1075" i="3"/>
  <c r="T1075" i="3"/>
  <c r="U1075" i="3"/>
  <c r="AB1075" i="3"/>
  <c r="R1076" i="3"/>
  <c r="T1076" i="3"/>
  <c r="U1076" i="3"/>
  <c r="AB1076" i="3"/>
  <c r="R1077" i="3"/>
  <c r="T1077" i="3"/>
  <c r="U1077" i="3"/>
  <c r="AB1077" i="3"/>
  <c r="R1078" i="3"/>
  <c r="T1078" i="3"/>
  <c r="U1078" i="3"/>
  <c r="AB1078" i="3"/>
  <c r="R1079" i="3"/>
  <c r="T1079" i="3"/>
  <c r="U1079" i="3"/>
  <c r="AB1079" i="3"/>
  <c r="R1080" i="3"/>
  <c r="T1080" i="3"/>
  <c r="U1080" i="3"/>
  <c r="AB1080" i="3"/>
  <c r="R1081" i="3"/>
  <c r="T1081" i="3"/>
  <c r="U1081" i="3"/>
  <c r="AB1081" i="3"/>
  <c r="R1082" i="3"/>
  <c r="T1082" i="3"/>
  <c r="U1082" i="3"/>
  <c r="AB1082" i="3"/>
  <c r="R1083" i="3"/>
  <c r="T1083" i="3"/>
  <c r="U1083" i="3"/>
  <c r="AB1083" i="3"/>
  <c r="R1084" i="3"/>
  <c r="T1084" i="3"/>
  <c r="U1084" i="3"/>
  <c r="AB1084" i="3"/>
  <c r="R1085" i="3"/>
  <c r="T1085" i="3"/>
  <c r="U1085" i="3"/>
  <c r="AB1085" i="3"/>
  <c r="R1086" i="3"/>
  <c r="T1086" i="3"/>
  <c r="U1086" i="3"/>
  <c r="AB1086" i="3"/>
  <c r="R1087" i="3"/>
  <c r="T1087" i="3"/>
  <c r="U1087" i="3"/>
  <c r="AB1087" i="3"/>
  <c r="R1088" i="3"/>
  <c r="T1088" i="3"/>
  <c r="U1088" i="3"/>
  <c r="AB1088" i="3"/>
  <c r="R1089" i="3"/>
  <c r="T1089" i="3"/>
  <c r="U1089" i="3"/>
  <c r="AB1089" i="3"/>
  <c r="R1090" i="3"/>
  <c r="T1090" i="3"/>
  <c r="U1090" i="3"/>
  <c r="AB1090" i="3"/>
  <c r="R1091" i="3"/>
  <c r="T1091" i="3"/>
  <c r="U1091" i="3"/>
  <c r="AB1091" i="3"/>
  <c r="R1092" i="3"/>
  <c r="T1092" i="3"/>
  <c r="U1092" i="3"/>
  <c r="AB1092" i="3"/>
  <c r="R1093" i="3"/>
  <c r="T1093" i="3"/>
  <c r="U1093" i="3"/>
  <c r="AB1093" i="3"/>
  <c r="R1094" i="3"/>
  <c r="T1094" i="3"/>
  <c r="U1094" i="3"/>
  <c r="AB1094" i="3"/>
  <c r="R1095" i="3"/>
  <c r="T1095" i="3"/>
  <c r="U1095" i="3"/>
  <c r="AB1095" i="3"/>
  <c r="R1096" i="3"/>
  <c r="T1096" i="3"/>
  <c r="U1096" i="3"/>
  <c r="AB1096" i="3"/>
  <c r="R1097" i="3"/>
  <c r="T1097" i="3"/>
  <c r="U1097" i="3"/>
  <c r="AB1097" i="3"/>
  <c r="R1098" i="3"/>
  <c r="T1098" i="3"/>
  <c r="U1098" i="3"/>
  <c r="AB1098" i="3"/>
  <c r="R1099" i="3"/>
  <c r="T1099" i="3"/>
  <c r="U1099" i="3"/>
  <c r="AB1099" i="3"/>
  <c r="R1100" i="3"/>
  <c r="T1100" i="3"/>
  <c r="U1100" i="3"/>
  <c r="AB1100" i="3"/>
  <c r="R1101" i="3"/>
  <c r="T1101" i="3"/>
  <c r="U1101" i="3"/>
  <c r="AB1101" i="3"/>
  <c r="R1102" i="3"/>
  <c r="T1102" i="3"/>
  <c r="U1102" i="3"/>
  <c r="AB1102" i="3"/>
  <c r="R1103" i="3"/>
  <c r="T1103" i="3"/>
  <c r="U1103" i="3"/>
  <c r="AB1103" i="3"/>
  <c r="R1104" i="3"/>
  <c r="T1104" i="3"/>
  <c r="U1104" i="3"/>
  <c r="AB1104" i="3"/>
  <c r="R1105" i="3"/>
  <c r="T1105" i="3"/>
  <c r="U1105" i="3"/>
  <c r="AB1105" i="3"/>
  <c r="R1106" i="3"/>
  <c r="T1106" i="3"/>
  <c r="U1106" i="3"/>
  <c r="AB1106" i="3"/>
  <c r="R1107" i="3"/>
  <c r="T1107" i="3"/>
  <c r="U1107" i="3"/>
  <c r="AB1107" i="3"/>
  <c r="R1108" i="3"/>
  <c r="T1108" i="3"/>
  <c r="U1108" i="3"/>
  <c r="AB1108" i="3"/>
  <c r="R1109" i="3"/>
  <c r="T1109" i="3"/>
  <c r="U1109" i="3"/>
  <c r="AB1109" i="3"/>
  <c r="R1110" i="3"/>
  <c r="T1110" i="3"/>
  <c r="U1110" i="3"/>
  <c r="AB1110" i="3"/>
  <c r="R1111" i="3"/>
  <c r="T1111" i="3"/>
  <c r="U1111" i="3"/>
  <c r="AB1111" i="3"/>
  <c r="R1112" i="3"/>
  <c r="T1112" i="3"/>
  <c r="U1112" i="3"/>
  <c r="AB1112" i="3"/>
  <c r="R1113" i="3"/>
  <c r="T1113" i="3"/>
  <c r="U1113" i="3"/>
  <c r="AB1113" i="3"/>
  <c r="R1114" i="3"/>
  <c r="T1114" i="3"/>
  <c r="U1114" i="3"/>
  <c r="AB1114" i="3"/>
  <c r="R1115" i="3"/>
  <c r="T1115" i="3"/>
  <c r="U1115" i="3"/>
  <c r="AB1115" i="3"/>
  <c r="R1116" i="3"/>
  <c r="T1116" i="3"/>
  <c r="U1116" i="3"/>
  <c r="AB1116" i="3"/>
  <c r="R1117" i="3"/>
  <c r="T1117" i="3"/>
  <c r="U1117" i="3"/>
  <c r="AB1117" i="3"/>
  <c r="R1118" i="3"/>
  <c r="T1118" i="3"/>
  <c r="U1118" i="3"/>
  <c r="AB1118" i="3"/>
  <c r="R1119" i="3"/>
  <c r="T1119" i="3"/>
  <c r="U1119" i="3"/>
  <c r="AB1119" i="3"/>
  <c r="R1120" i="3"/>
  <c r="T1120" i="3"/>
  <c r="U1120" i="3"/>
  <c r="AB1120" i="3"/>
  <c r="R1121" i="3"/>
  <c r="T1121" i="3"/>
  <c r="U1121" i="3"/>
  <c r="AB1121" i="3"/>
  <c r="R1122" i="3"/>
  <c r="T1122" i="3"/>
  <c r="U1122" i="3"/>
  <c r="AB1122" i="3"/>
  <c r="R1123" i="3"/>
  <c r="T1123" i="3"/>
  <c r="U1123" i="3"/>
  <c r="AB1123" i="3"/>
  <c r="R1124" i="3"/>
  <c r="T1124" i="3"/>
  <c r="U1124" i="3"/>
  <c r="AB1124" i="3"/>
  <c r="R1125" i="3"/>
  <c r="T1125" i="3"/>
  <c r="U1125" i="3"/>
  <c r="AB1125" i="3"/>
  <c r="R1126" i="3"/>
  <c r="T1126" i="3"/>
  <c r="U1126" i="3"/>
  <c r="AB1126" i="3"/>
  <c r="R1127" i="3"/>
  <c r="T1127" i="3"/>
  <c r="U1127" i="3"/>
  <c r="AB1127" i="3"/>
  <c r="R1128" i="3"/>
  <c r="T1128" i="3"/>
  <c r="U1128" i="3"/>
  <c r="AB1128" i="3"/>
  <c r="R1129" i="3"/>
  <c r="T1129" i="3"/>
  <c r="U1129" i="3"/>
  <c r="AB1129" i="3"/>
  <c r="R1130" i="3"/>
  <c r="T1130" i="3"/>
  <c r="U1130" i="3"/>
  <c r="AB1130" i="3"/>
  <c r="R1131" i="3"/>
  <c r="T1131" i="3"/>
  <c r="U1131" i="3"/>
  <c r="AB1131" i="3"/>
  <c r="R1132" i="3"/>
  <c r="T1132" i="3"/>
  <c r="U1132" i="3"/>
  <c r="AB1132" i="3"/>
  <c r="R1133" i="3"/>
  <c r="T1133" i="3"/>
  <c r="U1133" i="3"/>
  <c r="AB1133" i="3"/>
  <c r="R1134" i="3"/>
  <c r="T1134" i="3"/>
  <c r="U1134" i="3"/>
  <c r="AB1134" i="3"/>
  <c r="R1135" i="3"/>
  <c r="T1135" i="3"/>
  <c r="U1135" i="3"/>
  <c r="AB1135" i="3"/>
  <c r="R1136" i="3"/>
  <c r="T1136" i="3"/>
  <c r="U1136" i="3"/>
  <c r="AB1136" i="3"/>
  <c r="R1137" i="3"/>
  <c r="T1137" i="3"/>
  <c r="U1137" i="3"/>
  <c r="AB1137" i="3"/>
  <c r="R1138" i="3"/>
  <c r="T1138" i="3"/>
  <c r="U1138" i="3"/>
  <c r="AB1138" i="3"/>
  <c r="R1139" i="3"/>
  <c r="T1139" i="3"/>
  <c r="U1139" i="3"/>
  <c r="AB1139" i="3"/>
  <c r="R1140" i="3"/>
  <c r="T1140" i="3"/>
  <c r="U1140" i="3"/>
  <c r="AB1140" i="3"/>
  <c r="R1141" i="3"/>
  <c r="T1141" i="3"/>
  <c r="U1141" i="3"/>
  <c r="AB1141" i="3"/>
  <c r="R1142" i="3"/>
  <c r="T1142" i="3"/>
  <c r="U1142" i="3"/>
  <c r="AB1142" i="3"/>
  <c r="R1143" i="3"/>
  <c r="T1143" i="3"/>
  <c r="U1143" i="3"/>
  <c r="AB1143" i="3"/>
  <c r="R1144" i="3"/>
  <c r="T1144" i="3"/>
  <c r="U1144" i="3"/>
  <c r="AB1144" i="3"/>
  <c r="R1145" i="3"/>
  <c r="T1145" i="3"/>
  <c r="U1145" i="3"/>
  <c r="AB1145" i="3"/>
  <c r="R1146" i="3"/>
  <c r="T1146" i="3"/>
  <c r="U1146" i="3"/>
  <c r="AB1146" i="3"/>
  <c r="R1147" i="3"/>
  <c r="T1147" i="3"/>
  <c r="U1147" i="3"/>
  <c r="AB1147" i="3"/>
  <c r="R1148" i="3"/>
  <c r="T1148" i="3"/>
  <c r="U1148" i="3"/>
  <c r="AB1148" i="3"/>
  <c r="R1149" i="3"/>
  <c r="T1149" i="3"/>
  <c r="U1149" i="3"/>
  <c r="AB1149" i="3"/>
  <c r="R1150" i="3"/>
  <c r="T1150" i="3"/>
  <c r="U1150" i="3"/>
  <c r="AB1150" i="3"/>
  <c r="R1151" i="3"/>
  <c r="T1151" i="3"/>
  <c r="U1151" i="3"/>
  <c r="AB1151" i="3"/>
  <c r="R1152" i="3"/>
  <c r="T1152" i="3"/>
  <c r="U1152" i="3"/>
  <c r="AB1152" i="3"/>
  <c r="R1153" i="3"/>
  <c r="T1153" i="3"/>
  <c r="U1153" i="3"/>
  <c r="AB1153" i="3"/>
  <c r="R1154" i="3"/>
  <c r="T1154" i="3"/>
  <c r="U1154" i="3"/>
  <c r="AB1154" i="3"/>
  <c r="R1155" i="3"/>
  <c r="T1155" i="3"/>
  <c r="U1155" i="3"/>
  <c r="AB1155" i="3"/>
  <c r="R1156" i="3"/>
  <c r="T1156" i="3"/>
  <c r="U1156" i="3"/>
  <c r="AB1156" i="3"/>
  <c r="R1157" i="3"/>
  <c r="T1157" i="3"/>
  <c r="U1157" i="3"/>
  <c r="AB1157" i="3"/>
  <c r="R1158" i="3"/>
  <c r="T1158" i="3"/>
  <c r="U1158" i="3"/>
  <c r="AB1158" i="3"/>
  <c r="R1159" i="3"/>
  <c r="T1159" i="3"/>
  <c r="U1159" i="3"/>
  <c r="AB1159" i="3"/>
  <c r="R1160" i="3"/>
  <c r="T1160" i="3"/>
  <c r="U1160" i="3"/>
  <c r="AB1160" i="3"/>
  <c r="R1161" i="3"/>
  <c r="T1161" i="3"/>
  <c r="U1161" i="3"/>
  <c r="AB1161" i="3"/>
  <c r="R1162" i="3"/>
  <c r="T1162" i="3"/>
  <c r="U1162" i="3"/>
  <c r="AB1162" i="3"/>
  <c r="R1163" i="3"/>
  <c r="T1163" i="3"/>
  <c r="U1163" i="3"/>
  <c r="AB1163" i="3"/>
  <c r="R1164" i="3"/>
  <c r="T1164" i="3"/>
  <c r="U1164" i="3"/>
  <c r="AB1164" i="3"/>
  <c r="R1165" i="3"/>
  <c r="T1165" i="3"/>
  <c r="U1165" i="3"/>
  <c r="AB1165" i="3"/>
  <c r="R1166" i="3"/>
  <c r="T1166" i="3"/>
  <c r="U1166" i="3"/>
  <c r="AB1166" i="3"/>
  <c r="R1167" i="3"/>
  <c r="T1167" i="3"/>
  <c r="U1167" i="3"/>
  <c r="AB1167" i="3"/>
  <c r="R1168" i="3"/>
  <c r="T1168" i="3"/>
  <c r="U1168" i="3"/>
  <c r="AB1168" i="3"/>
  <c r="R1169" i="3"/>
  <c r="T1169" i="3"/>
  <c r="U1169" i="3"/>
  <c r="AB1169" i="3"/>
  <c r="R1170" i="3"/>
  <c r="T1170" i="3"/>
  <c r="U1170" i="3"/>
  <c r="AB1170" i="3"/>
  <c r="R1171" i="3"/>
  <c r="T1171" i="3"/>
  <c r="U1171" i="3"/>
  <c r="AB1171" i="3"/>
  <c r="R1172" i="3"/>
  <c r="T1172" i="3"/>
  <c r="U1172" i="3"/>
  <c r="AB1172" i="3"/>
  <c r="R1173" i="3"/>
  <c r="T1173" i="3"/>
  <c r="U1173" i="3"/>
  <c r="AB1173" i="3"/>
  <c r="R1174" i="3"/>
  <c r="T1174" i="3"/>
  <c r="U1174" i="3"/>
  <c r="AB1174" i="3"/>
  <c r="R1175" i="3"/>
  <c r="T1175" i="3"/>
  <c r="U1175" i="3"/>
  <c r="AB1175" i="3"/>
  <c r="R1176" i="3"/>
  <c r="T1176" i="3"/>
  <c r="U1176" i="3"/>
  <c r="AB1176" i="3"/>
  <c r="R1177" i="3"/>
  <c r="T1177" i="3"/>
  <c r="U1177" i="3"/>
  <c r="AB1177" i="3"/>
  <c r="R1178" i="3"/>
  <c r="T1178" i="3"/>
  <c r="U1178" i="3"/>
  <c r="AB1178" i="3"/>
  <c r="R1179" i="3"/>
  <c r="T1179" i="3"/>
  <c r="U1179" i="3"/>
  <c r="AB1179" i="3"/>
  <c r="R1180" i="3"/>
  <c r="T1180" i="3"/>
  <c r="U1180" i="3"/>
  <c r="AB1180" i="3"/>
  <c r="R1181" i="3"/>
  <c r="T1181" i="3"/>
  <c r="U1181" i="3"/>
  <c r="AB1181" i="3"/>
  <c r="R1182" i="3"/>
  <c r="T1182" i="3"/>
  <c r="U1182" i="3"/>
  <c r="AB1182" i="3"/>
  <c r="R1183" i="3"/>
  <c r="T1183" i="3"/>
  <c r="U1183" i="3"/>
  <c r="AB1183" i="3"/>
  <c r="R1184" i="3"/>
  <c r="T1184" i="3"/>
  <c r="U1184" i="3"/>
  <c r="AB1184" i="3"/>
  <c r="R1185" i="3"/>
  <c r="T1185" i="3"/>
  <c r="U1185" i="3"/>
  <c r="AB1185" i="3"/>
  <c r="R1186" i="3"/>
  <c r="T1186" i="3"/>
  <c r="U1186" i="3"/>
  <c r="AB1186" i="3"/>
  <c r="R1187" i="3"/>
  <c r="T1187" i="3"/>
  <c r="U1187" i="3"/>
  <c r="AB1187" i="3"/>
  <c r="R1188" i="3"/>
  <c r="T1188" i="3"/>
  <c r="U1188" i="3"/>
  <c r="AB1188" i="3"/>
  <c r="R1189" i="3"/>
  <c r="T1189" i="3"/>
  <c r="U1189" i="3"/>
  <c r="AB1189" i="3"/>
  <c r="R1190" i="3"/>
  <c r="T1190" i="3"/>
  <c r="U1190" i="3"/>
  <c r="AB1190" i="3"/>
  <c r="R1191" i="3"/>
  <c r="T1191" i="3"/>
  <c r="U1191" i="3"/>
  <c r="AB1191" i="3"/>
  <c r="R1192" i="3"/>
  <c r="T1192" i="3"/>
  <c r="U1192" i="3"/>
  <c r="AB1192" i="3"/>
  <c r="R1193" i="3"/>
  <c r="T1193" i="3"/>
  <c r="U1193" i="3"/>
  <c r="AB1193" i="3"/>
  <c r="R1194" i="3"/>
  <c r="T1194" i="3"/>
  <c r="U1194" i="3"/>
  <c r="AB1194" i="3"/>
  <c r="R1195" i="3"/>
  <c r="T1195" i="3"/>
  <c r="U1195" i="3"/>
  <c r="AB1195" i="3"/>
  <c r="R1196" i="3"/>
  <c r="T1196" i="3"/>
  <c r="U1196" i="3"/>
  <c r="AB1196" i="3"/>
  <c r="R1197" i="3"/>
  <c r="T1197" i="3"/>
  <c r="U1197" i="3"/>
  <c r="AB1197" i="3"/>
  <c r="R1198" i="3"/>
  <c r="T1198" i="3"/>
  <c r="U1198" i="3"/>
  <c r="AB1198" i="3"/>
  <c r="R1199" i="3"/>
  <c r="T1199" i="3"/>
  <c r="U1199" i="3"/>
  <c r="AB1199" i="3"/>
  <c r="R1200" i="3"/>
  <c r="T1200" i="3"/>
  <c r="U1200" i="3"/>
  <c r="AB1200" i="3"/>
  <c r="R1201" i="3"/>
  <c r="T1201" i="3"/>
  <c r="U1201" i="3"/>
  <c r="AB1201" i="3"/>
  <c r="R1202" i="3"/>
  <c r="T1202" i="3"/>
  <c r="U1202" i="3"/>
  <c r="AB1202" i="3"/>
  <c r="R1203" i="3"/>
  <c r="T1203" i="3"/>
  <c r="U1203" i="3"/>
  <c r="AB1203" i="3"/>
  <c r="R1204" i="3"/>
  <c r="T1204" i="3"/>
  <c r="U1204" i="3"/>
  <c r="AB1204" i="3"/>
  <c r="R1205" i="3"/>
  <c r="T1205" i="3"/>
  <c r="U1205" i="3"/>
  <c r="AB1205" i="3"/>
  <c r="R1206" i="3"/>
  <c r="T1206" i="3"/>
  <c r="U1206" i="3"/>
  <c r="AB1206" i="3"/>
  <c r="R1207" i="3"/>
  <c r="T1207" i="3"/>
  <c r="U1207" i="3"/>
  <c r="AB1207" i="3"/>
  <c r="R1208" i="3"/>
  <c r="T1208" i="3"/>
  <c r="U1208" i="3"/>
  <c r="AB1208" i="3"/>
  <c r="R1209" i="3"/>
  <c r="T1209" i="3"/>
  <c r="U1209" i="3"/>
  <c r="AB1209" i="3"/>
  <c r="R1210" i="3"/>
  <c r="T1210" i="3"/>
  <c r="U1210" i="3"/>
  <c r="AB1210" i="3"/>
  <c r="R1211" i="3"/>
  <c r="T1211" i="3"/>
  <c r="U1211" i="3"/>
  <c r="AB1211" i="3"/>
  <c r="R1212" i="3"/>
  <c r="T1212" i="3"/>
  <c r="U1212" i="3"/>
  <c r="AB1212" i="3"/>
  <c r="R1213" i="3"/>
  <c r="T1213" i="3"/>
  <c r="U1213" i="3"/>
  <c r="AB1213" i="3"/>
  <c r="R1214" i="3"/>
  <c r="T1214" i="3"/>
  <c r="U1214" i="3"/>
  <c r="AB1214" i="3"/>
  <c r="R1215" i="3"/>
  <c r="T1215" i="3"/>
  <c r="U1215" i="3"/>
  <c r="AB1215" i="3"/>
  <c r="R1216" i="3"/>
  <c r="T1216" i="3"/>
  <c r="U1216" i="3"/>
  <c r="AB1216" i="3"/>
  <c r="R1217" i="3"/>
  <c r="T1217" i="3"/>
  <c r="U1217" i="3"/>
  <c r="AB1217" i="3"/>
  <c r="R1218" i="3"/>
  <c r="T1218" i="3"/>
  <c r="U1218" i="3"/>
  <c r="AB1218" i="3"/>
  <c r="R1219" i="3"/>
  <c r="T1219" i="3"/>
  <c r="U1219" i="3"/>
  <c r="AB1219" i="3"/>
  <c r="R1220" i="3"/>
  <c r="T1220" i="3"/>
  <c r="U1220" i="3"/>
  <c r="AB1220" i="3"/>
  <c r="R1221" i="3"/>
  <c r="T1221" i="3"/>
  <c r="U1221" i="3"/>
  <c r="AB1221" i="3"/>
  <c r="R1222" i="3"/>
  <c r="T1222" i="3"/>
  <c r="U1222" i="3"/>
  <c r="AB1222" i="3"/>
  <c r="R1223" i="3"/>
  <c r="T1223" i="3"/>
  <c r="U1223" i="3"/>
  <c r="AB1223" i="3"/>
  <c r="R1224" i="3"/>
  <c r="T1224" i="3"/>
  <c r="U1224" i="3"/>
  <c r="AB1224" i="3"/>
  <c r="R1225" i="3"/>
  <c r="T1225" i="3"/>
  <c r="U1225" i="3"/>
  <c r="AB1225" i="3"/>
  <c r="R1226" i="3"/>
  <c r="T1226" i="3"/>
  <c r="U1226" i="3"/>
  <c r="AB1226" i="3"/>
  <c r="R1227" i="3"/>
  <c r="T1227" i="3"/>
  <c r="U1227" i="3"/>
  <c r="AB1227" i="3"/>
  <c r="R1228" i="3"/>
  <c r="T1228" i="3"/>
  <c r="U1228" i="3"/>
  <c r="AB1228" i="3"/>
  <c r="R1229" i="3"/>
  <c r="T1229" i="3"/>
  <c r="U1229" i="3"/>
  <c r="AB1229" i="3"/>
  <c r="R1230" i="3"/>
  <c r="T1230" i="3"/>
  <c r="U1230" i="3"/>
  <c r="AB1230" i="3"/>
  <c r="R1231" i="3"/>
  <c r="T1231" i="3"/>
  <c r="U1231" i="3"/>
  <c r="AB1231" i="3"/>
  <c r="R1232" i="3"/>
  <c r="T1232" i="3"/>
  <c r="U1232" i="3"/>
  <c r="AB1232" i="3"/>
  <c r="R1233" i="3"/>
  <c r="T1233" i="3"/>
  <c r="U1233" i="3"/>
  <c r="AB1233" i="3"/>
  <c r="R1234" i="3"/>
  <c r="T1234" i="3"/>
  <c r="U1234" i="3"/>
  <c r="AB1234" i="3"/>
  <c r="R1235" i="3"/>
  <c r="T1235" i="3"/>
  <c r="U1235" i="3"/>
  <c r="AB1235" i="3"/>
  <c r="R1236" i="3"/>
  <c r="T1236" i="3"/>
  <c r="U1236" i="3"/>
  <c r="AB1236" i="3"/>
  <c r="R1237" i="3"/>
  <c r="T1237" i="3"/>
  <c r="U1237" i="3"/>
  <c r="AB1237" i="3"/>
  <c r="R1238" i="3"/>
  <c r="T1238" i="3"/>
  <c r="U1238" i="3"/>
  <c r="AB1238" i="3"/>
  <c r="R1239" i="3"/>
  <c r="T1239" i="3"/>
  <c r="U1239" i="3"/>
  <c r="AB1239" i="3"/>
  <c r="R1240" i="3"/>
  <c r="T1240" i="3"/>
  <c r="U1240" i="3"/>
  <c r="AB1240" i="3"/>
  <c r="R1241" i="3"/>
  <c r="T1241" i="3"/>
  <c r="U1241" i="3"/>
  <c r="AB1241" i="3"/>
  <c r="R1242" i="3"/>
  <c r="T1242" i="3"/>
  <c r="U1242" i="3"/>
  <c r="AB1242" i="3"/>
  <c r="R1243" i="3"/>
  <c r="T1243" i="3"/>
  <c r="U1243" i="3"/>
  <c r="AB1243" i="3"/>
  <c r="R1244" i="3"/>
  <c r="T1244" i="3"/>
  <c r="U1244" i="3"/>
  <c r="AB1244" i="3"/>
  <c r="R1245" i="3"/>
  <c r="T1245" i="3"/>
  <c r="U1245" i="3"/>
  <c r="AB1245" i="3"/>
  <c r="R1246" i="3"/>
  <c r="T1246" i="3"/>
  <c r="U1246" i="3"/>
  <c r="AB1246" i="3"/>
  <c r="R1247" i="3"/>
  <c r="T1247" i="3"/>
  <c r="U1247" i="3"/>
  <c r="AB1247" i="3"/>
  <c r="R1248" i="3"/>
  <c r="T1248" i="3"/>
  <c r="U1248" i="3"/>
  <c r="AB1248" i="3"/>
  <c r="R1249" i="3"/>
  <c r="T1249" i="3"/>
  <c r="U1249" i="3"/>
  <c r="AB1249" i="3"/>
  <c r="R1250" i="3"/>
  <c r="T1250" i="3"/>
  <c r="U1250" i="3"/>
  <c r="AB1250" i="3"/>
  <c r="R1251" i="3"/>
  <c r="T1251" i="3"/>
  <c r="U1251" i="3"/>
  <c r="AB1251" i="3"/>
  <c r="R1252" i="3"/>
  <c r="T1252" i="3"/>
  <c r="U1252" i="3"/>
  <c r="AB1252" i="3"/>
  <c r="R1253" i="3"/>
  <c r="T1253" i="3"/>
  <c r="U1253" i="3"/>
  <c r="AB1253" i="3"/>
  <c r="R1254" i="3"/>
  <c r="T1254" i="3"/>
  <c r="U1254" i="3"/>
  <c r="AB1254" i="3"/>
  <c r="R1255" i="3"/>
  <c r="T1255" i="3"/>
  <c r="U1255" i="3"/>
  <c r="AB1255" i="3"/>
  <c r="R1256" i="3"/>
  <c r="T1256" i="3"/>
  <c r="U1256" i="3"/>
  <c r="AB1256" i="3"/>
  <c r="R1257" i="3"/>
  <c r="T1257" i="3"/>
  <c r="U1257" i="3"/>
  <c r="AB1257" i="3"/>
  <c r="R1258" i="3"/>
  <c r="T1258" i="3"/>
  <c r="U1258" i="3"/>
  <c r="AB1258" i="3"/>
  <c r="R1259" i="3"/>
  <c r="T1259" i="3"/>
  <c r="U1259" i="3"/>
  <c r="AB1259" i="3"/>
  <c r="R1260" i="3"/>
  <c r="T1260" i="3"/>
  <c r="U1260" i="3"/>
  <c r="AB1260" i="3"/>
  <c r="R1261" i="3"/>
  <c r="T1261" i="3"/>
  <c r="U1261" i="3"/>
  <c r="AB1261" i="3"/>
  <c r="R1262" i="3"/>
  <c r="T1262" i="3"/>
  <c r="U1262" i="3"/>
  <c r="AB1262" i="3"/>
  <c r="R1263" i="3"/>
  <c r="T1263" i="3"/>
  <c r="U1263" i="3"/>
  <c r="AB1263" i="3"/>
  <c r="R1264" i="3"/>
  <c r="T1264" i="3"/>
  <c r="U1264" i="3"/>
  <c r="AB1264" i="3"/>
  <c r="R1265" i="3"/>
  <c r="T1265" i="3"/>
  <c r="U1265" i="3"/>
  <c r="AB1265" i="3"/>
  <c r="R1266" i="3"/>
  <c r="T1266" i="3"/>
  <c r="U1266" i="3"/>
  <c r="AB1266" i="3"/>
  <c r="R1267" i="3"/>
  <c r="T1267" i="3"/>
  <c r="U1267" i="3"/>
  <c r="AB1267" i="3"/>
  <c r="R1268" i="3"/>
  <c r="T1268" i="3"/>
  <c r="U1268" i="3"/>
  <c r="AB1268" i="3"/>
  <c r="R1269" i="3"/>
  <c r="T1269" i="3"/>
  <c r="U1269" i="3"/>
  <c r="AB1269" i="3"/>
  <c r="R1270" i="3"/>
  <c r="T1270" i="3"/>
  <c r="U1270" i="3"/>
  <c r="AB1270" i="3"/>
  <c r="R1271" i="3"/>
  <c r="T1271" i="3"/>
  <c r="U1271" i="3"/>
  <c r="AB1271" i="3"/>
  <c r="R1272" i="3"/>
  <c r="T1272" i="3"/>
  <c r="U1272" i="3"/>
  <c r="AB1272" i="3"/>
  <c r="R1273" i="3"/>
  <c r="T1273" i="3"/>
  <c r="U1273" i="3"/>
  <c r="AB1273" i="3"/>
  <c r="R1274" i="3"/>
  <c r="T1274" i="3"/>
  <c r="U1274" i="3"/>
  <c r="AB1274" i="3"/>
  <c r="R1275" i="3"/>
  <c r="T1275" i="3"/>
  <c r="U1275" i="3"/>
  <c r="AB1275" i="3"/>
  <c r="R1276" i="3"/>
  <c r="T1276" i="3"/>
  <c r="U1276" i="3"/>
  <c r="AB1276" i="3"/>
  <c r="R1277" i="3"/>
  <c r="T1277" i="3"/>
  <c r="U1277" i="3"/>
  <c r="AB1277" i="3"/>
  <c r="R1278" i="3"/>
  <c r="T1278" i="3"/>
  <c r="U1278" i="3"/>
  <c r="AB1278" i="3"/>
  <c r="R1279" i="3"/>
  <c r="T1279" i="3"/>
  <c r="U1279" i="3"/>
  <c r="AB1279" i="3"/>
  <c r="R1280" i="3"/>
  <c r="T1280" i="3"/>
  <c r="U1280" i="3"/>
  <c r="AB1280" i="3"/>
  <c r="R1281" i="3"/>
  <c r="T1281" i="3"/>
  <c r="U1281" i="3"/>
  <c r="AB1281" i="3"/>
  <c r="R1282" i="3"/>
  <c r="T1282" i="3"/>
  <c r="U1282" i="3"/>
  <c r="AB1282" i="3"/>
  <c r="R1283" i="3"/>
  <c r="T1283" i="3"/>
  <c r="U1283" i="3"/>
  <c r="AB1283" i="3"/>
  <c r="R1284" i="3"/>
  <c r="T1284" i="3"/>
  <c r="U1284" i="3"/>
  <c r="AB1284" i="3"/>
  <c r="R1285" i="3"/>
  <c r="T1285" i="3"/>
  <c r="U1285" i="3"/>
  <c r="AB1285" i="3"/>
  <c r="R1286" i="3"/>
  <c r="T1286" i="3"/>
  <c r="U1286" i="3"/>
  <c r="AB1286" i="3"/>
  <c r="R1287" i="3"/>
  <c r="T1287" i="3"/>
  <c r="U1287" i="3"/>
  <c r="AB1287" i="3"/>
  <c r="R1288" i="3"/>
  <c r="T1288" i="3"/>
  <c r="U1288" i="3"/>
  <c r="AB1288" i="3"/>
  <c r="R1289" i="3"/>
  <c r="T1289" i="3"/>
  <c r="U1289" i="3"/>
  <c r="AB1289" i="3"/>
  <c r="R1290" i="3"/>
  <c r="T1290" i="3"/>
  <c r="U1290" i="3"/>
  <c r="AB1290" i="3"/>
  <c r="R1291" i="3"/>
  <c r="T1291" i="3"/>
  <c r="U1291" i="3"/>
  <c r="AB1291" i="3"/>
  <c r="R1292" i="3"/>
  <c r="T1292" i="3"/>
  <c r="U1292" i="3"/>
  <c r="AB1292" i="3"/>
  <c r="R1293" i="3"/>
  <c r="T1293" i="3"/>
  <c r="U1293" i="3"/>
  <c r="AB1293" i="3"/>
  <c r="R1294" i="3"/>
  <c r="T1294" i="3"/>
  <c r="U1294" i="3"/>
  <c r="AB1294" i="3"/>
  <c r="R1295" i="3"/>
  <c r="T1295" i="3"/>
  <c r="U1295" i="3"/>
  <c r="AB1295" i="3"/>
  <c r="R1296" i="3"/>
  <c r="T1296" i="3"/>
  <c r="U1296" i="3"/>
  <c r="AB1296" i="3"/>
  <c r="R1297" i="3"/>
  <c r="T1297" i="3"/>
  <c r="U1297" i="3"/>
  <c r="AB1297" i="3"/>
  <c r="R1298" i="3"/>
  <c r="T1298" i="3"/>
  <c r="U1298" i="3"/>
  <c r="AB1298" i="3"/>
  <c r="R1299" i="3"/>
  <c r="T1299" i="3"/>
  <c r="U1299" i="3"/>
  <c r="AB1299" i="3"/>
  <c r="R1300" i="3"/>
  <c r="T1300" i="3"/>
  <c r="U1300" i="3"/>
  <c r="AB1300" i="3"/>
  <c r="R1301" i="3"/>
  <c r="T1301" i="3"/>
  <c r="U1301" i="3"/>
  <c r="AB1301" i="3"/>
  <c r="R1302" i="3"/>
  <c r="T1302" i="3"/>
  <c r="U1302" i="3"/>
  <c r="AB1302" i="3"/>
  <c r="R1303" i="3"/>
  <c r="T1303" i="3"/>
  <c r="U1303" i="3"/>
  <c r="AB1303" i="3"/>
  <c r="R1304" i="3"/>
  <c r="T1304" i="3"/>
  <c r="U1304" i="3"/>
  <c r="AB1304" i="3"/>
  <c r="R1305" i="3"/>
  <c r="T1305" i="3"/>
  <c r="U1305" i="3"/>
  <c r="AB1305" i="3"/>
  <c r="R1306" i="3"/>
  <c r="T1306" i="3"/>
  <c r="U1306" i="3"/>
  <c r="AB1306" i="3"/>
  <c r="R1307" i="3"/>
  <c r="T1307" i="3"/>
  <c r="U1307" i="3"/>
  <c r="AB1307" i="3"/>
  <c r="R1308" i="3"/>
  <c r="T1308" i="3"/>
  <c r="U1308" i="3"/>
  <c r="AB1308" i="3"/>
  <c r="R1309" i="3"/>
  <c r="T1309" i="3"/>
  <c r="U1309" i="3"/>
  <c r="AB1309" i="3"/>
  <c r="R1310" i="3"/>
  <c r="T1310" i="3"/>
  <c r="U1310" i="3"/>
  <c r="AB1310" i="3"/>
  <c r="R1311" i="3"/>
  <c r="T1311" i="3"/>
  <c r="U1311" i="3"/>
  <c r="AB1311" i="3"/>
  <c r="R1312" i="3"/>
  <c r="T1312" i="3"/>
  <c r="U1312" i="3"/>
  <c r="AB1312" i="3"/>
  <c r="R1313" i="3"/>
  <c r="T1313" i="3"/>
  <c r="U1313" i="3"/>
  <c r="AB1313" i="3"/>
  <c r="R1314" i="3"/>
  <c r="T1314" i="3"/>
  <c r="U1314" i="3"/>
  <c r="AB1314" i="3"/>
  <c r="R1315" i="3"/>
  <c r="T1315" i="3"/>
  <c r="U1315" i="3"/>
  <c r="AB1315" i="3"/>
  <c r="R1316" i="3"/>
  <c r="T1316" i="3"/>
  <c r="U1316" i="3"/>
  <c r="AB1316" i="3"/>
  <c r="R1317" i="3"/>
  <c r="T1317" i="3"/>
  <c r="U1317" i="3"/>
  <c r="AB1317" i="3"/>
  <c r="R1318" i="3"/>
  <c r="T1318" i="3"/>
  <c r="U1318" i="3"/>
  <c r="AB1318" i="3"/>
  <c r="R1319" i="3"/>
  <c r="T1319" i="3"/>
  <c r="U1319" i="3"/>
  <c r="AB1319" i="3"/>
  <c r="R1320" i="3"/>
  <c r="T1320" i="3"/>
  <c r="U1320" i="3"/>
  <c r="AB1320" i="3"/>
  <c r="R1321" i="3"/>
  <c r="T1321" i="3"/>
  <c r="U1321" i="3"/>
  <c r="AB1321" i="3"/>
  <c r="R1322" i="3"/>
  <c r="T1322" i="3"/>
  <c r="U1322" i="3"/>
  <c r="AB1322" i="3"/>
  <c r="R1323" i="3"/>
  <c r="T1323" i="3"/>
  <c r="U1323" i="3"/>
  <c r="AB1323" i="3"/>
  <c r="R1324" i="3"/>
  <c r="T1324" i="3"/>
  <c r="U1324" i="3"/>
  <c r="AB1324" i="3"/>
  <c r="R1325" i="3"/>
  <c r="T1325" i="3"/>
  <c r="U1325" i="3"/>
  <c r="AB1325" i="3"/>
  <c r="R1326" i="3"/>
  <c r="T1326" i="3"/>
  <c r="U1326" i="3"/>
  <c r="AB1326" i="3"/>
  <c r="R1327" i="3"/>
  <c r="T1327" i="3"/>
  <c r="U1327" i="3"/>
  <c r="AB1327" i="3"/>
  <c r="R1328" i="3"/>
  <c r="T1328" i="3"/>
  <c r="U1328" i="3"/>
  <c r="AB1328" i="3"/>
  <c r="R1329" i="3"/>
  <c r="T1329" i="3"/>
  <c r="U1329" i="3"/>
  <c r="AB1329" i="3"/>
  <c r="R1330" i="3"/>
  <c r="T1330" i="3"/>
  <c r="U1330" i="3"/>
  <c r="AB1330" i="3"/>
  <c r="R1331" i="3"/>
  <c r="T1331" i="3"/>
  <c r="U1331" i="3"/>
  <c r="AB1331" i="3"/>
  <c r="R1332" i="3"/>
  <c r="T1332" i="3"/>
  <c r="U1332" i="3"/>
  <c r="AB1332" i="3"/>
  <c r="R1333" i="3"/>
  <c r="T1333" i="3"/>
  <c r="U1333" i="3"/>
  <c r="AB1333" i="3"/>
  <c r="R1334" i="3"/>
  <c r="T1334" i="3"/>
  <c r="U1334" i="3"/>
  <c r="AB1334" i="3"/>
  <c r="R1335" i="3"/>
  <c r="T1335" i="3"/>
  <c r="U1335" i="3"/>
  <c r="AB1335" i="3"/>
  <c r="R1336" i="3"/>
  <c r="T1336" i="3"/>
  <c r="U1336" i="3"/>
  <c r="AB1336" i="3"/>
  <c r="R1337" i="3"/>
  <c r="T1337" i="3"/>
  <c r="U1337" i="3"/>
  <c r="AB1337" i="3"/>
  <c r="R1338" i="3"/>
  <c r="T1338" i="3"/>
  <c r="U1338" i="3"/>
  <c r="AB1338" i="3"/>
  <c r="R1339" i="3"/>
  <c r="T1339" i="3"/>
  <c r="U1339" i="3"/>
  <c r="AB1339" i="3"/>
  <c r="R1340" i="3"/>
  <c r="T1340" i="3"/>
  <c r="U1340" i="3"/>
  <c r="AB1340" i="3"/>
  <c r="R1341" i="3"/>
  <c r="T1341" i="3"/>
  <c r="U1341" i="3"/>
  <c r="AB1341" i="3"/>
  <c r="R1342" i="3"/>
  <c r="T1342" i="3"/>
  <c r="U1342" i="3"/>
  <c r="AB1342" i="3"/>
  <c r="R1343" i="3"/>
  <c r="T1343" i="3"/>
  <c r="U1343" i="3"/>
  <c r="AB1343" i="3"/>
  <c r="R1344" i="3"/>
  <c r="T1344" i="3"/>
  <c r="U1344" i="3"/>
  <c r="AB1344" i="3"/>
  <c r="R1345" i="3"/>
  <c r="T1345" i="3"/>
  <c r="U1345" i="3"/>
  <c r="AB1345" i="3"/>
  <c r="R1346" i="3"/>
  <c r="T1346" i="3"/>
  <c r="U1346" i="3"/>
  <c r="AB1346" i="3"/>
  <c r="R1347" i="3"/>
  <c r="T1347" i="3"/>
  <c r="U1347" i="3"/>
  <c r="AB1347" i="3"/>
  <c r="R1348" i="3"/>
  <c r="T1348" i="3"/>
  <c r="U1348" i="3"/>
  <c r="AB1348" i="3"/>
  <c r="R1349" i="3"/>
  <c r="T1349" i="3"/>
  <c r="U1349" i="3"/>
  <c r="AB1349" i="3"/>
  <c r="R1350" i="3"/>
  <c r="T1350" i="3"/>
  <c r="U1350" i="3"/>
  <c r="AB1350" i="3"/>
  <c r="R1351" i="3"/>
  <c r="T1351" i="3"/>
  <c r="U1351" i="3"/>
  <c r="AB1351" i="3"/>
  <c r="R1352" i="3"/>
  <c r="T1352" i="3"/>
  <c r="U1352" i="3"/>
  <c r="AB1352" i="3"/>
  <c r="R1353" i="3"/>
  <c r="T1353" i="3"/>
  <c r="U1353" i="3"/>
  <c r="AB1353" i="3"/>
  <c r="R1354" i="3"/>
  <c r="T1354" i="3"/>
  <c r="U1354" i="3"/>
  <c r="AB1354" i="3"/>
  <c r="R1355" i="3"/>
  <c r="T1355" i="3"/>
  <c r="U1355" i="3"/>
  <c r="AB1355" i="3"/>
  <c r="R1356" i="3"/>
  <c r="T1356" i="3"/>
  <c r="U1356" i="3"/>
  <c r="AB1356" i="3"/>
  <c r="R1357" i="3"/>
  <c r="T1357" i="3"/>
  <c r="U1357" i="3"/>
  <c r="AB1357" i="3"/>
  <c r="R1358" i="3"/>
  <c r="T1358" i="3"/>
  <c r="U1358" i="3"/>
  <c r="AB1358" i="3"/>
  <c r="R1359" i="3"/>
  <c r="T1359" i="3"/>
  <c r="U1359" i="3"/>
  <c r="AB1359" i="3"/>
  <c r="R1360" i="3"/>
  <c r="T1360" i="3"/>
  <c r="U1360" i="3"/>
  <c r="AB1360" i="3"/>
  <c r="R1361" i="3"/>
  <c r="T1361" i="3"/>
  <c r="U1361" i="3"/>
  <c r="AB1361" i="3"/>
  <c r="R1362" i="3"/>
  <c r="T1362" i="3"/>
  <c r="U1362" i="3"/>
  <c r="AB1362" i="3"/>
  <c r="R1363" i="3"/>
  <c r="T1363" i="3"/>
  <c r="U1363" i="3"/>
  <c r="AB1363" i="3"/>
  <c r="R1364" i="3"/>
  <c r="T1364" i="3"/>
  <c r="U1364" i="3"/>
  <c r="AB1364" i="3"/>
  <c r="R1365" i="3"/>
  <c r="T1365" i="3"/>
  <c r="U1365" i="3"/>
  <c r="AB1365" i="3"/>
  <c r="R1366" i="3"/>
  <c r="T1366" i="3"/>
  <c r="U1366" i="3"/>
  <c r="AB1366" i="3"/>
  <c r="R1367" i="3"/>
  <c r="T1367" i="3"/>
  <c r="U1367" i="3"/>
  <c r="AB1367" i="3"/>
  <c r="R1368" i="3"/>
  <c r="T1368" i="3"/>
  <c r="U1368" i="3"/>
  <c r="AB1368" i="3"/>
  <c r="R1369" i="3"/>
  <c r="T1369" i="3"/>
  <c r="U1369" i="3"/>
  <c r="AB1369" i="3"/>
  <c r="R1370" i="3"/>
  <c r="T1370" i="3"/>
  <c r="U1370" i="3"/>
  <c r="AB1370" i="3"/>
  <c r="R1371" i="3"/>
  <c r="T1371" i="3"/>
  <c r="U1371" i="3"/>
  <c r="AB1371" i="3"/>
  <c r="R1372" i="3"/>
  <c r="T1372" i="3"/>
  <c r="U1372" i="3"/>
  <c r="AB1372" i="3"/>
  <c r="R1373" i="3"/>
  <c r="T1373" i="3"/>
  <c r="U1373" i="3"/>
  <c r="AB1373" i="3"/>
  <c r="R1374" i="3"/>
  <c r="T1374" i="3"/>
  <c r="U1374" i="3"/>
  <c r="AB1374" i="3"/>
  <c r="R1375" i="3"/>
  <c r="T1375" i="3"/>
  <c r="U1375" i="3"/>
  <c r="AB1375" i="3"/>
  <c r="R1376" i="3"/>
  <c r="T1376" i="3"/>
  <c r="U1376" i="3"/>
  <c r="AB1376" i="3"/>
  <c r="R1377" i="3"/>
  <c r="T1377" i="3"/>
  <c r="U1377" i="3"/>
  <c r="AB1377" i="3"/>
  <c r="R1378" i="3"/>
  <c r="T1378" i="3"/>
  <c r="U1378" i="3"/>
  <c r="AB1378" i="3"/>
  <c r="R1379" i="3"/>
  <c r="T1379" i="3"/>
  <c r="U1379" i="3"/>
  <c r="AB1379" i="3"/>
  <c r="R1380" i="3"/>
  <c r="T1380" i="3"/>
  <c r="U1380" i="3"/>
  <c r="AB1380" i="3"/>
  <c r="R1381" i="3"/>
  <c r="T1381" i="3"/>
  <c r="U1381" i="3"/>
  <c r="AB1381" i="3"/>
  <c r="R1382" i="3"/>
  <c r="T1382" i="3"/>
  <c r="U1382" i="3"/>
  <c r="AB1382" i="3"/>
  <c r="R1383" i="3"/>
  <c r="T1383" i="3"/>
  <c r="U1383" i="3"/>
  <c r="AB1383" i="3"/>
  <c r="R1384" i="3"/>
  <c r="T1384" i="3"/>
  <c r="U1384" i="3"/>
  <c r="AB1384" i="3"/>
  <c r="R1385" i="3"/>
  <c r="T1385" i="3"/>
  <c r="U1385" i="3"/>
  <c r="AB1385" i="3"/>
  <c r="R1386" i="3"/>
  <c r="T1386" i="3"/>
  <c r="U1386" i="3"/>
  <c r="AB1386" i="3"/>
  <c r="R1387" i="3"/>
  <c r="T1387" i="3"/>
  <c r="U1387" i="3"/>
  <c r="AB1387" i="3"/>
  <c r="R1388" i="3"/>
  <c r="T1388" i="3"/>
  <c r="U1388" i="3"/>
  <c r="AB1388" i="3"/>
  <c r="R1389" i="3"/>
  <c r="T1389" i="3"/>
  <c r="U1389" i="3"/>
  <c r="AB1389" i="3"/>
  <c r="R1390" i="3"/>
  <c r="T1390" i="3"/>
  <c r="U1390" i="3"/>
  <c r="AB1390" i="3"/>
  <c r="R1391" i="3"/>
  <c r="T1391" i="3"/>
  <c r="U1391" i="3"/>
  <c r="AB1391" i="3"/>
  <c r="R1392" i="3"/>
  <c r="T1392" i="3"/>
  <c r="U1392" i="3"/>
  <c r="AB1392" i="3"/>
  <c r="R1393" i="3"/>
  <c r="T1393" i="3"/>
  <c r="U1393" i="3"/>
  <c r="AB1393" i="3"/>
  <c r="R1394" i="3"/>
  <c r="T1394" i="3"/>
  <c r="U1394" i="3"/>
  <c r="AB1394" i="3"/>
  <c r="R1395" i="3"/>
  <c r="T1395" i="3"/>
  <c r="U1395" i="3"/>
  <c r="AB1395" i="3"/>
  <c r="R1396" i="3"/>
  <c r="T1396" i="3"/>
  <c r="U1396" i="3"/>
  <c r="AB1396" i="3"/>
  <c r="R1397" i="3"/>
  <c r="T1397" i="3"/>
  <c r="U1397" i="3"/>
  <c r="AB1397" i="3"/>
  <c r="R1398" i="3"/>
  <c r="T1398" i="3"/>
  <c r="U1398" i="3"/>
  <c r="AB1398" i="3"/>
  <c r="R1399" i="3"/>
  <c r="T1399" i="3"/>
  <c r="U1399" i="3"/>
  <c r="AB1399" i="3"/>
  <c r="R1400" i="3"/>
  <c r="T1400" i="3"/>
  <c r="U1400" i="3"/>
  <c r="AB1400" i="3"/>
  <c r="R1401" i="3"/>
  <c r="T1401" i="3"/>
  <c r="U1401" i="3"/>
  <c r="AB1401" i="3"/>
  <c r="R1402" i="3"/>
  <c r="T1402" i="3"/>
  <c r="U1402" i="3"/>
  <c r="AB1402" i="3"/>
  <c r="R1403" i="3"/>
  <c r="T1403" i="3"/>
  <c r="U1403" i="3"/>
  <c r="AB1403" i="3"/>
  <c r="R1404" i="3"/>
  <c r="T1404" i="3"/>
  <c r="U1404" i="3"/>
  <c r="AB1404" i="3"/>
  <c r="R1405" i="3"/>
  <c r="T1405" i="3"/>
  <c r="U1405" i="3"/>
  <c r="AB1405" i="3"/>
  <c r="R1406" i="3"/>
  <c r="T1406" i="3"/>
  <c r="U1406" i="3"/>
  <c r="AB1406" i="3"/>
  <c r="R1407" i="3"/>
  <c r="T1407" i="3"/>
  <c r="U1407" i="3"/>
  <c r="AB1407" i="3"/>
  <c r="R1408" i="3"/>
  <c r="T1408" i="3"/>
  <c r="U1408" i="3"/>
  <c r="AB1408" i="3"/>
  <c r="R1409" i="3"/>
  <c r="T1409" i="3"/>
  <c r="U1409" i="3"/>
  <c r="AB1409" i="3"/>
  <c r="R1410" i="3"/>
  <c r="T1410" i="3"/>
  <c r="U1410" i="3"/>
  <c r="AB1410" i="3"/>
  <c r="R1411" i="3"/>
  <c r="T1411" i="3"/>
  <c r="U1411" i="3"/>
  <c r="AB1411" i="3"/>
  <c r="R1412" i="3"/>
  <c r="T1412" i="3"/>
  <c r="U1412" i="3"/>
  <c r="AB1412" i="3"/>
  <c r="R1413" i="3"/>
  <c r="T1413" i="3"/>
  <c r="U1413" i="3"/>
  <c r="AB1413" i="3"/>
  <c r="R1414" i="3"/>
  <c r="T1414" i="3"/>
  <c r="U1414" i="3"/>
  <c r="AB1414" i="3"/>
  <c r="R1415" i="3"/>
  <c r="T1415" i="3"/>
  <c r="U1415" i="3"/>
  <c r="AB1415" i="3"/>
  <c r="R1416" i="3"/>
  <c r="T1416" i="3"/>
  <c r="U1416" i="3"/>
  <c r="AB1416" i="3"/>
  <c r="R1417" i="3"/>
  <c r="T1417" i="3"/>
  <c r="U1417" i="3"/>
  <c r="AB1417" i="3"/>
  <c r="R1418" i="3"/>
  <c r="T1418" i="3"/>
  <c r="U1418" i="3"/>
  <c r="AB1418" i="3"/>
  <c r="R1419" i="3"/>
  <c r="T1419" i="3"/>
  <c r="U1419" i="3"/>
  <c r="AB1419" i="3"/>
  <c r="R1420" i="3"/>
  <c r="T1420" i="3"/>
  <c r="U1420" i="3"/>
  <c r="AB1420" i="3"/>
  <c r="R1421" i="3"/>
  <c r="T1421" i="3"/>
  <c r="U1421" i="3"/>
  <c r="AB1421" i="3"/>
  <c r="R1422" i="3"/>
  <c r="T1422" i="3"/>
  <c r="U1422" i="3"/>
  <c r="AB1422" i="3"/>
  <c r="R1423" i="3"/>
  <c r="T1423" i="3"/>
  <c r="U1423" i="3"/>
  <c r="AB1423" i="3"/>
  <c r="R1424" i="3"/>
  <c r="T1424" i="3"/>
  <c r="U1424" i="3"/>
  <c r="AB1424" i="3"/>
  <c r="R1425" i="3"/>
  <c r="T1425" i="3"/>
  <c r="U1425" i="3"/>
  <c r="AB1425" i="3"/>
  <c r="R1426" i="3"/>
  <c r="T1426" i="3"/>
  <c r="U1426" i="3"/>
  <c r="AB1426" i="3"/>
  <c r="R1427" i="3"/>
  <c r="T1427" i="3"/>
  <c r="U1427" i="3"/>
  <c r="AB1427" i="3"/>
  <c r="R1428" i="3"/>
  <c r="T1428" i="3"/>
  <c r="U1428" i="3"/>
  <c r="AB1428" i="3"/>
  <c r="R1429" i="3"/>
  <c r="T1429" i="3"/>
  <c r="U1429" i="3"/>
  <c r="AB1429" i="3"/>
  <c r="R1430" i="3"/>
  <c r="T1430" i="3"/>
  <c r="U1430" i="3"/>
  <c r="AB1430" i="3"/>
  <c r="R1431" i="3"/>
  <c r="T1431" i="3"/>
  <c r="U1431" i="3"/>
  <c r="AB1431" i="3"/>
  <c r="R1432" i="3"/>
  <c r="T1432" i="3"/>
  <c r="U1432" i="3"/>
  <c r="AB1432" i="3"/>
  <c r="R1433" i="3"/>
  <c r="T1433" i="3"/>
  <c r="U1433" i="3"/>
  <c r="AB1433" i="3"/>
  <c r="R1434" i="3"/>
  <c r="T1434" i="3"/>
  <c r="U1434" i="3"/>
  <c r="AB1434" i="3"/>
  <c r="R1435" i="3"/>
  <c r="T1435" i="3"/>
  <c r="U1435" i="3"/>
  <c r="AB1435" i="3"/>
  <c r="R1436" i="3"/>
  <c r="T1436" i="3"/>
  <c r="U1436" i="3"/>
  <c r="AB1436" i="3"/>
  <c r="R1437" i="3"/>
  <c r="T1437" i="3"/>
  <c r="U1437" i="3"/>
  <c r="AB1437" i="3"/>
  <c r="R1438" i="3"/>
  <c r="T1438" i="3"/>
  <c r="U1438" i="3"/>
  <c r="AB1438" i="3"/>
  <c r="R1439" i="3"/>
  <c r="T1439" i="3"/>
  <c r="U1439" i="3"/>
  <c r="AB1439" i="3"/>
  <c r="R1440" i="3"/>
  <c r="T1440" i="3"/>
  <c r="U1440" i="3"/>
  <c r="AB1440" i="3"/>
  <c r="R1441" i="3"/>
  <c r="T1441" i="3"/>
  <c r="U1441" i="3"/>
  <c r="AB1441" i="3"/>
  <c r="R1442" i="3"/>
  <c r="T1442" i="3"/>
  <c r="U1442" i="3"/>
  <c r="AB1442" i="3"/>
  <c r="R1443" i="3"/>
  <c r="T1443" i="3"/>
  <c r="U1443" i="3"/>
  <c r="AB1443" i="3"/>
  <c r="R1444" i="3"/>
  <c r="T1444" i="3"/>
  <c r="U1444" i="3"/>
  <c r="AB1444" i="3"/>
  <c r="R1445" i="3"/>
  <c r="T1445" i="3"/>
  <c r="U1445" i="3"/>
  <c r="AB1445" i="3"/>
  <c r="R1446" i="3"/>
  <c r="T1446" i="3"/>
  <c r="U1446" i="3"/>
  <c r="AB1446" i="3"/>
  <c r="R1447" i="3"/>
  <c r="T1447" i="3"/>
  <c r="U1447" i="3"/>
  <c r="AB1447" i="3"/>
  <c r="R1448" i="3"/>
  <c r="T1448" i="3"/>
  <c r="U1448" i="3"/>
  <c r="AB1448" i="3"/>
  <c r="R1449" i="3"/>
  <c r="T1449" i="3"/>
  <c r="U1449" i="3"/>
  <c r="AB1449" i="3"/>
  <c r="R1450" i="3"/>
  <c r="T1450" i="3"/>
  <c r="U1450" i="3"/>
  <c r="AB1450" i="3"/>
  <c r="R1451" i="3"/>
  <c r="T1451" i="3"/>
  <c r="U1451" i="3"/>
  <c r="AB1451" i="3"/>
  <c r="R1452" i="3"/>
  <c r="T1452" i="3"/>
  <c r="U1452" i="3"/>
  <c r="AB1452" i="3"/>
  <c r="R1453" i="3"/>
  <c r="T1453" i="3"/>
  <c r="U1453" i="3"/>
  <c r="AB1453" i="3"/>
  <c r="R1454" i="3"/>
  <c r="T1454" i="3"/>
  <c r="U1454" i="3"/>
  <c r="AB1454" i="3"/>
  <c r="R1455" i="3"/>
  <c r="T1455" i="3"/>
  <c r="U1455" i="3"/>
  <c r="AB1455" i="3"/>
  <c r="R1456" i="3"/>
  <c r="T1456" i="3"/>
  <c r="U1456" i="3"/>
  <c r="AB1456" i="3"/>
  <c r="R1457" i="3"/>
  <c r="T1457" i="3"/>
  <c r="U1457" i="3"/>
  <c r="AB1457" i="3"/>
  <c r="R1458" i="3"/>
  <c r="T1458" i="3"/>
  <c r="U1458" i="3"/>
  <c r="AB1458" i="3"/>
  <c r="R1459" i="3"/>
  <c r="T1459" i="3"/>
  <c r="U1459" i="3"/>
  <c r="AB1459" i="3"/>
  <c r="R1460" i="3"/>
  <c r="T1460" i="3"/>
  <c r="U1460" i="3"/>
  <c r="AB1460" i="3"/>
  <c r="R1461" i="3"/>
  <c r="T1461" i="3"/>
  <c r="U1461" i="3"/>
  <c r="AB1461" i="3"/>
  <c r="R1462" i="3"/>
  <c r="T1462" i="3"/>
  <c r="U1462" i="3"/>
  <c r="AB1462" i="3"/>
  <c r="R1463" i="3"/>
  <c r="T1463" i="3"/>
  <c r="U1463" i="3"/>
  <c r="AB1463" i="3"/>
  <c r="R1464" i="3"/>
  <c r="T1464" i="3"/>
  <c r="U1464" i="3"/>
  <c r="AB1464" i="3"/>
  <c r="R1465" i="3"/>
  <c r="T1465" i="3"/>
  <c r="U1465" i="3"/>
  <c r="AB1465" i="3"/>
  <c r="R1466" i="3"/>
  <c r="T1466" i="3"/>
  <c r="U1466" i="3"/>
  <c r="AB1466" i="3"/>
  <c r="R1467" i="3"/>
  <c r="T1467" i="3"/>
  <c r="U1467" i="3"/>
  <c r="AB1467" i="3"/>
  <c r="R1468" i="3"/>
  <c r="T1468" i="3"/>
  <c r="U1468" i="3"/>
  <c r="AB1468" i="3"/>
  <c r="R1469" i="3"/>
  <c r="T1469" i="3"/>
  <c r="U1469" i="3"/>
  <c r="AB1469" i="3"/>
  <c r="R1470" i="3"/>
  <c r="T1470" i="3"/>
  <c r="U1470" i="3"/>
  <c r="AB1470" i="3"/>
  <c r="R1471" i="3"/>
  <c r="T1471" i="3"/>
  <c r="U1471" i="3"/>
  <c r="AB1471" i="3"/>
  <c r="R1472" i="3"/>
  <c r="T1472" i="3"/>
  <c r="U1472" i="3"/>
  <c r="AB1472" i="3"/>
  <c r="R1473" i="3"/>
  <c r="T1473" i="3"/>
  <c r="U1473" i="3"/>
  <c r="AB1473" i="3"/>
  <c r="R1474" i="3"/>
  <c r="T1474" i="3"/>
  <c r="U1474" i="3"/>
  <c r="AB1474" i="3"/>
  <c r="R1475" i="3"/>
  <c r="T1475" i="3"/>
  <c r="U1475" i="3"/>
  <c r="AB1475" i="3"/>
  <c r="R1476" i="3"/>
  <c r="T1476" i="3"/>
  <c r="U1476" i="3"/>
  <c r="AB1476" i="3"/>
  <c r="R1477" i="3"/>
  <c r="T1477" i="3"/>
  <c r="U1477" i="3"/>
  <c r="AB1477" i="3"/>
  <c r="R1478" i="3"/>
  <c r="T1478" i="3"/>
  <c r="U1478" i="3"/>
  <c r="AB1478" i="3"/>
  <c r="R1479" i="3"/>
  <c r="T1479" i="3"/>
  <c r="U1479" i="3"/>
  <c r="AB1479" i="3"/>
  <c r="R1480" i="3"/>
  <c r="T1480" i="3"/>
  <c r="U1480" i="3"/>
  <c r="AB1480" i="3"/>
  <c r="R1481" i="3"/>
  <c r="T1481" i="3"/>
  <c r="U1481" i="3"/>
  <c r="AB1481" i="3"/>
  <c r="R1482" i="3"/>
  <c r="T1482" i="3"/>
  <c r="U1482" i="3"/>
  <c r="AB1482" i="3"/>
  <c r="R1483" i="3"/>
  <c r="T1483" i="3"/>
  <c r="U1483" i="3"/>
  <c r="AB1483" i="3"/>
  <c r="R1484" i="3"/>
  <c r="T1484" i="3"/>
  <c r="U1484" i="3"/>
  <c r="AB1484" i="3"/>
  <c r="R1485" i="3"/>
  <c r="T1485" i="3"/>
  <c r="U1485" i="3"/>
  <c r="AB1485" i="3"/>
  <c r="R1486" i="3"/>
  <c r="T1486" i="3"/>
  <c r="U1486" i="3"/>
  <c r="AB1486" i="3"/>
  <c r="R1487" i="3"/>
  <c r="T1487" i="3"/>
  <c r="U1487" i="3"/>
  <c r="AB1487" i="3"/>
  <c r="R1488" i="3"/>
  <c r="T1488" i="3"/>
  <c r="U1488" i="3"/>
  <c r="AB1488" i="3"/>
  <c r="R1489" i="3"/>
  <c r="T1489" i="3"/>
  <c r="U1489" i="3"/>
  <c r="AB1489" i="3"/>
  <c r="R1490" i="3"/>
  <c r="T1490" i="3"/>
  <c r="U1490" i="3"/>
  <c r="AB1490" i="3"/>
  <c r="R1491" i="3"/>
  <c r="T1491" i="3"/>
  <c r="U1491" i="3"/>
  <c r="AB1491" i="3"/>
  <c r="R1492" i="3"/>
  <c r="T1492" i="3"/>
  <c r="U1492" i="3"/>
  <c r="AB1492" i="3"/>
  <c r="R1493" i="3"/>
  <c r="T1493" i="3"/>
  <c r="U1493" i="3"/>
  <c r="AB1493" i="3"/>
  <c r="R1494" i="3"/>
  <c r="T1494" i="3"/>
  <c r="U1494" i="3"/>
  <c r="AB1494" i="3"/>
  <c r="R1495" i="3"/>
  <c r="T1495" i="3"/>
  <c r="U1495" i="3"/>
  <c r="AB1495" i="3"/>
  <c r="R1496" i="3"/>
  <c r="T1496" i="3"/>
  <c r="U1496" i="3"/>
  <c r="AB1496" i="3"/>
  <c r="R1497" i="3"/>
  <c r="T1497" i="3"/>
  <c r="U1497" i="3"/>
  <c r="AB1497" i="3"/>
  <c r="R1498" i="3"/>
  <c r="T1498" i="3"/>
  <c r="U1498" i="3"/>
  <c r="AB1498" i="3"/>
  <c r="R1499" i="3"/>
  <c r="T1499" i="3"/>
  <c r="U1499" i="3"/>
  <c r="AB1499" i="3"/>
  <c r="R1500" i="3"/>
  <c r="T1500" i="3"/>
  <c r="U1500" i="3"/>
  <c r="AB1500" i="3"/>
  <c r="R1501" i="3"/>
  <c r="T1501" i="3"/>
  <c r="U1501" i="3"/>
  <c r="AB1501" i="3"/>
  <c r="R1502" i="3"/>
  <c r="T1502" i="3"/>
  <c r="U1502" i="3"/>
  <c r="AB1502" i="3"/>
  <c r="R1503" i="3"/>
  <c r="T1503" i="3"/>
  <c r="U1503" i="3"/>
  <c r="AB1503" i="3"/>
  <c r="R1504" i="3"/>
  <c r="T1504" i="3"/>
  <c r="U1504" i="3"/>
  <c r="AB1504" i="3"/>
  <c r="R1505" i="3"/>
  <c r="T1505" i="3"/>
  <c r="U1505" i="3"/>
  <c r="AB1505" i="3"/>
  <c r="R1506" i="3"/>
  <c r="T1506" i="3"/>
  <c r="U1506" i="3"/>
  <c r="AB1506" i="3"/>
  <c r="R1507" i="3"/>
  <c r="T1507" i="3"/>
  <c r="U1507" i="3"/>
  <c r="AB1507" i="3"/>
  <c r="R1508" i="3"/>
  <c r="T1508" i="3"/>
  <c r="U1508" i="3"/>
  <c r="AB1508" i="3"/>
  <c r="R1509" i="3"/>
  <c r="T1509" i="3"/>
  <c r="U1509" i="3"/>
  <c r="AB1509" i="3"/>
  <c r="R1510" i="3"/>
  <c r="T1510" i="3"/>
  <c r="U1510" i="3"/>
  <c r="AB1510" i="3"/>
  <c r="R1511" i="3"/>
  <c r="T1511" i="3"/>
  <c r="U1511" i="3"/>
  <c r="AB1511" i="3"/>
  <c r="R1512" i="3"/>
  <c r="T1512" i="3"/>
  <c r="U1512" i="3"/>
  <c r="AB1512" i="3"/>
  <c r="R1513" i="3"/>
  <c r="T1513" i="3"/>
  <c r="U1513" i="3"/>
  <c r="AB1513" i="3"/>
  <c r="R1514" i="3"/>
  <c r="T1514" i="3"/>
  <c r="U1514" i="3"/>
  <c r="AB1514" i="3"/>
  <c r="R1515" i="3"/>
  <c r="T1515" i="3"/>
  <c r="U1515" i="3"/>
  <c r="AB1515" i="3"/>
  <c r="R1516" i="3"/>
  <c r="T1516" i="3"/>
  <c r="U1516" i="3"/>
  <c r="AB1516" i="3"/>
  <c r="R1517" i="3"/>
  <c r="T1517" i="3"/>
  <c r="U1517" i="3"/>
  <c r="AB1517" i="3"/>
  <c r="R1518" i="3"/>
  <c r="T1518" i="3"/>
  <c r="U1518" i="3"/>
  <c r="AB1518" i="3"/>
  <c r="R1519" i="3"/>
  <c r="T1519" i="3"/>
  <c r="U1519" i="3"/>
  <c r="AB1519" i="3"/>
  <c r="R1520" i="3"/>
  <c r="T1520" i="3"/>
  <c r="U1520" i="3"/>
  <c r="AB1520" i="3"/>
  <c r="R1521" i="3"/>
  <c r="T1521" i="3"/>
  <c r="U1521" i="3"/>
  <c r="AB1521" i="3"/>
  <c r="R1522" i="3"/>
  <c r="T1522" i="3"/>
  <c r="U1522" i="3"/>
  <c r="AB1522" i="3"/>
  <c r="R1523" i="3"/>
  <c r="T1523" i="3"/>
  <c r="U1523" i="3"/>
  <c r="AB1523" i="3"/>
  <c r="R1524" i="3"/>
  <c r="T1524" i="3"/>
  <c r="U1524" i="3"/>
  <c r="AB1524" i="3"/>
  <c r="R1525" i="3"/>
  <c r="T1525" i="3"/>
  <c r="U1525" i="3"/>
  <c r="AB1525" i="3"/>
  <c r="R1526" i="3"/>
  <c r="T1526" i="3"/>
  <c r="U1526" i="3"/>
  <c r="AB1526" i="3"/>
  <c r="R1527" i="3"/>
  <c r="T1527" i="3"/>
  <c r="U1527" i="3"/>
  <c r="AB1527" i="3"/>
  <c r="R1528" i="3"/>
  <c r="T1528" i="3"/>
  <c r="U1528" i="3"/>
  <c r="AB1528" i="3"/>
  <c r="R1529" i="3"/>
  <c r="T1529" i="3"/>
  <c r="U1529" i="3"/>
  <c r="AB1529" i="3"/>
  <c r="R1530" i="3"/>
  <c r="T1530" i="3"/>
  <c r="U1530" i="3"/>
  <c r="AB1530" i="3"/>
  <c r="R1531" i="3"/>
  <c r="T1531" i="3"/>
  <c r="U1531" i="3"/>
  <c r="AB1531" i="3"/>
  <c r="R1532" i="3"/>
  <c r="T1532" i="3"/>
  <c r="U1532" i="3"/>
  <c r="AB1532" i="3"/>
  <c r="R1533" i="3"/>
  <c r="T1533" i="3"/>
  <c r="U1533" i="3"/>
  <c r="AB1533" i="3"/>
  <c r="R1534" i="3"/>
  <c r="T1534" i="3"/>
  <c r="U1534" i="3"/>
  <c r="AB1534" i="3"/>
  <c r="R1535" i="3"/>
  <c r="T1535" i="3"/>
  <c r="U1535" i="3"/>
  <c r="AB1535" i="3"/>
  <c r="R1536" i="3"/>
  <c r="T1536" i="3"/>
  <c r="U1536" i="3"/>
  <c r="AB1536" i="3"/>
  <c r="R1537" i="3"/>
  <c r="T1537" i="3"/>
  <c r="U1537" i="3"/>
  <c r="AB1537" i="3"/>
  <c r="R1538" i="3"/>
  <c r="T1538" i="3"/>
  <c r="U1538" i="3"/>
  <c r="AB1538" i="3"/>
  <c r="R1539" i="3"/>
  <c r="T1539" i="3"/>
  <c r="U1539" i="3"/>
  <c r="AB1539" i="3"/>
  <c r="R1540" i="3"/>
  <c r="T1540" i="3"/>
  <c r="U1540" i="3"/>
  <c r="AB1540" i="3"/>
  <c r="R1541" i="3"/>
  <c r="T1541" i="3"/>
  <c r="U1541" i="3"/>
  <c r="AB1541" i="3"/>
  <c r="R1542" i="3"/>
  <c r="T1542" i="3"/>
  <c r="U1542" i="3"/>
  <c r="AB1542" i="3"/>
  <c r="R1543" i="3"/>
  <c r="T1543" i="3"/>
  <c r="U1543" i="3"/>
  <c r="AB1543" i="3"/>
  <c r="R1544" i="3"/>
  <c r="T1544" i="3"/>
  <c r="U1544" i="3"/>
  <c r="AB1544" i="3"/>
  <c r="R1545" i="3"/>
  <c r="T1545" i="3"/>
  <c r="U1545" i="3"/>
  <c r="AB1545" i="3"/>
  <c r="R1546" i="3"/>
  <c r="T1546" i="3"/>
  <c r="U1546" i="3"/>
  <c r="AB1546" i="3"/>
  <c r="R1547" i="3"/>
  <c r="T1547" i="3"/>
  <c r="U1547" i="3"/>
  <c r="AB1547" i="3"/>
  <c r="R1548" i="3"/>
  <c r="T1548" i="3"/>
  <c r="U1548" i="3"/>
  <c r="AB1548" i="3"/>
  <c r="R1549" i="3"/>
  <c r="T1549" i="3"/>
  <c r="U1549" i="3"/>
  <c r="AB1549" i="3"/>
  <c r="R1550" i="3"/>
  <c r="T1550" i="3"/>
  <c r="U1550" i="3"/>
  <c r="AB1550" i="3"/>
  <c r="R1551" i="3"/>
  <c r="T1551" i="3"/>
  <c r="U1551" i="3"/>
  <c r="AB1551" i="3"/>
  <c r="R1552" i="3"/>
  <c r="T1552" i="3"/>
  <c r="U1552" i="3"/>
  <c r="AB1552" i="3"/>
  <c r="R1553" i="3"/>
  <c r="T1553" i="3"/>
  <c r="U1553" i="3"/>
  <c r="AB1553" i="3"/>
  <c r="R1554" i="3"/>
  <c r="T1554" i="3"/>
  <c r="U1554" i="3"/>
  <c r="AB1554" i="3"/>
  <c r="R1555" i="3"/>
  <c r="T1555" i="3"/>
  <c r="U1555" i="3"/>
  <c r="AB1555" i="3"/>
  <c r="R1556" i="3"/>
  <c r="T1556" i="3"/>
  <c r="U1556" i="3"/>
  <c r="AB1556" i="3"/>
  <c r="R1557" i="3"/>
  <c r="T1557" i="3"/>
  <c r="U1557" i="3"/>
  <c r="AB1557" i="3"/>
  <c r="R1558" i="3"/>
  <c r="T1558" i="3"/>
  <c r="U1558" i="3"/>
  <c r="AB1558" i="3"/>
  <c r="R1559" i="3"/>
  <c r="T1559" i="3"/>
  <c r="U1559" i="3"/>
  <c r="AB1559" i="3"/>
  <c r="R1560" i="3"/>
  <c r="T1560" i="3"/>
  <c r="U1560" i="3"/>
  <c r="AB1560" i="3"/>
  <c r="R1561" i="3"/>
  <c r="T1561" i="3"/>
  <c r="U1561" i="3"/>
  <c r="AB1561" i="3"/>
  <c r="R1562" i="3"/>
  <c r="T1562" i="3"/>
  <c r="U1562" i="3"/>
  <c r="AB1562" i="3"/>
  <c r="R1563" i="3"/>
  <c r="T1563" i="3"/>
  <c r="U1563" i="3"/>
  <c r="AB1563" i="3"/>
  <c r="R1564" i="3"/>
  <c r="T1564" i="3"/>
  <c r="U1564" i="3"/>
  <c r="AB1564" i="3"/>
  <c r="R1565" i="3"/>
  <c r="T1565" i="3"/>
  <c r="U1565" i="3"/>
  <c r="AB1565" i="3"/>
  <c r="R1566" i="3"/>
  <c r="T1566" i="3"/>
  <c r="U1566" i="3"/>
  <c r="AB1566" i="3"/>
  <c r="R1567" i="3"/>
  <c r="T1567" i="3"/>
  <c r="U1567" i="3"/>
  <c r="AB1567" i="3"/>
  <c r="R1568" i="3"/>
  <c r="T1568" i="3"/>
  <c r="U1568" i="3"/>
  <c r="AB1568" i="3"/>
  <c r="R1569" i="3"/>
  <c r="T1569" i="3"/>
  <c r="U1569" i="3"/>
  <c r="AB1569" i="3"/>
  <c r="R1570" i="3"/>
  <c r="T1570" i="3"/>
  <c r="U1570" i="3"/>
  <c r="AB1570" i="3"/>
  <c r="R1571" i="3"/>
  <c r="T1571" i="3"/>
  <c r="U1571" i="3"/>
  <c r="AB1571" i="3"/>
  <c r="R1572" i="3"/>
  <c r="T1572" i="3"/>
  <c r="U1572" i="3"/>
  <c r="AB1572" i="3"/>
  <c r="R1573" i="3"/>
  <c r="T1573" i="3"/>
  <c r="U1573" i="3"/>
  <c r="AB1573" i="3"/>
  <c r="R1574" i="3"/>
  <c r="T1574" i="3"/>
  <c r="U1574" i="3"/>
  <c r="AB1574" i="3"/>
  <c r="R1575" i="3"/>
  <c r="T1575" i="3"/>
  <c r="U1575" i="3"/>
  <c r="AB1575" i="3"/>
  <c r="R1576" i="3"/>
  <c r="T1576" i="3"/>
  <c r="U1576" i="3"/>
  <c r="AB1576" i="3"/>
  <c r="R1577" i="3"/>
  <c r="T1577" i="3"/>
  <c r="U1577" i="3"/>
  <c r="AB1577" i="3"/>
  <c r="R1578" i="3"/>
  <c r="T1578" i="3"/>
  <c r="U1578" i="3"/>
  <c r="AB1578" i="3"/>
  <c r="R1579" i="3"/>
  <c r="T1579" i="3"/>
  <c r="U1579" i="3"/>
  <c r="AB1579" i="3"/>
  <c r="R1580" i="3"/>
  <c r="T1580" i="3"/>
  <c r="U1580" i="3"/>
  <c r="AB1580" i="3"/>
  <c r="R1581" i="3"/>
  <c r="T1581" i="3"/>
  <c r="U1581" i="3"/>
  <c r="AB1581" i="3"/>
  <c r="R1582" i="3"/>
  <c r="T1582" i="3"/>
  <c r="U1582" i="3"/>
  <c r="AB1582" i="3"/>
  <c r="R1583" i="3"/>
  <c r="T1583" i="3"/>
  <c r="U1583" i="3"/>
  <c r="AB1583" i="3"/>
  <c r="R1584" i="3"/>
  <c r="T1584" i="3"/>
  <c r="U1584" i="3"/>
  <c r="AB1584" i="3"/>
  <c r="R1585" i="3"/>
  <c r="T1585" i="3"/>
  <c r="U1585" i="3"/>
  <c r="AB1585" i="3"/>
  <c r="R1586" i="3"/>
  <c r="T1586" i="3"/>
  <c r="U1586" i="3"/>
  <c r="AB1586" i="3"/>
  <c r="R1587" i="3"/>
  <c r="T1587" i="3"/>
  <c r="U1587" i="3"/>
  <c r="AB1587" i="3"/>
  <c r="R1588" i="3"/>
  <c r="T1588" i="3"/>
  <c r="U1588" i="3"/>
  <c r="AB1588" i="3"/>
  <c r="R1589" i="3"/>
  <c r="T1589" i="3"/>
  <c r="U1589" i="3"/>
  <c r="AB1589" i="3"/>
  <c r="R1590" i="3"/>
  <c r="T1590" i="3"/>
  <c r="U1590" i="3"/>
  <c r="AB1590" i="3"/>
  <c r="R1591" i="3"/>
  <c r="T1591" i="3"/>
  <c r="U1591" i="3"/>
  <c r="AB1591" i="3"/>
  <c r="R1592" i="3"/>
  <c r="T1592" i="3"/>
  <c r="U1592" i="3"/>
  <c r="AB1592" i="3"/>
  <c r="R1593" i="3"/>
  <c r="T1593" i="3"/>
  <c r="U1593" i="3"/>
  <c r="AB1593" i="3"/>
  <c r="R1594" i="3"/>
  <c r="T1594" i="3"/>
  <c r="U1594" i="3"/>
  <c r="AB1594" i="3"/>
  <c r="R1595" i="3"/>
  <c r="T1595" i="3"/>
  <c r="U1595" i="3"/>
  <c r="AB1595" i="3"/>
  <c r="R1596" i="3"/>
  <c r="T1596" i="3"/>
  <c r="U1596" i="3"/>
  <c r="AB1596" i="3"/>
  <c r="R1597" i="3"/>
  <c r="T1597" i="3"/>
  <c r="U1597" i="3"/>
  <c r="AB1597" i="3"/>
  <c r="R1598" i="3"/>
  <c r="T1598" i="3"/>
  <c r="U1598" i="3"/>
  <c r="AB1598" i="3"/>
  <c r="R1599" i="3"/>
  <c r="T1599" i="3"/>
  <c r="U1599" i="3"/>
  <c r="AB1599" i="3"/>
  <c r="R1600" i="3"/>
  <c r="T1600" i="3"/>
  <c r="U1600" i="3"/>
  <c r="AB1600" i="3"/>
  <c r="R1601" i="3"/>
  <c r="T1601" i="3"/>
  <c r="U1601" i="3"/>
  <c r="AB1601" i="3"/>
  <c r="R1602" i="3"/>
  <c r="T1602" i="3"/>
  <c r="U1602" i="3"/>
  <c r="AB1602" i="3"/>
  <c r="R1603" i="3"/>
  <c r="T1603" i="3"/>
  <c r="U1603" i="3"/>
  <c r="AB1603" i="3"/>
  <c r="R1604" i="3"/>
  <c r="T1604" i="3"/>
  <c r="U1604" i="3"/>
  <c r="AB1604" i="3"/>
  <c r="R1605" i="3"/>
  <c r="T1605" i="3"/>
  <c r="U1605" i="3"/>
  <c r="AB1605" i="3"/>
  <c r="R1606" i="3"/>
  <c r="T1606" i="3"/>
  <c r="U1606" i="3"/>
  <c r="AB1606" i="3"/>
  <c r="R1607" i="3"/>
  <c r="T1607" i="3"/>
  <c r="U1607" i="3"/>
  <c r="AB1607" i="3"/>
  <c r="R1608" i="3"/>
  <c r="T1608" i="3"/>
  <c r="U1608" i="3"/>
  <c r="AB1608" i="3"/>
  <c r="R1609" i="3"/>
  <c r="T1609" i="3"/>
  <c r="U1609" i="3"/>
  <c r="AB1609" i="3"/>
  <c r="R1610" i="3"/>
  <c r="T1610" i="3"/>
  <c r="U1610" i="3"/>
  <c r="AB1610" i="3"/>
  <c r="R1611" i="3"/>
  <c r="T1611" i="3"/>
  <c r="U1611" i="3"/>
  <c r="AB1611" i="3"/>
  <c r="R1612" i="3"/>
  <c r="T1612" i="3"/>
  <c r="U1612" i="3"/>
  <c r="AB1612" i="3"/>
  <c r="R1613" i="3"/>
  <c r="T1613" i="3"/>
  <c r="U1613" i="3"/>
  <c r="AB1613" i="3"/>
  <c r="R1614" i="3"/>
  <c r="T1614" i="3"/>
  <c r="U1614" i="3"/>
  <c r="AB1614" i="3"/>
  <c r="R1615" i="3"/>
  <c r="T1615" i="3"/>
  <c r="U1615" i="3"/>
  <c r="AB1615" i="3"/>
  <c r="R1616" i="3"/>
  <c r="T1616" i="3"/>
  <c r="U1616" i="3"/>
  <c r="AB1616" i="3"/>
  <c r="R1617" i="3"/>
  <c r="T1617" i="3"/>
  <c r="U1617" i="3"/>
  <c r="AB1617" i="3"/>
  <c r="R1618" i="3"/>
  <c r="T1618" i="3"/>
  <c r="U1618" i="3"/>
  <c r="AB1618" i="3"/>
  <c r="R1619" i="3"/>
  <c r="T1619" i="3"/>
  <c r="U1619" i="3"/>
  <c r="AB1619" i="3"/>
  <c r="R1620" i="3"/>
  <c r="T1620" i="3"/>
  <c r="U1620" i="3"/>
  <c r="AB1620" i="3"/>
  <c r="R1621" i="3"/>
  <c r="T1621" i="3"/>
  <c r="U1621" i="3"/>
  <c r="AB1621" i="3"/>
  <c r="R1622" i="3"/>
  <c r="T1622" i="3"/>
  <c r="U1622" i="3"/>
  <c r="AB1622" i="3"/>
  <c r="R1623" i="3"/>
  <c r="T1623" i="3"/>
  <c r="U1623" i="3"/>
  <c r="AB1623" i="3"/>
  <c r="R1624" i="3"/>
  <c r="T1624" i="3"/>
  <c r="U1624" i="3"/>
  <c r="AB1624" i="3"/>
  <c r="R1625" i="3"/>
  <c r="T1625" i="3"/>
  <c r="U1625" i="3"/>
  <c r="AB1625" i="3"/>
  <c r="R1626" i="3"/>
  <c r="T1626" i="3"/>
  <c r="U1626" i="3"/>
  <c r="AB1626" i="3"/>
  <c r="R1627" i="3"/>
  <c r="T1627" i="3"/>
  <c r="U1627" i="3"/>
  <c r="AB1627" i="3"/>
  <c r="R1628" i="3"/>
  <c r="T1628" i="3"/>
  <c r="U1628" i="3"/>
  <c r="AB1628" i="3"/>
  <c r="R1629" i="3"/>
  <c r="T1629" i="3"/>
  <c r="U1629" i="3"/>
  <c r="AB1629" i="3"/>
  <c r="R1630" i="3"/>
  <c r="T1630" i="3"/>
  <c r="U1630" i="3"/>
  <c r="AB1630" i="3"/>
  <c r="R1631" i="3"/>
  <c r="T1631" i="3"/>
  <c r="U1631" i="3"/>
  <c r="AB1631" i="3"/>
  <c r="R1632" i="3"/>
  <c r="T1632" i="3"/>
  <c r="U1632" i="3"/>
  <c r="AB1632" i="3"/>
  <c r="R1633" i="3"/>
  <c r="T1633" i="3"/>
  <c r="U1633" i="3"/>
  <c r="AB1633" i="3"/>
  <c r="R1634" i="3"/>
  <c r="T1634" i="3"/>
  <c r="U1634" i="3"/>
  <c r="AB1634" i="3"/>
  <c r="R1635" i="3"/>
  <c r="T1635" i="3"/>
  <c r="U1635" i="3"/>
  <c r="AB1635" i="3"/>
  <c r="R1636" i="3"/>
  <c r="T1636" i="3"/>
  <c r="U1636" i="3"/>
  <c r="AB1636" i="3"/>
  <c r="R1637" i="3"/>
  <c r="T1637" i="3"/>
  <c r="U1637" i="3"/>
  <c r="AB1637" i="3"/>
  <c r="R1638" i="3"/>
  <c r="T1638" i="3"/>
  <c r="U1638" i="3"/>
  <c r="AB1638" i="3"/>
  <c r="R1639" i="3"/>
  <c r="T1639" i="3"/>
  <c r="U1639" i="3"/>
  <c r="AB1639" i="3"/>
  <c r="R1640" i="3"/>
  <c r="T1640" i="3"/>
  <c r="U1640" i="3"/>
  <c r="AB1640" i="3"/>
  <c r="R1641" i="3"/>
  <c r="T1641" i="3"/>
  <c r="U1641" i="3"/>
  <c r="AB1641" i="3"/>
  <c r="R1642" i="3"/>
  <c r="T1642" i="3"/>
  <c r="U1642" i="3"/>
  <c r="AB1642" i="3"/>
  <c r="R1643" i="3"/>
  <c r="T1643" i="3"/>
  <c r="U1643" i="3"/>
  <c r="AB1643" i="3"/>
  <c r="R1644" i="3"/>
  <c r="T1644" i="3"/>
  <c r="U1644" i="3"/>
  <c r="AB1644" i="3"/>
  <c r="R1645" i="3"/>
  <c r="T1645" i="3"/>
  <c r="U1645" i="3"/>
  <c r="AB1645" i="3"/>
  <c r="R1646" i="3"/>
  <c r="T1646" i="3"/>
  <c r="U1646" i="3"/>
  <c r="AB1646" i="3"/>
  <c r="R1647" i="3"/>
  <c r="T1647" i="3"/>
  <c r="U1647" i="3"/>
  <c r="AB1647" i="3"/>
  <c r="R1648" i="3"/>
  <c r="T1648" i="3"/>
  <c r="U1648" i="3"/>
  <c r="AB1648" i="3"/>
  <c r="R1649" i="3"/>
  <c r="T1649" i="3"/>
  <c r="U1649" i="3"/>
  <c r="AB1649" i="3"/>
  <c r="R1650" i="3"/>
  <c r="T1650" i="3"/>
  <c r="U1650" i="3"/>
  <c r="AB1650" i="3"/>
  <c r="R1651" i="3"/>
  <c r="T1651" i="3"/>
  <c r="U1651" i="3"/>
  <c r="AB1651" i="3"/>
  <c r="R1652" i="3"/>
  <c r="T1652" i="3"/>
  <c r="U1652" i="3"/>
  <c r="AB1652" i="3"/>
  <c r="R1653" i="3"/>
  <c r="T1653" i="3"/>
  <c r="U1653" i="3"/>
  <c r="AB1653" i="3"/>
  <c r="R1654" i="3"/>
  <c r="T1654" i="3"/>
  <c r="U1654" i="3"/>
  <c r="AB1654" i="3"/>
  <c r="R1655" i="3"/>
  <c r="T1655" i="3"/>
  <c r="U1655" i="3"/>
  <c r="AB1655" i="3"/>
  <c r="R1656" i="3"/>
  <c r="T1656" i="3"/>
  <c r="U1656" i="3"/>
  <c r="AB1656" i="3"/>
  <c r="R1657" i="3"/>
  <c r="T1657" i="3"/>
  <c r="U1657" i="3"/>
  <c r="AB1657" i="3"/>
  <c r="R1658" i="3"/>
  <c r="T1658" i="3"/>
  <c r="U1658" i="3"/>
  <c r="AB1658" i="3"/>
  <c r="R1659" i="3"/>
  <c r="T1659" i="3"/>
  <c r="U1659" i="3"/>
  <c r="AB1659" i="3"/>
  <c r="R1660" i="3"/>
  <c r="T1660" i="3"/>
  <c r="U1660" i="3"/>
  <c r="AB1660" i="3"/>
  <c r="R1661" i="3"/>
  <c r="T1661" i="3"/>
  <c r="U1661" i="3"/>
  <c r="AB1661" i="3"/>
  <c r="R1662" i="3"/>
  <c r="T1662" i="3"/>
  <c r="U1662" i="3"/>
  <c r="AB1662" i="3"/>
  <c r="R1663" i="3"/>
  <c r="T1663" i="3"/>
  <c r="U1663" i="3"/>
  <c r="AB1663" i="3"/>
  <c r="R1664" i="3"/>
  <c r="T1664" i="3"/>
  <c r="U1664" i="3"/>
  <c r="AB1664" i="3"/>
  <c r="R1665" i="3"/>
  <c r="T1665" i="3"/>
  <c r="U1665" i="3"/>
  <c r="AB1665" i="3"/>
  <c r="R1666" i="3"/>
  <c r="T1666" i="3"/>
  <c r="U1666" i="3"/>
  <c r="AB1666" i="3"/>
  <c r="R1667" i="3"/>
  <c r="T1667" i="3"/>
  <c r="U1667" i="3"/>
  <c r="AB1667" i="3"/>
  <c r="R1668" i="3"/>
  <c r="T1668" i="3"/>
  <c r="U1668" i="3"/>
  <c r="AB1668" i="3"/>
  <c r="R1669" i="3"/>
  <c r="T1669" i="3"/>
  <c r="U1669" i="3"/>
  <c r="AB1669" i="3"/>
  <c r="R1670" i="3"/>
  <c r="T1670" i="3"/>
  <c r="U1670" i="3"/>
  <c r="AB1670" i="3"/>
  <c r="R1671" i="3"/>
  <c r="T1671" i="3"/>
  <c r="U1671" i="3"/>
  <c r="AB1671" i="3"/>
  <c r="R1672" i="3"/>
  <c r="T1672" i="3"/>
  <c r="U1672" i="3"/>
  <c r="AB1672" i="3"/>
  <c r="R1673" i="3"/>
  <c r="T1673" i="3"/>
  <c r="U1673" i="3"/>
  <c r="AB1673" i="3"/>
  <c r="R1674" i="3"/>
  <c r="T1674" i="3"/>
  <c r="U1674" i="3"/>
  <c r="AB1674" i="3"/>
  <c r="R1675" i="3"/>
  <c r="T1675" i="3"/>
  <c r="U1675" i="3"/>
  <c r="AB1675" i="3"/>
  <c r="R1676" i="3"/>
  <c r="T1676" i="3"/>
  <c r="U1676" i="3"/>
  <c r="AB1676" i="3"/>
  <c r="R1677" i="3"/>
  <c r="T1677" i="3"/>
  <c r="U1677" i="3"/>
  <c r="AB1677" i="3"/>
  <c r="R1678" i="3"/>
  <c r="T1678" i="3"/>
  <c r="U1678" i="3"/>
  <c r="AB1678" i="3"/>
  <c r="R1679" i="3"/>
  <c r="T1679" i="3"/>
  <c r="U1679" i="3"/>
  <c r="AB1679" i="3"/>
  <c r="R1680" i="3"/>
  <c r="T1680" i="3"/>
  <c r="U1680" i="3"/>
  <c r="AB1680" i="3"/>
  <c r="R1681" i="3"/>
  <c r="T1681" i="3"/>
  <c r="U1681" i="3"/>
  <c r="AB1681" i="3"/>
  <c r="R1682" i="3"/>
  <c r="T1682" i="3"/>
  <c r="U1682" i="3"/>
  <c r="AB1682" i="3"/>
  <c r="R1683" i="3"/>
  <c r="T1683" i="3"/>
  <c r="U1683" i="3"/>
  <c r="AB1683" i="3"/>
  <c r="R1684" i="3"/>
  <c r="T1684" i="3"/>
  <c r="U1684" i="3"/>
  <c r="AB1684" i="3"/>
  <c r="R1685" i="3"/>
  <c r="T1685" i="3"/>
  <c r="U1685" i="3"/>
  <c r="AB1685" i="3"/>
  <c r="R1686" i="3"/>
  <c r="T1686" i="3"/>
  <c r="U1686" i="3"/>
  <c r="AB1686" i="3"/>
  <c r="R1687" i="3"/>
  <c r="T1687" i="3"/>
  <c r="U1687" i="3"/>
  <c r="AB1687" i="3"/>
  <c r="R1688" i="3"/>
  <c r="T1688" i="3"/>
  <c r="U1688" i="3"/>
  <c r="AB1688" i="3"/>
  <c r="R1689" i="3"/>
  <c r="T1689" i="3"/>
  <c r="U1689" i="3"/>
  <c r="AB1689" i="3"/>
  <c r="R1690" i="3"/>
  <c r="T1690" i="3"/>
  <c r="U1690" i="3"/>
  <c r="AB1690" i="3"/>
  <c r="R1691" i="3"/>
  <c r="T1691" i="3"/>
  <c r="U1691" i="3"/>
  <c r="AB1691" i="3"/>
  <c r="R1692" i="3"/>
  <c r="T1692" i="3"/>
  <c r="U1692" i="3"/>
  <c r="AB1692" i="3"/>
  <c r="R1693" i="3"/>
  <c r="T1693" i="3"/>
  <c r="U1693" i="3"/>
  <c r="AB1693" i="3"/>
  <c r="R1694" i="3"/>
  <c r="T1694" i="3"/>
  <c r="U1694" i="3"/>
  <c r="AB1694" i="3"/>
  <c r="R1695" i="3"/>
  <c r="T1695" i="3"/>
  <c r="U1695" i="3"/>
  <c r="AB1695" i="3"/>
  <c r="R1696" i="3"/>
  <c r="T1696" i="3"/>
  <c r="U1696" i="3"/>
  <c r="AB1696" i="3"/>
  <c r="R1697" i="3"/>
  <c r="T1697" i="3"/>
  <c r="U1697" i="3"/>
  <c r="AB1697" i="3"/>
  <c r="R1698" i="3"/>
  <c r="T1698" i="3"/>
  <c r="U1698" i="3"/>
  <c r="AB1698" i="3"/>
  <c r="R1699" i="3"/>
  <c r="T1699" i="3"/>
  <c r="U1699" i="3"/>
  <c r="AB1699" i="3"/>
  <c r="R1700" i="3"/>
  <c r="T1700" i="3"/>
  <c r="U1700" i="3"/>
  <c r="AB1700" i="3"/>
  <c r="R1701" i="3"/>
  <c r="T1701" i="3"/>
  <c r="U1701" i="3"/>
  <c r="AB1701" i="3"/>
  <c r="R1702" i="3"/>
  <c r="T1702" i="3"/>
  <c r="U1702" i="3"/>
  <c r="AB1702" i="3"/>
  <c r="R1703" i="3"/>
  <c r="T1703" i="3"/>
  <c r="U1703" i="3"/>
  <c r="AB1703" i="3"/>
  <c r="R1704" i="3"/>
  <c r="T1704" i="3"/>
  <c r="U1704" i="3"/>
  <c r="AB1704" i="3"/>
  <c r="R1705" i="3"/>
  <c r="T1705" i="3"/>
  <c r="U1705" i="3"/>
  <c r="AB1705" i="3"/>
  <c r="R1706" i="3"/>
  <c r="T1706" i="3"/>
  <c r="U1706" i="3"/>
  <c r="AB1706" i="3"/>
  <c r="R1707" i="3"/>
  <c r="T1707" i="3"/>
  <c r="U1707" i="3"/>
  <c r="AB1707" i="3"/>
  <c r="R1708" i="3"/>
  <c r="T1708" i="3"/>
  <c r="U1708" i="3"/>
  <c r="AB1708" i="3"/>
  <c r="R1709" i="3"/>
  <c r="T1709" i="3"/>
  <c r="U1709" i="3"/>
  <c r="AB1709" i="3"/>
  <c r="R1710" i="3"/>
  <c r="T1710" i="3"/>
  <c r="U1710" i="3"/>
  <c r="AB1710" i="3"/>
  <c r="R1711" i="3"/>
  <c r="T1711" i="3"/>
  <c r="U1711" i="3"/>
  <c r="AB1711" i="3"/>
  <c r="R1712" i="3"/>
  <c r="T1712" i="3"/>
  <c r="U1712" i="3"/>
  <c r="AB1712" i="3"/>
  <c r="R1713" i="3"/>
  <c r="T1713" i="3"/>
  <c r="U1713" i="3"/>
  <c r="AB1713" i="3"/>
  <c r="R1714" i="3"/>
  <c r="T1714" i="3"/>
  <c r="U1714" i="3"/>
  <c r="AB1714" i="3"/>
  <c r="R1715" i="3"/>
  <c r="T1715" i="3"/>
  <c r="U1715" i="3"/>
  <c r="AB1715" i="3"/>
  <c r="R1716" i="3"/>
  <c r="T1716" i="3"/>
  <c r="U1716" i="3"/>
  <c r="AB1716" i="3"/>
  <c r="R1717" i="3"/>
  <c r="T1717" i="3"/>
  <c r="U1717" i="3"/>
  <c r="AB1717" i="3"/>
  <c r="R1718" i="3"/>
  <c r="T1718" i="3"/>
  <c r="U1718" i="3"/>
  <c r="AB1718" i="3"/>
  <c r="R1719" i="3"/>
  <c r="T1719" i="3"/>
  <c r="U1719" i="3"/>
  <c r="AB1719" i="3"/>
  <c r="R1720" i="3"/>
  <c r="T1720" i="3"/>
  <c r="U1720" i="3"/>
  <c r="AB1720" i="3"/>
  <c r="R1721" i="3"/>
  <c r="T1721" i="3"/>
  <c r="U1721" i="3"/>
  <c r="AB1721" i="3"/>
  <c r="R1722" i="3"/>
  <c r="T1722" i="3"/>
  <c r="U1722" i="3"/>
  <c r="AB1722" i="3"/>
  <c r="R1723" i="3"/>
  <c r="T1723" i="3"/>
  <c r="U1723" i="3"/>
  <c r="AB1723" i="3"/>
  <c r="R1724" i="3"/>
  <c r="T1724" i="3"/>
  <c r="U1724" i="3"/>
  <c r="AB1724" i="3"/>
  <c r="R1725" i="3"/>
  <c r="T1725" i="3"/>
  <c r="U1725" i="3"/>
  <c r="AB1725" i="3"/>
  <c r="R1726" i="3"/>
  <c r="T1726" i="3"/>
  <c r="U1726" i="3"/>
  <c r="AB1726" i="3"/>
  <c r="R1727" i="3"/>
  <c r="T1727" i="3"/>
  <c r="U1727" i="3"/>
  <c r="AB1727" i="3"/>
  <c r="R1728" i="3"/>
  <c r="T1728" i="3"/>
  <c r="U1728" i="3"/>
  <c r="AB1728" i="3"/>
  <c r="R1729" i="3"/>
  <c r="T1729" i="3"/>
  <c r="U1729" i="3"/>
  <c r="AB1729" i="3"/>
  <c r="R1730" i="3"/>
  <c r="T1730" i="3"/>
  <c r="U1730" i="3"/>
  <c r="AB1730" i="3"/>
  <c r="R1731" i="3"/>
  <c r="T1731" i="3"/>
  <c r="U1731" i="3"/>
  <c r="AB1731" i="3"/>
  <c r="R1732" i="3"/>
  <c r="T1732" i="3"/>
  <c r="U1732" i="3"/>
  <c r="AB1732" i="3"/>
  <c r="R1733" i="3"/>
  <c r="T1733" i="3"/>
  <c r="U1733" i="3"/>
  <c r="AB1733" i="3"/>
  <c r="R1734" i="3"/>
  <c r="T1734" i="3"/>
  <c r="U1734" i="3"/>
  <c r="AB1734" i="3"/>
  <c r="R1735" i="3"/>
  <c r="T1735" i="3"/>
  <c r="U1735" i="3"/>
  <c r="AB1735" i="3"/>
  <c r="R1736" i="3"/>
  <c r="T1736" i="3"/>
  <c r="U1736" i="3"/>
  <c r="AB1736" i="3"/>
  <c r="R1737" i="3"/>
  <c r="T1737" i="3"/>
  <c r="U1737" i="3"/>
  <c r="AB1737" i="3"/>
  <c r="R1738" i="3"/>
  <c r="T1738" i="3"/>
  <c r="U1738" i="3"/>
  <c r="AB1738" i="3"/>
  <c r="R1739" i="3"/>
  <c r="T1739" i="3"/>
  <c r="U1739" i="3"/>
  <c r="AB1739" i="3"/>
  <c r="R1740" i="3"/>
  <c r="T1740" i="3"/>
  <c r="U1740" i="3"/>
  <c r="AB1740" i="3"/>
  <c r="R1741" i="3"/>
  <c r="T1741" i="3"/>
  <c r="U1741" i="3"/>
  <c r="AB1741" i="3"/>
  <c r="R1742" i="3"/>
  <c r="T1742" i="3"/>
  <c r="U1742" i="3"/>
  <c r="AB1742" i="3"/>
  <c r="R1743" i="3"/>
  <c r="T1743" i="3"/>
  <c r="U1743" i="3"/>
  <c r="AB1743" i="3"/>
  <c r="R1744" i="3"/>
  <c r="T1744" i="3"/>
  <c r="U1744" i="3"/>
  <c r="AB1744" i="3"/>
  <c r="R1745" i="3"/>
  <c r="T1745" i="3"/>
  <c r="U1745" i="3"/>
  <c r="AB1745" i="3"/>
  <c r="R1746" i="3"/>
  <c r="T1746" i="3"/>
  <c r="U1746" i="3"/>
  <c r="AB1746" i="3"/>
  <c r="R1747" i="3"/>
  <c r="T1747" i="3"/>
  <c r="U1747" i="3"/>
  <c r="AB1747" i="3"/>
  <c r="R1748" i="3"/>
  <c r="T1748" i="3"/>
  <c r="U1748" i="3"/>
  <c r="AB1748" i="3"/>
  <c r="R1749" i="3"/>
  <c r="T1749" i="3"/>
  <c r="U1749" i="3"/>
  <c r="AB1749" i="3"/>
  <c r="R1750" i="3"/>
  <c r="T1750" i="3"/>
  <c r="U1750" i="3"/>
  <c r="AB1750" i="3"/>
  <c r="R1751" i="3"/>
  <c r="T1751" i="3"/>
  <c r="U1751" i="3"/>
  <c r="AB1751" i="3"/>
  <c r="R1752" i="3"/>
  <c r="T1752" i="3"/>
  <c r="U1752" i="3"/>
  <c r="AB1752" i="3"/>
  <c r="R1753" i="3"/>
  <c r="T1753" i="3"/>
  <c r="U1753" i="3"/>
  <c r="AB1753" i="3"/>
  <c r="R1754" i="3"/>
  <c r="T1754" i="3"/>
  <c r="U1754" i="3"/>
  <c r="AB1754" i="3"/>
  <c r="R1755" i="3"/>
  <c r="T1755" i="3"/>
  <c r="U1755" i="3"/>
  <c r="AB1755" i="3"/>
  <c r="R1756" i="3"/>
  <c r="T1756" i="3"/>
  <c r="U1756" i="3"/>
  <c r="AB1756" i="3"/>
  <c r="R1757" i="3"/>
  <c r="T1757" i="3"/>
  <c r="U1757" i="3"/>
  <c r="AB1757" i="3"/>
  <c r="R1758" i="3"/>
  <c r="T1758" i="3"/>
  <c r="U1758" i="3"/>
  <c r="AB1758" i="3"/>
  <c r="R1759" i="3"/>
  <c r="T1759" i="3"/>
  <c r="U1759" i="3"/>
  <c r="AB1759" i="3"/>
  <c r="R1760" i="3"/>
  <c r="T1760" i="3"/>
  <c r="U1760" i="3"/>
  <c r="AB1760" i="3"/>
  <c r="R1761" i="3"/>
  <c r="T1761" i="3"/>
  <c r="U1761" i="3"/>
  <c r="AB1761" i="3"/>
  <c r="R1762" i="3"/>
  <c r="T1762" i="3"/>
  <c r="U1762" i="3"/>
  <c r="AB1762" i="3"/>
  <c r="R1763" i="3"/>
  <c r="T1763" i="3"/>
  <c r="U1763" i="3"/>
  <c r="AB1763" i="3"/>
  <c r="R1764" i="3"/>
  <c r="T1764" i="3"/>
  <c r="U1764" i="3"/>
  <c r="AB1764" i="3"/>
  <c r="R1765" i="3"/>
  <c r="T1765" i="3"/>
  <c r="U1765" i="3"/>
  <c r="AB1765" i="3"/>
  <c r="R1766" i="3"/>
  <c r="T1766" i="3"/>
  <c r="U1766" i="3"/>
  <c r="AB1766" i="3"/>
  <c r="R1767" i="3"/>
  <c r="T1767" i="3"/>
  <c r="U1767" i="3"/>
  <c r="AB1767" i="3"/>
  <c r="R1768" i="3"/>
  <c r="T1768" i="3"/>
  <c r="U1768" i="3"/>
  <c r="AB1768" i="3"/>
  <c r="R1769" i="3"/>
  <c r="T1769" i="3"/>
  <c r="U1769" i="3"/>
  <c r="AB1769" i="3"/>
  <c r="R1770" i="3"/>
  <c r="T1770" i="3"/>
  <c r="U1770" i="3"/>
  <c r="AB1770" i="3"/>
  <c r="R1771" i="3"/>
  <c r="T1771" i="3"/>
  <c r="U1771" i="3"/>
  <c r="AB1771" i="3"/>
  <c r="R1772" i="3"/>
  <c r="T1772" i="3"/>
  <c r="U1772" i="3"/>
  <c r="AB1772" i="3"/>
  <c r="R1773" i="3"/>
  <c r="T1773" i="3"/>
  <c r="U1773" i="3"/>
  <c r="AB1773" i="3"/>
  <c r="R1774" i="3"/>
  <c r="T1774" i="3"/>
  <c r="U1774" i="3"/>
  <c r="AB1774" i="3"/>
  <c r="R1775" i="3"/>
  <c r="T1775" i="3"/>
  <c r="U1775" i="3"/>
  <c r="AB1775" i="3"/>
  <c r="R1776" i="3"/>
  <c r="T1776" i="3"/>
  <c r="U1776" i="3"/>
  <c r="AB1776" i="3"/>
  <c r="R1777" i="3"/>
  <c r="T1777" i="3"/>
  <c r="U1777" i="3"/>
  <c r="AB1777" i="3"/>
  <c r="R1778" i="3"/>
  <c r="T1778" i="3"/>
  <c r="U1778" i="3"/>
  <c r="AB1778" i="3"/>
  <c r="R1779" i="3"/>
  <c r="T1779" i="3"/>
  <c r="U1779" i="3"/>
  <c r="AB1779" i="3"/>
  <c r="R1780" i="3"/>
  <c r="T1780" i="3"/>
  <c r="U1780" i="3"/>
  <c r="AB1780" i="3"/>
  <c r="R1781" i="3"/>
  <c r="T1781" i="3"/>
  <c r="U1781" i="3"/>
  <c r="AB1781" i="3"/>
  <c r="R1782" i="3"/>
  <c r="T1782" i="3"/>
  <c r="U1782" i="3"/>
  <c r="AB1782" i="3"/>
  <c r="R1783" i="3"/>
  <c r="T1783" i="3"/>
  <c r="U1783" i="3"/>
  <c r="AB1783" i="3"/>
  <c r="R1784" i="3"/>
  <c r="T1784" i="3"/>
  <c r="U1784" i="3"/>
  <c r="AB1784" i="3"/>
  <c r="R1785" i="3"/>
  <c r="T1785" i="3"/>
  <c r="U1785" i="3"/>
  <c r="AB1785" i="3"/>
  <c r="R1786" i="3"/>
  <c r="T1786" i="3"/>
  <c r="U1786" i="3"/>
  <c r="AB1786" i="3"/>
  <c r="R1787" i="3"/>
  <c r="T1787" i="3"/>
  <c r="U1787" i="3"/>
  <c r="AB1787" i="3"/>
  <c r="R1788" i="3"/>
  <c r="T1788" i="3"/>
  <c r="U1788" i="3"/>
  <c r="AB1788" i="3"/>
  <c r="R1789" i="3"/>
  <c r="T1789" i="3"/>
  <c r="U1789" i="3"/>
  <c r="AB1789" i="3"/>
  <c r="R1790" i="3"/>
  <c r="T1790" i="3"/>
  <c r="U1790" i="3"/>
  <c r="AB1790" i="3"/>
  <c r="R1791" i="3"/>
  <c r="T1791" i="3"/>
  <c r="U1791" i="3"/>
  <c r="AB1791" i="3"/>
  <c r="R1792" i="3"/>
  <c r="T1792" i="3"/>
  <c r="U1792" i="3"/>
  <c r="AB1792" i="3"/>
  <c r="R1793" i="3"/>
  <c r="T1793" i="3"/>
  <c r="U1793" i="3"/>
  <c r="AB1793" i="3"/>
  <c r="R1794" i="3"/>
  <c r="T1794" i="3"/>
  <c r="U1794" i="3"/>
  <c r="AB1794" i="3"/>
  <c r="R1795" i="3"/>
  <c r="T1795" i="3"/>
  <c r="U1795" i="3"/>
  <c r="AB1795" i="3"/>
  <c r="R1796" i="3"/>
  <c r="T1796" i="3"/>
  <c r="U1796" i="3"/>
  <c r="AB1796" i="3"/>
  <c r="R1797" i="3"/>
  <c r="T1797" i="3"/>
  <c r="U1797" i="3"/>
  <c r="AB1797" i="3"/>
  <c r="R1798" i="3"/>
  <c r="T1798" i="3"/>
  <c r="U1798" i="3"/>
  <c r="AB1798" i="3"/>
  <c r="R1799" i="3"/>
  <c r="T1799" i="3"/>
  <c r="U1799" i="3"/>
  <c r="AB1799" i="3"/>
  <c r="R1800" i="3"/>
  <c r="T1800" i="3"/>
  <c r="U1800" i="3"/>
  <c r="AB1800" i="3"/>
  <c r="R1801" i="3"/>
  <c r="T1801" i="3"/>
  <c r="U1801" i="3"/>
  <c r="AB1801" i="3"/>
  <c r="R1802" i="3"/>
  <c r="T1802" i="3"/>
  <c r="U1802" i="3"/>
  <c r="AB1802" i="3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A3" i="6"/>
  <c r="B3" i="4" s="1"/>
  <c r="A4" i="6"/>
  <c r="B4" i="4" s="1"/>
  <c r="A5" i="6"/>
  <c r="B5" i="4" s="1"/>
  <c r="A6" i="6"/>
  <c r="B6" i="4" s="1"/>
  <c r="A7" i="6"/>
  <c r="B7" i="4" s="1"/>
  <c r="A8" i="6"/>
  <c r="B8" i="4" s="1"/>
  <c r="A9" i="6"/>
  <c r="B9" i="4" s="1"/>
  <c r="A10" i="6"/>
  <c r="B10" i="4" s="1"/>
  <c r="A11" i="6"/>
  <c r="B11" i="4" s="1"/>
  <c r="A12" i="6"/>
  <c r="B12" i="4" s="1"/>
  <c r="A13" i="6"/>
  <c r="B13" i="4" s="1"/>
  <c r="A14" i="6"/>
  <c r="B14" i="4" s="1"/>
  <c r="A15" i="6"/>
  <c r="B15" i="4" s="1"/>
  <c r="A16" i="6"/>
  <c r="B16" i="4" s="1"/>
  <c r="A17" i="6"/>
  <c r="B17" i="4" s="1"/>
  <c r="A18" i="6"/>
  <c r="B18" i="4" s="1"/>
  <c r="A19" i="6"/>
  <c r="B19" i="4" s="1"/>
  <c r="A20" i="6"/>
  <c r="B20" i="4" s="1"/>
  <c r="A21" i="6"/>
  <c r="B21" i="4" s="1"/>
  <c r="A22" i="6"/>
  <c r="B22" i="4" s="1"/>
  <c r="A23" i="6"/>
  <c r="B23" i="4" s="1"/>
  <c r="A24" i="6"/>
  <c r="B24" i="4" s="1"/>
  <c r="A25" i="6"/>
  <c r="B25" i="4" s="1"/>
  <c r="A26" i="6"/>
  <c r="B26" i="4" s="1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A2" i="6"/>
  <c r="F1123" i="4" l="1"/>
  <c r="E1123" i="4"/>
  <c r="D1123" i="4"/>
  <c r="C1123" i="4"/>
  <c r="F1115" i="4"/>
  <c r="E1115" i="4"/>
  <c r="D1115" i="4"/>
  <c r="C1115" i="4"/>
  <c r="F1107" i="4"/>
  <c r="E1107" i="4"/>
  <c r="D1107" i="4"/>
  <c r="C1107" i="4"/>
  <c r="F1099" i="4"/>
  <c r="E1099" i="4"/>
  <c r="D1099" i="4"/>
  <c r="C1099" i="4"/>
  <c r="F1091" i="4"/>
  <c r="E1091" i="4"/>
  <c r="D1091" i="4"/>
  <c r="C1091" i="4"/>
  <c r="F1083" i="4"/>
  <c r="E1083" i="4"/>
  <c r="D1083" i="4"/>
  <c r="C1083" i="4"/>
  <c r="F1075" i="4"/>
  <c r="E1075" i="4"/>
  <c r="D1075" i="4"/>
  <c r="C1075" i="4"/>
  <c r="F1067" i="4"/>
  <c r="E1067" i="4"/>
  <c r="D1067" i="4"/>
  <c r="C1067" i="4"/>
  <c r="F1059" i="4"/>
  <c r="E1059" i="4"/>
  <c r="D1059" i="4"/>
  <c r="C1059" i="4"/>
  <c r="F1051" i="4"/>
  <c r="E1051" i="4"/>
  <c r="D1051" i="4"/>
  <c r="C1051" i="4"/>
  <c r="F1043" i="4"/>
  <c r="E1043" i="4"/>
  <c r="D1043" i="4"/>
  <c r="C1043" i="4"/>
  <c r="F1035" i="4"/>
  <c r="E1035" i="4"/>
  <c r="D1035" i="4"/>
  <c r="C1035" i="4"/>
  <c r="F1027" i="4"/>
  <c r="E1027" i="4"/>
  <c r="D1027" i="4"/>
  <c r="C1027" i="4"/>
  <c r="F1019" i="4"/>
  <c r="E1019" i="4"/>
  <c r="D1019" i="4"/>
  <c r="C1019" i="4"/>
  <c r="F1011" i="4"/>
  <c r="E1011" i="4"/>
  <c r="D1011" i="4"/>
  <c r="C1011" i="4"/>
  <c r="F1003" i="4"/>
  <c r="E1003" i="4"/>
  <c r="D1003" i="4"/>
  <c r="C1003" i="4"/>
  <c r="F995" i="4"/>
  <c r="E995" i="4"/>
  <c r="D995" i="4"/>
  <c r="C995" i="4"/>
  <c r="F987" i="4"/>
  <c r="E987" i="4"/>
  <c r="D987" i="4"/>
  <c r="C987" i="4"/>
  <c r="F979" i="4"/>
  <c r="E979" i="4"/>
  <c r="D979" i="4"/>
  <c r="C979" i="4"/>
  <c r="F971" i="4"/>
  <c r="E971" i="4"/>
  <c r="D971" i="4"/>
  <c r="C971" i="4"/>
  <c r="F963" i="4"/>
  <c r="E963" i="4"/>
  <c r="D963" i="4"/>
  <c r="C963" i="4"/>
  <c r="F955" i="4"/>
  <c r="E955" i="4"/>
  <c r="D955" i="4"/>
  <c r="C955" i="4"/>
  <c r="F947" i="4"/>
  <c r="E947" i="4"/>
  <c r="D947" i="4"/>
  <c r="C947" i="4"/>
  <c r="F939" i="4"/>
  <c r="E939" i="4"/>
  <c r="D939" i="4"/>
  <c r="C939" i="4"/>
  <c r="F931" i="4"/>
  <c r="E931" i="4"/>
  <c r="D931" i="4"/>
  <c r="C931" i="4"/>
  <c r="F923" i="4"/>
  <c r="E923" i="4"/>
  <c r="D923" i="4"/>
  <c r="C923" i="4"/>
  <c r="F915" i="4"/>
  <c r="E915" i="4"/>
  <c r="D915" i="4"/>
  <c r="C915" i="4"/>
  <c r="F907" i="4"/>
  <c r="E907" i="4"/>
  <c r="D907" i="4"/>
  <c r="C907" i="4"/>
  <c r="F899" i="4"/>
  <c r="E899" i="4"/>
  <c r="D899" i="4"/>
  <c r="C899" i="4"/>
  <c r="F891" i="4"/>
  <c r="E891" i="4"/>
  <c r="D891" i="4"/>
  <c r="C891" i="4"/>
  <c r="F883" i="4"/>
  <c r="E883" i="4"/>
  <c r="D883" i="4"/>
  <c r="C883" i="4"/>
  <c r="F875" i="4"/>
  <c r="E875" i="4"/>
  <c r="D875" i="4"/>
  <c r="C875" i="4"/>
  <c r="F867" i="4"/>
  <c r="E867" i="4"/>
  <c r="D867" i="4"/>
  <c r="C867" i="4"/>
  <c r="F859" i="4"/>
  <c r="E859" i="4"/>
  <c r="D859" i="4"/>
  <c r="C859" i="4"/>
  <c r="F851" i="4"/>
  <c r="E851" i="4"/>
  <c r="D851" i="4"/>
  <c r="C851" i="4"/>
  <c r="F843" i="4"/>
  <c r="E843" i="4"/>
  <c r="D843" i="4"/>
  <c r="C843" i="4"/>
  <c r="F835" i="4"/>
  <c r="E835" i="4"/>
  <c r="D835" i="4"/>
  <c r="C835" i="4"/>
  <c r="F827" i="4"/>
  <c r="E827" i="4"/>
  <c r="D827" i="4"/>
  <c r="C827" i="4"/>
  <c r="F819" i="4"/>
  <c r="E819" i="4"/>
  <c r="D819" i="4"/>
  <c r="C819" i="4"/>
  <c r="F811" i="4"/>
  <c r="E811" i="4"/>
  <c r="D811" i="4"/>
  <c r="C811" i="4"/>
  <c r="F803" i="4"/>
  <c r="E803" i="4"/>
  <c r="D803" i="4"/>
  <c r="C803" i="4"/>
  <c r="F795" i="4"/>
  <c r="E795" i="4"/>
  <c r="D795" i="4"/>
  <c r="C795" i="4"/>
  <c r="F787" i="4"/>
  <c r="E787" i="4"/>
  <c r="D787" i="4"/>
  <c r="C787" i="4"/>
  <c r="F779" i="4"/>
  <c r="E779" i="4"/>
  <c r="D779" i="4"/>
  <c r="C779" i="4"/>
  <c r="F771" i="4"/>
  <c r="E771" i="4"/>
  <c r="D771" i="4"/>
  <c r="C771" i="4"/>
  <c r="F763" i="4"/>
  <c r="E763" i="4"/>
  <c r="D763" i="4"/>
  <c r="C763" i="4"/>
  <c r="F755" i="4"/>
  <c r="E755" i="4"/>
  <c r="D755" i="4"/>
  <c r="C755" i="4"/>
  <c r="F747" i="4"/>
  <c r="E747" i="4"/>
  <c r="D747" i="4"/>
  <c r="C747" i="4"/>
  <c r="F739" i="4"/>
  <c r="E739" i="4"/>
  <c r="D739" i="4"/>
  <c r="C739" i="4"/>
  <c r="F731" i="4"/>
  <c r="E731" i="4"/>
  <c r="D731" i="4"/>
  <c r="C731" i="4"/>
  <c r="F723" i="4"/>
  <c r="E723" i="4"/>
  <c r="D723" i="4"/>
  <c r="C723" i="4"/>
  <c r="F715" i="4"/>
  <c r="E715" i="4"/>
  <c r="D715" i="4"/>
  <c r="C715" i="4"/>
  <c r="F707" i="4"/>
  <c r="E707" i="4"/>
  <c r="D707" i="4"/>
  <c r="C707" i="4"/>
  <c r="F699" i="4"/>
  <c r="E699" i="4"/>
  <c r="D699" i="4"/>
  <c r="C699" i="4"/>
  <c r="F691" i="4"/>
  <c r="E691" i="4"/>
  <c r="D691" i="4"/>
  <c r="C691" i="4"/>
  <c r="F683" i="4"/>
  <c r="E683" i="4"/>
  <c r="D683" i="4"/>
  <c r="C683" i="4"/>
  <c r="F675" i="4"/>
  <c r="E675" i="4"/>
  <c r="D675" i="4"/>
  <c r="C675" i="4"/>
  <c r="F667" i="4"/>
  <c r="E667" i="4"/>
  <c r="D667" i="4"/>
  <c r="C667" i="4"/>
  <c r="F659" i="4"/>
  <c r="E659" i="4"/>
  <c r="D659" i="4"/>
  <c r="C659" i="4"/>
  <c r="F651" i="4"/>
  <c r="E651" i="4"/>
  <c r="D651" i="4"/>
  <c r="C651" i="4"/>
  <c r="F643" i="4"/>
  <c r="E643" i="4"/>
  <c r="D643" i="4"/>
  <c r="C643" i="4"/>
  <c r="F635" i="4"/>
  <c r="E635" i="4"/>
  <c r="D635" i="4"/>
  <c r="C635" i="4"/>
  <c r="F627" i="4"/>
  <c r="E627" i="4"/>
  <c r="D627" i="4"/>
  <c r="C627" i="4"/>
  <c r="F619" i="4"/>
  <c r="E619" i="4"/>
  <c r="D619" i="4"/>
  <c r="C619" i="4"/>
  <c r="F611" i="4"/>
  <c r="E611" i="4"/>
  <c r="D611" i="4"/>
  <c r="C611" i="4"/>
  <c r="F603" i="4"/>
  <c r="E603" i="4"/>
  <c r="D603" i="4"/>
  <c r="C603" i="4"/>
  <c r="F595" i="4"/>
  <c r="E595" i="4"/>
  <c r="D595" i="4"/>
  <c r="C595" i="4"/>
  <c r="F587" i="4"/>
  <c r="E587" i="4"/>
  <c r="D587" i="4"/>
  <c r="C587" i="4"/>
  <c r="F579" i="4"/>
  <c r="E579" i="4"/>
  <c r="D579" i="4"/>
  <c r="C579" i="4"/>
  <c r="F571" i="4"/>
  <c r="E571" i="4"/>
  <c r="D571" i="4"/>
  <c r="C571" i="4"/>
  <c r="F563" i="4"/>
  <c r="E563" i="4"/>
  <c r="D563" i="4"/>
  <c r="C563" i="4"/>
  <c r="F555" i="4"/>
  <c r="E555" i="4"/>
  <c r="D555" i="4"/>
  <c r="C555" i="4"/>
  <c r="F547" i="4"/>
  <c r="E547" i="4"/>
  <c r="D547" i="4"/>
  <c r="C547" i="4"/>
  <c r="F539" i="4"/>
  <c r="E539" i="4"/>
  <c r="D539" i="4"/>
  <c r="C539" i="4"/>
  <c r="F531" i="4"/>
  <c r="E531" i="4"/>
  <c r="D531" i="4"/>
  <c r="C531" i="4"/>
  <c r="F523" i="4"/>
  <c r="E523" i="4"/>
  <c r="D523" i="4"/>
  <c r="C523" i="4"/>
  <c r="F515" i="4"/>
  <c r="E515" i="4"/>
  <c r="D515" i="4"/>
  <c r="C515" i="4"/>
  <c r="F507" i="4"/>
  <c r="E507" i="4"/>
  <c r="D507" i="4"/>
  <c r="C507" i="4"/>
  <c r="F499" i="4"/>
  <c r="E499" i="4"/>
  <c r="D499" i="4"/>
  <c r="C499" i="4"/>
  <c r="F491" i="4"/>
  <c r="E491" i="4"/>
  <c r="D491" i="4"/>
  <c r="C491" i="4"/>
  <c r="F483" i="4"/>
  <c r="D483" i="4"/>
  <c r="E483" i="4"/>
  <c r="C483" i="4"/>
  <c r="F475" i="4"/>
  <c r="E475" i="4"/>
  <c r="D475" i="4"/>
  <c r="C475" i="4"/>
  <c r="F467" i="4"/>
  <c r="E467" i="4"/>
  <c r="D467" i="4"/>
  <c r="C467" i="4"/>
  <c r="F459" i="4"/>
  <c r="E459" i="4"/>
  <c r="D459" i="4"/>
  <c r="C459" i="4"/>
  <c r="F451" i="4"/>
  <c r="D451" i="4"/>
  <c r="E451" i="4"/>
  <c r="C451" i="4"/>
  <c r="F443" i="4"/>
  <c r="E443" i="4"/>
  <c r="D443" i="4"/>
  <c r="C443" i="4"/>
  <c r="F435" i="4"/>
  <c r="E435" i="4"/>
  <c r="D435" i="4"/>
  <c r="C435" i="4"/>
  <c r="F427" i="4"/>
  <c r="D427" i="4"/>
  <c r="E427" i="4"/>
  <c r="C427" i="4"/>
  <c r="F419" i="4"/>
  <c r="E419" i="4"/>
  <c r="D419" i="4"/>
  <c r="C419" i="4"/>
  <c r="E411" i="4"/>
  <c r="F411" i="4"/>
  <c r="D411" i="4"/>
  <c r="C411" i="4"/>
  <c r="E403" i="4"/>
  <c r="F403" i="4"/>
  <c r="D403" i="4"/>
  <c r="C403" i="4"/>
  <c r="E395" i="4"/>
  <c r="F395" i="4"/>
  <c r="D395" i="4"/>
  <c r="C395" i="4"/>
  <c r="E387" i="4"/>
  <c r="F387" i="4"/>
  <c r="D387" i="4"/>
  <c r="C387" i="4"/>
  <c r="E379" i="4"/>
  <c r="F379" i="4"/>
  <c r="D379" i="4"/>
  <c r="C379" i="4"/>
  <c r="E371" i="4"/>
  <c r="F371" i="4"/>
  <c r="D371" i="4"/>
  <c r="C371" i="4"/>
  <c r="E363" i="4"/>
  <c r="F363" i="4"/>
  <c r="D363" i="4"/>
  <c r="C363" i="4"/>
  <c r="E355" i="4"/>
  <c r="F355" i="4"/>
  <c r="D355" i="4"/>
  <c r="C355" i="4"/>
  <c r="E347" i="4"/>
  <c r="F347" i="4"/>
  <c r="D347" i="4"/>
  <c r="C347" i="4"/>
  <c r="E339" i="4"/>
  <c r="F339" i="4"/>
  <c r="D339" i="4"/>
  <c r="C339" i="4"/>
  <c r="E331" i="4"/>
  <c r="F331" i="4"/>
  <c r="D331" i="4"/>
  <c r="C331" i="4"/>
  <c r="E323" i="4"/>
  <c r="F323" i="4"/>
  <c r="D323" i="4"/>
  <c r="C323" i="4"/>
  <c r="E315" i="4"/>
  <c r="F315" i="4"/>
  <c r="D315" i="4"/>
  <c r="C315" i="4"/>
  <c r="E307" i="4"/>
  <c r="F307" i="4"/>
  <c r="D307" i="4"/>
  <c r="C307" i="4"/>
  <c r="E299" i="4"/>
  <c r="F299" i="4"/>
  <c r="D299" i="4"/>
  <c r="C299" i="4"/>
  <c r="E291" i="4"/>
  <c r="F291" i="4"/>
  <c r="D291" i="4"/>
  <c r="C291" i="4"/>
  <c r="E283" i="4"/>
  <c r="F283" i="4"/>
  <c r="D283" i="4"/>
  <c r="C283" i="4"/>
  <c r="E275" i="4"/>
  <c r="F275" i="4"/>
  <c r="D275" i="4"/>
  <c r="C275" i="4"/>
  <c r="E267" i="4"/>
  <c r="F267" i="4"/>
  <c r="D267" i="4"/>
  <c r="C267" i="4"/>
  <c r="E259" i="4"/>
  <c r="F259" i="4"/>
  <c r="D259" i="4"/>
  <c r="C259" i="4"/>
  <c r="E251" i="4"/>
  <c r="F251" i="4"/>
  <c r="D251" i="4"/>
  <c r="C251" i="4"/>
  <c r="E243" i="4"/>
  <c r="F243" i="4"/>
  <c r="D243" i="4"/>
  <c r="C243" i="4"/>
  <c r="E235" i="4"/>
  <c r="F235" i="4"/>
  <c r="D235" i="4"/>
  <c r="C235" i="4"/>
  <c r="E227" i="4"/>
  <c r="F227" i="4"/>
  <c r="D227" i="4"/>
  <c r="C227" i="4"/>
  <c r="E219" i="4"/>
  <c r="F219" i="4"/>
  <c r="D219" i="4"/>
  <c r="C219" i="4"/>
  <c r="E211" i="4"/>
  <c r="F211" i="4"/>
  <c r="D211" i="4"/>
  <c r="C211" i="4"/>
  <c r="E203" i="4"/>
  <c r="F203" i="4"/>
  <c r="D203" i="4"/>
  <c r="C203" i="4"/>
  <c r="E195" i="4"/>
  <c r="F195" i="4"/>
  <c r="D195" i="4"/>
  <c r="C195" i="4"/>
  <c r="E187" i="4"/>
  <c r="F187" i="4"/>
  <c r="D187" i="4"/>
  <c r="C187" i="4"/>
  <c r="E179" i="4"/>
  <c r="F179" i="4"/>
  <c r="D179" i="4"/>
  <c r="C179" i="4"/>
  <c r="E171" i="4"/>
  <c r="F171" i="4"/>
  <c r="D171" i="4"/>
  <c r="C171" i="4"/>
  <c r="E163" i="4"/>
  <c r="F163" i="4"/>
  <c r="D163" i="4"/>
  <c r="C163" i="4"/>
  <c r="E155" i="4"/>
  <c r="F155" i="4"/>
  <c r="D155" i="4"/>
  <c r="C155" i="4"/>
  <c r="E147" i="4"/>
  <c r="F147" i="4"/>
  <c r="D147" i="4"/>
  <c r="C147" i="4"/>
  <c r="E139" i="4"/>
  <c r="F139" i="4"/>
  <c r="D139" i="4"/>
  <c r="C139" i="4"/>
  <c r="E131" i="4"/>
  <c r="F131" i="4"/>
  <c r="D131" i="4"/>
  <c r="C131" i="4"/>
  <c r="E123" i="4"/>
  <c r="F123" i="4"/>
  <c r="D123" i="4"/>
  <c r="C123" i="4"/>
  <c r="E115" i="4"/>
  <c r="F115" i="4"/>
  <c r="D115" i="4"/>
  <c r="C115" i="4"/>
  <c r="E107" i="4"/>
  <c r="F107" i="4"/>
  <c r="D107" i="4"/>
  <c r="C107" i="4"/>
  <c r="E99" i="4"/>
  <c r="F99" i="4"/>
  <c r="D99" i="4"/>
  <c r="C99" i="4"/>
  <c r="E91" i="4"/>
  <c r="F91" i="4"/>
  <c r="D91" i="4"/>
  <c r="C91" i="4"/>
  <c r="E83" i="4"/>
  <c r="F83" i="4"/>
  <c r="D83" i="4"/>
  <c r="C83" i="4"/>
  <c r="E75" i="4"/>
  <c r="F75" i="4"/>
  <c r="D75" i="4"/>
  <c r="C75" i="4"/>
  <c r="E67" i="4"/>
  <c r="F67" i="4"/>
  <c r="D67" i="4"/>
  <c r="C67" i="4"/>
  <c r="E59" i="4"/>
  <c r="F59" i="4"/>
  <c r="D59" i="4"/>
  <c r="C59" i="4"/>
  <c r="E51" i="4"/>
  <c r="F51" i="4"/>
  <c r="D51" i="4"/>
  <c r="C51" i="4"/>
  <c r="E43" i="4"/>
  <c r="F43" i="4"/>
  <c r="D43" i="4"/>
  <c r="C43" i="4"/>
  <c r="E35" i="4"/>
  <c r="F35" i="4"/>
  <c r="D35" i="4"/>
  <c r="C35" i="4"/>
  <c r="E27" i="4"/>
  <c r="F27" i="4"/>
  <c r="D27" i="4"/>
  <c r="C27" i="4"/>
  <c r="E19" i="4"/>
  <c r="F19" i="4"/>
  <c r="D19" i="4"/>
  <c r="C19" i="4"/>
  <c r="E11" i="4"/>
  <c r="F11" i="4"/>
  <c r="D11" i="4"/>
  <c r="C11" i="4"/>
  <c r="E3" i="4"/>
  <c r="F3" i="4"/>
  <c r="D3" i="4"/>
  <c r="C3" i="4"/>
  <c r="F1124" i="4"/>
  <c r="E1124" i="4"/>
  <c r="D1124" i="4"/>
  <c r="C1124" i="4"/>
  <c r="F1116" i="4"/>
  <c r="D1116" i="4"/>
  <c r="E1116" i="4"/>
  <c r="C1116" i="4"/>
  <c r="F1108" i="4"/>
  <c r="D1108" i="4"/>
  <c r="E1108" i="4"/>
  <c r="C1108" i="4"/>
  <c r="F1100" i="4"/>
  <c r="D1100" i="4"/>
  <c r="E1100" i="4"/>
  <c r="C1100" i="4"/>
  <c r="F1092" i="4"/>
  <c r="D1092" i="4"/>
  <c r="E1092" i="4"/>
  <c r="C1092" i="4"/>
  <c r="F1084" i="4"/>
  <c r="D1084" i="4"/>
  <c r="E1084" i="4"/>
  <c r="C1084" i="4"/>
  <c r="F1076" i="4"/>
  <c r="D1076" i="4"/>
  <c r="E1076" i="4"/>
  <c r="C1076" i="4"/>
  <c r="F1068" i="4"/>
  <c r="D1068" i="4"/>
  <c r="C1068" i="4"/>
  <c r="E1068" i="4"/>
  <c r="F1060" i="4"/>
  <c r="E1060" i="4"/>
  <c r="D1060" i="4"/>
  <c r="C1060" i="4"/>
  <c r="F1052" i="4"/>
  <c r="D1052" i="4"/>
  <c r="E1052" i="4"/>
  <c r="C1052" i="4"/>
  <c r="F1044" i="4"/>
  <c r="D1044" i="4"/>
  <c r="E1044" i="4"/>
  <c r="C1044" i="4"/>
  <c r="F1036" i="4"/>
  <c r="D1036" i="4"/>
  <c r="E1036" i="4"/>
  <c r="C1036" i="4"/>
  <c r="F1028" i="4"/>
  <c r="D1028" i="4"/>
  <c r="E1028" i="4"/>
  <c r="C1028" i="4"/>
  <c r="F1020" i="4"/>
  <c r="D1020" i="4"/>
  <c r="E1020" i="4"/>
  <c r="C1020" i="4"/>
  <c r="F1012" i="4"/>
  <c r="D1012" i="4"/>
  <c r="E1012" i="4"/>
  <c r="C1012" i="4"/>
  <c r="F1004" i="4"/>
  <c r="D1004" i="4"/>
  <c r="C1004" i="4"/>
  <c r="E1004" i="4"/>
  <c r="F996" i="4"/>
  <c r="E996" i="4"/>
  <c r="D996" i="4"/>
  <c r="C996" i="4"/>
  <c r="F988" i="4"/>
  <c r="D988" i="4"/>
  <c r="E988" i="4"/>
  <c r="C988" i="4"/>
  <c r="F980" i="4"/>
  <c r="D980" i="4"/>
  <c r="E980" i="4"/>
  <c r="C980" i="4"/>
  <c r="F972" i="4"/>
  <c r="D972" i="4"/>
  <c r="E972" i="4"/>
  <c r="C972" i="4"/>
  <c r="F964" i="4"/>
  <c r="D964" i="4"/>
  <c r="E964" i="4"/>
  <c r="C964" i="4"/>
  <c r="F956" i="4"/>
  <c r="D956" i="4"/>
  <c r="E956" i="4"/>
  <c r="C956" i="4"/>
  <c r="F948" i="4"/>
  <c r="D948" i="4"/>
  <c r="E948" i="4"/>
  <c r="C948" i="4"/>
  <c r="F940" i="4"/>
  <c r="D940" i="4"/>
  <c r="C940" i="4"/>
  <c r="E940" i="4"/>
  <c r="F932" i="4"/>
  <c r="E932" i="4"/>
  <c r="D932" i="4"/>
  <c r="C932" i="4"/>
  <c r="F924" i="4"/>
  <c r="D924" i="4"/>
  <c r="E924" i="4"/>
  <c r="C924" i="4"/>
  <c r="F916" i="4"/>
  <c r="D916" i="4"/>
  <c r="E916" i="4"/>
  <c r="C916" i="4"/>
  <c r="F908" i="4"/>
  <c r="E908" i="4"/>
  <c r="D908" i="4"/>
  <c r="C908" i="4"/>
  <c r="F900" i="4"/>
  <c r="D900" i="4"/>
  <c r="E900" i="4"/>
  <c r="C900" i="4"/>
  <c r="F892" i="4"/>
  <c r="D892" i="4"/>
  <c r="E892" i="4"/>
  <c r="C892" i="4"/>
  <c r="F884" i="4"/>
  <c r="D884" i="4"/>
  <c r="E884" i="4"/>
  <c r="C884" i="4"/>
  <c r="F876" i="4"/>
  <c r="D876" i="4"/>
  <c r="E876" i="4"/>
  <c r="C876" i="4"/>
  <c r="F868" i="4"/>
  <c r="D868" i="4"/>
  <c r="E868" i="4"/>
  <c r="C868" i="4"/>
  <c r="F860" i="4"/>
  <c r="D860" i="4"/>
  <c r="E860" i="4"/>
  <c r="C860" i="4"/>
  <c r="F852" i="4"/>
  <c r="D852" i="4"/>
  <c r="E852" i="4"/>
  <c r="C852" i="4"/>
  <c r="F844" i="4"/>
  <c r="D844" i="4"/>
  <c r="E844" i="4"/>
  <c r="C844" i="4"/>
  <c r="F836" i="4"/>
  <c r="D836" i="4"/>
  <c r="E836" i="4"/>
  <c r="C836" i="4"/>
  <c r="F828" i="4"/>
  <c r="D828" i="4"/>
  <c r="E828" i="4"/>
  <c r="C828" i="4"/>
  <c r="F820" i="4"/>
  <c r="D820" i="4"/>
  <c r="E820" i="4"/>
  <c r="C820" i="4"/>
  <c r="F812" i="4"/>
  <c r="D812" i="4"/>
  <c r="C812" i="4"/>
  <c r="E812" i="4"/>
  <c r="F804" i="4"/>
  <c r="D804" i="4"/>
  <c r="E804" i="4"/>
  <c r="C804" i="4"/>
  <c r="F796" i="4"/>
  <c r="D796" i="4"/>
  <c r="E796" i="4"/>
  <c r="C796" i="4"/>
  <c r="F788" i="4"/>
  <c r="D788" i="4"/>
  <c r="E788" i="4"/>
  <c r="C788" i="4"/>
  <c r="F780" i="4"/>
  <c r="D780" i="4"/>
  <c r="E780" i="4"/>
  <c r="C780" i="4"/>
  <c r="F772" i="4"/>
  <c r="D772" i="4"/>
  <c r="E772" i="4"/>
  <c r="C772" i="4"/>
  <c r="F764" i="4"/>
  <c r="D764" i="4"/>
  <c r="E764" i="4"/>
  <c r="C764" i="4"/>
  <c r="F756" i="4"/>
  <c r="D756" i="4"/>
  <c r="E756" i="4"/>
  <c r="C756" i="4"/>
  <c r="F748" i="4"/>
  <c r="D748" i="4"/>
  <c r="C748" i="4"/>
  <c r="E748" i="4"/>
  <c r="F740" i="4"/>
  <c r="D740" i="4"/>
  <c r="E740" i="4"/>
  <c r="C740" i="4"/>
  <c r="F732" i="4"/>
  <c r="D732" i="4"/>
  <c r="E732" i="4"/>
  <c r="C732" i="4"/>
  <c r="F724" i="4"/>
  <c r="D724" i="4"/>
  <c r="E724" i="4"/>
  <c r="C724" i="4"/>
  <c r="F716" i="4"/>
  <c r="D716" i="4"/>
  <c r="E716" i="4"/>
  <c r="C716" i="4"/>
  <c r="F708" i="4"/>
  <c r="D708" i="4"/>
  <c r="E708" i="4"/>
  <c r="C708" i="4"/>
  <c r="F700" i="4"/>
  <c r="D700" i="4"/>
  <c r="E700" i="4"/>
  <c r="C700" i="4"/>
  <c r="F692" i="4"/>
  <c r="D692" i="4"/>
  <c r="E692" i="4"/>
  <c r="C692" i="4"/>
  <c r="F684" i="4"/>
  <c r="D684" i="4"/>
  <c r="C684" i="4"/>
  <c r="E684" i="4"/>
  <c r="F676" i="4"/>
  <c r="D676" i="4"/>
  <c r="E676" i="4"/>
  <c r="C676" i="4"/>
  <c r="F668" i="4"/>
  <c r="D668" i="4"/>
  <c r="E668" i="4"/>
  <c r="C668" i="4"/>
  <c r="F660" i="4"/>
  <c r="D660" i="4"/>
  <c r="E660" i="4"/>
  <c r="C660" i="4"/>
  <c r="F652" i="4"/>
  <c r="D652" i="4"/>
  <c r="E652" i="4"/>
  <c r="C652" i="4"/>
  <c r="F644" i="4"/>
  <c r="D644" i="4"/>
  <c r="E644" i="4"/>
  <c r="C644" i="4"/>
  <c r="F636" i="4"/>
  <c r="D636" i="4"/>
  <c r="E636" i="4"/>
  <c r="C636" i="4"/>
  <c r="F628" i="4"/>
  <c r="D628" i="4"/>
  <c r="E628" i="4"/>
  <c r="C628" i="4"/>
  <c r="F620" i="4"/>
  <c r="D620" i="4"/>
  <c r="C620" i="4"/>
  <c r="E620" i="4"/>
  <c r="F612" i="4"/>
  <c r="D612" i="4"/>
  <c r="E612" i="4"/>
  <c r="C612" i="4"/>
  <c r="F604" i="4"/>
  <c r="D604" i="4"/>
  <c r="E604" i="4"/>
  <c r="C604" i="4"/>
  <c r="F596" i="4"/>
  <c r="D596" i="4"/>
  <c r="E596" i="4"/>
  <c r="C596" i="4"/>
  <c r="F588" i="4"/>
  <c r="D588" i="4"/>
  <c r="E588" i="4"/>
  <c r="C588" i="4"/>
  <c r="F580" i="4"/>
  <c r="D580" i="4"/>
  <c r="E580" i="4"/>
  <c r="C580" i="4"/>
  <c r="F572" i="4"/>
  <c r="D572" i="4"/>
  <c r="E572" i="4"/>
  <c r="C572" i="4"/>
  <c r="F564" i="4"/>
  <c r="D564" i="4"/>
  <c r="E564" i="4"/>
  <c r="C564" i="4"/>
  <c r="F556" i="4"/>
  <c r="D556" i="4"/>
  <c r="C556" i="4"/>
  <c r="E556" i="4"/>
  <c r="F548" i="4"/>
  <c r="D548" i="4"/>
  <c r="E548" i="4"/>
  <c r="C548" i="4"/>
  <c r="F540" i="4"/>
  <c r="D540" i="4"/>
  <c r="E540" i="4"/>
  <c r="C540" i="4"/>
  <c r="F532" i="4"/>
  <c r="D532" i="4"/>
  <c r="E532" i="4"/>
  <c r="C532" i="4"/>
  <c r="F524" i="4"/>
  <c r="D524" i="4"/>
  <c r="E524" i="4"/>
  <c r="C524" i="4"/>
  <c r="F516" i="4"/>
  <c r="D516" i="4"/>
  <c r="E516" i="4"/>
  <c r="C516" i="4"/>
  <c r="F508" i="4"/>
  <c r="D508" i="4"/>
  <c r="E508" i="4"/>
  <c r="C508" i="4"/>
  <c r="F500" i="4"/>
  <c r="D500" i="4"/>
  <c r="E500" i="4"/>
  <c r="C500" i="4"/>
  <c r="F492" i="4"/>
  <c r="D492" i="4"/>
  <c r="C492" i="4"/>
  <c r="E492" i="4"/>
  <c r="F484" i="4"/>
  <c r="D484" i="4"/>
  <c r="E484" i="4"/>
  <c r="C484" i="4"/>
  <c r="F476" i="4"/>
  <c r="E476" i="4"/>
  <c r="D476" i="4"/>
  <c r="C476" i="4"/>
  <c r="F468" i="4"/>
  <c r="E468" i="4"/>
  <c r="D468" i="4"/>
  <c r="C468" i="4"/>
  <c r="F460" i="4"/>
  <c r="E460" i="4"/>
  <c r="D460" i="4"/>
  <c r="C460" i="4"/>
  <c r="F452" i="4"/>
  <c r="D452" i="4"/>
  <c r="E452" i="4"/>
  <c r="C452" i="4"/>
  <c r="F444" i="4"/>
  <c r="E444" i="4"/>
  <c r="D444" i="4"/>
  <c r="C444" i="4"/>
  <c r="F436" i="4"/>
  <c r="E436" i="4"/>
  <c r="D436" i="4"/>
  <c r="C436" i="4"/>
  <c r="F428" i="4"/>
  <c r="D428" i="4"/>
  <c r="E428" i="4"/>
  <c r="C428" i="4"/>
  <c r="F420" i="4"/>
  <c r="E420" i="4"/>
  <c r="D420" i="4"/>
  <c r="C420" i="4"/>
  <c r="F412" i="4"/>
  <c r="E412" i="4"/>
  <c r="D412" i="4"/>
  <c r="C412" i="4"/>
  <c r="F404" i="4"/>
  <c r="D404" i="4"/>
  <c r="E404" i="4"/>
  <c r="C404" i="4"/>
  <c r="F396" i="4"/>
  <c r="E396" i="4"/>
  <c r="D396" i="4"/>
  <c r="C396" i="4"/>
  <c r="F388" i="4"/>
  <c r="E388" i="4"/>
  <c r="D388" i="4"/>
  <c r="C388" i="4"/>
  <c r="F380" i="4"/>
  <c r="E380" i="4"/>
  <c r="D380" i="4"/>
  <c r="C380" i="4"/>
  <c r="F372" i="4"/>
  <c r="D372" i="4"/>
  <c r="C372" i="4"/>
  <c r="E372" i="4"/>
  <c r="E364" i="4"/>
  <c r="F364" i="4"/>
  <c r="D364" i="4"/>
  <c r="C364" i="4"/>
  <c r="E356" i="4"/>
  <c r="F356" i="4"/>
  <c r="D356" i="4"/>
  <c r="C356" i="4"/>
  <c r="E348" i="4"/>
  <c r="F348" i="4"/>
  <c r="D348" i="4"/>
  <c r="C348" i="4"/>
  <c r="E340" i="4"/>
  <c r="F340" i="4"/>
  <c r="D340" i="4"/>
  <c r="C340" i="4"/>
  <c r="E332" i="4"/>
  <c r="F332" i="4"/>
  <c r="D332" i="4"/>
  <c r="C332" i="4"/>
  <c r="E324" i="4"/>
  <c r="F324" i="4"/>
  <c r="D324" i="4"/>
  <c r="C324" i="4"/>
  <c r="E316" i="4"/>
  <c r="F316" i="4"/>
  <c r="D316" i="4"/>
  <c r="C316" i="4"/>
  <c r="E308" i="4"/>
  <c r="F308" i="4"/>
  <c r="D308" i="4"/>
  <c r="C308" i="4"/>
  <c r="E300" i="4"/>
  <c r="F300" i="4"/>
  <c r="D300" i="4"/>
  <c r="C300" i="4"/>
  <c r="E292" i="4"/>
  <c r="F292" i="4"/>
  <c r="D292" i="4"/>
  <c r="C292" i="4"/>
  <c r="E284" i="4"/>
  <c r="F284" i="4"/>
  <c r="D284" i="4"/>
  <c r="C284" i="4"/>
  <c r="E276" i="4"/>
  <c r="F276" i="4"/>
  <c r="D276" i="4"/>
  <c r="C276" i="4"/>
  <c r="E268" i="4"/>
  <c r="F268" i="4"/>
  <c r="D268" i="4"/>
  <c r="C268" i="4"/>
  <c r="E260" i="4"/>
  <c r="F260" i="4"/>
  <c r="D260" i="4"/>
  <c r="C260" i="4"/>
  <c r="E252" i="4"/>
  <c r="F252" i="4"/>
  <c r="D252" i="4"/>
  <c r="C252" i="4"/>
  <c r="E244" i="4"/>
  <c r="F244" i="4"/>
  <c r="D244" i="4"/>
  <c r="C244" i="4"/>
  <c r="E236" i="4"/>
  <c r="F236" i="4"/>
  <c r="D236" i="4"/>
  <c r="C236" i="4"/>
  <c r="E228" i="4"/>
  <c r="F228" i="4"/>
  <c r="D228" i="4"/>
  <c r="C228" i="4"/>
  <c r="E220" i="4"/>
  <c r="F220" i="4"/>
  <c r="D220" i="4"/>
  <c r="C220" i="4"/>
  <c r="E212" i="4"/>
  <c r="F212" i="4"/>
  <c r="D212" i="4"/>
  <c r="C212" i="4"/>
  <c r="E204" i="4"/>
  <c r="F204" i="4"/>
  <c r="D204" i="4"/>
  <c r="C204" i="4"/>
  <c r="E196" i="4"/>
  <c r="F196" i="4"/>
  <c r="D196" i="4"/>
  <c r="C196" i="4"/>
  <c r="E188" i="4"/>
  <c r="F188" i="4"/>
  <c r="D188" i="4"/>
  <c r="C188" i="4"/>
  <c r="E180" i="4"/>
  <c r="F180" i="4"/>
  <c r="D180" i="4"/>
  <c r="C180" i="4"/>
  <c r="E172" i="4"/>
  <c r="F172" i="4"/>
  <c r="D172" i="4"/>
  <c r="C172" i="4"/>
  <c r="E164" i="4"/>
  <c r="F164" i="4"/>
  <c r="D164" i="4"/>
  <c r="C164" i="4"/>
  <c r="E156" i="4"/>
  <c r="F156" i="4"/>
  <c r="D156" i="4"/>
  <c r="C156" i="4"/>
  <c r="E148" i="4"/>
  <c r="F148" i="4"/>
  <c r="D148" i="4"/>
  <c r="C148" i="4"/>
  <c r="E140" i="4"/>
  <c r="F140" i="4"/>
  <c r="D140" i="4"/>
  <c r="C140" i="4"/>
  <c r="E132" i="4"/>
  <c r="F132" i="4"/>
  <c r="D132" i="4"/>
  <c r="C132" i="4"/>
  <c r="E124" i="4"/>
  <c r="F124" i="4"/>
  <c r="D124" i="4"/>
  <c r="C124" i="4"/>
  <c r="E116" i="4"/>
  <c r="F116" i="4"/>
  <c r="D116" i="4"/>
  <c r="C116" i="4"/>
  <c r="E108" i="4"/>
  <c r="F108" i="4"/>
  <c r="D108" i="4"/>
  <c r="C108" i="4"/>
  <c r="E100" i="4"/>
  <c r="F100" i="4"/>
  <c r="D100" i="4"/>
  <c r="C100" i="4"/>
  <c r="E92" i="4"/>
  <c r="F92" i="4"/>
  <c r="D92" i="4"/>
  <c r="C92" i="4"/>
  <c r="E84" i="4"/>
  <c r="F84" i="4"/>
  <c r="D84" i="4"/>
  <c r="C84" i="4"/>
  <c r="E76" i="4"/>
  <c r="F76" i="4"/>
  <c r="D76" i="4"/>
  <c r="C76" i="4"/>
  <c r="E68" i="4"/>
  <c r="F68" i="4"/>
  <c r="D68" i="4"/>
  <c r="C68" i="4"/>
  <c r="E60" i="4"/>
  <c r="F60" i="4"/>
  <c r="D60" i="4"/>
  <c r="C60" i="4"/>
  <c r="E52" i="4"/>
  <c r="F52" i="4"/>
  <c r="D52" i="4"/>
  <c r="C52" i="4"/>
  <c r="E44" i="4"/>
  <c r="F44" i="4"/>
  <c r="D44" i="4"/>
  <c r="C44" i="4"/>
  <c r="E36" i="4"/>
  <c r="F36" i="4"/>
  <c r="D36" i="4"/>
  <c r="C36" i="4"/>
  <c r="E28" i="4"/>
  <c r="F28" i="4"/>
  <c r="D28" i="4"/>
  <c r="C28" i="4"/>
  <c r="E20" i="4"/>
  <c r="F20" i="4"/>
  <c r="D20" i="4"/>
  <c r="C20" i="4"/>
  <c r="E12" i="4"/>
  <c r="F12" i="4"/>
  <c r="D12" i="4"/>
  <c r="C12" i="4"/>
  <c r="E4" i="4"/>
  <c r="F4" i="4"/>
  <c r="D4" i="4"/>
  <c r="C4" i="4"/>
  <c r="F1125" i="4"/>
  <c r="E1125" i="4"/>
  <c r="D1125" i="4"/>
  <c r="C1125" i="4"/>
  <c r="F1117" i="4"/>
  <c r="E1117" i="4"/>
  <c r="D1117" i="4"/>
  <c r="C1117" i="4"/>
  <c r="F1109" i="4"/>
  <c r="E1109" i="4"/>
  <c r="D1109" i="4"/>
  <c r="C1109" i="4"/>
  <c r="F1101" i="4"/>
  <c r="E1101" i="4"/>
  <c r="C1101" i="4"/>
  <c r="D1101" i="4"/>
  <c r="F1093" i="4"/>
  <c r="E1093" i="4"/>
  <c r="C1093" i="4"/>
  <c r="D1093" i="4"/>
  <c r="F1085" i="4"/>
  <c r="E1085" i="4"/>
  <c r="C1085" i="4"/>
  <c r="D1085" i="4"/>
  <c r="F1077" i="4"/>
  <c r="E1077" i="4"/>
  <c r="C1077" i="4"/>
  <c r="D1077" i="4"/>
  <c r="F1069" i="4"/>
  <c r="E1069" i="4"/>
  <c r="C1069" i="4"/>
  <c r="D1069" i="4"/>
  <c r="F1061" i="4"/>
  <c r="E1061" i="4"/>
  <c r="D1061" i="4"/>
  <c r="C1061" i="4"/>
  <c r="F1053" i="4"/>
  <c r="E1053" i="4"/>
  <c r="D1053" i="4"/>
  <c r="C1053" i="4"/>
  <c r="F1045" i="4"/>
  <c r="E1045" i="4"/>
  <c r="D1045" i="4"/>
  <c r="C1045" i="4"/>
  <c r="F1037" i="4"/>
  <c r="E1037" i="4"/>
  <c r="C1037" i="4"/>
  <c r="D1037" i="4"/>
  <c r="F1029" i="4"/>
  <c r="E1029" i="4"/>
  <c r="C1029" i="4"/>
  <c r="D1029" i="4"/>
  <c r="F1021" i="4"/>
  <c r="E1021" i="4"/>
  <c r="C1021" i="4"/>
  <c r="D1021" i="4"/>
  <c r="F1013" i="4"/>
  <c r="E1013" i="4"/>
  <c r="C1013" i="4"/>
  <c r="D1013" i="4"/>
  <c r="F1005" i="4"/>
  <c r="E1005" i="4"/>
  <c r="C1005" i="4"/>
  <c r="D1005" i="4"/>
  <c r="F997" i="4"/>
  <c r="E997" i="4"/>
  <c r="D997" i="4"/>
  <c r="C997" i="4"/>
  <c r="F989" i="4"/>
  <c r="E989" i="4"/>
  <c r="D989" i="4"/>
  <c r="C989" i="4"/>
  <c r="F981" i="4"/>
  <c r="E981" i="4"/>
  <c r="D981" i="4"/>
  <c r="C981" i="4"/>
  <c r="F973" i="4"/>
  <c r="E973" i="4"/>
  <c r="C973" i="4"/>
  <c r="D973" i="4"/>
  <c r="F965" i="4"/>
  <c r="E965" i="4"/>
  <c r="C965" i="4"/>
  <c r="D965" i="4"/>
  <c r="F957" i="4"/>
  <c r="E957" i="4"/>
  <c r="C957" i="4"/>
  <c r="D957" i="4"/>
  <c r="F949" i="4"/>
  <c r="E949" i="4"/>
  <c r="C949" i="4"/>
  <c r="D949" i="4"/>
  <c r="F941" i="4"/>
  <c r="E941" i="4"/>
  <c r="C941" i="4"/>
  <c r="D941" i="4"/>
  <c r="F933" i="4"/>
  <c r="E933" i="4"/>
  <c r="D933" i="4"/>
  <c r="C933" i="4"/>
  <c r="F925" i="4"/>
  <c r="E925" i="4"/>
  <c r="D925" i="4"/>
  <c r="C925" i="4"/>
  <c r="F917" i="4"/>
  <c r="E917" i="4"/>
  <c r="D917" i="4"/>
  <c r="C917" i="4"/>
  <c r="F909" i="4"/>
  <c r="E909" i="4"/>
  <c r="D909" i="4"/>
  <c r="C909" i="4"/>
  <c r="F901" i="4"/>
  <c r="D901" i="4"/>
  <c r="E901" i="4"/>
  <c r="C901" i="4"/>
  <c r="F893" i="4"/>
  <c r="D893" i="4"/>
  <c r="E893" i="4"/>
  <c r="C893" i="4"/>
  <c r="F885" i="4"/>
  <c r="D885" i="4"/>
  <c r="E885" i="4"/>
  <c r="C885" i="4"/>
  <c r="F877" i="4"/>
  <c r="D877" i="4"/>
  <c r="E877" i="4"/>
  <c r="C877" i="4"/>
  <c r="F869" i="4"/>
  <c r="D869" i="4"/>
  <c r="E869" i="4"/>
  <c r="C869" i="4"/>
  <c r="F861" i="4"/>
  <c r="D861" i="4"/>
  <c r="E861" i="4"/>
  <c r="C861" i="4"/>
  <c r="F853" i="4"/>
  <c r="D853" i="4"/>
  <c r="E853" i="4"/>
  <c r="C853" i="4"/>
  <c r="F845" i="4"/>
  <c r="D845" i="4"/>
  <c r="E845" i="4"/>
  <c r="C845" i="4"/>
  <c r="F837" i="4"/>
  <c r="D837" i="4"/>
  <c r="E837" i="4"/>
  <c r="C837" i="4"/>
  <c r="F829" i="4"/>
  <c r="D829" i="4"/>
  <c r="E829" i="4"/>
  <c r="C829" i="4"/>
  <c r="F821" i="4"/>
  <c r="D821" i="4"/>
  <c r="E821" i="4"/>
  <c r="C821" i="4"/>
  <c r="F813" i="4"/>
  <c r="D813" i="4"/>
  <c r="E813" i="4"/>
  <c r="C813" i="4"/>
  <c r="F805" i="4"/>
  <c r="D805" i="4"/>
  <c r="E805" i="4"/>
  <c r="C805" i="4"/>
  <c r="F797" i="4"/>
  <c r="D797" i="4"/>
  <c r="E797" i="4"/>
  <c r="C797" i="4"/>
  <c r="F789" i="4"/>
  <c r="D789" i="4"/>
  <c r="E789" i="4"/>
  <c r="C789" i="4"/>
  <c r="F781" i="4"/>
  <c r="D781" i="4"/>
  <c r="E781" i="4"/>
  <c r="C781" i="4"/>
  <c r="F773" i="4"/>
  <c r="D773" i="4"/>
  <c r="E773" i="4"/>
  <c r="C773" i="4"/>
  <c r="F765" i="4"/>
  <c r="D765" i="4"/>
  <c r="E765" i="4"/>
  <c r="C765" i="4"/>
  <c r="F757" i="4"/>
  <c r="D757" i="4"/>
  <c r="E757" i="4"/>
  <c r="C757" i="4"/>
  <c r="F749" i="4"/>
  <c r="D749" i="4"/>
  <c r="E749" i="4"/>
  <c r="C749" i="4"/>
  <c r="F741" i="4"/>
  <c r="D741" i="4"/>
  <c r="E741" i="4"/>
  <c r="C741" i="4"/>
  <c r="F733" i="4"/>
  <c r="D733" i="4"/>
  <c r="E733" i="4"/>
  <c r="C733" i="4"/>
  <c r="F725" i="4"/>
  <c r="D725" i="4"/>
  <c r="E725" i="4"/>
  <c r="C725" i="4"/>
  <c r="F717" i="4"/>
  <c r="D717" i="4"/>
  <c r="E717" i="4"/>
  <c r="C717" i="4"/>
  <c r="F709" i="4"/>
  <c r="D709" i="4"/>
  <c r="E709" i="4"/>
  <c r="C709" i="4"/>
  <c r="F701" i="4"/>
  <c r="D701" i="4"/>
  <c r="E701" i="4"/>
  <c r="C701" i="4"/>
  <c r="F693" i="4"/>
  <c r="D693" i="4"/>
  <c r="E693" i="4"/>
  <c r="C693" i="4"/>
  <c r="F685" i="4"/>
  <c r="D685" i="4"/>
  <c r="E685" i="4"/>
  <c r="C685" i="4"/>
  <c r="F677" i="4"/>
  <c r="D677" i="4"/>
  <c r="E677" i="4"/>
  <c r="C677" i="4"/>
  <c r="F669" i="4"/>
  <c r="D669" i="4"/>
  <c r="E669" i="4"/>
  <c r="C669" i="4"/>
  <c r="F661" i="4"/>
  <c r="D661" i="4"/>
  <c r="E661" i="4"/>
  <c r="C661" i="4"/>
  <c r="F653" i="4"/>
  <c r="D653" i="4"/>
  <c r="E653" i="4"/>
  <c r="C653" i="4"/>
  <c r="F645" i="4"/>
  <c r="D645" i="4"/>
  <c r="E645" i="4"/>
  <c r="C645" i="4"/>
  <c r="F637" i="4"/>
  <c r="D637" i="4"/>
  <c r="E637" i="4"/>
  <c r="C637" i="4"/>
  <c r="F629" i="4"/>
  <c r="D629" i="4"/>
  <c r="E629" i="4"/>
  <c r="C629" i="4"/>
  <c r="F621" i="4"/>
  <c r="D621" i="4"/>
  <c r="E621" i="4"/>
  <c r="C621" i="4"/>
  <c r="F613" i="4"/>
  <c r="D613" i="4"/>
  <c r="E613" i="4"/>
  <c r="C613" i="4"/>
  <c r="F605" i="4"/>
  <c r="D605" i="4"/>
  <c r="E605" i="4"/>
  <c r="C605" i="4"/>
  <c r="F597" i="4"/>
  <c r="D597" i="4"/>
  <c r="E597" i="4"/>
  <c r="C597" i="4"/>
  <c r="F589" i="4"/>
  <c r="D589" i="4"/>
  <c r="E589" i="4"/>
  <c r="C589" i="4"/>
  <c r="F581" i="4"/>
  <c r="D581" i="4"/>
  <c r="E581" i="4"/>
  <c r="C581" i="4"/>
  <c r="F573" i="4"/>
  <c r="D573" i="4"/>
  <c r="E573" i="4"/>
  <c r="C573" i="4"/>
  <c r="F565" i="4"/>
  <c r="D565" i="4"/>
  <c r="E565" i="4"/>
  <c r="C565" i="4"/>
  <c r="F557" i="4"/>
  <c r="D557" i="4"/>
  <c r="E557" i="4"/>
  <c r="C557" i="4"/>
  <c r="F549" i="4"/>
  <c r="D549" i="4"/>
  <c r="E549" i="4"/>
  <c r="C549" i="4"/>
  <c r="F541" i="4"/>
  <c r="D541" i="4"/>
  <c r="E541" i="4"/>
  <c r="C541" i="4"/>
  <c r="F533" i="4"/>
  <c r="D533" i="4"/>
  <c r="E533" i="4"/>
  <c r="C533" i="4"/>
  <c r="F525" i="4"/>
  <c r="D525" i="4"/>
  <c r="E525" i="4"/>
  <c r="C525" i="4"/>
  <c r="F517" i="4"/>
  <c r="D517" i="4"/>
  <c r="E517" i="4"/>
  <c r="C517" i="4"/>
  <c r="F509" i="4"/>
  <c r="D509" i="4"/>
  <c r="E509" i="4"/>
  <c r="C509" i="4"/>
  <c r="F501" i="4"/>
  <c r="D501" i="4"/>
  <c r="E501" i="4"/>
  <c r="C501" i="4"/>
  <c r="F493" i="4"/>
  <c r="D493" i="4"/>
  <c r="E493" i="4"/>
  <c r="C493" i="4"/>
  <c r="E485" i="4"/>
  <c r="F485" i="4"/>
  <c r="D485" i="4"/>
  <c r="C485" i="4"/>
  <c r="E477" i="4"/>
  <c r="F477" i="4"/>
  <c r="D477" i="4"/>
  <c r="C477" i="4"/>
  <c r="E469" i="4"/>
  <c r="F469" i="4"/>
  <c r="D469" i="4"/>
  <c r="C469" i="4"/>
  <c r="E461" i="4"/>
  <c r="F461" i="4"/>
  <c r="D461" i="4"/>
  <c r="C461" i="4"/>
  <c r="E453" i="4"/>
  <c r="F453" i="4"/>
  <c r="D453" i="4"/>
  <c r="C453" i="4"/>
  <c r="E445" i="4"/>
  <c r="F445" i="4"/>
  <c r="D445" i="4"/>
  <c r="C445" i="4"/>
  <c r="E437" i="4"/>
  <c r="F437" i="4"/>
  <c r="D437" i="4"/>
  <c r="C437" i="4"/>
  <c r="E429" i="4"/>
  <c r="F429" i="4"/>
  <c r="D429" i="4"/>
  <c r="C429" i="4"/>
  <c r="E421" i="4"/>
  <c r="F421" i="4"/>
  <c r="D421" i="4"/>
  <c r="C421" i="4"/>
  <c r="E413" i="4"/>
  <c r="F413" i="4"/>
  <c r="D413" i="4"/>
  <c r="C413" i="4"/>
  <c r="E405" i="4"/>
  <c r="F405" i="4"/>
  <c r="D405" i="4"/>
  <c r="C405" i="4"/>
  <c r="E397" i="4"/>
  <c r="F397" i="4"/>
  <c r="D397" i="4"/>
  <c r="C397" i="4"/>
  <c r="E389" i="4"/>
  <c r="F389" i="4"/>
  <c r="D389" i="4"/>
  <c r="C389" i="4"/>
  <c r="E381" i="4"/>
  <c r="F381" i="4"/>
  <c r="D381" i="4"/>
  <c r="C381" i="4"/>
  <c r="E373" i="4"/>
  <c r="F373" i="4"/>
  <c r="D373" i="4"/>
  <c r="C373" i="4"/>
  <c r="E365" i="4"/>
  <c r="F365" i="4"/>
  <c r="D365" i="4"/>
  <c r="C365" i="4"/>
  <c r="E357" i="4"/>
  <c r="F357" i="4"/>
  <c r="D357" i="4"/>
  <c r="C357" i="4"/>
  <c r="E349" i="4"/>
  <c r="F349" i="4"/>
  <c r="D349" i="4"/>
  <c r="C349" i="4"/>
  <c r="E341" i="4"/>
  <c r="F341" i="4"/>
  <c r="D341" i="4"/>
  <c r="C341" i="4"/>
  <c r="E333" i="4"/>
  <c r="F333" i="4"/>
  <c r="D333" i="4"/>
  <c r="C333" i="4"/>
  <c r="E325" i="4"/>
  <c r="F325" i="4"/>
  <c r="D325" i="4"/>
  <c r="C325" i="4"/>
  <c r="E317" i="4"/>
  <c r="F317" i="4"/>
  <c r="D317" i="4"/>
  <c r="C317" i="4"/>
  <c r="E309" i="4"/>
  <c r="F309" i="4"/>
  <c r="D309" i="4"/>
  <c r="C309" i="4"/>
  <c r="E301" i="4"/>
  <c r="F301" i="4"/>
  <c r="D301" i="4"/>
  <c r="C301" i="4"/>
  <c r="E293" i="4"/>
  <c r="F293" i="4"/>
  <c r="D293" i="4"/>
  <c r="C293" i="4"/>
  <c r="E285" i="4"/>
  <c r="F285" i="4"/>
  <c r="D285" i="4"/>
  <c r="C285" i="4"/>
  <c r="E277" i="4"/>
  <c r="F277" i="4"/>
  <c r="D277" i="4"/>
  <c r="C277" i="4"/>
  <c r="E269" i="4"/>
  <c r="F269" i="4"/>
  <c r="D269" i="4"/>
  <c r="C269" i="4"/>
  <c r="E261" i="4"/>
  <c r="F261" i="4"/>
  <c r="D261" i="4"/>
  <c r="C261" i="4"/>
  <c r="E253" i="4"/>
  <c r="F253" i="4"/>
  <c r="D253" i="4"/>
  <c r="C253" i="4"/>
  <c r="E245" i="4"/>
  <c r="F245" i="4"/>
  <c r="D245" i="4"/>
  <c r="C245" i="4"/>
  <c r="E237" i="4"/>
  <c r="F237" i="4"/>
  <c r="D237" i="4"/>
  <c r="C237" i="4"/>
  <c r="E229" i="4"/>
  <c r="F229" i="4"/>
  <c r="D229" i="4"/>
  <c r="C229" i="4"/>
  <c r="E221" i="4"/>
  <c r="F221" i="4"/>
  <c r="D221" i="4"/>
  <c r="C221" i="4"/>
  <c r="E213" i="4"/>
  <c r="F213" i="4"/>
  <c r="D213" i="4"/>
  <c r="C213" i="4"/>
  <c r="E205" i="4"/>
  <c r="F205" i="4"/>
  <c r="D205" i="4"/>
  <c r="C205" i="4"/>
  <c r="E197" i="4"/>
  <c r="F197" i="4"/>
  <c r="D197" i="4"/>
  <c r="C197" i="4"/>
  <c r="E189" i="4"/>
  <c r="F189" i="4"/>
  <c r="D189" i="4"/>
  <c r="C189" i="4"/>
  <c r="E181" i="4"/>
  <c r="F181" i="4"/>
  <c r="D181" i="4"/>
  <c r="C181" i="4"/>
  <c r="E173" i="4"/>
  <c r="F173" i="4"/>
  <c r="D173" i="4"/>
  <c r="C173" i="4"/>
  <c r="E165" i="4"/>
  <c r="F165" i="4"/>
  <c r="D165" i="4"/>
  <c r="C165" i="4"/>
  <c r="E157" i="4"/>
  <c r="F157" i="4"/>
  <c r="D157" i="4"/>
  <c r="C157" i="4"/>
  <c r="E149" i="4"/>
  <c r="F149" i="4"/>
  <c r="D149" i="4"/>
  <c r="C149" i="4"/>
  <c r="E141" i="4"/>
  <c r="F141" i="4"/>
  <c r="D141" i="4"/>
  <c r="C141" i="4"/>
  <c r="E133" i="4"/>
  <c r="F133" i="4"/>
  <c r="D133" i="4"/>
  <c r="C133" i="4"/>
  <c r="E125" i="4"/>
  <c r="F125" i="4"/>
  <c r="D125" i="4"/>
  <c r="C125" i="4"/>
  <c r="E117" i="4"/>
  <c r="F117" i="4"/>
  <c r="D117" i="4"/>
  <c r="C117" i="4"/>
  <c r="E109" i="4"/>
  <c r="F109" i="4"/>
  <c r="D109" i="4"/>
  <c r="C109" i="4"/>
  <c r="E101" i="4"/>
  <c r="F101" i="4"/>
  <c r="D101" i="4"/>
  <c r="C101" i="4"/>
  <c r="E93" i="4"/>
  <c r="F93" i="4"/>
  <c r="D93" i="4"/>
  <c r="C93" i="4"/>
  <c r="E85" i="4"/>
  <c r="F85" i="4"/>
  <c r="D85" i="4"/>
  <c r="C85" i="4"/>
  <c r="E77" i="4"/>
  <c r="F77" i="4"/>
  <c r="D77" i="4"/>
  <c r="C77" i="4"/>
  <c r="E69" i="4"/>
  <c r="F69" i="4"/>
  <c r="D69" i="4"/>
  <c r="C69" i="4"/>
  <c r="E61" i="4"/>
  <c r="F61" i="4"/>
  <c r="D61" i="4"/>
  <c r="C61" i="4"/>
  <c r="E53" i="4"/>
  <c r="F53" i="4"/>
  <c r="D53" i="4"/>
  <c r="C53" i="4"/>
  <c r="E45" i="4"/>
  <c r="F45" i="4"/>
  <c r="D45" i="4"/>
  <c r="C45" i="4"/>
  <c r="E37" i="4"/>
  <c r="F37" i="4"/>
  <c r="D37" i="4"/>
  <c r="C37" i="4"/>
  <c r="E29" i="4"/>
  <c r="F29" i="4"/>
  <c r="D29" i="4"/>
  <c r="C29" i="4"/>
  <c r="E21" i="4"/>
  <c r="F21" i="4"/>
  <c r="D21" i="4"/>
  <c r="C21" i="4"/>
  <c r="E13" i="4"/>
  <c r="F13" i="4"/>
  <c r="D13" i="4"/>
  <c r="C13" i="4"/>
  <c r="E5" i="4"/>
  <c r="F5" i="4"/>
  <c r="D5" i="4"/>
  <c r="C5" i="4"/>
  <c r="B2" i="4"/>
  <c r="F1130" i="4"/>
  <c r="F1138" i="4"/>
  <c r="F1146" i="4"/>
  <c r="F1154" i="4"/>
  <c r="F1162" i="4"/>
  <c r="F1170" i="4"/>
  <c r="F1178" i="4"/>
  <c r="F1186" i="4"/>
  <c r="F1194" i="4"/>
  <c r="F1202" i="4"/>
  <c r="F1210" i="4"/>
  <c r="F1218" i="4"/>
  <c r="F1226" i="4"/>
  <c r="F1234" i="4"/>
  <c r="F1242" i="4"/>
  <c r="F1250" i="4"/>
  <c r="F1258" i="4"/>
  <c r="F1266" i="4"/>
  <c r="F1274" i="4"/>
  <c r="F1282" i="4"/>
  <c r="F1290" i="4"/>
  <c r="F1298" i="4"/>
  <c r="F1306" i="4"/>
  <c r="F1314" i="4"/>
  <c r="F1322" i="4"/>
  <c r="F1330" i="4"/>
  <c r="F1338" i="4"/>
  <c r="F1346" i="4"/>
  <c r="F1354" i="4"/>
  <c r="F1362" i="4"/>
  <c r="F1370" i="4"/>
  <c r="F1378" i="4"/>
  <c r="F1386" i="4"/>
  <c r="F1394" i="4"/>
  <c r="F1402" i="4"/>
  <c r="F1410" i="4"/>
  <c r="F1418" i="4"/>
  <c r="F1426" i="4"/>
  <c r="F1434" i="4"/>
  <c r="F1442" i="4"/>
  <c r="F1450" i="4"/>
  <c r="F1458" i="4"/>
  <c r="F1466" i="4"/>
  <c r="F1474" i="4"/>
  <c r="F1482" i="4"/>
  <c r="F1490" i="4"/>
  <c r="F1498" i="4"/>
  <c r="F1506" i="4"/>
  <c r="F1514" i="4"/>
  <c r="F1522" i="4"/>
  <c r="F1530" i="4"/>
  <c r="F1538" i="4"/>
  <c r="F1546" i="4"/>
  <c r="F1554" i="4"/>
  <c r="F1562" i="4"/>
  <c r="F1129" i="4"/>
  <c r="F1137" i="4"/>
  <c r="F1145" i="4"/>
  <c r="F1153" i="4"/>
  <c r="F1161" i="4"/>
  <c r="F1169" i="4"/>
  <c r="F1177" i="4"/>
  <c r="F1185" i="4"/>
  <c r="F1193" i="4"/>
  <c r="F1201" i="4"/>
  <c r="F1209" i="4"/>
  <c r="F1217" i="4"/>
  <c r="F1225" i="4"/>
  <c r="F1233" i="4"/>
  <c r="F1241" i="4"/>
  <c r="F1249" i="4"/>
  <c r="F1257" i="4"/>
  <c r="F1265" i="4"/>
  <c r="F1273" i="4"/>
  <c r="F1281" i="4"/>
  <c r="F1289" i="4"/>
  <c r="F1297" i="4"/>
  <c r="F1305" i="4"/>
  <c r="F1313" i="4"/>
  <c r="F1321" i="4"/>
  <c r="F1329" i="4"/>
  <c r="F1337" i="4"/>
  <c r="F1345" i="4"/>
  <c r="F1353" i="4"/>
  <c r="F1361" i="4"/>
  <c r="F1369" i="4"/>
  <c r="F1377" i="4"/>
  <c r="F1385" i="4"/>
  <c r="F1393" i="4"/>
  <c r="F1401" i="4"/>
  <c r="F1409" i="4"/>
  <c r="F1417" i="4"/>
  <c r="F1425" i="4"/>
  <c r="F1433" i="4"/>
  <c r="F1441" i="4"/>
  <c r="F1449" i="4"/>
  <c r="F1457" i="4"/>
  <c r="F1465" i="4"/>
  <c r="F1473" i="4"/>
  <c r="F1481" i="4"/>
  <c r="F1489" i="4"/>
  <c r="F1497" i="4"/>
  <c r="F1505" i="4"/>
  <c r="F1513" i="4"/>
  <c r="F1521" i="4"/>
  <c r="F1529" i="4"/>
  <c r="F1537" i="4"/>
  <c r="F1545" i="4"/>
  <c r="F1553" i="4"/>
  <c r="F1561" i="4"/>
  <c r="F1136" i="4"/>
  <c r="F1144" i="4"/>
  <c r="F1152" i="4"/>
  <c r="F1160" i="4"/>
  <c r="F1168" i="4"/>
  <c r="F1176" i="4"/>
  <c r="F1184" i="4"/>
  <c r="F1192" i="4"/>
  <c r="F1200" i="4"/>
  <c r="F1208" i="4"/>
  <c r="F1216" i="4"/>
  <c r="F1224" i="4"/>
  <c r="F1232" i="4"/>
  <c r="F1240" i="4"/>
  <c r="F1248" i="4"/>
  <c r="F1256" i="4"/>
  <c r="F1264" i="4"/>
  <c r="F1272" i="4"/>
  <c r="F1280" i="4"/>
  <c r="F1288" i="4"/>
  <c r="F1296" i="4"/>
  <c r="F1304" i="4"/>
  <c r="F1312" i="4"/>
  <c r="F1320" i="4"/>
  <c r="F1328" i="4"/>
  <c r="F1336" i="4"/>
  <c r="F1344" i="4"/>
  <c r="F1352" i="4"/>
  <c r="F1360" i="4"/>
  <c r="F1368" i="4"/>
  <c r="F1376" i="4"/>
  <c r="F1384" i="4"/>
  <c r="F1392" i="4"/>
  <c r="F1400" i="4"/>
  <c r="F1408" i="4"/>
  <c r="F1416" i="4"/>
  <c r="F1424" i="4"/>
  <c r="F1432" i="4"/>
  <c r="F1440" i="4"/>
  <c r="F1448" i="4"/>
  <c r="F1456" i="4"/>
  <c r="F1464" i="4"/>
  <c r="F1472" i="4"/>
  <c r="F1480" i="4"/>
  <c r="F1488" i="4"/>
  <c r="F1496" i="4"/>
  <c r="F1504" i="4"/>
  <c r="F1512" i="4"/>
  <c r="F1520" i="4"/>
  <c r="F1528" i="4"/>
  <c r="F1536" i="4"/>
  <c r="F1544" i="4"/>
  <c r="F1552" i="4"/>
  <c r="F1560" i="4"/>
  <c r="F1135" i="4"/>
  <c r="F1143" i="4"/>
  <c r="F1151" i="4"/>
  <c r="F1159" i="4"/>
  <c r="F1167" i="4"/>
  <c r="F1175" i="4"/>
  <c r="F1183" i="4"/>
  <c r="F1191" i="4"/>
  <c r="F1199" i="4"/>
  <c r="F1207" i="4"/>
  <c r="F1215" i="4"/>
  <c r="F1223" i="4"/>
  <c r="F1231" i="4"/>
  <c r="F1239" i="4"/>
  <c r="F1247" i="4"/>
  <c r="F1255" i="4"/>
  <c r="F1263" i="4"/>
  <c r="F1271" i="4"/>
  <c r="F1279" i="4"/>
  <c r="F1287" i="4"/>
  <c r="F1295" i="4"/>
  <c r="F1303" i="4"/>
  <c r="F1311" i="4"/>
  <c r="F1319" i="4"/>
  <c r="F1327" i="4"/>
  <c r="F1335" i="4"/>
  <c r="F1343" i="4"/>
  <c r="F1351" i="4"/>
  <c r="F1359" i="4"/>
  <c r="F1367" i="4"/>
  <c r="F1375" i="4"/>
  <c r="F1383" i="4"/>
  <c r="F1391" i="4"/>
  <c r="F1399" i="4"/>
  <c r="F1407" i="4"/>
  <c r="F1415" i="4"/>
  <c r="F1423" i="4"/>
  <c r="F1431" i="4"/>
  <c r="F1439" i="4"/>
  <c r="F1447" i="4"/>
  <c r="F1455" i="4"/>
  <c r="F1463" i="4"/>
  <c r="F1471" i="4"/>
  <c r="F1479" i="4"/>
  <c r="F1487" i="4"/>
  <c r="F1495" i="4"/>
  <c r="F1503" i="4"/>
  <c r="F1511" i="4"/>
  <c r="F1519" i="4"/>
  <c r="F1527" i="4"/>
  <c r="F1535" i="4"/>
  <c r="F1543" i="4"/>
  <c r="F1551" i="4"/>
  <c r="F1559" i="4"/>
  <c r="F1126" i="4"/>
  <c r="F1134" i="4"/>
  <c r="F1142" i="4"/>
  <c r="F1150" i="4"/>
  <c r="F1158" i="4"/>
  <c r="F1166" i="4"/>
  <c r="F1174" i="4"/>
  <c r="F1182" i="4"/>
  <c r="F1190" i="4"/>
  <c r="F1198" i="4"/>
  <c r="F1206" i="4"/>
  <c r="F1214" i="4"/>
  <c r="F1222" i="4"/>
  <c r="F1230" i="4"/>
  <c r="F1238" i="4"/>
  <c r="F1246" i="4"/>
  <c r="F1254" i="4"/>
  <c r="F1262" i="4"/>
  <c r="F1270" i="4"/>
  <c r="F1278" i="4"/>
  <c r="F1286" i="4"/>
  <c r="F1294" i="4"/>
  <c r="F1302" i="4"/>
  <c r="F1310" i="4"/>
  <c r="F1318" i="4"/>
  <c r="F1326" i="4"/>
  <c r="F1334" i="4"/>
  <c r="F1342" i="4"/>
  <c r="F1350" i="4"/>
  <c r="F1358" i="4"/>
  <c r="F1366" i="4"/>
  <c r="F1374" i="4"/>
  <c r="F1382" i="4"/>
  <c r="F1390" i="4"/>
  <c r="F1398" i="4"/>
  <c r="F1406" i="4"/>
  <c r="F1414" i="4"/>
  <c r="F1422" i="4"/>
  <c r="F1430" i="4"/>
  <c r="F1438" i="4"/>
  <c r="F1446" i="4"/>
  <c r="F1454" i="4"/>
  <c r="F1462" i="4"/>
  <c r="F1470" i="4"/>
  <c r="F1478" i="4"/>
  <c r="F1486" i="4"/>
  <c r="F1494" i="4"/>
  <c r="F1502" i="4"/>
  <c r="F1510" i="4"/>
  <c r="F1518" i="4"/>
  <c r="F1526" i="4"/>
  <c r="F1534" i="4"/>
  <c r="F1542" i="4"/>
  <c r="F1550" i="4"/>
  <c r="F1558" i="4"/>
  <c r="F1133" i="4"/>
  <c r="F1141" i="4"/>
  <c r="F1149" i="4"/>
  <c r="F1157" i="4"/>
  <c r="F1165" i="4"/>
  <c r="F1173" i="4"/>
  <c r="F1181" i="4"/>
  <c r="F1189" i="4"/>
  <c r="F1197" i="4"/>
  <c r="F1205" i="4"/>
  <c r="F1213" i="4"/>
  <c r="F1221" i="4"/>
  <c r="F1229" i="4"/>
  <c r="F1237" i="4"/>
  <c r="F1245" i="4"/>
  <c r="F1253" i="4"/>
  <c r="F1261" i="4"/>
  <c r="F1269" i="4"/>
  <c r="F1277" i="4"/>
  <c r="F1285" i="4"/>
  <c r="F1293" i="4"/>
  <c r="F1301" i="4"/>
  <c r="F1309" i="4"/>
  <c r="F1317" i="4"/>
  <c r="F1325" i="4"/>
  <c r="F1333" i="4"/>
  <c r="F1341" i="4"/>
  <c r="F1349" i="4"/>
  <c r="F1357" i="4"/>
  <c r="F1365" i="4"/>
  <c r="F1373" i="4"/>
  <c r="F1381" i="4"/>
  <c r="F1389" i="4"/>
  <c r="F1397" i="4"/>
  <c r="F1405" i="4"/>
  <c r="F1413" i="4"/>
  <c r="F1421" i="4"/>
  <c r="F1429" i="4"/>
  <c r="F1437" i="4"/>
  <c r="F1445" i="4"/>
  <c r="F1453" i="4"/>
  <c r="F1461" i="4"/>
  <c r="F1469" i="4"/>
  <c r="F1477" i="4"/>
  <c r="F1485" i="4"/>
  <c r="F1493" i="4"/>
  <c r="F1501" i="4"/>
  <c r="F1509" i="4"/>
  <c r="F1517" i="4"/>
  <c r="F1525" i="4"/>
  <c r="F1533" i="4"/>
  <c r="F1541" i="4"/>
  <c r="F1549" i="4"/>
  <c r="F1557" i="4"/>
  <c r="F1132" i="4"/>
  <c r="F1140" i="4"/>
  <c r="F1148" i="4"/>
  <c r="F1156" i="4"/>
  <c r="F1164" i="4"/>
  <c r="F1172" i="4"/>
  <c r="F1180" i="4"/>
  <c r="F1188" i="4"/>
  <c r="F1196" i="4"/>
  <c r="F1204" i="4"/>
  <c r="F1212" i="4"/>
  <c r="F1220" i="4"/>
  <c r="F1228" i="4"/>
  <c r="F1236" i="4"/>
  <c r="F1244" i="4"/>
  <c r="F1252" i="4"/>
  <c r="F1260" i="4"/>
  <c r="F1268" i="4"/>
  <c r="F1276" i="4"/>
  <c r="F1284" i="4"/>
  <c r="F1292" i="4"/>
  <c r="F1300" i="4"/>
  <c r="F1308" i="4"/>
  <c r="F1316" i="4"/>
  <c r="F1324" i="4"/>
  <c r="F1332" i="4"/>
  <c r="F1340" i="4"/>
  <c r="F1348" i="4"/>
  <c r="F1356" i="4"/>
  <c r="F1364" i="4"/>
  <c r="F1372" i="4"/>
  <c r="F1380" i="4"/>
  <c r="F1388" i="4"/>
  <c r="F1396" i="4"/>
  <c r="F1404" i="4"/>
  <c r="F1412" i="4"/>
  <c r="F1420" i="4"/>
  <c r="F1428" i="4"/>
  <c r="F1436" i="4"/>
  <c r="F1444" i="4"/>
  <c r="F1452" i="4"/>
  <c r="F1460" i="4"/>
  <c r="F1468" i="4"/>
  <c r="F1476" i="4"/>
  <c r="F1484" i="4"/>
  <c r="F1492" i="4"/>
  <c r="F1500" i="4"/>
  <c r="F1508" i="4"/>
  <c r="F1516" i="4"/>
  <c r="F1524" i="4"/>
  <c r="F1532" i="4"/>
  <c r="F1540" i="4"/>
  <c r="F1548" i="4"/>
  <c r="F1556" i="4"/>
  <c r="F1131" i="4"/>
  <c r="F1139" i="4"/>
  <c r="F1147" i="4"/>
  <c r="F1155" i="4"/>
  <c r="F1163" i="4"/>
  <c r="F1171" i="4"/>
  <c r="F1179" i="4"/>
  <c r="F1187" i="4"/>
  <c r="F1195" i="4"/>
  <c r="F1203" i="4"/>
  <c r="F1211" i="4"/>
  <c r="F1219" i="4"/>
  <c r="F1227" i="4"/>
  <c r="F1235" i="4"/>
  <c r="F1243" i="4"/>
  <c r="F1251" i="4"/>
  <c r="F1259" i="4"/>
  <c r="F1267" i="4"/>
  <c r="F1275" i="4"/>
  <c r="F1283" i="4"/>
  <c r="F1291" i="4"/>
  <c r="F1299" i="4"/>
  <c r="F1307" i="4"/>
  <c r="F1315" i="4"/>
  <c r="F1323" i="4"/>
  <c r="F1331" i="4"/>
  <c r="F1339" i="4"/>
  <c r="F1347" i="4"/>
  <c r="F1355" i="4"/>
  <c r="F1363" i="4"/>
  <c r="F1371" i="4"/>
  <c r="F1379" i="4"/>
  <c r="F1387" i="4"/>
  <c r="F1395" i="4"/>
  <c r="F1403" i="4"/>
  <c r="F1411" i="4"/>
  <c r="F1419" i="4"/>
  <c r="F1427" i="4"/>
  <c r="F1435" i="4"/>
  <c r="F1443" i="4"/>
  <c r="F1451" i="4"/>
  <c r="F1459" i="4"/>
  <c r="F1467" i="4"/>
  <c r="F1475" i="4"/>
  <c r="F1483" i="4"/>
  <c r="F1491" i="4"/>
  <c r="F1499" i="4"/>
  <c r="F1507" i="4"/>
  <c r="F1515" i="4"/>
  <c r="F1523" i="4"/>
  <c r="F1531" i="4"/>
  <c r="F1539" i="4"/>
  <c r="F1547" i="4"/>
  <c r="F1555" i="4"/>
  <c r="F1563" i="4"/>
  <c r="E1131" i="4"/>
  <c r="E1139" i="4"/>
  <c r="E1147" i="4"/>
  <c r="E1155" i="4"/>
  <c r="E1163" i="4"/>
  <c r="E1171" i="4"/>
  <c r="E1179" i="4"/>
  <c r="E1187" i="4"/>
  <c r="E1195" i="4"/>
  <c r="E1203" i="4"/>
  <c r="E1211" i="4"/>
  <c r="E1219" i="4"/>
  <c r="E1227" i="4"/>
  <c r="E1235" i="4"/>
  <c r="E1243" i="4"/>
  <c r="E1251" i="4"/>
  <c r="E1259" i="4"/>
  <c r="E1267" i="4"/>
  <c r="E1275" i="4"/>
  <c r="E1283" i="4"/>
  <c r="E1291" i="4"/>
  <c r="E1299" i="4"/>
  <c r="E1307" i="4"/>
  <c r="E1315" i="4"/>
  <c r="E1323" i="4"/>
  <c r="E1331" i="4"/>
  <c r="E1339" i="4"/>
  <c r="E1347" i="4"/>
  <c r="E1355" i="4"/>
  <c r="E1363" i="4"/>
  <c r="E1371" i="4"/>
  <c r="E1379" i="4"/>
  <c r="E1387" i="4"/>
  <c r="E1395" i="4"/>
  <c r="E1403" i="4"/>
  <c r="E1411" i="4"/>
  <c r="E1419" i="4"/>
  <c r="E1427" i="4"/>
  <c r="E1435" i="4"/>
  <c r="E1443" i="4"/>
  <c r="E1451" i="4"/>
  <c r="E1459" i="4"/>
  <c r="E1467" i="4"/>
  <c r="E1475" i="4"/>
  <c r="E1130" i="4"/>
  <c r="E1138" i="4"/>
  <c r="E1146" i="4"/>
  <c r="E1154" i="4"/>
  <c r="E1162" i="4"/>
  <c r="E1170" i="4"/>
  <c r="E1178" i="4"/>
  <c r="E1186" i="4"/>
  <c r="E1194" i="4"/>
  <c r="E1202" i="4"/>
  <c r="E1210" i="4"/>
  <c r="E1218" i="4"/>
  <c r="E1226" i="4"/>
  <c r="E1234" i="4"/>
  <c r="E1242" i="4"/>
  <c r="E1250" i="4"/>
  <c r="E1258" i="4"/>
  <c r="E1266" i="4"/>
  <c r="E1274" i="4"/>
  <c r="E1282" i="4"/>
  <c r="E1290" i="4"/>
  <c r="E1298" i="4"/>
  <c r="E1306" i="4"/>
  <c r="E1314" i="4"/>
  <c r="E1322" i="4"/>
  <c r="E1330" i="4"/>
  <c r="E1338" i="4"/>
  <c r="E1346" i="4"/>
  <c r="E1354" i="4"/>
  <c r="E1362" i="4"/>
  <c r="E1370" i="4"/>
  <c r="E1378" i="4"/>
  <c r="E1386" i="4"/>
  <c r="E1394" i="4"/>
  <c r="E1402" i="4"/>
  <c r="E1410" i="4"/>
  <c r="E1418" i="4"/>
  <c r="E1426" i="4"/>
  <c r="E1434" i="4"/>
  <c r="E1442" i="4"/>
  <c r="E1450" i="4"/>
  <c r="E1458" i="4"/>
  <c r="E1466" i="4"/>
  <c r="E1474" i="4"/>
  <c r="E1482" i="4"/>
  <c r="E1490" i="4"/>
  <c r="E1498" i="4"/>
  <c r="E1506" i="4"/>
  <c r="E1514" i="4"/>
  <c r="E1522" i="4"/>
  <c r="E1530" i="4"/>
  <c r="E1538" i="4"/>
  <c r="E1546" i="4"/>
  <c r="E1554" i="4"/>
  <c r="E1562" i="4"/>
  <c r="E1129" i="4"/>
  <c r="E1137" i="4"/>
  <c r="E1145" i="4"/>
  <c r="E1153" i="4"/>
  <c r="E1161" i="4"/>
  <c r="E1169" i="4"/>
  <c r="E1177" i="4"/>
  <c r="E1185" i="4"/>
  <c r="E1193" i="4"/>
  <c r="E1201" i="4"/>
  <c r="E1209" i="4"/>
  <c r="E1217" i="4"/>
  <c r="E1225" i="4"/>
  <c r="E1233" i="4"/>
  <c r="E1241" i="4"/>
  <c r="E1249" i="4"/>
  <c r="E1257" i="4"/>
  <c r="E1265" i="4"/>
  <c r="E1273" i="4"/>
  <c r="E1281" i="4"/>
  <c r="E1289" i="4"/>
  <c r="E1297" i="4"/>
  <c r="E1305" i="4"/>
  <c r="E1313" i="4"/>
  <c r="E1321" i="4"/>
  <c r="E1329" i="4"/>
  <c r="E1337" i="4"/>
  <c r="E1345" i="4"/>
  <c r="E1353" i="4"/>
  <c r="E1361" i="4"/>
  <c r="E1369" i="4"/>
  <c r="E1377" i="4"/>
  <c r="E1385" i="4"/>
  <c r="E1393" i="4"/>
  <c r="E1401" i="4"/>
  <c r="E1409" i="4"/>
  <c r="E1417" i="4"/>
  <c r="E1425" i="4"/>
  <c r="E1433" i="4"/>
  <c r="E1441" i="4"/>
  <c r="E1449" i="4"/>
  <c r="E1457" i="4"/>
  <c r="E1465" i="4"/>
  <c r="E1473" i="4"/>
  <c r="E1481" i="4"/>
  <c r="E1489" i="4"/>
  <c r="E1497" i="4"/>
  <c r="E1505" i="4"/>
  <c r="E1513" i="4"/>
  <c r="E1521" i="4"/>
  <c r="E1529" i="4"/>
  <c r="E1537" i="4"/>
  <c r="E1545" i="4"/>
  <c r="E1553" i="4"/>
  <c r="E1561" i="4"/>
  <c r="E1128" i="4"/>
  <c r="E1136" i="4"/>
  <c r="E1144" i="4"/>
  <c r="E1152" i="4"/>
  <c r="E1160" i="4"/>
  <c r="E1168" i="4"/>
  <c r="E1176" i="4"/>
  <c r="E1184" i="4"/>
  <c r="E1192" i="4"/>
  <c r="E1200" i="4"/>
  <c r="E1208" i="4"/>
  <c r="E1216" i="4"/>
  <c r="E1224" i="4"/>
  <c r="E1232" i="4"/>
  <c r="E1240" i="4"/>
  <c r="E1248" i="4"/>
  <c r="E1256" i="4"/>
  <c r="E1264" i="4"/>
  <c r="E1272" i="4"/>
  <c r="E1280" i="4"/>
  <c r="E1288" i="4"/>
  <c r="E1296" i="4"/>
  <c r="E1304" i="4"/>
  <c r="E1312" i="4"/>
  <c r="E1320" i="4"/>
  <c r="E1328" i="4"/>
  <c r="E1336" i="4"/>
  <c r="E1344" i="4"/>
  <c r="E1352" i="4"/>
  <c r="E1360" i="4"/>
  <c r="E1368" i="4"/>
  <c r="E1376" i="4"/>
  <c r="E1384" i="4"/>
  <c r="E1392" i="4"/>
  <c r="E1400" i="4"/>
  <c r="E1408" i="4"/>
  <c r="E1416" i="4"/>
  <c r="E1424" i="4"/>
  <c r="E1432" i="4"/>
  <c r="E1440" i="4"/>
  <c r="E1448" i="4"/>
  <c r="E1456" i="4"/>
  <c r="E1464" i="4"/>
  <c r="E1472" i="4"/>
  <c r="E1480" i="4"/>
  <c r="E1127" i="4"/>
  <c r="E1135" i="4"/>
  <c r="E1143" i="4"/>
  <c r="E1151" i="4"/>
  <c r="E1159" i="4"/>
  <c r="E1167" i="4"/>
  <c r="E1175" i="4"/>
  <c r="E1183" i="4"/>
  <c r="E1191" i="4"/>
  <c r="E1199" i="4"/>
  <c r="E1207" i="4"/>
  <c r="E1215" i="4"/>
  <c r="E1223" i="4"/>
  <c r="E1231" i="4"/>
  <c r="E1239" i="4"/>
  <c r="E1247" i="4"/>
  <c r="E1255" i="4"/>
  <c r="E1263" i="4"/>
  <c r="E1271" i="4"/>
  <c r="E1279" i="4"/>
  <c r="E1287" i="4"/>
  <c r="E1295" i="4"/>
  <c r="E1303" i="4"/>
  <c r="E1311" i="4"/>
  <c r="E1319" i="4"/>
  <c r="E1327" i="4"/>
  <c r="E1335" i="4"/>
  <c r="E1343" i="4"/>
  <c r="E1351" i="4"/>
  <c r="E1359" i="4"/>
  <c r="E1367" i="4"/>
  <c r="E1375" i="4"/>
  <c r="E1383" i="4"/>
  <c r="E1391" i="4"/>
  <c r="E1399" i="4"/>
  <c r="E1407" i="4"/>
  <c r="E1415" i="4"/>
  <c r="E1423" i="4"/>
  <c r="E1431" i="4"/>
  <c r="E1439" i="4"/>
  <c r="E1447" i="4"/>
  <c r="E1455" i="4"/>
  <c r="E1463" i="4"/>
  <c r="E1471" i="4"/>
  <c r="E1479" i="4"/>
  <c r="E1487" i="4"/>
  <c r="E1495" i="4"/>
  <c r="E1503" i="4"/>
  <c r="E1511" i="4"/>
  <c r="E1519" i="4"/>
  <c r="E1527" i="4"/>
  <c r="E1535" i="4"/>
  <c r="E1543" i="4"/>
  <c r="E1551" i="4"/>
  <c r="E1559" i="4"/>
  <c r="E1126" i="4"/>
  <c r="E1134" i="4"/>
  <c r="E1142" i="4"/>
  <c r="E1150" i="4"/>
  <c r="E1158" i="4"/>
  <c r="E1166" i="4"/>
  <c r="E1174" i="4"/>
  <c r="E1182" i="4"/>
  <c r="E1190" i="4"/>
  <c r="E1198" i="4"/>
  <c r="E1206" i="4"/>
  <c r="E1214" i="4"/>
  <c r="E1222" i="4"/>
  <c r="E1230" i="4"/>
  <c r="E1238" i="4"/>
  <c r="E1246" i="4"/>
  <c r="E1254" i="4"/>
  <c r="E1262" i="4"/>
  <c r="E1270" i="4"/>
  <c r="E1278" i="4"/>
  <c r="E1286" i="4"/>
  <c r="E1294" i="4"/>
  <c r="E1302" i="4"/>
  <c r="E1310" i="4"/>
  <c r="E1318" i="4"/>
  <c r="E1326" i="4"/>
  <c r="E1334" i="4"/>
  <c r="E1342" i="4"/>
  <c r="E1350" i="4"/>
  <c r="E1358" i="4"/>
  <c r="E1366" i="4"/>
  <c r="E1374" i="4"/>
  <c r="E1382" i="4"/>
  <c r="E1390" i="4"/>
  <c r="E1398" i="4"/>
  <c r="E1406" i="4"/>
  <c r="E1414" i="4"/>
  <c r="E1422" i="4"/>
  <c r="E1430" i="4"/>
  <c r="E1438" i="4"/>
  <c r="E1446" i="4"/>
  <c r="E1454" i="4"/>
  <c r="E1462" i="4"/>
  <c r="E1470" i="4"/>
  <c r="E1478" i="4"/>
  <c r="E1486" i="4"/>
  <c r="E1494" i="4"/>
  <c r="E1502" i="4"/>
  <c r="E1510" i="4"/>
  <c r="E1518" i="4"/>
  <c r="E1526" i="4"/>
  <c r="E1534" i="4"/>
  <c r="E1542" i="4"/>
  <c r="E1550" i="4"/>
  <c r="E1558" i="4"/>
  <c r="E1133" i="4"/>
  <c r="E1141" i="4"/>
  <c r="E1149" i="4"/>
  <c r="E1157" i="4"/>
  <c r="E1165" i="4"/>
  <c r="E1173" i="4"/>
  <c r="E1181" i="4"/>
  <c r="E1189" i="4"/>
  <c r="E1197" i="4"/>
  <c r="E1205" i="4"/>
  <c r="E1213" i="4"/>
  <c r="E1221" i="4"/>
  <c r="E1229" i="4"/>
  <c r="E1237" i="4"/>
  <c r="E1245" i="4"/>
  <c r="E1253" i="4"/>
  <c r="E1261" i="4"/>
  <c r="E1269" i="4"/>
  <c r="E1277" i="4"/>
  <c r="E1285" i="4"/>
  <c r="E1293" i="4"/>
  <c r="E1301" i="4"/>
  <c r="E1309" i="4"/>
  <c r="E1317" i="4"/>
  <c r="E1325" i="4"/>
  <c r="E1333" i="4"/>
  <c r="E1341" i="4"/>
  <c r="E1349" i="4"/>
  <c r="E1357" i="4"/>
  <c r="E1365" i="4"/>
  <c r="E1373" i="4"/>
  <c r="E1381" i="4"/>
  <c r="E1389" i="4"/>
  <c r="E1397" i="4"/>
  <c r="E1405" i="4"/>
  <c r="E1413" i="4"/>
  <c r="E1421" i="4"/>
  <c r="E1429" i="4"/>
  <c r="E1437" i="4"/>
  <c r="E1445" i="4"/>
  <c r="E1453" i="4"/>
  <c r="E1461" i="4"/>
  <c r="E1469" i="4"/>
  <c r="E1477" i="4"/>
  <c r="E1485" i="4"/>
  <c r="E1493" i="4"/>
  <c r="E1501" i="4"/>
  <c r="E1509" i="4"/>
  <c r="E1517" i="4"/>
  <c r="E1525" i="4"/>
  <c r="E1533" i="4"/>
  <c r="E1541" i="4"/>
  <c r="E1549" i="4"/>
  <c r="E1557" i="4"/>
  <c r="E1188" i="4"/>
  <c r="E1252" i="4"/>
  <c r="E1316" i="4"/>
  <c r="E1380" i="4"/>
  <c r="E1444" i="4"/>
  <c r="E1491" i="4"/>
  <c r="E1512" i="4"/>
  <c r="E1532" i="4"/>
  <c r="E1555" i="4"/>
  <c r="D1132" i="4"/>
  <c r="D1140" i="4"/>
  <c r="D1148" i="4"/>
  <c r="D1156" i="4"/>
  <c r="D1164" i="4"/>
  <c r="D1172" i="4"/>
  <c r="D1180" i="4"/>
  <c r="D1188" i="4"/>
  <c r="D1196" i="4"/>
  <c r="D1204" i="4"/>
  <c r="D1212" i="4"/>
  <c r="D1220" i="4"/>
  <c r="D1228" i="4"/>
  <c r="D1236" i="4"/>
  <c r="D1244" i="4"/>
  <c r="D1252" i="4"/>
  <c r="D1260" i="4"/>
  <c r="D1268" i="4"/>
  <c r="D1276" i="4"/>
  <c r="D1284" i="4"/>
  <c r="D1292" i="4"/>
  <c r="D1300" i="4"/>
  <c r="D1308" i="4"/>
  <c r="D1316" i="4"/>
  <c r="D1324" i="4"/>
  <c r="D1332" i="4"/>
  <c r="D1340" i="4"/>
  <c r="D1348" i="4"/>
  <c r="D1356" i="4"/>
  <c r="D1364" i="4"/>
  <c r="D1372" i="4"/>
  <c r="D1380" i="4"/>
  <c r="D1388" i="4"/>
  <c r="D1396" i="4"/>
  <c r="D1404" i="4"/>
  <c r="D1412" i="4"/>
  <c r="D1420" i="4"/>
  <c r="D1428" i="4"/>
  <c r="D1436" i="4"/>
  <c r="D1444" i="4"/>
  <c r="D1452" i="4"/>
  <c r="D1460" i="4"/>
  <c r="D1468" i="4"/>
  <c r="D1476" i="4"/>
  <c r="D1484" i="4"/>
  <c r="D1492" i="4"/>
  <c r="D1500" i="4"/>
  <c r="D1508" i="4"/>
  <c r="D1516" i="4"/>
  <c r="D1524" i="4"/>
  <c r="D1532" i="4"/>
  <c r="D1540" i="4"/>
  <c r="D1548" i="4"/>
  <c r="D1556" i="4"/>
  <c r="E1180" i="4"/>
  <c r="E1244" i="4"/>
  <c r="E1308" i="4"/>
  <c r="E1372" i="4"/>
  <c r="E1436" i="4"/>
  <c r="E1488" i="4"/>
  <c r="E1508" i="4"/>
  <c r="E1531" i="4"/>
  <c r="E1552" i="4"/>
  <c r="D1131" i="4"/>
  <c r="D1139" i="4"/>
  <c r="D1147" i="4"/>
  <c r="D1155" i="4"/>
  <c r="D1163" i="4"/>
  <c r="D1171" i="4"/>
  <c r="D1179" i="4"/>
  <c r="D1187" i="4"/>
  <c r="D1195" i="4"/>
  <c r="D1203" i="4"/>
  <c r="D1211" i="4"/>
  <c r="D1219" i="4"/>
  <c r="D1227" i="4"/>
  <c r="D1235" i="4"/>
  <c r="D1243" i="4"/>
  <c r="D1251" i="4"/>
  <c r="D1259" i="4"/>
  <c r="D1267" i="4"/>
  <c r="D1275" i="4"/>
  <c r="D1283" i="4"/>
  <c r="D1291" i="4"/>
  <c r="D1299" i="4"/>
  <c r="D1307" i="4"/>
  <c r="D1315" i="4"/>
  <c r="D1323" i="4"/>
  <c r="D1331" i="4"/>
  <c r="D1339" i="4"/>
  <c r="D1347" i="4"/>
  <c r="D1355" i="4"/>
  <c r="D1363" i="4"/>
  <c r="D1371" i="4"/>
  <c r="D1379" i="4"/>
  <c r="D1387" i="4"/>
  <c r="D1395" i="4"/>
  <c r="D1403" i="4"/>
  <c r="D1411" i="4"/>
  <c r="D1419" i="4"/>
  <c r="D1427" i="4"/>
  <c r="D1435" i="4"/>
  <c r="D1443" i="4"/>
  <c r="D1451" i="4"/>
  <c r="D1459" i="4"/>
  <c r="D1467" i="4"/>
  <c r="D1475" i="4"/>
  <c r="D1483" i="4"/>
  <c r="D1491" i="4"/>
  <c r="D1499" i="4"/>
  <c r="D1507" i="4"/>
  <c r="D1515" i="4"/>
  <c r="D1523" i="4"/>
  <c r="D1531" i="4"/>
  <c r="D1539" i="4"/>
  <c r="D1547" i="4"/>
  <c r="D1555" i="4"/>
  <c r="D1563" i="4"/>
  <c r="E1172" i="4"/>
  <c r="E1236" i="4"/>
  <c r="E1300" i="4"/>
  <c r="E1364" i="4"/>
  <c r="E1428" i="4"/>
  <c r="E1484" i="4"/>
  <c r="E1507" i="4"/>
  <c r="E1528" i="4"/>
  <c r="E1548" i="4"/>
  <c r="D1130" i="4"/>
  <c r="D1138" i="4"/>
  <c r="D1146" i="4"/>
  <c r="D1154" i="4"/>
  <c r="D1162" i="4"/>
  <c r="D1170" i="4"/>
  <c r="D1178" i="4"/>
  <c r="D1186" i="4"/>
  <c r="D1194" i="4"/>
  <c r="D1202" i="4"/>
  <c r="D1210" i="4"/>
  <c r="D1218" i="4"/>
  <c r="D1226" i="4"/>
  <c r="D1234" i="4"/>
  <c r="D1242" i="4"/>
  <c r="D1250" i="4"/>
  <c r="D1258" i="4"/>
  <c r="D1266" i="4"/>
  <c r="D1274" i="4"/>
  <c r="D1282" i="4"/>
  <c r="D1290" i="4"/>
  <c r="D1298" i="4"/>
  <c r="D1306" i="4"/>
  <c r="D1314" i="4"/>
  <c r="D1322" i="4"/>
  <c r="D1330" i="4"/>
  <c r="D1338" i="4"/>
  <c r="D1346" i="4"/>
  <c r="D1354" i="4"/>
  <c r="D1362" i="4"/>
  <c r="D1370" i="4"/>
  <c r="D1378" i="4"/>
  <c r="D1386" i="4"/>
  <c r="D1394" i="4"/>
  <c r="D1402" i="4"/>
  <c r="D1410" i="4"/>
  <c r="D1418" i="4"/>
  <c r="D1426" i="4"/>
  <c r="D1434" i="4"/>
  <c r="D1442" i="4"/>
  <c r="D1450" i="4"/>
  <c r="D1458" i="4"/>
  <c r="D1466" i="4"/>
  <c r="D1474" i="4"/>
  <c r="D1482" i="4"/>
  <c r="D1490" i="4"/>
  <c r="D1498" i="4"/>
  <c r="D1506" i="4"/>
  <c r="D1514" i="4"/>
  <c r="D1522" i="4"/>
  <c r="D1530" i="4"/>
  <c r="D1538" i="4"/>
  <c r="D1546" i="4"/>
  <c r="D1554" i="4"/>
  <c r="D1562" i="4"/>
  <c r="E1164" i="4"/>
  <c r="E1228" i="4"/>
  <c r="E1292" i="4"/>
  <c r="E1356" i="4"/>
  <c r="E1420" i="4"/>
  <c r="E1483" i="4"/>
  <c r="E1504" i="4"/>
  <c r="E1524" i="4"/>
  <c r="E1547" i="4"/>
  <c r="D1129" i="4"/>
  <c r="D1137" i="4"/>
  <c r="D1145" i="4"/>
  <c r="D1153" i="4"/>
  <c r="D1161" i="4"/>
  <c r="D1169" i="4"/>
  <c r="D1177" i="4"/>
  <c r="D1185" i="4"/>
  <c r="D1193" i="4"/>
  <c r="D1201" i="4"/>
  <c r="D1209" i="4"/>
  <c r="D1217" i="4"/>
  <c r="D1225" i="4"/>
  <c r="D1233" i="4"/>
  <c r="D1241" i="4"/>
  <c r="D1249" i="4"/>
  <c r="D1257" i="4"/>
  <c r="D1265" i="4"/>
  <c r="D1273" i="4"/>
  <c r="D1281" i="4"/>
  <c r="D1289" i="4"/>
  <c r="D1297" i="4"/>
  <c r="D1305" i="4"/>
  <c r="D1313" i="4"/>
  <c r="D1321" i="4"/>
  <c r="D1329" i="4"/>
  <c r="D1337" i="4"/>
  <c r="D1345" i="4"/>
  <c r="D1353" i="4"/>
  <c r="D1361" i="4"/>
  <c r="D1369" i="4"/>
  <c r="D1377" i="4"/>
  <c r="D1385" i="4"/>
  <c r="D1393" i="4"/>
  <c r="D1401" i="4"/>
  <c r="D1409" i="4"/>
  <c r="D1417" i="4"/>
  <c r="D1425" i="4"/>
  <c r="D1433" i="4"/>
  <c r="D1441" i="4"/>
  <c r="D1449" i="4"/>
  <c r="D1457" i="4"/>
  <c r="D1465" i="4"/>
  <c r="D1473" i="4"/>
  <c r="D1481" i="4"/>
  <c r="D1489" i="4"/>
  <c r="D1497" i="4"/>
  <c r="D1505" i="4"/>
  <c r="D1513" i="4"/>
  <c r="D1521" i="4"/>
  <c r="D1529" i="4"/>
  <c r="D1537" i="4"/>
  <c r="D1545" i="4"/>
  <c r="D1553" i="4"/>
  <c r="D1561" i="4"/>
  <c r="E1156" i="4"/>
  <c r="E1220" i="4"/>
  <c r="E1284" i="4"/>
  <c r="E1348" i="4"/>
  <c r="E1412" i="4"/>
  <c r="E1476" i="4"/>
  <c r="E1500" i="4"/>
  <c r="E1523" i="4"/>
  <c r="G1523" i="4" s="1"/>
  <c r="E1544" i="4"/>
  <c r="D1128" i="4"/>
  <c r="D1136" i="4"/>
  <c r="D1144" i="4"/>
  <c r="D1152" i="4"/>
  <c r="D1160" i="4"/>
  <c r="D1168" i="4"/>
  <c r="D1176" i="4"/>
  <c r="D1184" i="4"/>
  <c r="D1192" i="4"/>
  <c r="D1200" i="4"/>
  <c r="D1208" i="4"/>
  <c r="D1216" i="4"/>
  <c r="D1224" i="4"/>
  <c r="D1232" i="4"/>
  <c r="D1240" i="4"/>
  <c r="D1248" i="4"/>
  <c r="D1256" i="4"/>
  <c r="D1264" i="4"/>
  <c r="D1272" i="4"/>
  <c r="D1280" i="4"/>
  <c r="D1288" i="4"/>
  <c r="D1296" i="4"/>
  <c r="D1304" i="4"/>
  <c r="D1312" i="4"/>
  <c r="D1320" i="4"/>
  <c r="D1328" i="4"/>
  <c r="D1336" i="4"/>
  <c r="D1344" i="4"/>
  <c r="D1352" i="4"/>
  <c r="D1360" i="4"/>
  <c r="D1368" i="4"/>
  <c r="D1376" i="4"/>
  <c r="D1384" i="4"/>
  <c r="D1392" i="4"/>
  <c r="D1400" i="4"/>
  <c r="D1408" i="4"/>
  <c r="D1416" i="4"/>
  <c r="D1424" i="4"/>
  <c r="D1432" i="4"/>
  <c r="D1440" i="4"/>
  <c r="D1448" i="4"/>
  <c r="D1456" i="4"/>
  <c r="D1464" i="4"/>
  <c r="D1472" i="4"/>
  <c r="D1480" i="4"/>
  <c r="D1488" i="4"/>
  <c r="D1496" i="4"/>
  <c r="D1504" i="4"/>
  <c r="D1512" i="4"/>
  <c r="D1520" i="4"/>
  <c r="D1528" i="4"/>
  <c r="D1536" i="4"/>
  <c r="D1544" i="4"/>
  <c r="D1552" i="4"/>
  <c r="D1560" i="4"/>
  <c r="E1148" i="4"/>
  <c r="E1212" i="4"/>
  <c r="E1276" i="4"/>
  <c r="E1340" i="4"/>
  <c r="E1404" i="4"/>
  <c r="E1468" i="4"/>
  <c r="E1499" i="4"/>
  <c r="E1520" i="4"/>
  <c r="E1540" i="4"/>
  <c r="E1563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E1140" i="4"/>
  <c r="E1204" i="4"/>
  <c r="E1268" i="4"/>
  <c r="E1332" i="4"/>
  <c r="E1396" i="4"/>
  <c r="E1460" i="4"/>
  <c r="E1496" i="4"/>
  <c r="E1516" i="4"/>
  <c r="E1539" i="4"/>
  <c r="E1560" i="4"/>
  <c r="D1126" i="4"/>
  <c r="D1134" i="4"/>
  <c r="D1142" i="4"/>
  <c r="D1150" i="4"/>
  <c r="D1158" i="4"/>
  <c r="D1166" i="4"/>
  <c r="D1174" i="4"/>
  <c r="D1182" i="4"/>
  <c r="D1190" i="4"/>
  <c r="D1198" i="4"/>
  <c r="D1206" i="4"/>
  <c r="D1214" i="4"/>
  <c r="D1222" i="4"/>
  <c r="D1230" i="4"/>
  <c r="D1238" i="4"/>
  <c r="D1246" i="4"/>
  <c r="D1254" i="4"/>
  <c r="D1262" i="4"/>
  <c r="D1270" i="4"/>
  <c r="D1278" i="4"/>
  <c r="D1286" i="4"/>
  <c r="D1294" i="4"/>
  <c r="D1302" i="4"/>
  <c r="D1310" i="4"/>
  <c r="D1318" i="4"/>
  <c r="D1326" i="4"/>
  <c r="D1334" i="4"/>
  <c r="D1342" i="4"/>
  <c r="D1350" i="4"/>
  <c r="D1358" i="4"/>
  <c r="D1366" i="4"/>
  <c r="D1374" i="4"/>
  <c r="D1382" i="4"/>
  <c r="D1390" i="4"/>
  <c r="D1398" i="4"/>
  <c r="D1406" i="4"/>
  <c r="D1414" i="4"/>
  <c r="D1422" i="4"/>
  <c r="D1430" i="4"/>
  <c r="D1438" i="4"/>
  <c r="D1446" i="4"/>
  <c r="D1454" i="4"/>
  <c r="D1462" i="4"/>
  <c r="D1470" i="4"/>
  <c r="D1478" i="4"/>
  <c r="D1486" i="4"/>
  <c r="D1494" i="4"/>
  <c r="D1502" i="4"/>
  <c r="D1510" i="4"/>
  <c r="D1518" i="4"/>
  <c r="D1526" i="4"/>
  <c r="D1534" i="4"/>
  <c r="D1542" i="4"/>
  <c r="D1550" i="4"/>
  <c r="D1558" i="4"/>
  <c r="E1388" i="4"/>
  <c r="D1189" i="4"/>
  <c r="D1253" i="4"/>
  <c r="D1317" i="4"/>
  <c r="D1381" i="4"/>
  <c r="D1445" i="4"/>
  <c r="D1509" i="4"/>
  <c r="C1127" i="4"/>
  <c r="C1135" i="4"/>
  <c r="C1143" i="4"/>
  <c r="C1151" i="4"/>
  <c r="C1159" i="4"/>
  <c r="C1167" i="4"/>
  <c r="C1175" i="4"/>
  <c r="C1183" i="4"/>
  <c r="C1191" i="4"/>
  <c r="C1199" i="4"/>
  <c r="C1207" i="4"/>
  <c r="C1215" i="4"/>
  <c r="I1215" i="4" s="1"/>
  <c r="C1223" i="4"/>
  <c r="C1231" i="4"/>
  <c r="C1239" i="4"/>
  <c r="I1239" i="4" s="1"/>
  <c r="C1247" i="4"/>
  <c r="C1255" i="4"/>
  <c r="C1263" i="4"/>
  <c r="C1271" i="4"/>
  <c r="C1279" i="4"/>
  <c r="I1279" i="4" s="1"/>
  <c r="C1287" i="4"/>
  <c r="C1295" i="4"/>
  <c r="C1303" i="4"/>
  <c r="I1303" i="4" s="1"/>
  <c r="C1311" i="4"/>
  <c r="C1319" i="4"/>
  <c r="C1327" i="4"/>
  <c r="C1335" i="4"/>
  <c r="C1343" i="4"/>
  <c r="C1351" i="4"/>
  <c r="C1359" i="4"/>
  <c r="C1367" i="4"/>
  <c r="I1367" i="4" s="1"/>
  <c r="C1375" i="4"/>
  <c r="C1383" i="4"/>
  <c r="C1391" i="4"/>
  <c r="C1399" i="4"/>
  <c r="C1407" i="4"/>
  <c r="I1407" i="4" s="1"/>
  <c r="C1415" i="4"/>
  <c r="C1423" i="4"/>
  <c r="C1431" i="4"/>
  <c r="I1431" i="4" s="1"/>
  <c r="C1439" i="4"/>
  <c r="C1447" i="4"/>
  <c r="C1455" i="4"/>
  <c r="C1463" i="4"/>
  <c r="C1471" i="4"/>
  <c r="I1471" i="4" s="1"/>
  <c r="C1479" i="4"/>
  <c r="C1487" i="4"/>
  <c r="C1495" i="4"/>
  <c r="I1495" i="4" s="1"/>
  <c r="C1503" i="4"/>
  <c r="C1511" i="4"/>
  <c r="C1519" i="4"/>
  <c r="C1527" i="4"/>
  <c r="C1535" i="4"/>
  <c r="I1535" i="4" s="1"/>
  <c r="C1543" i="4"/>
  <c r="C1551" i="4"/>
  <c r="C1559" i="4"/>
  <c r="I1559" i="4" s="1"/>
  <c r="E1324" i="4"/>
  <c r="D1181" i="4"/>
  <c r="D1245" i="4"/>
  <c r="D1309" i="4"/>
  <c r="D1373" i="4"/>
  <c r="D1437" i="4"/>
  <c r="D1501" i="4"/>
  <c r="C1126" i="4"/>
  <c r="C1134" i="4"/>
  <c r="C1142" i="4"/>
  <c r="C1150" i="4"/>
  <c r="C1158" i="4"/>
  <c r="C1166" i="4"/>
  <c r="C1174" i="4"/>
  <c r="C1182" i="4"/>
  <c r="C1190" i="4"/>
  <c r="C1198" i="4"/>
  <c r="C1206" i="4"/>
  <c r="C1214" i="4"/>
  <c r="C1222" i="4"/>
  <c r="C1230" i="4"/>
  <c r="I1230" i="4" s="1"/>
  <c r="C1238" i="4"/>
  <c r="C1246" i="4"/>
  <c r="C1254" i="4"/>
  <c r="I1254" i="4" s="1"/>
  <c r="C1262" i="4"/>
  <c r="C1270" i="4"/>
  <c r="C1278" i="4"/>
  <c r="C1286" i="4"/>
  <c r="C1294" i="4"/>
  <c r="I1294" i="4" s="1"/>
  <c r="C1302" i="4"/>
  <c r="C1310" i="4"/>
  <c r="C1318" i="4"/>
  <c r="I1318" i="4" s="1"/>
  <c r="C1326" i="4"/>
  <c r="C1334" i="4"/>
  <c r="C1342" i="4"/>
  <c r="C1350" i="4"/>
  <c r="C1358" i="4"/>
  <c r="I1358" i="4" s="1"/>
  <c r="C1366" i="4"/>
  <c r="C1374" i="4"/>
  <c r="C1382" i="4"/>
  <c r="I1382" i="4" s="1"/>
  <c r="C1390" i="4"/>
  <c r="C1398" i="4"/>
  <c r="C1406" i="4"/>
  <c r="C1414" i="4"/>
  <c r="C1422" i="4"/>
  <c r="C1430" i="4"/>
  <c r="C1438" i="4"/>
  <c r="C1446" i="4"/>
  <c r="I1446" i="4" s="1"/>
  <c r="C1454" i="4"/>
  <c r="C1462" i="4"/>
  <c r="C1470" i="4"/>
  <c r="C1478" i="4"/>
  <c r="C1486" i="4"/>
  <c r="I1486" i="4" s="1"/>
  <c r="C1494" i="4"/>
  <c r="C1502" i="4"/>
  <c r="C1510" i="4"/>
  <c r="I1510" i="4" s="1"/>
  <c r="C1518" i="4"/>
  <c r="C1526" i="4"/>
  <c r="C1534" i="4"/>
  <c r="C1542" i="4"/>
  <c r="C1550" i="4"/>
  <c r="I1550" i="4" s="1"/>
  <c r="C1558" i="4"/>
  <c r="E1260" i="4"/>
  <c r="D1173" i="4"/>
  <c r="D1237" i="4"/>
  <c r="D1301" i="4"/>
  <c r="D1365" i="4"/>
  <c r="D1429" i="4"/>
  <c r="D1493" i="4"/>
  <c r="D1557" i="4"/>
  <c r="C1133" i="4"/>
  <c r="C1141" i="4"/>
  <c r="C1149" i="4"/>
  <c r="C1157" i="4"/>
  <c r="C1165" i="4"/>
  <c r="C1173" i="4"/>
  <c r="C1181" i="4"/>
  <c r="C1189" i="4"/>
  <c r="C1197" i="4"/>
  <c r="C1205" i="4"/>
  <c r="C1213" i="4"/>
  <c r="C1221" i="4"/>
  <c r="C1229" i="4"/>
  <c r="C1237" i="4"/>
  <c r="C1245" i="4"/>
  <c r="I1245" i="4" s="1"/>
  <c r="C1253" i="4"/>
  <c r="C1261" i="4"/>
  <c r="C1269" i="4"/>
  <c r="I1269" i="4" s="1"/>
  <c r="C1277" i="4"/>
  <c r="C1285" i="4"/>
  <c r="C1293" i="4"/>
  <c r="C1301" i="4"/>
  <c r="C1309" i="4"/>
  <c r="I1309" i="4" s="1"/>
  <c r="C1317" i="4"/>
  <c r="C1325" i="4"/>
  <c r="C1333" i="4"/>
  <c r="I1333" i="4" s="1"/>
  <c r="C1341" i="4"/>
  <c r="C1349" i="4"/>
  <c r="C1357" i="4"/>
  <c r="C1365" i="4"/>
  <c r="C1373" i="4"/>
  <c r="I1373" i="4" s="1"/>
  <c r="C1381" i="4"/>
  <c r="C1389" i="4"/>
  <c r="C1397" i="4"/>
  <c r="I1397" i="4" s="1"/>
  <c r="C1405" i="4"/>
  <c r="C1413" i="4"/>
  <c r="C1421" i="4"/>
  <c r="C1429" i="4"/>
  <c r="C1437" i="4"/>
  <c r="I1437" i="4" s="1"/>
  <c r="C1445" i="4"/>
  <c r="C1453" i="4"/>
  <c r="C1461" i="4"/>
  <c r="I1461" i="4" s="1"/>
  <c r="C1469" i="4"/>
  <c r="C1477" i="4"/>
  <c r="C1485" i="4"/>
  <c r="C1493" i="4"/>
  <c r="C1501" i="4"/>
  <c r="I1501" i="4" s="1"/>
  <c r="C1509" i="4"/>
  <c r="C1517" i="4"/>
  <c r="I1517" i="4" s="1"/>
  <c r="C1525" i="4"/>
  <c r="I1525" i="4" s="1"/>
  <c r="C1533" i="4"/>
  <c r="C1541" i="4"/>
  <c r="C1549" i="4"/>
  <c r="I1549" i="4" s="1"/>
  <c r="C1557" i="4"/>
  <c r="E1196" i="4"/>
  <c r="E1556" i="4"/>
  <c r="D1165" i="4"/>
  <c r="D1229" i="4"/>
  <c r="D1293" i="4"/>
  <c r="D1357" i="4"/>
  <c r="D1421" i="4"/>
  <c r="D1485" i="4"/>
  <c r="D1549" i="4"/>
  <c r="C1132" i="4"/>
  <c r="C1140" i="4"/>
  <c r="C1148" i="4"/>
  <c r="C1156" i="4"/>
  <c r="C1164" i="4"/>
  <c r="C1172" i="4"/>
  <c r="C1180" i="4"/>
  <c r="C1188" i="4"/>
  <c r="C1196" i="4"/>
  <c r="C1204" i="4"/>
  <c r="C1212" i="4"/>
  <c r="I1212" i="4" s="1"/>
  <c r="C1220" i="4"/>
  <c r="C1228" i="4"/>
  <c r="C1236" i="4"/>
  <c r="C1244" i="4"/>
  <c r="C1252" i="4"/>
  <c r="I1252" i="4" s="1"/>
  <c r="C1260" i="4"/>
  <c r="C1268" i="4"/>
  <c r="C1276" i="4"/>
  <c r="I1276" i="4" s="1"/>
  <c r="C1284" i="4"/>
  <c r="C1292" i="4"/>
  <c r="C1300" i="4"/>
  <c r="C1308" i="4"/>
  <c r="C1316" i="4"/>
  <c r="I1316" i="4" s="1"/>
  <c r="C1324" i="4"/>
  <c r="C1332" i="4"/>
  <c r="C1340" i="4"/>
  <c r="I1340" i="4" s="1"/>
  <c r="C1348" i="4"/>
  <c r="C1356" i="4"/>
  <c r="C1364" i="4"/>
  <c r="C1372" i="4"/>
  <c r="C1380" i="4"/>
  <c r="I1380" i="4" s="1"/>
  <c r="C1388" i="4"/>
  <c r="C1396" i="4"/>
  <c r="C1404" i="4"/>
  <c r="I1404" i="4" s="1"/>
  <c r="C1412" i="4"/>
  <c r="C1420" i="4"/>
  <c r="C1428" i="4"/>
  <c r="C1436" i="4"/>
  <c r="C1444" i="4"/>
  <c r="I1444" i="4" s="1"/>
  <c r="C1452" i="4"/>
  <c r="C1460" i="4"/>
  <c r="C1468" i="4"/>
  <c r="I1468" i="4" s="1"/>
  <c r="C1476" i="4"/>
  <c r="C1484" i="4"/>
  <c r="C1492" i="4"/>
  <c r="C1500" i="4"/>
  <c r="C1508" i="4"/>
  <c r="I1508" i="4" s="1"/>
  <c r="C1516" i="4"/>
  <c r="C1524" i="4"/>
  <c r="C1532" i="4"/>
  <c r="I1532" i="4" s="1"/>
  <c r="C1540" i="4"/>
  <c r="C1548" i="4"/>
  <c r="C1556" i="4"/>
  <c r="E1132" i="4"/>
  <c r="E1536" i="4"/>
  <c r="D1157" i="4"/>
  <c r="D1221" i="4"/>
  <c r="D1285" i="4"/>
  <c r="D1349" i="4"/>
  <c r="D1413" i="4"/>
  <c r="D1477" i="4"/>
  <c r="D1541" i="4"/>
  <c r="C1131" i="4"/>
  <c r="C1139" i="4"/>
  <c r="C1147" i="4"/>
  <c r="C1155" i="4"/>
  <c r="C1163" i="4"/>
  <c r="C1171" i="4"/>
  <c r="C1179" i="4"/>
  <c r="C1187" i="4"/>
  <c r="C1195" i="4"/>
  <c r="C1203" i="4"/>
  <c r="C1211" i="4"/>
  <c r="C1219" i="4"/>
  <c r="I1219" i="4" s="1"/>
  <c r="C1227" i="4"/>
  <c r="C1235" i="4"/>
  <c r="C1243" i="4"/>
  <c r="C1251" i="4"/>
  <c r="C1259" i="4"/>
  <c r="C1267" i="4"/>
  <c r="C1275" i="4"/>
  <c r="C1283" i="4"/>
  <c r="I1283" i="4" s="1"/>
  <c r="C1291" i="4"/>
  <c r="C1299" i="4"/>
  <c r="C1307" i="4"/>
  <c r="C1315" i="4"/>
  <c r="C1323" i="4"/>
  <c r="C1331" i="4"/>
  <c r="C1339" i="4"/>
  <c r="C1347" i="4"/>
  <c r="I1347" i="4" s="1"/>
  <c r="C1355" i="4"/>
  <c r="C1363" i="4"/>
  <c r="C1371" i="4"/>
  <c r="C1379" i="4"/>
  <c r="C1387" i="4"/>
  <c r="C1395" i="4"/>
  <c r="C1403" i="4"/>
  <c r="C1411" i="4"/>
  <c r="I1411" i="4" s="1"/>
  <c r="C1419" i="4"/>
  <c r="C1427" i="4"/>
  <c r="C1435" i="4"/>
  <c r="C1443" i="4"/>
  <c r="C1451" i="4"/>
  <c r="C1459" i="4"/>
  <c r="C1467" i="4"/>
  <c r="C1475" i="4"/>
  <c r="C1483" i="4"/>
  <c r="C1491" i="4"/>
  <c r="C1499" i="4"/>
  <c r="C1507" i="4"/>
  <c r="C1515" i="4"/>
  <c r="I1515" i="4" s="1"/>
  <c r="C1523" i="4"/>
  <c r="C1531" i="4"/>
  <c r="C1539" i="4"/>
  <c r="C1547" i="4"/>
  <c r="C1555" i="4"/>
  <c r="C1563" i="4"/>
  <c r="E1515" i="4"/>
  <c r="D1149" i="4"/>
  <c r="D1213" i="4"/>
  <c r="D1277" i="4"/>
  <c r="D1341" i="4"/>
  <c r="D1405" i="4"/>
  <c r="D1469" i="4"/>
  <c r="D1533" i="4"/>
  <c r="C1130" i="4"/>
  <c r="C1138" i="4"/>
  <c r="C1146" i="4"/>
  <c r="C1154" i="4"/>
  <c r="C1162" i="4"/>
  <c r="C1170" i="4"/>
  <c r="C1178" i="4"/>
  <c r="C1186" i="4"/>
  <c r="C1194" i="4"/>
  <c r="C1202" i="4"/>
  <c r="C1210" i="4"/>
  <c r="C1218" i="4"/>
  <c r="C1226" i="4"/>
  <c r="I1226" i="4" s="1"/>
  <c r="C1234" i="4"/>
  <c r="C1242" i="4"/>
  <c r="C1250" i="4"/>
  <c r="C1258" i="4"/>
  <c r="C1266" i="4"/>
  <c r="C1274" i="4"/>
  <c r="C1282" i="4"/>
  <c r="C1290" i="4"/>
  <c r="I1290" i="4" s="1"/>
  <c r="C1298" i="4"/>
  <c r="C1306" i="4"/>
  <c r="C1314" i="4"/>
  <c r="C1322" i="4"/>
  <c r="C1330" i="4"/>
  <c r="C1338" i="4"/>
  <c r="C1346" i="4"/>
  <c r="C1354" i="4"/>
  <c r="I1354" i="4" s="1"/>
  <c r="C1362" i="4"/>
  <c r="C1370" i="4"/>
  <c r="C1378" i="4"/>
  <c r="C1386" i="4"/>
  <c r="C1394" i="4"/>
  <c r="C1402" i="4"/>
  <c r="C1410" i="4"/>
  <c r="C1418" i="4"/>
  <c r="C1426" i="4"/>
  <c r="C1434" i="4"/>
  <c r="C1442" i="4"/>
  <c r="C1450" i="4"/>
  <c r="C1458" i="4"/>
  <c r="I1458" i="4" s="1"/>
  <c r="C1466" i="4"/>
  <c r="C1474" i="4"/>
  <c r="C1482" i="4"/>
  <c r="C1490" i="4"/>
  <c r="C1498" i="4"/>
  <c r="C1506" i="4"/>
  <c r="C1514" i="4"/>
  <c r="C1522" i="4"/>
  <c r="C1530" i="4"/>
  <c r="C1538" i="4"/>
  <c r="C1546" i="4"/>
  <c r="I1546" i="4" s="1"/>
  <c r="C1554" i="4"/>
  <c r="C1562" i="4"/>
  <c r="E1492" i="4"/>
  <c r="D1141" i="4"/>
  <c r="D1205" i="4"/>
  <c r="D1269" i="4"/>
  <c r="D1333" i="4"/>
  <c r="D1397" i="4"/>
  <c r="D1461" i="4"/>
  <c r="D1525" i="4"/>
  <c r="C1129" i="4"/>
  <c r="C1137" i="4"/>
  <c r="C1145" i="4"/>
  <c r="C1153" i="4"/>
  <c r="C1161" i="4"/>
  <c r="C1169" i="4"/>
  <c r="C1177" i="4"/>
  <c r="C1185" i="4"/>
  <c r="C1193" i="4"/>
  <c r="C1201" i="4"/>
  <c r="C1209" i="4"/>
  <c r="C1217" i="4"/>
  <c r="C1225" i="4"/>
  <c r="C1233" i="4"/>
  <c r="C1241" i="4"/>
  <c r="C1249" i="4"/>
  <c r="C1257" i="4"/>
  <c r="C1265" i="4"/>
  <c r="C1273" i="4"/>
  <c r="C1281" i="4"/>
  <c r="C1289" i="4"/>
  <c r="C1297" i="4"/>
  <c r="C1305" i="4"/>
  <c r="C1313" i="4"/>
  <c r="C1321" i="4"/>
  <c r="C1329" i="4"/>
  <c r="C1337" i="4"/>
  <c r="C1345" i="4"/>
  <c r="C1353" i="4"/>
  <c r="C1361" i="4"/>
  <c r="C1369" i="4"/>
  <c r="C1377" i="4"/>
  <c r="C1385" i="4"/>
  <c r="C1393" i="4"/>
  <c r="C1401" i="4"/>
  <c r="C1409" i="4"/>
  <c r="C1417" i="4"/>
  <c r="C1425" i="4"/>
  <c r="C1433" i="4"/>
  <c r="C1441" i="4"/>
  <c r="C1449" i="4"/>
  <c r="C1457" i="4"/>
  <c r="C1465" i="4"/>
  <c r="C1473" i="4"/>
  <c r="C1481" i="4"/>
  <c r="C1489" i="4"/>
  <c r="C1497" i="4"/>
  <c r="C1505" i="4"/>
  <c r="C1513" i="4"/>
  <c r="C1521" i="4"/>
  <c r="C1529" i="4"/>
  <c r="C1537" i="4"/>
  <c r="C1545" i="4"/>
  <c r="C1553" i="4"/>
  <c r="C1561" i="4"/>
  <c r="E1452" i="4"/>
  <c r="D1133" i="4"/>
  <c r="D1197" i="4"/>
  <c r="D1261" i="4"/>
  <c r="D1325" i="4"/>
  <c r="D1389" i="4"/>
  <c r="D1453" i="4"/>
  <c r="D1517" i="4"/>
  <c r="C1128" i="4"/>
  <c r="C1136" i="4"/>
  <c r="C1144" i="4"/>
  <c r="C1152" i="4"/>
  <c r="C1160" i="4"/>
  <c r="C1168" i="4"/>
  <c r="C1176" i="4"/>
  <c r="C1184" i="4"/>
  <c r="C1192" i="4"/>
  <c r="C1200" i="4"/>
  <c r="C1208" i="4"/>
  <c r="C1216" i="4"/>
  <c r="C1224" i="4"/>
  <c r="C1232" i="4"/>
  <c r="C1240" i="4"/>
  <c r="I1240" i="4" s="1"/>
  <c r="C1248" i="4"/>
  <c r="C1256" i="4"/>
  <c r="C1264" i="4"/>
  <c r="C1272" i="4"/>
  <c r="C1280" i="4"/>
  <c r="I1280" i="4" s="1"/>
  <c r="C1288" i="4"/>
  <c r="C1296" i="4"/>
  <c r="C1304" i="4"/>
  <c r="I1304" i="4" s="1"/>
  <c r="C1312" i="4"/>
  <c r="C1320" i="4"/>
  <c r="C1328" i="4"/>
  <c r="C1336" i="4"/>
  <c r="C1344" i="4"/>
  <c r="I1344" i="4" s="1"/>
  <c r="C1352" i="4"/>
  <c r="C1360" i="4"/>
  <c r="C1368" i="4"/>
  <c r="I1368" i="4" s="1"/>
  <c r="C1376" i="4"/>
  <c r="C1384" i="4"/>
  <c r="C1392" i="4"/>
  <c r="C1400" i="4"/>
  <c r="C1408" i="4"/>
  <c r="I1408" i="4" s="1"/>
  <c r="C1416" i="4"/>
  <c r="C1424" i="4"/>
  <c r="C1432" i="4"/>
  <c r="I1432" i="4" s="1"/>
  <c r="C1440" i="4"/>
  <c r="C1448" i="4"/>
  <c r="C1456" i="4"/>
  <c r="C1464" i="4"/>
  <c r="C1472" i="4"/>
  <c r="I1472" i="4" s="1"/>
  <c r="C1480" i="4"/>
  <c r="C1488" i="4"/>
  <c r="C1496" i="4"/>
  <c r="I1496" i="4" s="1"/>
  <c r="C1504" i="4"/>
  <c r="C1512" i="4"/>
  <c r="C1520" i="4"/>
  <c r="C1528" i="4"/>
  <c r="C1536" i="4"/>
  <c r="C1544" i="4"/>
  <c r="C1552" i="4"/>
  <c r="C1560" i="4"/>
  <c r="I1560" i="4" s="1"/>
  <c r="F1118" i="4"/>
  <c r="E1118" i="4"/>
  <c r="D1118" i="4"/>
  <c r="C1118" i="4"/>
  <c r="F1110" i="4"/>
  <c r="E1110" i="4"/>
  <c r="D1110" i="4"/>
  <c r="C1110" i="4"/>
  <c r="F1102" i="4"/>
  <c r="E1102" i="4"/>
  <c r="D1102" i="4"/>
  <c r="C1102" i="4"/>
  <c r="F1094" i="4"/>
  <c r="E1094" i="4"/>
  <c r="D1094" i="4"/>
  <c r="C1094" i="4"/>
  <c r="F1086" i="4"/>
  <c r="E1086" i="4"/>
  <c r="D1086" i="4"/>
  <c r="C1086" i="4"/>
  <c r="F1078" i="4"/>
  <c r="E1078" i="4"/>
  <c r="D1078" i="4"/>
  <c r="C1078" i="4"/>
  <c r="F1070" i="4"/>
  <c r="E1070" i="4"/>
  <c r="D1070" i="4"/>
  <c r="C1070" i="4"/>
  <c r="F1062" i="4"/>
  <c r="E1062" i="4"/>
  <c r="D1062" i="4"/>
  <c r="C1062" i="4"/>
  <c r="F1054" i="4"/>
  <c r="E1054" i="4"/>
  <c r="D1054" i="4"/>
  <c r="C1054" i="4"/>
  <c r="F1046" i="4"/>
  <c r="E1046" i="4"/>
  <c r="D1046" i="4"/>
  <c r="C1046" i="4"/>
  <c r="F1038" i="4"/>
  <c r="E1038" i="4"/>
  <c r="D1038" i="4"/>
  <c r="C1038" i="4"/>
  <c r="F1030" i="4"/>
  <c r="E1030" i="4"/>
  <c r="D1030" i="4"/>
  <c r="C1030" i="4"/>
  <c r="F1022" i="4"/>
  <c r="E1022" i="4"/>
  <c r="D1022" i="4"/>
  <c r="C1022" i="4"/>
  <c r="F1014" i="4"/>
  <c r="E1014" i="4"/>
  <c r="D1014" i="4"/>
  <c r="C1014" i="4"/>
  <c r="F1006" i="4"/>
  <c r="E1006" i="4"/>
  <c r="D1006" i="4"/>
  <c r="C1006" i="4"/>
  <c r="F998" i="4"/>
  <c r="E998" i="4"/>
  <c r="D998" i="4"/>
  <c r="C998" i="4"/>
  <c r="F990" i="4"/>
  <c r="E990" i="4"/>
  <c r="D990" i="4"/>
  <c r="C990" i="4"/>
  <c r="F982" i="4"/>
  <c r="E982" i="4"/>
  <c r="D982" i="4"/>
  <c r="C982" i="4"/>
  <c r="F974" i="4"/>
  <c r="E974" i="4"/>
  <c r="D974" i="4"/>
  <c r="C974" i="4"/>
  <c r="F966" i="4"/>
  <c r="E966" i="4"/>
  <c r="D966" i="4"/>
  <c r="C966" i="4"/>
  <c r="F958" i="4"/>
  <c r="E958" i="4"/>
  <c r="D958" i="4"/>
  <c r="C958" i="4"/>
  <c r="F950" i="4"/>
  <c r="E950" i="4"/>
  <c r="D950" i="4"/>
  <c r="C950" i="4"/>
  <c r="F942" i="4"/>
  <c r="E942" i="4"/>
  <c r="D942" i="4"/>
  <c r="C942" i="4"/>
  <c r="F934" i="4"/>
  <c r="E934" i="4"/>
  <c r="D934" i="4"/>
  <c r="C934" i="4"/>
  <c r="F926" i="4"/>
  <c r="E926" i="4"/>
  <c r="D926" i="4"/>
  <c r="C926" i="4"/>
  <c r="F918" i="4"/>
  <c r="E918" i="4"/>
  <c r="D918" i="4"/>
  <c r="C918" i="4"/>
  <c r="F910" i="4"/>
  <c r="E910" i="4"/>
  <c r="D910" i="4"/>
  <c r="C910" i="4"/>
  <c r="F902" i="4"/>
  <c r="E902" i="4"/>
  <c r="D902" i="4"/>
  <c r="C902" i="4"/>
  <c r="F894" i="4"/>
  <c r="E894" i="4"/>
  <c r="C894" i="4"/>
  <c r="D894" i="4"/>
  <c r="F886" i="4"/>
  <c r="E886" i="4"/>
  <c r="D886" i="4"/>
  <c r="C886" i="4"/>
  <c r="F878" i="4"/>
  <c r="E878" i="4"/>
  <c r="C878" i="4"/>
  <c r="D878" i="4"/>
  <c r="F870" i="4"/>
  <c r="E870" i="4"/>
  <c r="D870" i="4"/>
  <c r="C870" i="4"/>
  <c r="F862" i="4"/>
  <c r="E862" i="4"/>
  <c r="C862" i="4"/>
  <c r="D862" i="4"/>
  <c r="F854" i="4"/>
  <c r="E854" i="4"/>
  <c r="D854" i="4"/>
  <c r="C854" i="4"/>
  <c r="F846" i="4"/>
  <c r="E846" i="4"/>
  <c r="C846" i="4"/>
  <c r="D846" i="4"/>
  <c r="F838" i="4"/>
  <c r="E838" i="4"/>
  <c r="D838" i="4"/>
  <c r="C838" i="4"/>
  <c r="F830" i="4"/>
  <c r="E830" i="4"/>
  <c r="C830" i="4"/>
  <c r="D830" i="4"/>
  <c r="F822" i="4"/>
  <c r="E822" i="4"/>
  <c r="D822" i="4"/>
  <c r="C822" i="4"/>
  <c r="F814" i="4"/>
  <c r="E814" i="4"/>
  <c r="C814" i="4"/>
  <c r="D814" i="4"/>
  <c r="F806" i="4"/>
  <c r="E806" i="4"/>
  <c r="D806" i="4"/>
  <c r="C806" i="4"/>
  <c r="F798" i="4"/>
  <c r="E798" i="4"/>
  <c r="C798" i="4"/>
  <c r="D798" i="4"/>
  <c r="F790" i="4"/>
  <c r="E790" i="4"/>
  <c r="D790" i="4"/>
  <c r="C790" i="4"/>
  <c r="F782" i="4"/>
  <c r="E782" i="4"/>
  <c r="C782" i="4"/>
  <c r="D782" i="4"/>
  <c r="F774" i="4"/>
  <c r="E774" i="4"/>
  <c r="D774" i="4"/>
  <c r="C774" i="4"/>
  <c r="F766" i="4"/>
  <c r="E766" i="4"/>
  <c r="C766" i="4"/>
  <c r="D766" i="4"/>
  <c r="F758" i="4"/>
  <c r="E758" i="4"/>
  <c r="D758" i="4"/>
  <c r="C758" i="4"/>
  <c r="F750" i="4"/>
  <c r="E750" i="4"/>
  <c r="C750" i="4"/>
  <c r="D750" i="4"/>
  <c r="F742" i="4"/>
  <c r="E742" i="4"/>
  <c r="D742" i="4"/>
  <c r="C742" i="4"/>
  <c r="F734" i="4"/>
  <c r="E734" i="4"/>
  <c r="C734" i="4"/>
  <c r="D734" i="4"/>
  <c r="F726" i="4"/>
  <c r="E726" i="4"/>
  <c r="D726" i="4"/>
  <c r="C726" i="4"/>
  <c r="F718" i="4"/>
  <c r="E718" i="4"/>
  <c r="C718" i="4"/>
  <c r="D718" i="4"/>
  <c r="F710" i="4"/>
  <c r="E710" i="4"/>
  <c r="D710" i="4"/>
  <c r="C710" i="4"/>
  <c r="F702" i="4"/>
  <c r="E702" i="4"/>
  <c r="C702" i="4"/>
  <c r="D702" i="4"/>
  <c r="F694" i="4"/>
  <c r="E694" i="4"/>
  <c r="D694" i="4"/>
  <c r="C694" i="4"/>
  <c r="F686" i="4"/>
  <c r="E686" i="4"/>
  <c r="C686" i="4"/>
  <c r="D686" i="4"/>
  <c r="F678" i="4"/>
  <c r="E678" i="4"/>
  <c r="D678" i="4"/>
  <c r="C678" i="4"/>
  <c r="F670" i="4"/>
  <c r="E670" i="4"/>
  <c r="C670" i="4"/>
  <c r="D670" i="4"/>
  <c r="F662" i="4"/>
  <c r="E662" i="4"/>
  <c r="D662" i="4"/>
  <c r="C662" i="4"/>
  <c r="F654" i="4"/>
  <c r="E654" i="4"/>
  <c r="C654" i="4"/>
  <c r="D654" i="4"/>
  <c r="F646" i="4"/>
  <c r="E646" i="4"/>
  <c r="D646" i="4"/>
  <c r="C646" i="4"/>
  <c r="F638" i="4"/>
  <c r="E638" i="4"/>
  <c r="C638" i="4"/>
  <c r="D638" i="4"/>
  <c r="F630" i="4"/>
  <c r="E630" i="4"/>
  <c r="D630" i="4"/>
  <c r="C630" i="4"/>
  <c r="F622" i="4"/>
  <c r="E622" i="4"/>
  <c r="C622" i="4"/>
  <c r="D622" i="4"/>
  <c r="F614" i="4"/>
  <c r="E614" i="4"/>
  <c r="D614" i="4"/>
  <c r="C614" i="4"/>
  <c r="F606" i="4"/>
  <c r="E606" i="4"/>
  <c r="C606" i="4"/>
  <c r="D606" i="4"/>
  <c r="F598" i="4"/>
  <c r="E598" i="4"/>
  <c r="D598" i="4"/>
  <c r="C598" i="4"/>
  <c r="F590" i="4"/>
  <c r="E590" i="4"/>
  <c r="C590" i="4"/>
  <c r="D590" i="4"/>
  <c r="F582" i="4"/>
  <c r="E582" i="4"/>
  <c r="D582" i="4"/>
  <c r="C582" i="4"/>
  <c r="F574" i="4"/>
  <c r="E574" i="4"/>
  <c r="C574" i="4"/>
  <c r="D574" i="4"/>
  <c r="F566" i="4"/>
  <c r="E566" i="4"/>
  <c r="D566" i="4"/>
  <c r="C566" i="4"/>
  <c r="F558" i="4"/>
  <c r="E558" i="4"/>
  <c r="D558" i="4"/>
  <c r="C558" i="4"/>
  <c r="F550" i="4"/>
  <c r="E550" i="4"/>
  <c r="C550" i="4"/>
  <c r="D550" i="4"/>
  <c r="F542" i="4"/>
  <c r="E542" i="4"/>
  <c r="D542" i="4"/>
  <c r="C542" i="4"/>
  <c r="F534" i="4"/>
  <c r="E534" i="4"/>
  <c r="C534" i="4"/>
  <c r="D534" i="4"/>
  <c r="F526" i="4"/>
  <c r="E526" i="4"/>
  <c r="D526" i="4"/>
  <c r="C526" i="4"/>
  <c r="F518" i="4"/>
  <c r="E518" i="4"/>
  <c r="D518" i="4"/>
  <c r="C518" i="4"/>
  <c r="F510" i="4"/>
  <c r="E510" i="4"/>
  <c r="C510" i="4"/>
  <c r="D510" i="4"/>
  <c r="F502" i="4"/>
  <c r="E502" i="4"/>
  <c r="D502" i="4"/>
  <c r="C502" i="4"/>
  <c r="F494" i="4"/>
  <c r="E494" i="4"/>
  <c r="D494" i="4"/>
  <c r="C494" i="4"/>
  <c r="F486" i="4"/>
  <c r="E486" i="4"/>
  <c r="C486" i="4"/>
  <c r="D486" i="4"/>
  <c r="F478" i="4"/>
  <c r="E478" i="4"/>
  <c r="D478" i="4"/>
  <c r="C478" i="4"/>
  <c r="F470" i="4"/>
  <c r="E470" i="4"/>
  <c r="C470" i="4"/>
  <c r="D470" i="4"/>
  <c r="F462" i="4"/>
  <c r="D462" i="4"/>
  <c r="E462" i="4"/>
  <c r="C462" i="4"/>
  <c r="F454" i="4"/>
  <c r="E454" i="4"/>
  <c r="D454" i="4"/>
  <c r="C454" i="4"/>
  <c r="F446" i="4"/>
  <c r="E446" i="4"/>
  <c r="C446" i="4"/>
  <c r="D446" i="4"/>
  <c r="F438" i="4"/>
  <c r="E438" i="4"/>
  <c r="D438" i="4"/>
  <c r="C438" i="4"/>
  <c r="F430" i="4"/>
  <c r="E430" i="4"/>
  <c r="D430" i="4"/>
  <c r="C430" i="4"/>
  <c r="F422" i="4"/>
  <c r="E422" i="4"/>
  <c r="C422" i="4"/>
  <c r="D422" i="4"/>
  <c r="E414" i="4"/>
  <c r="F414" i="4"/>
  <c r="D414" i="4"/>
  <c r="C414" i="4"/>
  <c r="E406" i="4"/>
  <c r="F406" i="4"/>
  <c r="C406" i="4"/>
  <c r="D406" i="4"/>
  <c r="E398" i="4"/>
  <c r="F398" i="4"/>
  <c r="D398" i="4"/>
  <c r="C398" i="4"/>
  <c r="E390" i="4"/>
  <c r="F390" i="4"/>
  <c r="D390" i="4"/>
  <c r="C390" i="4"/>
  <c r="E382" i="4"/>
  <c r="F382" i="4"/>
  <c r="C382" i="4"/>
  <c r="D382" i="4"/>
  <c r="E374" i="4"/>
  <c r="F374" i="4"/>
  <c r="D374" i="4"/>
  <c r="C374" i="4"/>
  <c r="E366" i="4"/>
  <c r="F366" i="4"/>
  <c r="D366" i="4"/>
  <c r="C366" i="4"/>
  <c r="E358" i="4"/>
  <c r="F358" i="4"/>
  <c r="C358" i="4"/>
  <c r="D358" i="4"/>
  <c r="E350" i="4"/>
  <c r="F350" i="4"/>
  <c r="D350" i="4"/>
  <c r="C350" i="4"/>
  <c r="E342" i="4"/>
  <c r="F342" i="4"/>
  <c r="C342" i="4"/>
  <c r="D342" i="4"/>
  <c r="E334" i="4"/>
  <c r="F334" i="4"/>
  <c r="D334" i="4"/>
  <c r="C334" i="4"/>
  <c r="E326" i="4"/>
  <c r="F326" i="4"/>
  <c r="D326" i="4"/>
  <c r="C326" i="4"/>
  <c r="E318" i="4"/>
  <c r="F318" i="4"/>
  <c r="C318" i="4"/>
  <c r="D318" i="4"/>
  <c r="E310" i="4"/>
  <c r="F310" i="4"/>
  <c r="D310" i="4"/>
  <c r="C310" i="4"/>
  <c r="E302" i="4"/>
  <c r="F302" i="4"/>
  <c r="D302" i="4"/>
  <c r="C302" i="4"/>
  <c r="E294" i="4"/>
  <c r="F294" i="4"/>
  <c r="C294" i="4"/>
  <c r="D294" i="4"/>
  <c r="E286" i="4"/>
  <c r="F286" i="4"/>
  <c r="D286" i="4"/>
  <c r="C286" i="4"/>
  <c r="E278" i="4"/>
  <c r="F278" i="4"/>
  <c r="C278" i="4"/>
  <c r="D278" i="4"/>
  <c r="E270" i="4"/>
  <c r="F270" i="4"/>
  <c r="D270" i="4"/>
  <c r="C270" i="4"/>
  <c r="E262" i="4"/>
  <c r="F262" i="4"/>
  <c r="D262" i="4"/>
  <c r="C262" i="4"/>
  <c r="E254" i="4"/>
  <c r="F254" i="4"/>
  <c r="C254" i="4"/>
  <c r="D254" i="4"/>
  <c r="E246" i="4"/>
  <c r="F246" i="4"/>
  <c r="D246" i="4"/>
  <c r="C246" i="4"/>
  <c r="E238" i="4"/>
  <c r="F238" i="4"/>
  <c r="D238" i="4"/>
  <c r="C238" i="4"/>
  <c r="E230" i="4"/>
  <c r="F230" i="4"/>
  <c r="C230" i="4"/>
  <c r="D230" i="4"/>
  <c r="E222" i="4"/>
  <c r="F222" i="4"/>
  <c r="D222" i="4"/>
  <c r="C222" i="4"/>
  <c r="E214" i="4"/>
  <c r="F214" i="4"/>
  <c r="C214" i="4"/>
  <c r="D214" i="4"/>
  <c r="E206" i="4"/>
  <c r="F206" i="4"/>
  <c r="D206" i="4"/>
  <c r="C206" i="4"/>
  <c r="E198" i="4"/>
  <c r="F198" i="4"/>
  <c r="D198" i="4"/>
  <c r="C198" i="4"/>
  <c r="E190" i="4"/>
  <c r="F190" i="4"/>
  <c r="C190" i="4"/>
  <c r="D190" i="4"/>
  <c r="E182" i="4"/>
  <c r="F182" i="4"/>
  <c r="D182" i="4"/>
  <c r="C182" i="4"/>
  <c r="E174" i="4"/>
  <c r="F174" i="4"/>
  <c r="D174" i="4"/>
  <c r="C174" i="4"/>
  <c r="E166" i="4"/>
  <c r="F166" i="4"/>
  <c r="C166" i="4"/>
  <c r="D166" i="4"/>
  <c r="E158" i="4"/>
  <c r="F158" i="4"/>
  <c r="D158" i="4"/>
  <c r="C158" i="4"/>
  <c r="E150" i="4"/>
  <c r="F150" i="4"/>
  <c r="C150" i="4"/>
  <c r="D150" i="4"/>
  <c r="E142" i="4"/>
  <c r="F142" i="4"/>
  <c r="D142" i="4"/>
  <c r="C142" i="4"/>
  <c r="E134" i="4"/>
  <c r="F134" i="4"/>
  <c r="D134" i="4"/>
  <c r="C134" i="4"/>
  <c r="E126" i="4"/>
  <c r="F126" i="4"/>
  <c r="C126" i="4"/>
  <c r="D126" i="4"/>
  <c r="E118" i="4"/>
  <c r="F118" i="4"/>
  <c r="D118" i="4"/>
  <c r="C118" i="4"/>
  <c r="E110" i="4"/>
  <c r="F110" i="4"/>
  <c r="D110" i="4"/>
  <c r="C110" i="4"/>
  <c r="E102" i="4"/>
  <c r="F102" i="4"/>
  <c r="C102" i="4"/>
  <c r="D102" i="4"/>
  <c r="E94" i="4"/>
  <c r="F94" i="4"/>
  <c r="D94" i="4"/>
  <c r="C94" i="4"/>
  <c r="E86" i="4"/>
  <c r="F86" i="4"/>
  <c r="C86" i="4"/>
  <c r="D86" i="4"/>
  <c r="E78" i="4"/>
  <c r="F78" i="4"/>
  <c r="D78" i="4"/>
  <c r="C78" i="4"/>
  <c r="E70" i="4"/>
  <c r="F70" i="4"/>
  <c r="D70" i="4"/>
  <c r="C70" i="4"/>
  <c r="E62" i="4"/>
  <c r="F62" i="4"/>
  <c r="C62" i="4"/>
  <c r="D62" i="4"/>
  <c r="E54" i="4"/>
  <c r="F54" i="4"/>
  <c r="D54" i="4"/>
  <c r="C54" i="4"/>
  <c r="E46" i="4"/>
  <c r="F46" i="4"/>
  <c r="D46" i="4"/>
  <c r="C46" i="4"/>
  <c r="E38" i="4"/>
  <c r="F38" i="4"/>
  <c r="C38" i="4"/>
  <c r="D38" i="4"/>
  <c r="E30" i="4"/>
  <c r="F30" i="4"/>
  <c r="D30" i="4"/>
  <c r="C30" i="4"/>
  <c r="E22" i="4"/>
  <c r="F22" i="4"/>
  <c r="C22" i="4"/>
  <c r="D22" i="4"/>
  <c r="E14" i="4"/>
  <c r="F14" i="4"/>
  <c r="D14" i="4"/>
  <c r="C14" i="4"/>
  <c r="E6" i="4"/>
  <c r="F6" i="4"/>
  <c r="D6" i="4"/>
  <c r="C6" i="4"/>
  <c r="F1119" i="4"/>
  <c r="E1119" i="4"/>
  <c r="D1119" i="4"/>
  <c r="C1119" i="4"/>
  <c r="F1111" i="4"/>
  <c r="E1111" i="4"/>
  <c r="D1111" i="4"/>
  <c r="C1111" i="4"/>
  <c r="F1103" i="4"/>
  <c r="E1103" i="4"/>
  <c r="D1103" i="4"/>
  <c r="C1103" i="4"/>
  <c r="F1095" i="4"/>
  <c r="E1095" i="4"/>
  <c r="D1095" i="4"/>
  <c r="C1095" i="4"/>
  <c r="F1087" i="4"/>
  <c r="E1087" i="4"/>
  <c r="D1087" i="4"/>
  <c r="C1087" i="4"/>
  <c r="F1079" i="4"/>
  <c r="E1079" i="4"/>
  <c r="D1079" i="4"/>
  <c r="C1079" i="4"/>
  <c r="F1071" i="4"/>
  <c r="E1071" i="4"/>
  <c r="D1071" i="4"/>
  <c r="C1071" i="4"/>
  <c r="F1063" i="4"/>
  <c r="E1063" i="4"/>
  <c r="D1063" i="4"/>
  <c r="C1063" i="4"/>
  <c r="F1055" i="4"/>
  <c r="E1055" i="4"/>
  <c r="D1055" i="4"/>
  <c r="C1055" i="4"/>
  <c r="F1047" i="4"/>
  <c r="E1047" i="4"/>
  <c r="D1047" i="4"/>
  <c r="C1047" i="4"/>
  <c r="F1039" i="4"/>
  <c r="E1039" i="4"/>
  <c r="D1039" i="4"/>
  <c r="C1039" i="4"/>
  <c r="F1031" i="4"/>
  <c r="E1031" i="4"/>
  <c r="D1031" i="4"/>
  <c r="C1031" i="4"/>
  <c r="F1023" i="4"/>
  <c r="E1023" i="4"/>
  <c r="D1023" i="4"/>
  <c r="C1023" i="4"/>
  <c r="F1015" i="4"/>
  <c r="E1015" i="4"/>
  <c r="D1015" i="4"/>
  <c r="C1015" i="4"/>
  <c r="F1007" i="4"/>
  <c r="E1007" i="4"/>
  <c r="D1007" i="4"/>
  <c r="C1007" i="4"/>
  <c r="F999" i="4"/>
  <c r="E999" i="4"/>
  <c r="D999" i="4"/>
  <c r="C999" i="4"/>
  <c r="F991" i="4"/>
  <c r="E991" i="4"/>
  <c r="D991" i="4"/>
  <c r="C991" i="4"/>
  <c r="F983" i="4"/>
  <c r="E983" i="4"/>
  <c r="D983" i="4"/>
  <c r="C983" i="4"/>
  <c r="F975" i="4"/>
  <c r="E975" i="4"/>
  <c r="D975" i="4"/>
  <c r="C975" i="4"/>
  <c r="F967" i="4"/>
  <c r="E967" i="4"/>
  <c r="D967" i="4"/>
  <c r="C967" i="4"/>
  <c r="F959" i="4"/>
  <c r="E959" i="4"/>
  <c r="D959" i="4"/>
  <c r="C959" i="4"/>
  <c r="F951" i="4"/>
  <c r="E951" i="4"/>
  <c r="D951" i="4"/>
  <c r="C951" i="4"/>
  <c r="F943" i="4"/>
  <c r="E943" i="4"/>
  <c r="D943" i="4"/>
  <c r="C943" i="4"/>
  <c r="F935" i="4"/>
  <c r="E935" i="4"/>
  <c r="D935" i="4"/>
  <c r="C935" i="4"/>
  <c r="F927" i="4"/>
  <c r="E927" i="4"/>
  <c r="D927" i="4"/>
  <c r="C927" i="4"/>
  <c r="F919" i="4"/>
  <c r="E919" i="4"/>
  <c r="D919" i="4"/>
  <c r="C919" i="4"/>
  <c r="F911" i="4"/>
  <c r="D911" i="4"/>
  <c r="E911" i="4"/>
  <c r="C911" i="4"/>
  <c r="F903" i="4"/>
  <c r="D903" i="4"/>
  <c r="E903" i="4"/>
  <c r="C903" i="4"/>
  <c r="F895" i="4"/>
  <c r="D895" i="4"/>
  <c r="E895" i="4"/>
  <c r="C895" i="4"/>
  <c r="F887" i="4"/>
  <c r="D887" i="4"/>
  <c r="E887" i="4"/>
  <c r="C887" i="4"/>
  <c r="F879" i="4"/>
  <c r="D879" i="4"/>
  <c r="E879" i="4"/>
  <c r="C879" i="4"/>
  <c r="F871" i="4"/>
  <c r="D871" i="4"/>
  <c r="E871" i="4"/>
  <c r="C871" i="4"/>
  <c r="F863" i="4"/>
  <c r="D863" i="4"/>
  <c r="E863" i="4"/>
  <c r="C863" i="4"/>
  <c r="F855" i="4"/>
  <c r="D855" i="4"/>
  <c r="E855" i="4"/>
  <c r="C855" i="4"/>
  <c r="F847" i="4"/>
  <c r="D847" i="4"/>
  <c r="E847" i="4"/>
  <c r="C847" i="4"/>
  <c r="F839" i="4"/>
  <c r="D839" i="4"/>
  <c r="E839" i="4"/>
  <c r="C839" i="4"/>
  <c r="F831" i="4"/>
  <c r="D831" i="4"/>
  <c r="E831" i="4"/>
  <c r="C831" i="4"/>
  <c r="F823" i="4"/>
  <c r="D823" i="4"/>
  <c r="E823" i="4"/>
  <c r="C823" i="4"/>
  <c r="F815" i="4"/>
  <c r="D815" i="4"/>
  <c r="E815" i="4"/>
  <c r="C815" i="4"/>
  <c r="F807" i="4"/>
  <c r="D807" i="4"/>
  <c r="E807" i="4"/>
  <c r="C807" i="4"/>
  <c r="F799" i="4"/>
  <c r="D799" i="4"/>
  <c r="E799" i="4"/>
  <c r="C799" i="4"/>
  <c r="F791" i="4"/>
  <c r="D791" i="4"/>
  <c r="E791" i="4"/>
  <c r="C791" i="4"/>
  <c r="F783" i="4"/>
  <c r="D783" i="4"/>
  <c r="E783" i="4"/>
  <c r="C783" i="4"/>
  <c r="F775" i="4"/>
  <c r="D775" i="4"/>
  <c r="E775" i="4"/>
  <c r="C775" i="4"/>
  <c r="F767" i="4"/>
  <c r="D767" i="4"/>
  <c r="E767" i="4"/>
  <c r="C767" i="4"/>
  <c r="F759" i="4"/>
  <c r="D759" i="4"/>
  <c r="E759" i="4"/>
  <c r="C759" i="4"/>
  <c r="F751" i="4"/>
  <c r="D751" i="4"/>
  <c r="E751" i="4"/>
  <c r="C751" i="4"/>
  <c r="F743" i="4"/>
  <c r="D743" i="4"/>
  <c r="E743" i="4"/>
  <c r="C743" i="4"/>
  <c r="F735" i="4"/>
  <c r="D735" i="4"/>
  <c r="E735" i="4"/>
  <c r="C735" i="4"/>
  <c r="F727" i="4"/>
  <c r="D727" i="4"/>
  <c r="E727" i="4"/>
  <c r="C727" i="4"/>
  <c r="F719" i="4"/>
  <c r="D719" i="4"/>
  <c r="E719" i="4"/>
  <c r="C719" i="4"/>
  <c r="F711" i="4"/>
  <c r="D711" i="4"/>
  <c r="E711" i="4"/>
  <c r="C711" i="4"/>
  <c r="F703" i="4"/>
  <c r="D703" i="4"/>
  <c r="E703" i="4"/>
  <c r="C703" i="4"/>
  <c r="F695" i="4"/>
  <c r="D695" i="4"/>
  <c r="E695" i="4"/>
  <c r="C695" i="4"/>
  <c r="F687" i="4"/>
  <c r="D687" i="4"/>
  <c r="E687" i="4"/>
  <c r="C687" i="4"/>
  <c r="F679" i="4"/>
  <c r="D679" i="4"/>
  <c r="E679" i="4"/>
  <c r="C679" i="4"/>
  <c r="F671" i="4"/>
  <c r="D671" i="4"/>
  <c r="E671" i="4"/>
  <c r="C671" i="4"/>
  <c r="F663" i="4"/>
  <c r="D663" i="4"/>
  <c r="E663" i="4"/>
  <c r="C663" i="4"/>
  <c r="F655" i="4"/>
  <c r="D655" i="4"/>
  <c r="E655" i="4"/>
  <c r="C655" i="4"/>
  <c r="F647" i="4"/>
  <c r="D647" i="4"/>
  <c r="E647" i="4"/>
  <c r="C647" i="4"/>
  <c r="F639" i="4"/>
  <c r="D639" i="4"/>
  <c r="E639" i="4"/>
  <c r="C639" i="4"/>
  <c r="F631" i="4"/>
  <c r="D631" i="4"/>
  <c r="E631" i="4"/>
  <c r="C631" i="4"/>
  <c r="F623" i="4"/>
  <c r="D623" i="4"/>
  <c r="E623" i="4"/>
  <c r="C623" i="4"/>
  <c r="F615" i="4"/>
  <c r="D615" i="4"/>
  <c r="E615" i="4"/>
  <c r="C615" i="4"/>
  <c r="F607" i="4"/>
  <c r="D607" i="4"/>
  <c r="E607" i="4"/>
  <c r="C607" i="4"/>
  <c r="F599" i="4"/>
  <c r="D599" i="4"/>
  <c r="E599" i="4"/>
  <c r="C599" i="4"/>
  <c r="F591" i="4"/>
  <c r="D591" i="4"/>
  <c r="E591" i="4"/>
  <c r="C591" i="4"/>
  <c r="F583" i="4"/>
  <c r="D583" i="4"/>
  <c r="E583" i="4"/>
  <c r="C583" i="4"/>
  <c r="F575" i="4"/>
  <c r="D575" i="4"/>
  <c r="E575" i="4"/>
  <c r="C575" i="4"/>
  <c r="F567" i="4"/>
  <c r="D567" i="4"/>
  <c r="E567" i="4"/>
  <c r="C567" i="4"/>
  <c r="F559" i="4"/>
  <c r="D559" i="4"/>
  <c r="E559" i="4"/>
  <c r="C559" i="4"/>
  <c r="F551" i="4"/>
  <c r="D551" i="4"/>
  <c r="E551" i="4"/>
  <c r="C551" i="4"/>
  <c r="F543" i="4"/>
  <c r="D543" i="4"/>
  <c r="E543" i="4"/>
  <c r="C543" i="4"/>
  <c r="F535" i="4"/>
  <c r="D535" i="4"/>
  <c r="E535" i="4"/>
  <c r="C535" i="4"/>
  <c r="F527" i="4"/>
  <c r="D527" i="4"/>
  <c r="E527" i="4"/>
  <c r="C527" i="4"/>
  <c r="F519" i="4"/>
  <c r="D519" i="4"/>
  <c r="E519" i="4"/>
  <c r="C519" i="4"/>
  <c r="F511" i="4"/>
  <c r="D511" i="4"/>
  <c r="E511" i="4"/>
  <c r="C511" i="4"/>
  <c r="F503" i="4"/>
  <c r="D503" i="4"/>
  <c r="E503" i="4"/>
  <c r="C503" i="4"/>
  <c r="F495" i="4"/>
  <c r="D495" i="4"/>
  <c r="E495" i="4"/>
  <c r="C495" i="4"/>
  <c r="F487" i="4"/>
  <c r="D487" i="4"/>
  <c r="E487" i="4"/>
  <c r="C487" i="4"/>
  <c r="F479" i="4"/>
  <c r="E479" i="4"/>
  <c r="D479" i="4"/>
  <c r="C479" i="4"/>
  <c r="F471" i="4"/>
  <c r="E471" i="4"/>
  <c r="D471" i="4"/>
  <c r="C471" i="4"/>
  <c r="F463" i="4"/>
  <c r="D463" i="4"/>
  <c r="E463" i="4"/>
  <c r="C463" i="4"/>
  <c r="F455" i="4"/>
  <c r="D455" i="4"/>
  <c r="E455" i="4"/>
  <c r="C455" i="4"/>
  <c r="F447" i="4"/>
  <c r="E447" i="4"/>
  <c r="D447" i="4"/>
  <c r="C447" i="4"/>
  <c r="F439" i="4"/>
  <c r="E439" i="4"/>
  <c r="D439" i="4"/>
  <c r="C439" i="4"/>
  <c r="F431" i="4"/>
  <c r="D431" i="4"/>
  <c r="E431" i="4"/>
  <c r="C431" i="4"/>
  <c r="F423" i="4"/>
  <c r="E423" i="4"/>
  <c r="D423" i="4"/>
  <c r="C423" i="4"/>
  <c r="F415" i="4"/>
  <c r="D415" i="4"/>
  <c r="E415" i="4"/>
  <c r="C415" i="4"/>
  <c r="F407" i="4"/>
  <c r="D407" i="4"/>
  <c r="E407" i="4"/>
  <c r="C407" i="4"/>
  <c r="F399" i="4"/>
  <c r="E399" i="4"/>
  <c r="D399" i="4"/>
  <c r="C399" i="4"/>
  <c r="F391" i="4"/>
  <c r="E391" i="4"/>
  <c r="D391" i="4"/>
  <c r="C391" i="4"/>
  <c r="F383" i="4"/>
  <c r="D383" i="4"/>
  <c r="E383" i="4"/>
  <c r="C383" i="4"/>
  <c r="F375" i="4"/>
  <c r="D375" i="4"/>
  <c r="E375" i="4"/>
  <c r="C375" i="4"/>
  <c r="E367" i="4"/>
  <c r="F367" i="4"/>
  <c r="D367" i="4"/>
  <c r="C367" i="4"/>
  <c r="E359" i="4"/>
  <c r="F359" i="4"/>
  <c r="D359" i="4"/>
  <c r="C359" i="4"/>
  <c r="E351" i="4"/>
  <c r="F351" i="4"/>
  <c r="D351" i="4"/>
  <c r="C351" i="4"/>
  <c r="E343" i="4"/>
  <c r="F343" i="4"/>
  <c r="D343" i="4"/>
  <c r="C343" i="4"/>
  <c r="E335" i="4"/>
  <c r="F335" i="4"/>
  <c r="D335" i="4"/>
  <c r="C335" i="4"/>
  <c r="E327" i="4"/>
  <c r="F327" i="4"/>
  <c r="D327" i="4"/>
  <c r="C327" i="4"/>
  <c r="E319" i="4"/>
  <c r="F319" i="4"/>
  <c r="D319" i="4"/>
  <c r="C319" i="4"/>
  <c r="E311" i="4"/>
  <c r="F311" i="4"/>
  <c r="D311" i="4"/>
  <c r="C311" i="4"/>
  <c r="E303" i="4"/>
  <c r="F303" i="4"/>
  <c r="D303" i="4"/>
  <c r="C303" i="4"/>
  <c r="E295" i="4"/>
  <c r="F295" i="4"/>
  <c r="D295" i="4"/>
  <c r="C295" i="4"/>
  <c r="E287" i="4"/>
  <c r="F287" i="4"/>
  <c r="D287" i="4"/>
  <c r="C287" i="4"/>
  <c r="E279" i="4"/>
  <c r="F279" i="4"/>
  <c r="D279" i="4"/>
  <c r="C279" i="4"/>
  <c r="E271" i="4"/>
  <c r="F271" i="4"/>
  <c r="D271" i="4"/>
  <c r="C271" i="4"/>
  <c r="E263" i="4"/>
  <c r="F263" i="4"/>
  <c r="D263" i="4"/>
  <c r="C263" i="4"/>
  <c r="E255" i="4"/>
  <c r="F255" i="4"/>
  <c r="D255" i="4"/>
  <c r="C255" i="4"/>
  <c r="E247" i="4"/>
  <c r="F247" i="4"/>
  <c r="D247" i="4"/>
  <c r="C247" i="4"/>
  <c r="E239" i="4"/>
  <c r="F239" i="4"/>
  <c r="D239" i="4"/>
  <c r="C239" i="4"/>
  <c r="E231" i="4"/>
  <c r="F231" i="4"/>
  <c r="D231" i="4"/>
  <c r="C231" i="4"/>
  <c r="E223" i="4"/>
  <c r="F223" i="4"/>
  <c r="D223" i="4"/>
  <c r="C223" i="4"/>
  <c r="E215" i="4"/>
  <c r="F215" i="4"/>
  <c r="D215" i="4"/>
  <c r="C215" i="4"/>
  <c r="E207" i="4"/>
  <c r="F207" i="4"/>
  <c r="D207" i="4"/>
  <c r="C207" i="4"/>
  <c r="E199" i="4"/>
  <c r="F199" i="4"/>
  <c r="D199" i="4"/>
  <c r="C199" i="4"/>
  <c r="E191" i="4"/>
  <c r="F191" i="4"/>
  <c r="D191" i="4"/>
  <c r="C191" i="4"/>
  <c r="E183" i="4"/>
  <c r="F183" i="4"/>
  <c r="D183" i="4"/>
  <c r="C183" i="4"/>
  <c r="E175" i="4"/>
  <c r="F175" i="4"/>
  <c r="D175" i="4"/>
  <c r="C175" i="4"/>
  <c r="E167" i="4"/>
  <c r="F167" i="4"/>
  <c r="D167" i="4"/>
  <c r="C167" i="4"/>
  <c r="E159" i="4"/>
  <c r="F159" i="4"/>
  <c r="D159" i="4"/>
  <c r="C159" i="4"/>
  <c r="E151" i="4"/>
  <c r="F151" i="4"/>
  <c r="D151" i="4"/>
  <c r="C151" i="4"/>
  <c r="E143" i="4"/>
  <c r="F143" i="4"/>
  <c r="D143" i="4"/>
  <c r="C143" i="4"/>
  <c r="E135" i="4"/>
  <c r="F135" i="4"/>
  <c r="D135" i="4"/>
  <c r="C135" i="4"/>
  <c r="E127" i="4"/>
  <c r="F127" i="4"/>
  <c r="D127" i="4"/>
  <c r="C127" i="4"/>
  <c r="E119" i="4"/>
  <c r="F119" i="4"/>
  <c r="D119" i="4"/>
  <c r="C119" i="4"/>
  <c r="E111" i="4"/>
  <c r="F111" i="4"/>
  <c r="D111" i="4"/>
  <c r="C111" i="4"/>
  <c r="E103" i="4"/>
  <c r="F103" i="4"/>
  <c r="D103" i="4"/>
  <c r="C103" i="4"/>
  <c r="E95" i="4"/>
  <c r="F95" i="4"/>
  <c r="D95" i="4"/>
  <c r="C95" i="4"/>
  <c r="E87" i="4"/>
  <c r="F87" i="4"/>
  <c r="D87" i="4"/>
  <c r="C87" i="4"/>
  <c r="E79" i="4"/>
  <c r="F79" i="4"/>
  <c r="D79" i="4"/>
  <c r="C79" i="4"/>
  <c r="E71" i="4"/>
  <c r="F71" i="4"/>
  <c r="D71" i="4"/>
  <c r="C71" i="4"/>
  <c r="E63" i="4"/>
  <c r="F63" i="4"/>
  <c r="D63" i="4"/>
  <c r="C63" i="4"/>
  <c r="E55" i="4"/>
  <c r="F55" i="4"/>
  <c r="D55" i="4"/>
  <c r="C55" i="4"/>
  <c r="E47" i="4"/>
  <c r="F47" i="4"/>
  <c r="D47" i="4"/>
  <c r="C47" i="4"/>
  <c r="E39" i="4"/>
  <c r="F39" i="4"/>
  <c r="D39" i="4"/>
  <c r="C39" i="4"/>
  <c r="E31" i="4"/>
  <c r="F31" i="4"/>
  <c r="D31" i="4"/>
  <c r="C31" i="4"/>
  <c r="E23" i="4"/>
  <c r="F23" i="4"/>
  <c r="D23" i="4"/>
  <c r="C23" i="4"/>
  <c r="E15" i="4"/>
  <c r="F15" i="4"/>
  <c r="D15" i="4"/>
  <c r="C15" i="4"/>
  <c r="E7" i="4"/>
  <c r="F7" i="4"/>
  <c r="D7" i="4"/>
  <c r="C7" i="4"/>
  <c r="F1120" i="4"/>
  <c r="E1120" i="4"/>
  <c r="D1120" i="4"/>
  <c r="C1120" i="4"/>
  <c r="F1112" i="4"/>
  <c r="E1112" i="4"/>
  <c r="D1112" i="4"/>
  <c r="C1112" i="4"/>
  <c r="F1104" i="4"/>
  <c r="E1104" i="4"/>
  <c r="D1104" i="4"/>
  <c r="C1104" i="4"/>
  <c r="F1096" i="4"/>
  <c r="E1096" i="4"/>
  <c r="D1096" i="4"/>
  <c r="C1096" i="4"/>
  <c r="F1088" i="4"/>
  <c r="E1088" i="4"/>
  <c r="D1088" i="4"/>
  <c r="C1088" i="4"/>
  <c r="F1080" i="4"/>
  <c r="E1080" i="4"/>
  <c r="D1080" i="4"/>
  <c r="C1080" i="4"/>
  <c r="F1072" i="4"/>
  <c r="E1072" i="4"/>
  <c r="D1072" i="4"/>
  <c r="C1072" i="4"/>
  <c r="F1064" i="4"/>
  <c r="E1064" i="4"/>
  <c r="D1064" i="4"/>
  <c r="C1064" i="4"/>
  <c r="F1056" i="4"/>
  <c r="E1056" i="4"/>
  <c r="D1056" i="4"/>
  <c r="C1056" i="4"/>
  <c r="F1048" i="4"/>
  <c r="E1048" i="4"/>
  <c r="D1048" i="4"/>
  <c r="C1048" i="4"/>
  <c r="F1040" i="4"/>
  <c r="E1040" i="4"/>
  <c r="D1040" i="4"/>
  <c r="C1040" i="4"/>
  <c r="F1032" i="4"/>
  <c r="E1032" i="4"/>
  <c r="D1032" i="4"/>
  <c r="C1032" i="4"/>
  <c r="F1024" i="4"/>
  <c r="E1024" i="4"/>
  <c r="D1024" i="4"/>
  <c r="C1024" i="4"/>
  <c r="F1016" i="4"/>
  <c r="E1016" i="4"/>
  <c r="D1016" i="4"/>
  <c r="C1016" i="4"/>
  <c r="F1008" i="4"/>
  <c r="E1008" i="4"/>
  <c r="D1008" i="4"/>
  <c r="C1008" i="4"/>
  <c r="F1000" i="4"/>
  <c r="E1000" i="4"/>
  <c r="D1000" i="4"/>
  <c r="C1000" i="4"/>
  <c r="F992" i="4"/>
  <c r="E992" i="4"/>
  <c r="D992" i="4"/>
  <c r="C992" i="4"/>
  <c r="F984" i="4"/>
  <c r="E984" i="4"/>
  <c r="D984" i="4"/>
  <c r="C984" i="4"/>
  <c r="F976" i="4"/>
  <c r="E976" i="4"/>
  <c r="D976" i="4"/>
  <c r="C976" i="4"/>
  <c r="F968" i="4"/>
  <c r="E968" i="4"/>
  <c r="D968" i="4"/>
  <c r="C968" i="4"/>
  <c r="F960" i="4"/>
  <c r="E960" i="4"/>
  <c r="D960" i="4"/>
  <c r="C960" i="4"/>
  <c r="F952" i="4"/>
  <c r="E952" i="4"/>
  <c r="D952" i="4"/>
  <c r="C952" i="4"/>
  <c r="F944" i="4"/>
  <c r="E944" i="4"/>
  <c r="D944" i="4"/>
  <c r="C944" i="4"/>
  <c r="F936" i="4"/>
  <c r="E936" i="4"/>
  <c r="D936" i="4"/>
  <c r="C936" i="4"/>
  <c r="F928" i="4"/>
  <c r="E928" i="4"/>
  <c r="D928" i="4"/>
  <c r="C928" i="4"/>
  <c r="F920" i="4"/>
  <c r="E920" i="4"/>
  <c r="D920" i="4"/>
  <c r="C920" i="4"/>
  <c r="F912" i="4"/>
  <c r="E912" i="4"/>
  <c r="D912" i="4"/>
  <c r="C912" i="4"/>
  <c r="F904" i="4"/>
  <c r="E904" i="4"/>
  <c r="D904" i="4"/>
  <c r="C904" i="4"/>
  <c r="F896" i="4"/>
  <c r="E896" i="4"/>
  <c r="D896" i="4"/>
  <c r="C896" i="4"/>
  <c r="F888" i="4"/>
  <c r="E888" i="4"/>
  <c r="D888" i="4"/>
  <c r="C888" i="4"/>
  <c r="F880" i="4"/>
  <c r="E880" i="4"/>
  <c r="D880" i="4"/>
  <c r="C880" i="4"/>
  <c r="F872" i="4"/>
  <c r="E872" i="4"/>
  <c r="D872" i="4"/>
  <c r="C872" i="4"/>
  <c r="F864" i="4"/>
  <c r="E864" i="4"/>
  <c r="D864" i="4"/>
  <c r="C864" i="4"/>
  <c r="F856" i="4"/>
  <c r="E856" i="4"/>
  <c r="D856" i="4"/>
  <c r="C856" i="4"/>
  <c r="F848" i="4"/>
  <c r="E848" i="4"/>
  <c r="D848" i="4"/>
  <c r="C848" i="4"/>
  <c r="F840" i="4"/>
  <c r="E840" i="4"/>
  <c r="D840" i="4"/>
  <c r="C840" i="4"/>
  <c r="F832" i="4"/>
  <c r="E832" i="4"/>
  <c r="D832" i="4"/>
  <c r="C832" i="4"/>
  <c r="F824" i="4"/>
  <c r="E824" i="4"/>
  <c r="D824" i="4"/>
  <c r="C824" i="4"/>
  <c r="F816" i="4"/>
  <c r="E816" i="4"/>
  <c r="C816" i="4"/>
  <c r="D816" i="4"/>
  <c r="F808" i="4"/>
  <c r="E808" i="4"/>
  <c r="D808" i="4"/>
  <c r="C808" i="4"/>
  <c r="F800" i="4"/>
  <c r="E800" i="4"/>
  <c r="C800" i="4"/>
  <c r="D800" i="4"/>
  <c r="F792" i="4"/>
  <c r="E792" i="4"/>
  <c r="D792" i="4"/>
  <c r="C792" i="4"/>
  <c r="F784" i="4"/>
  <c r="E784" i="4"/>
  <c r="C784" i="4"/>
  <c r="D784" i="4"/>
  <c r="F776" i="4"/>
  <c r="E776" i="4"/>
  <c r="D776" i="4"/>
  <c r="C776" i="4"/>
  <c r="F768" i="4"/>
  <c r="E768" i="4"/>
  <c r="C768" i="4"/>
  <c r="D768" i="4"/>
  <c r="F760" i="4"/>
  <c r="E760" i="4"/>
  <c r="D760" i="4"/>
  <c r="C760" i="4"/>
  <c r="F752" i="4"/>
  <c r="E752" i="4"/>
  <c r="C752" i="4"/>
  <c r="D752" i="4"/>
  <c r="F744" i="4"/>
  <c r="E744" i="4"/>
  <c r="D744" i="4"/>
  <c r="C744" i="4"/>
  <c r="F736" i="4"/>
  <c r="E736" i="4"/>
  <c r="C736" i="4"/>
  <c r="D736" i="4"/>
  <c r="F728" i="4"/>
  <c r="E728" i="4"/>
  <c r="D728" i="4"/>
  <c r="C728" i="4"/>
  <c r="F720" i="4"/>
  <c r="E720" i="4"/>
  <c r="C720" i="4"/>
  <c r="D720" i="4"/>
  <c r="F712" i="4"/>
  <c r="E712" i="4"/>
  <c r="D712" i="4"/>
  <c r="C712" i="4"/>
  <c r="F704" i="4"/>
  <c r="E704" i="4"/>
  <c r="C704" i="4"/>
  <c r="D704" i="4"/>
  <c r="F696" i="4"/>
  <c r="E696" i="4"/>
  <c r="D696" i="4"/>
  <c r="C696" i="4"/>
  <c r="F688" i="4"/>
  <c r="E688" i="4"/>
  <c r="C688" i="4"/>
  <c r="D688" i="4"/>
  <c r="F680" i="4"/>
  <c r="E680" i="4"/>
  <c r="D680" i="4"/>
  <c r="C680" i="4"/>
  <c r="F672" i="4"/>
  <c r="E672" i="4"/>
  <c r="C672" i="4"/>
  <c r="D672" i="4"/>
  <c r="F664" i="4"/>
  <c r="E664" i="4"/>
  <c r="D664" i="4"/>
  <c r="C664" i="4"/>
  <c r="F656" i="4"/>
  <c r="E656" i="4"/>
  <c r="C656" i="4"/>
  <c r="D656" i="4"/>
  <c r="F648" i="4"/>
  <c r="E648" i="4"/>
  <c r="D648" i="4"/>
  <c r="C648" i="4"/>
  <c r="F640" i="4"/>
  <c r="E640" i="4"/>
  <c r="C640" i="4"/>
  <c r="D640" i="4"/>
  <c r="F632" i="4"/>
  <c r="E632" i="4"/>
  <c r="D632" i="4"/>
  <c r="C632" i="4"/>
  <c r="F624" i="4"/>
  <c r="E624" i="4"/>
  <c r="C624" i="4"/>
  <c r="D624" i="4"/>
  <c r="F616" i="4"/>
  <c r="E616" i="4"/>
  <c r="D616" i="4"/>
  <c r="C616" i="4"/>
  <c r="F608" i="4"/>
  <c r="E608" i="4"/>
  <c r="C608" i="4"/>
  <c r="D608" i="4"/>
  <c r="F600" i="4"/>
  <c r="E600" i="4"/>
  <c r="D600" i="4"/>
  <c r="C600" i="4"/>
  <c r="F592" i="4"/>
  <c r="E592" i="4"/>
  <c r="C592" i="4"/>
  <c r="D592" i="4"/>
  <c r="F584" i="4"/>
  <c r="E584" i="4"/>
  <c r="D584" i="4"/>
  <c r="C584" i="4"/>
  <c r="F576" i="4"/>
  <c r="D576" i="4"/>
  <c r="E576" i="4"/>
  <c r="C576" i="4"/>
  <c r="F568" i="4"/>
  <c r="D568" i="4"/>
  <c r="E568" i="4"/>
  <c r="C568" i="4"/>
  <c r="F560" i="4"/>
  <c r="D560" i="4"/>
  <c r="E560" i="4"/>
  <c r="C560" i="4"/>
  <c r="F552" i="4"/>
  <c r="D552" i="4"/>
  <c r="E552" i="4"/>
  <c r="C552" i="4"/>
  <c r="F544" i="4"/>
  <c r="D544" i="4"/>
  <c r="E544" i="4"/>
  <c r="C544" i="4"/>
  <c r="F536" i="4"/>
  <c r="D536" i="4"/>
  <c r="E536" i="4"/>
  <c r="C536" i="4"/>
  <c r="F528" i="4"/>
  <c r="D528" i="4"/>
  <c r="E528" i="4"/>
  <c r="C528" i="4"/>
  <c r="F520" i="4"/>
  <c r="D520" i="4"/>
  <c r="E520" i="4"/>
  <c r="C520" i="4"/>
  <c r="F512" i="4"/>
  <c r="D512" i="4"/>
  <c r="E512" i="4"/>
  <c r="C512" i="4"/>
  <c r="F504" i="4"/>
  <c r="D504" i="4"/>
  <c r="E504" i="4"/>
  <c r="C504" i="4"/>
  <c r="F496" i="4"/>
  <c r="D496" i="4"/>
  <c r="E496" i="4"/>
  <c r="C496" i="4"/>
  <c r="F488" i="4"/>
  <c r="D488" i="4"/>
  <c r="E488" i="4"/>
  <c r="C488" i="4"/>
  <c r="F480" i="4"/>
  <c r="E480" i="4"/>
  <c r="D480" i="4"/>
  <c r="C480" i="4"/>
  <c r="F472" i="4"/>
  <c r="D472" i="4"/>
  <c r="E472" i="4"/>
  <c r="C472" i="4"/>
  <c r="F464" i="4"/>
  <c r="D464" i="4"/>
  <c r="E464" i="4"/>
  <c r="C464" i="4"/>
  <c r="F456" i="4"/>
  <c r="D456" i="4"/>
  <c r="E456" i="4"/>
  <c r="C456" i="4"/>
  <c r="F448" i="4"/>
  <c r="E448" i="4"/>
  <c r="D448" i="4"/>
  <c r="C448" i="4"/>
  <c r="F440" i="4"/>
  <c r="D440" i="4"/>
  <c r="C440" i="4"/>
  <c r="E440" i="4"/>
  <c r="E432" i="4"/>
  <c r="F432" i="4"/>
  <c r="D432" i="4"/>
  <c r="C432" i="4"/>
  <c r="E424" i="4"/>
  <c r="F424" i="4"/>
  <c r="D424" i="4"/>
  <c r="C424" i="4"/>
  <c r="E416" i="4"/>
  <c r="F416" i="4"/>
  <c r="D416" i="4"/>
  <c r="C416" i="4"/>
  <c r="E408" i="4"/>
  <c r="F408" i="4"/>
  <c r="D408" i="4"/>
  <c r="C408" i="4"/>
  <c r="E400" i="4"/>
  <c r="F400" i="4"/>
  <c r="D400" i="4"/>
  <c r="C400" i="4"/>
  <c r="E392" i="4"/>
  <c r="F392" i="4"/>
  <c r="D392" i="4"/>
  <c r="C392" i="4"/>
  <c r="E384" i="4"/>
  <c r="F384" i="4"/>
  <c r="D384" i="4"/>
  <c r="C384" i="4"/>
  <c r="E376" i="4"/>
  <c r="F376" i="4"/>
  <c r="D376" i="4"/>
  <c r="C376" i="4"/>
  <c r="E368" i="4"/>
  <c r="F368" i="4"/>
  <c r="D368" i="4"/>
  <c r="C368" i="4"/>
  <c r="E360" i="4"/>
  <c r="F360" i="4"/>
  <c r="D360" i="4"/>
  <c r="C360" i="4"/>
  <c r="E352" i="4"/>
  <c r="F352" i="4"/>
  <c r="D352" i="4"/>
  <c r="C352" i="4"/>
  <c r="E344" i="4"/>
  <c r="F344" i="4"/>
  <c r="D344" i="4"/>
  <c r="C344" i="4"/>
  <c r="E336" i="4"/>
  <c r="F336" i="4"/>
  <c r="D336" i="4"/>
  <c r="C336" i="4"/>
  <c r="E328" i="4"/>
  <c r="F328" i="4"/>
  <c r="D328" i="4"/>
  <c r="C328" i="4"/>
  <c r="E320" i="4"/>
  <c r="F320" i="4"/>
  <c r="D320" i="4"/>
  <c r="C320" i="4"/>
  <c r="E312" i="4"/>
  <c r="F312" i="4"/>
  <c r="D312" i="4"/>
  <c r="C312" i="4"/>
  <c r="E304" i="4"/>
  <c r="F304" i="4"/>
  <c r="D304" i="4"/>
  <c r="C304" i="4"/>
  <c r="E296" i="4"/>
  <c r="F296" i="4"/>
  <c r="D296" i="4"/>
  <c r="C296" i="4"/>
  <c r="E288" i="4"/>
  <c r="F288" i="4"/>
  <c r="D288" i="4"/>
  <c r="C288" i="4"/>
  <c r="E280" i="4"/>
  <c r="F280" i="4"/>
  <c r="D280" i="4"/>
  <c r="C280" i="4"/>
  <c r="E272" i="4"/>
  <c r="F272" i="4"/>
  <c r="D272" i="4"/>
  <c r="C272" i="4"/>
  <c r="E264" i="4"/>
  <c r="F264" i="4"/>
  <c r="D264" i="4"/>
  <c r="C264" i="4"/>
  <c r="E256" i="4"/>
  <c r="F256" i="4"/>
  <c r="D256" i="4"/>
  <c r="C256" i="4"/>
  <c r="E248" i="4"/>
  <c r="F248" i="4"/>
  <c r="D248" i="4"/>
  <c r="C248" i="4"/>
  <c r="E240" i="4"/>
  <c r="F240" i="4"/>
  <c r="D240" i="4"/>
  <c r="C240" i="4"/>
  <c r="E232" i="4"/>
  <c r="F232" i="4"/>
  <c r="D232" i="4"/>
  <c r="C232" i="4"/>
  <c r="E224" i="4"/>
  <c r="F224" i="4"/>
  <c r="D224" i="4"/>
  <c r="C224" i="4"/>
  <c r="E216" i="4"/>
  <c r="F216" i="4"/>
  <c r="D216" i="4"/>
  <c r="C216" i="4"/>
  <c r="E208" i="4"/>
  <c r="F208" i="4"/>
  <c r="D208" i="4"/>
  <c r="C208" i="4"/>
  <c r="E200" i="4"/>
  <c r="F200" i="4"/>
  <c r="D200" i="4"/>
  <c r="C200" i="4"/>
  <c r="E192" i="4"/>
  <c r="F192" i="4"/>
  <c r="D192" i="4"/>
  <c r="C192" i="4"/>
  <c r="E184" i="4"/>
  <c r="F184" i="4"/>
  <c r="D184" i="4"/>
  <c r="C184" i="4"/>
  <c r="E176" i="4"/>
  <c r="F176" i="4"/>
  <c r="D176" i="4"/>
  <c r="C176" i="4"/>
  <c r="E168" i="4"/>
  <c r="F168" i="4"/>
  <c r="D168" i="4"/>
  <c r="C168" i="4"/>
  <c r="E160" i="4"/>
  <c r="F160" i="4"/>
  <c r="D160" i="4"/>
  <c r="C160" i="4"/>
  <c r="E152" i="4"/>
  <c r="F152" i="4"/>
  <c r="D152" i="4"/>
  <c r="C152" i="4"/>
  <c r="E144" i="4"/>
  <c r="F144" i="4"/>
  <c r="D144" i="4"/>
  <c r="C144" i="4"/>
  <c r="E136" i="4"/>
  <c r="F136" i="4"/>
  <c r="D136" i="4"/>
  <c r="C136" i="4"/>
  <c r="E128" i="4"/>
  <c r="F128" i="4"/>
  <c r="D128" i="4"/>
  <c r="C128" i="4"/>
  <c r="E120" i="4"/>
  <c r="F120" i="4"/>
  <c r="D120" i="4"/>
  <c r="C120" i="4"/>
  <c r="E112" i="4"/>
  <c r="F112" i="4"/>
  <c r="D112" i="4"/>
  <c r="C112" i="4"/>
  <c r="E104" i="4"/>
  <c r="F104" i="4"/>
  <c r="D104" i="4"/>
  <c r="C104" i="4"/>
  <c r="E96" i="4"/>
  <c r="F96" i="4"/>
  <c r="D96" i="4"/>
  <c r="C96" i="4"/>
  <c r="E88" i="4"/>
  <c r="F88" i="4"/>
  <c r="D88" i="4"/>
  <c r="C88" i="4"/>
  <c r="E80" i="4"/>
  <c r="F80" i="4"/>
  <c r="D80" i="4"/>
  <c r="C80" i="4"/>
  <c r="E72" i="4"/>
  <c r="F72" i="4"/>
  <c r="D72" i="4"/>
  <c r="C72" i="4"/>
  <c r="E64" i="4"/>
  <c r="F64" i="4"/>
  <c r="D64" i="4"/>
  <c r="C64" i="4"/>
  <c r="E56" i="4"/>
  <c r="F56" i="4"/>
  <c r="D56" i="4"/>
  <c r="C56" i="4"/>
  <c r="E48" i="4"/>
  <c r="F48" i="4"/>
  <c r="D48" i="4"/>
  <c r="C48" i="4"/>
  <c r="E40" i="4"/>
  <c r="F40" i="4"/>
  <c r="D40" i="4"/>
  <c r="C40" i="4"/>
  <c r="E32" i="4"/>
  <c r="F32" i="4"/>
  <c r="D32" i="4"/>
  <c r="C32" i="4"/>
  <c r="E24" i="4"/>
  <c r="F24" i="4"/>
  <c r="D24" i="4"/>
  <c r="C24" i="4"/>
  <c r="E16" i="4"/>
  <c r="F16" i="4"/>
  <c r="D16" i="4"/>
  <c r="C16" i="4"/>
  <c r="E8" i="4"/>
  <c r="F8" i="4"/>
  <c r="D8" i="4"/>
  <c r="C8" i="4"/>
  <c r="F1121" i="4"/>
  <c r="E1121" i="4"/>
  <c r="D1121" i="4"/>
  <c r="C1121" i="4"/>
  <c r="F1113" i="4"/>
  <c r="E1113" i="4"/>
  <c r="D1113" i="4"/>
  <c r="C1113" i="4"/>
  <c r="F1105" i="4"/>
  <c r="E1105" i="4"/>
  <c r="D1105" i="4"/>
  <c r="C1105" i="4"/>
  <c r="F1097" i="4"/>
  <c r="E1097" i="4"/>
  <c r="D1097" i="4"/>
  <c r="C1097" i="4"/>
  <c r="F1089" i="4"/>
  <c r="E1089" i="4"/>
  <c r="D1089" i="4"/>
  <c r="C1089" i="4"/>
  <c r="F1081" i="4"/>
  <c r="E1081" i="4"/>
  <c r="D1081" i="4"/>
  <c r="C1081" i="4"/>
  <c r="F1073" i="4"/>
  <c r="E1073" i="4"/>
  <c r="D1073" i="4"/>
  <c r="C1073" i="4"/>
  <c r="F1065" i="4"/>
  <c r="E1065" i="4"/>
  <c r="D1065" i="4"/>
  <c r="C1065" i="4"/>
  <c r="F1057" i="4"/>
  <c r="E1057" i="4"/>
  <c r="D1057" i="4"/>
  <c r="C1057" i="4"/>
  <c r="F1049" i="4"/>
  <c r="E1049" i="4"/>
  <c r="D1049" i="4"/>
  <c r="C1049" i="4"/>
  <c r="F1041" i="4"/>
  <c r="E1041" i="4"/>
  <c r="D1041" i="4"/>
  <c r="C1041" i="4"/>
  <c r="F1033" i="4"/>
  <c r="E1033" i="4"/>
  <c r="D1033" i="4"/>
  <c r="C1033" i="4"/>
  <c r="F1025" i="4"/>
  <c r="E1025" i="4"/>
  <c r="D1025" i="4"/>
  <c r="C1025" i="4"/>
  <c r="F1017" i="4"/>
  <c r="E1017" i="4"/>
  <c r="D1017" i="4"/>
  <c r="C1017" i="4"/>
  <c r="F1009" i="4"/>
  <c r="E1009" i="4"/>
  <c r="D1009" i="4"/>
  <c r="C1009" i="4"/>
  <c r="F1001" i="4"/>
  <c r="E1001" i="4"/>
  <c r="D1001" i="4"/>
  <c r="C1001" i="4"/>
  <c r="F993" i="4"/>
  <c r="E993" i="4"/>
  <c r="D993" i="4"/>
  <c r="C993" i="4"/>
  <c r="F985" i="4"/>
  <c r="E985" i="4"/>
  <c r="D985" i="4"/>
  <c r="C985" i="4"/>
  <c r="F977" i="4"/>
  <c r="E977" i="4"/>
  <c r="D977" i="4"/>
  <c r="C977" i="4"/>
  <c r="F969" i="4"/>
  <c r="E969" i="4"/>
  <c r="D969" i="4"/>
  <c r="C969" i="4"/>
  <c r="F961" i="4"/>
  <c r="E961" i="4"/>
  <c r="D961" i="4"/>
  <c r="C961" i="4"/>
  <c r="F953" i="4"/>
  <c r="E953" i="4"/>
  <c r="D953" i="4"/>
  <c r="C953" i="4"/>
  <c r="F945" i="4"/>
  <c r="E945" i="4"/>
  <c r="D945" i="4"/>
  <c r="C945" i="4"/>
  <c r="F937" i="4"/>
  <c r="E937" i="4"/>
  <c r="D937" i="4"/>
  <c r="C937" i="4"/>
  <c r="F929" i="4"/>
  <c r="E929" i="4"/>
  <c r="D929" i="4"/>
  <c r="C929" i="4"/>
  <c r="F921" i="4"/>
  <c r="E921" i="4"/>
  <c r="D921" i="4"/>
  <c r="C921" i="4"/>
  <c r="F913" i="4"/>
  <c r="E913" i="4"/>
  <c r="D913" i="4"/>
  <c r="C913" i="4"/>
  <c r="F905" i="4"/>
  <c r="E905" i="4"/>
  <c r="D905" i="4"/>
  <c r="C905" i="4"/>
  <c r="F897" i="4"/>
  <c r="E897" i="4"/>
  <c r="D897" i="4"/>
  <c r="C897" i="4"/>
  <c r="F889" i="4"/>
  <c r="E889" i="4"/>
  <c r="D889" i="4"/>
  <c r="C889" i="4"/>
  <c r="F881" i="4"/>
  <c r="E881" i="4"/>
  <c r="D881" i="4"/>
  <c r="C881" i="4"/>
  <c r="F873" i="4"/>
  <c r="E873" i="4"/>
  <c r="D873" i="4"/>
  <c r="C873" i="4"/>
  <c r="F865" i="4"/>
  <c r="E865" i="4"/>
  <c r="D865" i="4"/>
  <c r="C865" i="4"/>
  <c r="F857" i="4"/>
  <c r="E857" i="4"/>
  <c r="D857" i="4"/>
  <c r="C857" i="4"/>
  <c r="F849" i="4"/>
  <c r="E849" i="4"/>
  <c r="C849" i="4"/>
  <c r="D849" i="4"/>
  <c r="F841" i="4"/>
  <c r="E841" i="4"/>
  <c r="D841" i="4"/>
  <c r="C841" i="4"/>
  <c r="F833" i="4"/>
  <c r="E833" i="4"/>
  <c r="C833" i="4"/>
  <c r="D833" i="4"/>
  <c r="F825" i="4"/>
  <c r="E825" i="4"/>
  <c r="D825" i="4"/>
  <c r="C825" i="4"/>
  <c r="F817" i="4"/>
  <c r="E817" i="4"/>
  <c r="C817" i="4"/>
  <c r="D817" i="4"/>
  <c r="F809" i="4"/>
  <c r="E809" i="4"/>
  <c r="D809" i="4"/>
  <c r="C809" i="4"/>
  <c r="F801" i="4"/>
  <c r="E801" i="4"/>
  <c r="C801" i="4"/>
  <c r="D801" i="4"/>
  <c r="F793" i="4"/>
  <c r="E793" i="4"/>
  <c r="D793" i="4"/>
  <c r="C793" i="4"/>
  <c r="F785" i="4"/>
  <c r="E785" i="4"/>
  <c r="C785" i="4"/>
  <c r="D785" i="4"/>
  <c r="F777" i="4"/>
  <c r="E777" i="4"/>
  <c r="D777" i="4"/>
  <c r="C777" i="4"/>
  <c r="F769" i="4"/>
  <c r="E769" i="4"/>
  <c r="C769" i="4"/>
  <c r="D769" i="4"/>
  <c r="F761" i="4"/>
  <c r="E761" i="4"/>
  <c r="D761" i="4"/>
  <c r="C761" i="4"/>
  <c r="F753" i="4"/>
  <c r="E753" i="4"/>
  <c r="C753" i="4"/>
  <c r="D753" i="4"/>
  <c r="F745" i="4"/>
  <c r="E745" i="4"/>
  <c r="D745" i="4"/>
  <c r="C745" i="4"/>
  <c r="F737" i="4"/>
  <c r="E737" i="4"/>
  <c r="C737" i="4"/>
  <c r="D737" i="4"/>
  <c r="F729" i="4"/>
  <c r="E729" i="4"/>
  <c r="D729" i="4"/>
  <c r="C729" i="4"/>
  <c r="F721" i="4"/>
  <c r="E721" i="4"/>
  <c r="C721" i="4"/>
  <c r="D721" i="4"/>
  <c r="F713" i="4"/>
  <c r="E713" i="4"/>
  <c r="D713" i="4"/>
  <c r="C713" i="4"/>
  <c r="F705" i="4"/>
  <c r="E705" i="4"/>
  <c r="C705" i="4"/>
  <c r="D705" i="4"/>
  <c r="F697" i="4"/>
  <c r="E697" i="4"/>
  <c r="D697" i="4"/>
  <c r="C697" i="4"/>
  <c r="F689" i="4"/>
  <c r="E689" i="4"/>
  <c r="C689" i="4"/>
  <c r="D689" i="4"/>
  <c r="F681" i="4"/>
  <c r="E681" i="4"/>
  <c r="D681" i="4"/>
  <c r="C681" i="4"/>
  <c r="F673" i="4"/>
  <c r="E673" i="4"/>
  <c r="C673" i="4"/>
  <c r="D673" i="4"/>
  <c r="F665" i="4"/>
  <c r="E665" i="4"/>
  <c r="D665" i="4"/>
  <c r="C665" i="4"/>
  <c r="F657" i="4"/>
  <c r="E657" i="4"/>
  <c r="C657" i="4"/>
  <c r="D657" i="4"/>
  <c r="F649" i="4"/>
  <c r="E649" i="4"/>
  <c r="D649" i="4"/>
  <c r="C649" i="4"/>
  <c r="F641" i="4"/>
  <c r="E641" i="4"/>
  <c r="C641" i="4"/>
  <c r="D641" i="4"/>
  <c r="F633" i="4"/>
  <c r="E633" i="4"/>
  <c r="D633" i="4"/>
  <c r="C633" i="4"/>
  <c r="F625" i="4"/>
  <c r="E625" i="4"/>
  <c r="C625" i="4"/>
  <c r="D625" i="4"/>
  <c r="F617" i="4"/>
  <c r="E617" i="4"/>
  <c r="D617" i="4"/>
  <c r="C617" i="4"/>
  <c r="F609" i="4"/>
  <c r="E609" i="4"/>
  <c r="C609" i="4"/>
  <c r="D609" i="4"/>
  <c r="F601" i="4"/>
  <c r="E601" i="4"/>
  <c r="D601" i="4"/>
  <c r="C601" i="4"/>
  <c r="F593" i="4"/>
  <c r="E593" i="4"/>
  <c r="C593" i="4"/>
  <c r="D593" i="4"/>
  <c r="F585" i="4"/>
  <c r="E585" i="4"/>
  <c r="D585" i="4"/>
  <c r="C585" i="4"/>
  <c r="F577" i="4"/>
  <c r="E577" i="4"/>
  <c r="C577" i="4"/>
  <c r="D577" i="4"/>
  <c r="F569" i="4"/>
  <c r="E569" i="4"/>
  <c r="D569" i="4"/>
  <c r="C569" i="4"/>
  <c r="F561" i="4"/>
  <c r="E561" i="4"/>
  <c r="C561" i="4"/>
  <c r="D561" i="4"/>
  <c r="F553" i="4"/>
  <c r="E553" i="4"/>
  <c r="C553" i="4"/>
  <c r="D553" i="4"/>
  <c r="F545" i="4"/>
  <c r="E545" i="4"/>
  <c r="D545" i="4"/>
  <c r="C545" i="4"/>
  <c r="F537" i="4"/>
  <c r="E537" i="4"/>
  <c r="C537" i="4"/>
  <c r="D537" i="4"/>
  <c r="F529" i="4"/>
  <c r="E529" i="4"/>
  <c r="C529" i="4"/>
  <c r="D529" i="4"/>
  <c r="F521" i="4"/>
  <c r="E521" i="4"/>
  <c r="C521" i="4"/>
  <c r="D521" i="4"/>
  <c r="F513" i="4"/>
  <c r="E513" i="4"/>
  <c r="C513" i="4"/>
  <c r="D513" i="4"/>
  <c r="F505" i="4"/>
  <c r="E505" i="4"/>
  <c r="D505" i="4"/>
  <c r="C505" i="4"/>
  <c r="F497" i="4"/>
  <c r="E497" i="4"/>
  <c r="C497" i="4"/>
  <c r="D497" i="4"/>
  <c r="F489" i="4"/>
  <c r="E489" i="4"/>
  <c r="C489" i="4"/>
  <c r="D489" i="4"/>
  <c r="F481" i="4"/>
  <c r="E481" i="4"/>
  <c r="D481" i="4"/>
  <c r="C481" i="4"/>
  <c r="F473" i="4"/>
  <c r="E473" i="4"/>
  <c r="C473" i="4"/>
  <c r="D473" i="4"/>
  <c r="F465" i="4"/>
  <c r="E465" i="4"/>
  <c r="C465" i="4"/>
  <c r="D465" i="4"/>
  <c r="F457" i="4"/>
  <c r="E457" i="4"/>
  <c r="C457" i="4"/>
  <c r="D457" i="4"/>
  <c r="F449" i="4"/>
  <c r="E449" i="4"/>
  <c r="C449" i="4"/>
  <c r="D449" i="4"/>
  <c r="F441" i="4"/>
  <c r="E441" i="4"/>
  <c r="D441" i="4"/>
  <c r="C441" i="4"/>
  <c r="F433" i="4"/>
  <c r="E433" i="4"/>
  <c r="C433" i="4"/>
  <c r="D433" i="4"/>
  <c r="F425" i="4"/>
  <c r="E425" i="4"/>
  <c r="C425" i="4"/>
  <c r="D425" i="4"/>
  <c r="F417" i="4"/>
  <c r="E417" i="4"/>
  <c r="D417" i="4"/>
  <c r="C417" i="4"/>
  <c r="F409" i="4"/>
  <c r="E409" i="4"/>
  <c r="C409" i="4"/>
  <c r="D409" i="4"/>
  <c r="F401" i="4"/>
  <c r="E401" i="4"/>
  <c r="C401" i="4"/>
  <c r="D401" i="4"/>
  <c r="F393" i="4"/>
  <c r="E393" i="4"/>
  <c r="C393" i="4"/>
  <c r="D393" i="4"/>
  <c r="F385" i="4"/>
  <c r="E385" i="4"/>
  <c r="C385" i="4"/>
  <c r="D385" i="4"/>
  <c r="F377" i="4"/>
  <c r="E377" i="4"/>
  <c r="D377" i="4"/>
  <c r="C377" i="4"/>
  <c r="F369" i="4"/>
  <c r="E369" i="4"/>
  <c r="C369" i="4"/>
  <c r="D369" i="4"/>
  <c r="F361" i="4"/>
  <c r="E361" i="4"/>
  <c r="C361" i="4"/>
  <c r="D361" i="4"/>
  <c r="F353" i="4"/>
  <c r="E353" i="4"/>
  <c r="D353" i="4"/>
  <c r="C353" i="4"/>
  <c r="F345" i="4"/>
  <c r="E345" i="4"/>
  <c r="C345" i="4"/>
  <c r="D345" i="4"/>
  <c r="F337" i="4"/>
  <c r="E337" i="4"/>
  <c r="C337" i="4"/>
  <c r="D337" i="4"/>
  <c r="F329" i="4"/>
  <c r="E329" i="4"/>
  <c r="C329" i="4"/>
  <c r="D329" i="4"/>
  <c r="F321" i="4"/>
  <c r="E321" i="4"/>
  <c r="C321" i="4"/>
  <c r="D321" i="4"/>
  <c r="F313" i="4"/>
  <c r="E313" i="4"/>
  <c r="D313" i="4"/>
  <c r="C313" i="4"/>
  <c r="F305" i="4"/>
  <c r="E305" i="4"/>
  <c r="C305" i="4"/>
  <c r="D305" i="4"/>
  <c r="F297" i="4"/>
  <c r="E297" i="4"/>
  <c r="C297" i="4"/>
  <c r="D297" i="4"/>
  <c r="F289" i="4"/>
  <c r="E289" i="4"/>
  <c r="D289" i="4"/>
  <c r="C289" i="4"/>
  <c r="F281" i="4"/>
  <c r="E281" i="4"/>
  <c r="C281" i="4"/>
  <c r="D281" i="4"/>
  <c r="F273" i="4"/>
  <c r="E273" i="4"/>
  <c r="C273" i="4"/>
  <c r="D273" i="4"/>
  <c r="F265" i="4"/>
  <c r="E265" i="4"/>
  <c r="C265" i="4"/>
  <c r="D265" i="4"/>
  <c r="F257" i="4"/>
  <c r="E257" i="4"/>
  <c r="C257" i="4"/>
  <c r="D257" i="4"/>
  <c r="F249" i="4"/>
  <c r="E249" i="4"/>
  <c r="D249" i="4"/>
  <c r="C249" i="4"/>
  <c r="F241" i="4"/>
  <c r="E241" i="4"/>
  <c r="C241" i="4"/>
  <c r="D241" i="4"/>
  <c r="F233" i="4"/>
  <c r="E233" i="4"/>
  <c r="C233" i="4"/>
  <c r="D233" i="4"/>
  <c r="F225" i="4"/>
  <c r="E225" i="4"/>
  <c r="D225" i="4"/>
  <c r="C225" i="4"/>
  <c r="F217" i="4"/>
  <c r="E217" i="4"/>
  <c r="C217" i="4"/>
  <c r="D217" i="4"/>
  <c r="F209" i="4"/>
  <c r="E209" i="4"/>
  <c r="C209" i="4"/>
  <c r="D209" i="4"/>
  <c r="F201" i="4"/>
  <c r="E201" i="4"/>
  <c r="C201" i="4"/>
  <c r="D201" i="4"/>
  <c r="F193" i="4"/>
  <c r="E193" i="4"/>
  <c r="C193" i="4"/>
  <c r="D193" i="4"/>
  <c r="F185" i="4"/>
  <c r="E185" i="4"/>
  <c r="D185" i="4"/>
  <c r="C185" i="4"/>
  <c r="F177" i="4"/>
  <c r="E177" i="4"/>
  <c r="C177" i="4"/>
  <c r="D177" i="4"/>
  <c r="F169" i="4"/>
  <c r="E169" i="4"/>
  <c r="C169" i="4"/>
  <c r="D169" i="4"/>
  <c r="F161" i="4"/>
  <c r="E161" i="4"/>
  <c r="D161" i="4"/>
  <c r="C161" i="4"/>
  <c r="F153" i="4"/>
  <c r="E153" i="4"/>
  <c r="C153" i="4"/>
  <c r="D153" i="4"/>
  <c r="F145" i="4"/>
  <c r="E145" i="4"/>
  <c r="C145" i="4"/>
  <c r="D145" i="4"/>
  <c r="F137" i="4"/>
  <c r="E137" i="4"/>
  <c r="C137" i="4"/>
  <c r="D137" i="4"/>
  <c r="F129" i="4"/>
  <c r="E129" i="4"/>
  <c r="C129" i="4"/>
  <c r="D129" i="4"/>
  <c r="F121" i="4"/>
  <c r="E121" i="4"/>
  <c r="D121" i="4"/>
  <c r="C121" i="4"/>
  <c r="F113" i="4"/>
  <c r="E113" i="4"/>
  <c r="C113" i="4"/>
  <c r="D113" i="4"/>
  <c r="F105" i="4"/>
  <c r="E105" i="4"/>
  <c r="C105" i="4"/>
  <c r="D105" i="4"/>
  <c r="F97" i="4"/>
  <c r="E97" i="4"/>
  <c r="D97" i="4"/>
  <c r="C97" i="4"/>
  <c r="F89" i="4"/>
  <c r="E89" i="4"/>
  <c r="C89" i="4"/>
  <c r="D89" i="4"/>
  <c r="F81" i="4"/>
  <c r="E81" i="4"/>
  <c r="C81" i="4"/>
  <c r="D81" i="4"/>
  <c r="F73" i="4"/>
  <c r="E73" i="4"/>
  <c r="C73" i="4"/>
  <c r="D73" i="4"/>
  <c r="F65" i="4"/>
  <c r="E65" i="4"/>
  <c r="C65" i="4"/>
  <c r="D65" i="4"/>
  <c r="F57" i="4"/>
  <c r="E57" i="4"/>
  <c r="D57" i="4"/>
  <c r="C57" i="4"/>
  <c r="F49" i="4"/>
  <c r="E49" i="4"/>
  <c r="C49" i="4"/>
  <c r="D49" i="4"/>
  <c r="F41" i="4"/>
  <c r="E41" i="4"/>
  <c r="C41" i="4"/>
  <c r="D41" i="4"/>
  <c r="F33" i="4"/>
  <c r="E33" i="4"/>
  <c r="D33" i="4"/>
  <c r="C33" i="4"/>
  <c r="F25" i="4"/>
  <c r="E25" i="4"/>
  <c r="C25" i="4"/>
  <c r="D25" i="4"/>
  <c r="F17" i="4"/>
  <c r="E17" i="4"/>
  <c r="C17" i="4"/>
  <c r="D17" i="4"/>
  <c r="F9" i="4"/>
  <c r="E9" i="4"/>
  <c r="C9" i="4"/>
  <c r="D9" i="4"/>
  <c r="F1122" i="4"/>
  <c r="E1122" i="4"/>
  <c r="D1122" i="4"/>
  <c r="C1122" i="4"/>
  <c r="F1114" i="4"/>
  <c r="E1114" i="4"/>
  <c r="D1114" i="4"/>
  <c r="C1114" i="4"/>
  <c r="F1106" i="4"/>
  <c r="E1106" i="4"/>
  <c r="D1106" i="4"/>
  <c r="C1106" i="4"/>
  <c r="F1098" i="4"/>
  <c r="E1098" i="4"/>
  <c r="D1098" i="4"/>
  <c r="C1098" i="4"/>
  <c r="F1090" i="4"/>
  <c r="E1090" i="4"/>
  <c r="D1090" i="4"/>
  <c r="C1090" i="4"/>
  <c r="F1082" i="4"/>
  <c r="E1082" i="4"/>
  <c r="D1082" i="4"/>
  <c r="C1082" i="4"/>
  <c r="F1074" i="4"/>
  <c r="E1074" i="4"/>
  <c r="D1074" i="4"/>
  <c r="C1074" i="4"/>
  <c r="F1066" i="4"/>
  <c r="E1066" i="4"/>
  <c r="D1066" i="4"/>
  <c r="C1066" i="4"/>
  <c r="F1058" i="4"/>
  <c r="E1058" i="4"/>
  <c r="D1058" i="4"/>
  <c r="C1058" i="4"/>
  <c r="F1050" i="4"/>
  <c r="E1050" i="4"/>
  <c r="D1050" i="4"/>
  <c r="C1050" i="4"/>
  <c r="F1042" i="4"/>
  <c r="E1042" i="4"/>
  <c r="D1042" i="4"/>
  <c r="C1042" i="4"/>
  <c r="F1034" i="4"/>
  <c r="E1034" i="4"/>
  <c r="D1034" i="4"/>
  <c r="C1034" i="4"/>
  <c r="F1026" i="4"/>
  <c r="E1026" i="4"/>
  <c r="D1026" i="4"/>
  <c r="C1026" i="4"/>
  <c r="F1018" i="4"/>
  <c r="E1018" i="4"/>
  <c r="D1018" i="4"/>
  <c r="C1018" i="4"/>
  <c r="F1010" i="4"/>
  <c r="E1010" i="4"/>
  <c r="D1010" i="4"/>
  <c r="C1010" i="4"/>
  <c r="F1002" i="4"/>
  <c r="E1002" i="4"/>
  <c r="D1002" i="4"/>
  <c r="C1002" i="4"/>
  <c r="F994" i="4"/>
  <c r="E994" i="4"/>
  <c r="D994" i="4"/>
  <c r="C994" i="4"/>
  <c r="F986" i="4"/>
  <c r="E986" i="4"/>
  <c r="D986" i="4"/>
  <c r="C986" i="4"/>
  <c r="F978" i="4"/>
  <c r="E978" i="4"/>
  <c r="D978" i="4"/>
  <c r="C978" i="4"/>
  <c r="F970" i="4"/>
  <c r="E970" i="4"/>
  <c r="D970" i="4"/>
  <c r="C970" i="4"/>
  <c r="F962" i="4"/>
  <c r="E962" i="4"/>
  <c r="D962" i="4"/>
  <c r="C962" i="4"/>
  <c r="F954" i="4"/>
  <c r="E954" i="4"/>
  <c r="D954" i="4"/>
  <c r="C954" i="4"/>
  <c r="F946" i="4"/>
  <c r="E946" i="4"/>
  <c r="D946" i="4"/>
  <c r="C946" i="4"/>
  <c r="F938" i="4"/>
  <c r="E938" i="4"/>
  <c r="D938" i="4"/>
  <c r="C938" i="4"/>
  <c r="F930" i="4"/>
  <c r="E930" i="4"/>
  <c r="D930" i="4"/>
  <c r="C930" i="4"/>
  <c r="F922" i="4"/>
  <c r="E922" i="4"/>
  <c r="D922" i="4"/>
  <c r="C922" i="4"/>
  <c r="F914" i="4"/>
  <c r="E914" i="4"/>
  <c r="D914" i="4"/>
  <c r="C914" i="4"/>
  <c r="F906" i="4"/>
  <c r="E906" i="4"/>
  <c r="D906" i="4"/>
  <c r="C906" i="4"/>
  <c r="F898" i="4"/>
  <c r="E898" i="4"/>
  <c r="D898" i="4"/>
  <c r="C898" i="4"/>
  <c r="F890" i="4"/>
  <c r="E890" i="4"/>
  <c r="D890" i="4"/>
  <c r="C890" i="4"/>
  <c r="F882" i="4"/>
  <c r="E882" i="4"/>
  <c r="D882" i="4"/>
  <c r="C882" i="4"/>
  <c r="F874" i="4"/>
  <c r="E874" i="4"/>
  <c r="D874" i="4"/>
  <c r="C874" i="4"/>
  <c r="F866" i="4"/>
  <c r="E866" i="4"/>
  <c r="D866" i="4"/>
  <c r="C866" i="4"/>
  <c r="F858" i="4"/>
  <c r="E858" i="4"/>
  <c r="D858" i="4"/>
  <c r="C858" i="4"/>
  <c r="F850" i="4"/>
  <c r="E850" i="4"/>
  <c r="C850" i="4"/>
  <c r="D850" i="4"/>
  <c r="F842" i="4"/>
  <c r="E842" i="4"/>
  <c r="D842" i="4"/>
  <c r="C842" i="4"/>
  <c r="F834" i="4"/>
  <c r="E834" i="4"/>
  <c r="C834" i="4"/>
  <c r="D834" i="4"/>
  <c r="F826" i="4"/>
  <c r="E826" i="4"/>
  <c r="D826" i="4"/>
  <c r="C826" i="4"/>
  <c r="F818" i="4"/>
  <c r="E818" i="4"/>
  <c r="C818" i="4"/>
  <c r="D818" i="4"/>
  <c r="F810" i="4"/>
  <c r="E810" i="4"/>
  <c r="D810" i="4"/>
  <c r="C810" i="4"/>
  <c r="F802" i="4"/>
  <c r="E802" i="4"/>
  <c r="C802" i="4"/>
  <c r="D802" i="4"/>
  <c r="F794" i="4"/>
  <c r="E794" i="4"/>
  <c r="D794" i="4"/>
  <c r="C794" i="4"/>
  <c r="F786" i="4"/>
  <c r="E786" i="4"/>
  <c r="C786" i="4"/>
  <c r="D786" i="4"/>
  <c r="F778" i="4"/>
  <c r="E778" i="4"/>
  <c r="D778" i="4"/>
  <c r="C778" i="4"/>
  <c r="F770" i="4"/>
  <c r="E770" i="4"/>
  <c r="C770" i="4"/>
  <c r="D770" i="4"/>
  <c r="F762" i="4"/>
  <c r="E762" i="4"/>
  <c r="D762" i="4"/>
  <c r="C762" i="4"/>
  <c r="F754" i="4"/>
  <c r="E754" i="4"/>
  <c r="C754" i="4"/>
  <c r="D754" i="4"/>
  <c r="F746" i="4"/>
  <c r="E746" i="4"/>
  <c r="D746" i="4"/>
  <c r="C746" i="4"/>
  <c r="F738" i="4"/>
  <c r="E738" i="4"/>
  <c r="C738" i="4"/>
  <c r="D738" i="4"/>
  <c r="F730" i="4"/>
  <c r="E730" i="4"/>
  <c r="D730" i="4"/>
  <c r="C730" i="4"/>
  <c r="F722" i="4"/>
  <c r="E722" i="4"/>
  <c r="C722" i="4"/>
  <c r="D722" i="4"/>
  <c r="F714" i="4"/>
  <c r="E714" i="4"/>
  <c r="D714" i="4"/>
  <c r="C714" i="4"/>
  <c r="F706" i="4"/>
  <c r="E706" i="4"/>
  <c r="C706" i="4"/>
  <c r="D706" i="4"/>
  <c r="F698" i="4"/>
  <c r="E698" i="4"/>
  <c r="D698" i="4"/>
  <c r="C698" i="4"/>
  <c r="F690" i="4"/>
  <c r="E690" i="4"/>
  <c r="C690" i="4"/>
  <c r="D690" i="4"/>
  <c r="F682" i="4"/>
  <c r="E682" i="4"/>
  <c r="D682" i="4"/>
  <c r="C682" i="4"/>
  <c r="F674" i="4"/>
  <c r="E674" i="4"/>
  <c r="C674" i="4"/>
  <c r="D674" i="4"/>
  <c r="F666" i="4"/>
  <c r="E666" i="4"/>
  <c r="D666" i="4"/>
  <c r="C666" i="4"/>
  <c r="F658" i="4"/>
  <c r="E658" i="4"/>
  <c r="C658" i="4"/>
  <c r="D658" i="4"/>
  <c r="F650" i="4"/>
  <c r="E650" i="4"/>
  <c r="D650" i="4"/>
  <c r="C650" i="4"/>
  <c r="F642" i="4"/>
  <c r="E642" i="4"/>
  <c r="C642" i="4"/>
  <c r="D642" i="4"/>
  <c r="F634" i="4"/>
  <c r="E634" i="4"/>
  <c r="D634" i="4"/>
  <c r="C634" i="4"/>
  <c r="F626" i="4"/>
  <c r="E626" i="4"/>
  <c r="C626" i="4"/>
  <c r="D626" i="4"/>
  <c r="F618" i="4"/>
  <c r="E618" i="4"/>
  <c r="D618" i="4"/>
  <c r="C618" i="4"/>
  <c r="F610" i="4"/>
  <c r="E610" i="4"/>
  <c r="C610" i="4"/>
  <c r="D610" i="4"/>
  <c r="F602" i="4"/>
  <c r="E602" i="4"/>
  <c r="D602" i="4"/>
  <c r="C602" i="4"/>
  <c r="F594" i="4"/>
  <c r="E594" i="4"/>
  <c r="C594" i="4"/>
  <c r="D594" i="4"/>
  <c r="F586" i="4"/>
  <c r="E586" i="4"/>
  <c r="D586" i="4"/>
  <c r="C586" i="4"/>
  <c r="F578" i="4"/>
  <c r="E578" i="4"/>
  <c r="C578" i="4"/>
  <c r="D578" i="4"/>
  <c r="F570" i="4"/>
  <c r="E570" i="4"/>
  <c r="C570" i="4"/>
  <c r="D570" i="4"/>
  <c r="F562" i="4"/>
  <c r="E562" i="4"/>
  <c r="C562" i="4"/>
  <c r="D562" i="4"/>
  <c r="F554" i="4"/>
  <c r="E554" i="4"/>
  <c r="C554" i="4"/>
  <c r="D554" i="4"/>
  <c r="F546" i="4"/>
  <c r="E546" i="4"/>
  <c r="D546" i="4"/>
  <c r="C546" i="4"/>
  <c r="F538" i="4"/>
  <c r="E538" i="4"/>
  <c r="C538" i="4"/>
  <c r="D538" i="4"/>
  <c r="F530" i="4"/>
  <c r="E530" i="4"/>
  <c r="C530" i="4"/>
  <c r="D530" i="4"/>
  <c r="F522" i="4"/>
  <c r="E522" i="4"/>
  <c r="C522" i="4"/>
  <c r="D522" i="4"/>
  <c r="F514" i="4"/>
  <c r="E514" i="4"/>
  <c r="C514" i="4"/>
  <c r="D514" i="4"/>
  <c r="F506" i="4"/>
  <c r="E506" i="4"/>
  <c r="C506" i="4"/>
  <c r="D506" i="4"/>
  <c r="F498" i="4"/>
  <c r="E498" i="4"/>
  <c r="C498" i="4"/>
  <c r="D498" i="4"/>
  <c r="F490" i="4"/>
  <c r="E490" i="4"/>
  <c r="C490" i="4"/>
  <c r="D490" i="4"/>
  <c r="F482" i="4"/>
  <c r="E482" i="4"/>
  <c r="D482" i="4"/>
  <c r="C482" i="4"/>
  <c r="F474" i="4"/>
  <c r="E474" i="4"/>
  <c r="C474" i="4"/>
  <c r="D474" i="4"/>
  <c r="F466" i="4"/>
  <c r="E466" i="4"/>
  <c r="C466" i="4"/>
  <c r="D466" i="4"/>
  <c r="F458" i="4"/>
  <c r="E458" i="4"/>
  <c r="C458" i="4"/>
  <c r="D458" i="4"/>
  <c r="F450" i="4"/>
  <c r="E450" i="4"/>
  <c r="C450" i="4"/>
  <c r="D450" i="4"/>
  <c r="F442" i="4"/>
  <c r="E442" i="4"/>
  <c r="C442" i="4"/>
  <c r="D442" i="4"/>
  <c r="F434" i="4"/>
  <c r="E434" i="4"/>
  <c r="C434" i="4"/>
  <c r="D434" i="4"/>
  <c r="F426" i="4"/>
  <c r="E426" i="4"/>
  <c r="C426" i="4"/>
  <c r="D426" i="4"/>
  <c r="F418" i="4"/>
  <c r="E418" i="4"/>
  <c r="D418" i="4"/>
  <c r="C418" i="4"/>
  <c r="F410" i="4"/>
  <c r="E410" i="4"/>
  <c r="C410" i="4"/>
  <c r="D410" i="4"/>
  <c r="F402" i="4"/>
  <c r="E402" i="4"/>
  <c r="C402" i="4"/>
  <c r="D402" i="4"/>
  <c r="F394" i="4"/>
  <c r="E394" i="4"/>
  <c r="C394" i="4"/>
  <c r="D394" i="4"/>
  <c r="F386" i="4"/>
  <c r="E386" i="4"/>
  <c r="C386" i="4"/>
  <c r="D386" i="4"/>
  <c r="F378" i="4"/>
  <c r="E378" i="4"/>
  <c r="C378" i="4"/>
  <c r="D378" i="4"/>
  <c r="F370" i="4"/>
  <c r="E370" i="4"/>
  <c r="C370" i="4"/>
  <c r="D370" i="4"/>
  <c r="F362" i="4"/>
  <c r="E362" i="4"/>
  <c r="C362" i="4"/>
  <c r="D362" i="4"/>
  <c r="F354" i="4"/>
  <c r="E354" i="4"/>
  <c r="D354" i="4"/>
  <c r="C354" i="4"/>
  <c r="F346" i="4"/>
  <c r="E346" i="4"/>
  <c r="C346" i="4"/>
  <c r="D346" i="4"/>
  <c r="F338" i="4"/>
  <c r="E338" i="4"/>
  <c r="C338" i="4"/>
  <c r="D338" i="4"/>
  <c r="F330" i="4"/>
  <c r="E330" i="4"/>
  <c r="C330" i="4"/>
  <c r="D330" i="4"/>
  <c r="F322" i="4"/>
  <c r="E322" i="4"/>
  <c r="C322" i="4"/>
  <c r="D322" i="4"/>
  <c r="F314" i="4"/>
  <c r="E314" i="4"/>
  <c r="C314" i="4"/>
  <c r="D314" i="4"/>
  <c r="F306" i="4"/>
  <c r="E306" i="4"/>
  <c r="C306" i="4"/>
  <c r="D306" i="4"/>
  <c r="F298" i="4"/>
  <c r="E298" i="4"/>
  <c r="C298" i="4"/>
  <c r="D298" i="4"/>
  <c r="F290" i="4"/>
  <c r="E290" i="4"/>
  <c r="D290" i="4"/>
  <c r="C290" i="4"/>
  <c r="F282" i="4"/>
  <c r="E282" i="4"/>
  <c r="C282" i="4"/>
  <c r="D282" i="4"/>
  <c r="F274" i="4"/>
  <c r="E274" i="4"/>
  <c r="C274" i="4"/>
  <c r="D274" i="4"/>
  <c r="F266" i="4"/>
  <c r="E266" i="4"/>
  <c r="C266" i="4"/>
  <c r="D266" i="4"/>
  <c r="F258" i="4"/>
  <c r="E258" i="4"/>
  <c r="C258" i="4"/>
  <c r="D258" i="4"/>
  <c r="F250" i="4"/>
  <c r="E250" i="4"/>
  <c r="C250" i="4"/>
  <c r="D250" i="4"/>
  <c r="F242" i="4"/>
  <c r="E242" i="4"/>
  <c r="C242" i="4"/>
  <c r="D242" i="4"/>
  <c r="F234" i="4"/>
  <c r="E234" i="4"/>
  <c r="C234" i="4"/>
  <c r="D234" i="4"/>
  <c r="F226" i="4"/>
  <c r="E226" i="4"/>
  <c r="D226" i="4"/>
  <c r="C226" i="4"/>
  <c r="F218" i="4"/>
  <c r="E218" i="4"/>
  <c r="C218" i="4"/>
  <c r="D218" i="4"/>
  <c r="F210" i="4"/>
  <c r="E210" i="4"/>
  <c r="C210" i="4"/>
  <c r="D210" i="4"/>
  <c r="F202" i="4"/>
  <c r="E202" i="4"/>
  <c r="C202" i="4"/>
  <c r="D202" i="4"/>
  <c r="F194" i="4"/>
  <c r="E194" i="4"/>
  <c r="C194" i="4"/>
  <c r="D194" i="4"/>
  <c r="F186" i="4"/>
  <c r="E186" i="4"/>
  <c r="C186" i="4"/>
  <c r="D186" i="4"/>
  <c r="F178" i="4"/>
  <c r="E178" i="4"/>
  <c r="C178" i="4"/>
  <c r="D178" i="4"/>
  <c r="F170" i="4"/>
  <c r="E170" i="4"/>
  <c r="C170" i="4"/>
  <c r="D170" i="4"/>
  <c r="F162" i="4"/>
  <c r="E162" i="4"/>
  <c r="D162" i="4"/>
  <c r="C162" i="4"/>
  <c r="F154" i="4"/>
  <c r="E154" i="4"/>
  <c r="C154" i="4"/>
  <c r="D154" i="4"/>
  <c r="F146" i="4"/>
  <c r="E146" i="4"/>
  <c r="C146" i="4"/>
  <c r="D146" i="4"/>
  <c r="F138" i="4"/>
  <c r="E138" i="4"/>
  <c r="C138" i="4"/>
  <c r="D138" i="4"/>
  <c r="F130" i="4"/>
  <c r="E130" i="4"/>
  <c r="C130" i="4"/>
  <c r="D130" i="4"/>
  <c r="F122" i="4"/>
  <c r="E122" i="4"/>
  <c r="C122" i="4"/>
  <c r="D122" i="4"/>
  <c r="F114" i="4"/>
  <c r="E114" i="4"/>
  <c r="C114" i="4"/>
  <c r="D114" i="4"/>
  <c r="F106" i="4"/>
  <c r="E106" i="4"/>
  <c r="C106" i="4"/>
  <c r="D106" i="4"/>
  <c r="F98" i="4"/>
  <c r="E98" i="4"/>
  <c r="D98" i="4"/>
  <c r="C98" i="4"/>
  <c r="F90" i="4"/>
  <c r="E90" i="4"/>
  <c r="C90" i="4"/>
  <c r="D90" i="4"/>
  <c r="F82" i="4"/>
  <c r="E82" i="4"/>
  <c r="C82" i="4"/>
  <c r="D82" i="4"/>
  <c r="F74" i="4"/>
  <c r="E74" i="4"/>
  <c r="C74" i="4"/>
  <c r="D74" i="4"/>
  <c r="F66" i="4"/>
  <c r="E66" i="4"/>
  <c r="C66" i="4"/>
  <c r="D66" i="4"/>
  <c r="F58" i="4"/>
  <c r="E58" i="4"/>
  <c r="C58" i="4"/>
  <c r="D58" i="4"/>
  <c r="F50" i="4"/>
  <c r="E50" i="4"/>
  <c r="C50" i="4"/>
  <c r="D50" i="4"/>
  <c r="F42" i="4"/>
  <c r="E42" i="4"/>
  <c r="C42" i="4"/>
  <c r="D42" i="4"/>
  <c r="F34" i="4"/>
  <c r="E34" i="4"/>
  <c r="D34" i="4"/>
  <c r="C34" i="4"/>
  <c r="F26" i="4"/>
  <c r="E26" i="4"/>
  <c r="C26" i="4"/>
  <c r="D26" i="4"/>
  <c r="F18" i="4"/>
  <c r="E18" i="4"/>
  <c r="C18" i="4"/>
  <c r="D18" i="4"/>
  <c r="F10" i="4"/>
  <c r="E10" i="4"/>
  <c r="C10" i="4"/>
  <c r="D10" i="4"/>
  <c r="A1125" i="4"/>
  <c r="A1029" i="4"/>
  <c r="A1013" i="4"/>
  <c r="A1005" i="4"/>
  <c r="A997" i="4"/>
  <c r="A989" i="4"/>
  <c r="A981" i="4"/>
  <c r="A973" i="4"/>
  <c r="A965" i="4"/>
  <c r="A933" i="4"/>
  <c r="A925" i="4"/>
  <c r="A917" i="4"/>
  <c r="A1030" i="4"/>
  <c r="A1022" i="4"/>
  <c r="A1014" i="4"/>
  <c r="A1006" i="4"/>
  <c r="A998" i="4"/>
  <c r="A990" i="4"/>
  <c r="A982" i="4"/>
  <c r="A974" i="4"/>
  <c r="A966" i="4"/>
  <c r="A942" i="4"/>
  <c r="A934" i="4"/>
  <c r="A926" i="4"/>
  <c r="A918" i="4"/>
  <c r="A910" i="4"/>
  <c r="A902" i="4"/>
  <c r="A894" i="4"/>
  <c r="A886" i="4"/>
  <c r="A854" i="4"/>
  <c r="A662" i="4"/>
  <c r="A654" i="4"/>
  <c r="A646" i="4"/>
  <c r="A638" i="4"/>
  <c r="A630" i="4"/>
  <c r="A622" i="4"/>
  <c r="A614" i="4"/>
  <c r="A606" i="4"/>
  <c r="A598" i="4"/>
  <c r="A582" i="4"/>
  <c r="A550" i="4"/>
  <c r="A542" i="4"/>
  <c r="A534" i="4"/>
  <c r="A526" i="4"/>
  <c r="A518" i="4"/>
  <c r="A510" i="4"/>
  <c r="A502" i="4"/>
  <c r="A494" i="4"/>
  <c r="A486" i="4"/>
  <c r="A478" i="4"/>
  <c r="A470" i="4"/>
  <c r="A462" i="4"/>
  <c r="A454" i="4"/>
  <c r="A446" i="4"/>
  <c r="A438" i="4"/>
  <c r="A422" i="4"/>
  <c r="A414" i="4"/>
  <c r="A390" i="4"/>
  <c r="A350" i="4"/>
  <c r="A342" i="4"/>
  <c r="A326" i="4"/>
  <c r="A318" i="4"/>
  <c r="A302" i="4"/>
  <c r="A286" i="4"/>
  <c r="A222" i="4"/>
  <c r="A214" i="4"/>
  <c r="A206" i="4"/>
  <c r="A198" i="4"/>
  <c r="A182" i="4"/>
  <c r="A174" i="4"/>
  <c r="A166" i="4"/>
  <c r="A158" i="4"/>
  <c r="A150" i="4"/>
  <c r="A142" i="4"/>
  <c r="A126" i="4"/>
  <c r="A118" i="4"/>
  <c r="A110" i="4"/>
  <c r="A102" i="4"/>
  <c r="A94" i="4"/>
  <c r="A86" i="4"/>
  <c r="A78" i="4"/>
  <c r="A70" i="4"/>
  <c r="A62" i="4"/>
  <c r="A54" i="4"/>
  <c r="A46" i="4"/>
  <c r="A38" i="4"/>
  <c r="A30" i="4"/>
  <c r="A22" i="4"/>
  <c r="A14" i="4"/>
  <c r="A6" i="4"/>
  <c r="A1031" i="4"/>
  <c r="A1023" i="4"/>
  <c r="A1015" i="4"/>
  <c r="A1007" i="4"/>
  <c r="A991" i="4"/>
  <c r="A983" i="4"/>
  <c r="A967" i="4"/>
  <c r="A935" i="4"/>
  <c r="A927" i="4"/>
  <c r="A919" i="4"/>
  <c r="A911" i="4"/>
  <c r="A903" i="4"/>
  <c r="A895" i="4"/>
  <c r="A887" i="4"/>
  <c r="A879" i="4"/>
  <c r="A855" i="4"/>
  <c r="A663" i="4"/>
  <c r="A655" i="4"/>
  <c r="A647" i="4"/>
  <c r="A639" i="4"/>
  <c r="A631" i="4"/>
  <c r="A615" i="4"/>
  <c r="A607" i="4"/>
  <c r="A599" i="4"/>
  <c r="A583" i="4"/>
  <c r="A575" i="4"/>
  <c r="A551" i="4"/>
  <c r="A543" i="4"/>
  <c r="A535" i="4"/>
  <c r="A527" i="4"/>
  <c r="A519" i="4"/>
  <c r="A511" i="4"/>
  <c r="A503" i="4"/>
  <c r="A495" i="4"/>
  <c r="A487" i="4"/>
  <c r="A479" i="4"/>
  <c r="A471" i="4"/>
  <c r="A463" i="4"/>
  <c r="A455" i="4"/>
  <c r="A447" i="4"/>
  <c r="A439" i="4"/>
  <c r="A415" i="4"/>
  <c r="A407" i="4"/>
  <c r="A375" i="4"/>
  <c r="A359" i="4"/>
  <c r="A343" i="4"/>
  <c r="A319" i="4"/>
  <c r="A311" i="4"/>
  <c r="A287" i="4"/>
  <c r="A215" i="4"/>
  <c r="A207" i="4"/>
  <c r="A199" i="4"/>
  <c r="A183" i="4"/>
  <c r="A175" i="4"/>
  <c r="A159" i="4"/>
  <c r="A143" i="4"/>
  <c r="A135" i="4"/>
  <c r="A127" i="4"/>
  <c r="A119" i="4"/>
  <c r="A111" i="4"/>
  <c r="A103" i="4"/>
  <c r="A95" i="4"/>
  <c r="A87" i="4"/>
  <c r="A79" i="4"/>
  <c r="A71" i="4"/>
  <c r="A63" i="4"/>
  <c r="A55" i="4"/>
  <c r="A47" i="4"/>
  <c r="A39" i="4"/>
  <c r="A31" i="4"/>
  <c r="A23" i="4"/>
  <c r="A15" i="4"/>
  <c r="A7" i="4"/>
  <c r="A1024" i="4"/>
  <c r="A1016" i="4"/>
  <c r="A1008" i="4"/>
  <c r="A1000" i="4"/>
  <c r="A992" i="4"/>
  <c r="A984" i="4"/>
  <c r="A968" i="4"/>
  <c r="A952" i="4"/>
  <c r="A936" i="4"/>
  <c r="A928" i="4"/>
  <c r="A920" i="4"/>
  <c r="A912" i="4"/>
  <c r="A904" i="4"/>
  <c r="A896" i="4"/>
  <c r="A888" i="4"/>
  <c r="A856" i="4"/>
  <c r="A656" i="4"/>
  <c r="A648" i="4"/>
  <c r="A640" i="4"/>
  <c r="A632" i="4"/>
  <c r="A624" i="4"/>
  <c r="A616" i="4"/>
  <c r="A608" i="4"/>
  <c r="A600" i="4"/>
  <c r="A592" i="4"/>
  <c r="A584" i="4"/>
  <c r="A576" i="4"/>
  <c r="A568" i="4"/>
  <c r="A552" i="4"/>
  <c r="A544" i="4"/>
  <c r="A536" i="4"/>
  <c r="A528" i="4"/>
  <c r="A520" i="4"/>
  <c r="A512" i="4"/>
  <c r="A504" i="4"/>
  <c r="A496" i="4"/>
  <c r="A488" i="4"/>
  <c r="A480" i="4"/>
  <c r="A472" i="4"/>
  <c r="A464" i="4"/>
  <c r="A456" i="4"/>
  <c r="A448" i="4"/>
  <c r="A440" i="4"/>
  <c r="A432" i="4"/>
  <c r="A424" i="4"/>
  <c r="A408" i="4"/>
  <c r="A360" i="4"/>
  <c r="A352" i="4"/>
  <c r="A336" i="4"/>
  <c r="A304" i="4"/>
  <c r="A280" i="4"/>
  <c r="A272" i="4"/>
  <c r="A216" i="4"/>
  <c r="A208" i="4"/>
  <c r="A192" i="4"/>
  <c r="A184" i="4"/>
  <c r="A176" i="4"/>
  <c r="A160" i="4"/>
  <c r="A152" i="4"/>
  <c r="A136" i="4"/>
  <c r="A128" i="4"/>
  <c r="A120" i="4"/>
  <c r="A112" i="4"/>
  <c r="A104" i="4"/>
  <c r="A96" i="4"/>
  <c r="A88" i="4"/>
  <c r="A80" i="4"/>
  <c r="A72" i="4"/>
  <c r="A64" i="4"/>
  <c r="A56" i="4"/>
  <c r="A1121" i="4"/>
  <c r="A1049" i="4"/>
  <c r="A1033" i="4"/>
  <c r="A1025" i="4"/>
  <c r="A1017" i="4"/>
  <c r="A1009" i="4"/>
  <c r="A1001" i="4"/>
  <c r="A993" i="4"/>
  <c r="A985" i="4"/>
  <c r="A977" i="4"/>
  <c r="A969" i="4"/>
  <c r="A961" i="4"/>
  <c r="A937" i="4"/>
  <c r="A929" i="4"/>
  <c r="A921" i="4"/>
  <c r="A913" i="4"/>
  <c r="A1122" i="4"/>
  <c r="A1050" i="4"/>
  <c r="A1034" i="4"/>
  <c r="A1026" i="4"/>
  <c r="A1010" i="4"/>
  <c r="A1002" i="4"/>
  <c r="A994" i="4"/>
  <c r="A986" i="4"/>
  <c r="A978" i="4"/>
  <c r="A970" i="4"/>
  <c r="A962" i="4"/>
  <c r="A938" i="4"/>
  <c r="A930" i="4"/>
  <c r="A922" i="4"/>
  <c r="A914" i="4"/>
  <c r="A906" i="4"/>
  <c r="A898" i="4"/>
  <c r="A890" i="4"/>
  <c r="A658" i="4"/>
  <c r="A650" i="4"/>
  <c r="A642" i="4"/>
  <c r="A634" i="4"/>
  <c r="A626" i="4"/>
  <c r="A618" i="4"/>
  <c r="A610" i="4"/>
  <c r="A602" i="4"/>
  <c r="A578" i="4"/>
  <c r="A546" i="4"/>
  <c r="A538" i="4"/>
  <c r="A530" i="4"/>
  <c r="A522" i="4"/>
  <c r="A514" i="4"/>
  <c r="A506" i="4"/>
  <c r="A498" i="4"/>
  <c r="A490" i="4"/>
  <c r="A482" i="4"/>
  <c r="A474" i="4"/>
  <c r="A466" i="4"/>
  <c r="A458" i="4"/>
  <c r="A450" i="4"/>
  <c r="A442" i="4"/>
  <c r="A434" i="4"/>
  <c r="A426" i="4"/>
  <c r="A394" i="4"/>
  <c r="A378" i="4"/>
  <c r="A362" i="4"/>
  <c r="A354" i="4"/>
  <c r="A346" i="4"/>
  <c r="A322" i="4"/>
  <c r="A290" i="4"/>
  <c r="A274" i="4"/>
  <c r="A226" i="4"/>
  <c r="A218" i="4"/>
  <c r="A210" i="4"/>
  <c r="A186" i="4"/>
  <c r="A178" i="4"/>
  <c r="A170" i="4"/>
  <c r="A162" i="4"/>
  <c r="A138" i="4"/>
  <c r="A130" i="4"/>
  <c r="A122" i="4"/>
  <c r="A114" i="4"/>
  <c r="A106" i="4"/>
  <c r="A98" i="4"/>
  <c r="A90" i="4"/>
  <c r="A82" i="4"/>
  <c r="A74" i="4"/>
  <c r="A66" i="4"/>
  <c r="A58" i="4"/>
  <c r="A50" i="4"/>
  <c r="A1123" i="4"/>
  <c r="A1027" i="4"/>
  <c r="A1011" i="4"/>
  <c r="A1003" i="4"/>
  <c r="A995" i="4"/>
  <c r="A987" i="4"/>
  <c r="A979" i="4"/>
  <c r="A971" i="4"/>
  <c r="A963" i="4"/>
  <c r="A931" i="4"/>
  <c r="A923" i="4"/>
  <c r="A915" i="4"/>
  <c r="A907" i="4"/>
  <c r="A899" i="4"/>
  <c r="A891" i="4"/>
  <c r="A883" i="4"/>
  <c r="A659" i="4"/>
  <c r="A651" i="4"/>
  <c r="A643" i="4"/>
  <c r="A635" i="4"/>
  <c r="A627" i="4"/>
  <c r="A611" i="4"/>
  <c r="A603" i="4"/>
  <c r="A579" i="4"/>
  <c r="A563" i="4"/>
  <c r="A555" i="4"/>
  <c r="A547" i="4"/>
  <c r="A539" i="4"/>
  <c r="A531" i="4"/>
  <c r="A523" i="4"/>
  <c r="A515" i="4"/>
  <c r="A507" i="4"/>
  <c r="A499" i="4"/>
  <c r="A491" i="4"/>
  <c r="A483" i="4"/>
  <c r="A475" i="4"/>
  <c r="A467" i="4"/>
  <c r="A459" i="4"/>
  <c r="A451" i="4"/>
  <c r="A443" i="4"/>
  <c r="A435" i="4"/>
  <c r="A419" i="4"/>
  <c r="A411" i="4"/>
  <c r="A403" i="4"/>
  <c r="A395" i="4"/>
  <c r="A387" i="4"/>
  <c r="A379" i="4"/>
  <c r="A347" i="4"/>
  <c r="A339" i="4"/>
  <c r="A331" i="4"/>
  <c r="A323" i="4"/>
  <c r="A307" i="4"/>
  <c r="A299" i="4"/>
  <c r="A275" i="4"/>
  <c r="A235" i="4"/>
  <c r="A219" i="4"/>
  <c r="A211" i="4"/>
  <c r="A187" i="4"/>
  <c r="A179" i="4"/>
  <c r="A171" i="4"/>
  <c r="A163" i="4"/>
  <c r="A155" i="4"/>
  <c r="A131" i="4"/>
  <c r="A123" i="4"/>
  <c r="A115" i="4"/>
  <c r="A107" i="4"/>
  <c r="A99" i="4"/>
  <c r="A91" i="4"/>
  <c r="A83" i="4"/>
  <c r="A75" i="4"/>
  <c r="A67" i="4"/>
  <c r="A59" i="4"/>
  <c r="A51" i="4"/>
  <c r="A43" i="4"/>
  <c r="A35" i="4"/>
  <c r="A27" i="4"/>
  <c r="A19" i="4"/>
  <c r="A11" i="4"/>
  <c r="A3" i="4"/>
  <c r="A1124" i="4"/>
  <c r="A1116" i="4"/>
  <c r="A1028" i="4"/>
  <c r="A1012" i="4"/>
  <c r="A1004" i="4"/>
  <c r="A996" i="4"/>
  <c r="A988" i="4"/>
  <c r="A980" i="4"/>
  <c r="A972" i="4"/>
  <c r="A964" i="4"/>
  <c r="A932" i="4"/>
  <c r="A924" i="4"/>
  <c r="A916" i="4"/>
  <c r="A908" i="4"/>
  <c r="A900" i="4"/>
  <c r="A892" i="4"/>
  <c r="A884" i="4"/>
  <c r="A660" i="4"/>
  <c r="A652" i="4"/>
  <c r="A644" i="4"/>
  <c r="A636" i="4"/>
  <c r="A628" i="4"/>
  <c r="A620" i="4"/>
  <c r="A612" i="4"/>
  <c r="A604" i="4"/>
  <c r="A580" i="4"/>
  <c r="A572" i="4"/>
  <c r="A548" i="4"/>
  <c r="A540" i="4"/>
  <c r="A532" i="4"/>
  <c r="A524" i="4"/>
  <c r="A516" i="4"/>
  <c r="A508" i="4"/>
  <c r="A500" i="4"/>
  <c r="A492" i="4"/>
  <c r="A484" i="4"/>
  <c r="A476" i="4"/>
  <c r="A468" i="4"/>
  <c r="A460" i="4"/>
  <c r="A452" i="4"/>
  <c r="A444" i="4"/>
  <c r="A436" i="4"/>
  <c r="A428" i="4"/>
  <c r="A420" i="4"/>
  <c r="A412" i="4"/>
  <c r="A388" i="4"/>
  <c r="A372" i="4"/>
  <c r="A364" i="4"/>
  <c r="A356" i="4"/>
  <c r="A316" i="4"/>
  <c r="A260" i="4"/>
  <c r="A228" i="4"/>
  <c r="A220" i="4"/>
  <c r="A212" i="4"/>
  <c r="A196" i="4"/>
  <c r="A188" i="4"/>
  <c r="A180" i="4"/>
  <c r="A172" i="4"/>
  <c r="A164" i="4"/>
  <c r="A156" i="4"/>
  <c r="A148" i="4"/>
  <c r="A140" i="4"/>
  <c r="A132" i="4"/>
  <c r="A124" i="4"/>
  <c r="A116" i="4"/>
  <c r="A108" i="4"/>
  <c r="A100" i="4"/>
  <c r="A92" i="4"/>
  <c r="A84" i="4"/>
  <c r="A76" i="4"/>
  <c r="A68" i="4"/>
  <c r="A60" i="4"/>
  <c r="A52" i="4"/>
  <c r="A44" i="4"/>
  <c r="A36" i="4"/>
  <c r="A28" i="4"/>
  <c r="A20" i="4"/>
  <c r="A12" i="4"/>
  <c r="A4" i="4"/>
  <c r="A1556" i="4"/>
  <c r="I1556" i="4"/>
  <c r="A1548" i="4"/>
  <c r="I1548" i="4"/>
  <c r="A1540" i="4"/>
  <c r="I1540" i="4"/>
  <c r="A1532" i="4"/>
  <c r="A1524" i="4"/>
  <c r="I1524" i="4"/>
  <c r="A1516" i="4"/>
  <c r="I1516" i="4"/>
  <c r="A1508" i="4"/>
  <c r="A1500" i="4"/>
  <c r="I1500" i="4"/>
  <c r="A1492" i="4"/>
  <c r="I1492" i="4"/>
  <c r="A1484" i="4"/>
  <c r="I1484" i="4"/>
  <c r="A1476" i="4"/>
  <c r="I1476" i="4"/>
  <c r="A1468" i="4"/>
  <c r="A1460" i="4"/>
  <c r="I1460" i="4"/>
  <c r="A1452" i="4"/>
  <c r="I1452" i="4"/>
  <c r="A1444" i="4"/>
  <c r="A1436" i="4"/>
  <c r="I1436" i="4"/>
  <c r="A1428" i="4"/>
  <c r="I1428" i="4"/>
  <c r="A1420" i="4"/>
  <c r="I1420" i="4"/>
  <c r="A1412" i="4"/>
  <c r="I1412" i="4"/>
  <c r="A1404" i="4"/>
  <c r="A1396" i="4"/>
  <c r="I1396" i="4"/>
  <c r="A1388" i="4"/>
  <c r="I1388" i="4"/>
  <c r="A1380" i="4"/>
  <c r="A1372" i="4"/>
  <c r="I1372" i="4"/>
  <c r="A1364" i="4"/>
  <c r="I1364" i="4"/>
  <c r="A1356" i="4"/>
  <c r="I1356" i="4"/>
  <c r="A1348" i="4"/>
  <c r="I1348" i="4"/>
  <c r="A1340" i="4"/>
  <c r="A1332" i="4"/>
  <c r="I1332" i="4"/>
  <c r="A1324" i="4"/>
  <c r="I1324" i="4"/>
  <c r="A1316" i="4"/>
  <c r="A1308" i="4"/>
  <c r="I1308" i="4"/>
  <c r="A1300" i="4"/>
  <c r="I1300" i="4"/>
  <c r="A1292" i="4"/>
  <c r="I1292" i="4"/>
  <c r="A1284" i="4"/>
  <c r="I1284" i="4"/>
  <c r="A1276" i="4"/>
  <c r="A1268" i="4"/>
  <c r="I1268" i="4"/>
  <c r="A1260" i="4"/>
  <c r="I1260" i="4"/>
  <c r="A1252" i="4"/>
  <c r="A1244" i="4"/>
  <c r="I1244" i="4"/>
  <c r="A1236" i="4"/>
  <c r="I1236" i="4"/>
  <c r="A1228" i="4"/>
  <c r="I1228" i="4"/>
  <c r="A1220" i="4"/>
  <c r="I1220" i="4"/>
  <c r="A1212" i="4"/>
  <c r="A1204" i="4"/>
  <c r="A1196" i="4"/>
  <c r="A1188" i="4"/>
  <c r="A1180" i="4"/>
  <c r="A1172" i="4"/>
  <c r="A1164" i="4"/>
  <c r="A1156" i="4"/>
  <c r="A1148" i="4"/>
  <c r="A1140" i="4"/>
  <c r="A1132" i="4"/>
  <c r="A1557" i="4"/>
  <c r="A1549" i="4"/>
  <c r="A1541" i="4"/>
  <c r="A1533" i="4"/>
  <c r="A1525" i="4"/>
  <c r="A1517" i="4"/>
  <c r="A1509" i="4"/>
  <c r="I1509" i="4"/>
  <c r="A1501" i="4"/>
  <c r="A1493" i="4"/>
  <c r="I1493" i="4"/>
  <c r="A1485" i="4"/>
  <c r="I1485" i="4"/>
  <c r="A1477" i="4"/>
  <c r="I1477" i="4"/>
  <c r="A1469" i="4"/>
  <c r="I1469" i="4"/>
  <c r="A1461" i="4"/>
  <c r="A1453" i="4"/>
  <c r="I1453" i="4"/>
  <c r="A1445" i="4"/>
  <c r="I1445" i="4"/>
  <c r="A1437" i="4"/>
  <c r="A1429" i="4"/>
  <c r="I1429" i="4"/>
  <c r="A1421" i="4"/>
  <c r="I1421" i="4"/>
  <c r="A1413" i="4"/>
  <c r="I1413" i="4"/>
  <c r="A1405" i="4"/>
  <c r="I1405" i="4"/>
  <c r="A1397" i="4"/>
  <c r="A1389" i="4"/>
  <c r="I1389" i="4"/>
  <c r="A1381" i="4"/>
  <c r="I1381" i="4"/>
  <c r="A1373" i="4"/>
  <c r="A1365" i="4"/>
  <c r="I1365" i="4"/>
  <c r="A1357" i="4"/>
  <c r="I1357" i="4"/>
  <c r="A1349" i="4"/>
  <c r="I1349" i="4"/>
  <c r="A1341" i="4"/>
  <c r="I1341" i="4"/>
  <c r="A1333" i="4"/>
  <c r="A1325" i="4"/>
  <c r="I1325" i="4"/>
  <c r="A1317" i="4"/>
  <c r="I1317" i="4"/>
  <c r="A1309" i="4"/>
  <c r="A1301" i="4"/>
  <c r="I1301" i="4"/>
  <c r="A1293" i="4"/>
  <c r="I1293" i="4"/>
  <c r="A1285" i="4"/>
  <c r="I1285" i="4"/>
  <c r="A1277" i="4"/>
  <c r="I1277" i="4"/>
  <c r="A1269" i="4"/>
  <c r="A1261" i="4"/>
  <c r="I1261" i="4"/>
  <c r="A1253" i="4"/>
  <c r="I1253" i="4"/>
  <c r="A1245" i="4"/>
  <c r="A1237" i="4"/>
  <c r="I1237" i="4"/>
  <c r="A1229" i="4"/>
  <c r="I1229" i="4"/>
  <c r="A1221" i="4"/>
  <c r="I1221" i="4"/>
  <c r="A1213" i="4"/>
  <c r="I1213" i="4"/>
  <c r="A1205" i="4"/>
  <c r="A1197" i="4"/>
  <c r="A1189" i="4"/>
  <c r="A1181" i="4"/>
  <c r="A1173" i="4"/>
  <c r="A1165" i="4"/>
  <c r="A1157" i="4"/>
  <c r="A1149" i="4"/>
  <c r="A1141" i="4"/>
  <c r="A1133" i="4"/>
  <c r="A909" i="4"/>
  <c r="A901" i="4"/>
  <c r="A893" i="4"/>
  <c r="A885" i="4"/>
  <c r="A661" i="4"/>
  <c r="A653" i="4"/>
  <c r="A645" i="4"/>
  <c r="A637" i="4"/>
  <c r="A629" i="4"/>
  <c r="A613" i="4"/>
  <c r="A549" i="4"/>
  <c r="A541" i="4"/>
  <c r="A533" i="4"/>
  <c r="A525" i="4"/>
  <c r="A517" i="4"/>
  <c r="A509" i="4"/>
  <c r="A501" i="4"/>
  <c r="A493" i="4"/>
  <c r="A485" i="4"/>
  <c r="A477" i="4"/>
  <c r="A469" i="4"/>
  <c r="A461" i="4"/>
  <c r="A453" i="4"/>
  <c r="A445" i="4"/>
  <c r="A437" i="4"/>
  <c r="A429" i="4"/>
  <c r="A421" i="4"/>
  <c r="A413" i="4"/>
  <c r="A397" i="4"/>
  <c r="A365" i="4"/>
  <c r="A357" i="4"/>
  <c r="A349" i="4"/>
  <c r="A341" i="4"/>
  <c r="A317" i="4"/>
  <c r="A309" i="4"/>
  <c r="A245" i="4"/>
  <c r="A221" i="4"/>
  <c r="A213" i="4"/>
  <c r="A189" i="4"/>
  <c r="A181" i="4"/>
  <c r="A173" i="4"/>
  <c r="A133" i="4"/>
  <c r="A125" i="4"/>
  <c r="A117" i="4"/>
  <c r="A109" i="4"/>
  <c r="A101" i="4"/>
  <c r="A93" i="4"/>
  <c r="A85" i="4"/>
  <c r="A77" i="4"/>
  <c r="A69" i="4"/>
  <c r="A61" i="4"/>
  <c r="A53" i="4"/>
  <c r="A45" i="4"/>
  <c r="A37" i="4"/>
  <c r="A29" i="4"/>
  <c r="A21" i="4"/>
  <c r="A13" i="4"/>
  <c r="A5" i="4"/>
  <c r="A1558" i="4"/>
  <c r="I1558" i="4"/>
  <c r="A1550" i="4"/>
  <c r="A1542" i="4"/>
  <c r="I1542" i="4"/>
  <c r="A1534" i="4"/>
  <c r="I1534" i="4"/>
  <c r="A1526" i="4"/>
  <c r="I1526" i="4"/>
  <c r="A1518" i="4"/>
  <c r="I1518" i="4"/>
  <c r="A1510" i="4"/>
  <c r="A1502" i="4"/>
  <c r="I1502" i="4"/>
  <c r="A1494" i="4"/>
  <c r="I1494" i="4"/>
  <c r="A1486" i="4"/>
  <c r="A1478" i="4"/>
  <c r="I1478" i="4"/>
  <c r="A1470" i="4"/>
  <c r="I1470" i="4"/>
  <c r="A1462" i="4"/>
  <c r="I1462" i="4"/>
  <c r="A1454" i="4"/>
  <c r="I1454" i="4"/>
  <c r="A1446" i="4"/>
  <c r="A1438" i="4"/>
  <c r="I1438" i="4"/>
  <c r="A1430" i="4"/>
  <c r="I1430" i="4"/>
  <c r="A1422" i="4"/>
  <c r="I1422" i="4"/>
  <c r="A1414" i="4"/>
  <c r="I1414" i="4"/>
  <c r="A1406" i="4"/>
  <c r="I1406" i="4"/>
  <c r="A1398" i="4"/>
  <c r="I1398" i="4"/>
  <c r="A1390" i="4"/>
  <c r="I1390" i="4"/>
  <c r="A1382" i="4"/>
  <c r="A1374" i="4"/>
  <c r="I1374" i="4"/>
  <c r="A1366" i="4"/>
  <c r="I1366" i="4"/>
  <c r="A1358" i="4"/>
  <c r="A1350" i="4"/>
  <c r="I1350" i="4"/>
  <c r="A1342" i="4"/>
  <c r="I1342" i="4"/>
  <c r="A1334" i="4"/>
  <c r="I1334" i="4"/>
  <c r="A1326" i="4"/>
  <c r="I1326" i="4"/>
  <c r="A1318" i="4"/>
  <c r="A1310" i="4"/>
  <c r="I1310" i="4"/>
  <c r="A1302" i="4"/>
  <c r="I1302" i="4"/>
  <c r="A1294" i="4"/>
  <c r="A1286" i="4"/>
  <c r="I1286" i="4"/>
  <c r="A1278" i="4"/>
  <c r="I1278" i="4"/>
  <c r="A1270" i="4"/>
  <c r="I1270" i="4"/>
  <c r="A1262" i="4"/>
  <c r="I1262" i="4"/>
  <c r="A1254" i="4"/>
  <c r="A1246" i="4"/>
  <c r="I1246" i="4"/>
  <c r="A1238" i="4"/>
  <c r="I1238" i="4"/>
  <c r="A1230" i="4"/>
  <c r="A1222" i="4"/>
  <c r="I1222" i="4"/>
  <c r="A1214" i="4"/>
  <c r="I1214" i="4"/>
  <c r="A1206" i="4"/>
  <c r="I1206" i="4"/>
  <c r="A1198" i="4"/>
  <c r="A1190" i="4"/>
  <c r="A1182" i="4"/>
  <c r="A1174" i="4"/>
  <c r="A1166" i="4"/>
  <c r="A1158" i="4"/>
  <c r="A1150" i="4"/>
  <c r="A1142" i="4"/>
  <c r="A1134" i="4"/>
  <c r="A1126" i="4"/>
  <c r="I1557" i="4"/>
  <c r="A2" i="4"/>
  <c r="A1559" i="4"/>
  <c r="A1551" i="4"/>
  <c r="I1551" i="4"/>
  <c r="A1543" i="4"/>
  <c r="I1543" i="4"/>
  <c r="A1535" i="4"/>
  <c r="A1527" i="4"/>
  <c r="I1527" i="4"/>
  <c r="A1519" i="4"/>
  <c r="I1519" i="4"/>
  <c r="A1511" i="4"/>
  <c r="I1511" i="4"/>
  <c r="A1503" i="4"/>
  <c r="I1503" i="4"/>
  <c r="A1495" i="4"/>
  <c r="A1487" i="4"/>
  <c r="I1487" i="4"/>
  <c r="A1479" i="4"/>
  <c r="I1479" i="4"/>
  <c r="A1471" i="4"/>
  <c r="A1463" i="4"/>
  <c r="I1463" i="4"/>
  <c r="A1455" i="4"/>
  <c r="I1455" i="4"/>
  <c r="A1447" i="4"/>
  <c r="I1447" i="4"/>
  <c r="A1439" i="4"/>
  <c r="I1439" i="4"/>
  <c r="A1431" i="4"/>
  <c r="A1423" i="4"/>
  <c r="I1423" i="4"/>
  <c r="A1415" i="4"/>
  <c r="I1415" i="4"/>
  <c r="A1407" i="4"/>
  <c r="A1399" i="4"/>
  <c r="I1399" i="4"/>
  <c r="A1391" i="4"/>
  <c r="I1391" i="4"/>
  <c r="A1383" i="4"/>
  <c r="I1383" i="4"/>
  <c r="A1375" i="4"/>
  <c r="I1375" i="4"/>
  <c r="A1367" i="4"/>
  <c r="A1359" i="4"/>
  <c r="I1359" i="4"/>
  <c r="A1351" i="4"/>
  <c r="I1351" i="4"/>
  <c r="A1343" i="4"/>
  <c r="I1343" i="4"/>
  <c r="A1335" i="4"/>
  <c r="I1335" i="4"/>
  <c r="A1327" i="4"/>
  <c r="I1327" i="4"/>
  <c r="A1319" i="4"/>
  <c r="I1319" i="4"/>
  <c r="A1311" i="4"/>
  <c r="I1311" i="4"/>
  <c r="A1303" i="4"/>
  <c r="A1295" i="4"/>
  <c r="I1295" i="4"/>
  <c r="A1287" i="4"/>
  <c r="I1287" i="4"/>
  <c r="A1279" i="4"/>
  <c r="A1271" i="4"/>
  <c r="I1271" i="4"/>
  <c r="A1263" i="4"/>
  <c r="I1263" i="4"/>
  <c r="A1255" i="4"/>
  <c r="I1255" i="4"/>
  <c r="A1247" i="4"/>
  <c r="I1247" i="4"/>
  <c r="A1239" i="4"/>
  <c r="A1231" i="4"/>
  <c r="I1231" i="4"/>
  <c r="A1223" i="4"/>
  <c r="I1223" i="4"/>
  <c r="A1215" i="4"/>
  <c r="A1207" i="4"/>
  <c r="I1207" i="4"/>
  <c r="A1199" i="4"/>
  <c r="A1191" i="4"/>
  <c r="A1183" i="4"/>
  <c r="A1175" i="4"/>
  <c r="A1167" i="4"/>
  <c r="A1159" i="4"/>
  <c r="A1151" i="4"/>
  <c r="A1143" i="4"/>
  <c r="A1135" i="4"/>
  <c r="A1127" i="4"/>
  <c r="A1560" i="4"/>
  <c r="A1552" i="4"/>
  <c r="A1544" i="4"/>
  <c r="A1536" i="4"/>
  <c r="A1528" i="4"/>
  <c r="A1520" i="4"/>
  <c r="A1512" i="4"/>
  <c r="A1504" i="4"/>
  <c r="A1496" i="4"/>
  <c r="A1488" i="4"/>
  <c r="A1480" i="4"/>
  <c r="A1472" i="4"/>
  <c r="A1464" i="4"/>
  <c r="A1456" i="4"/>
  <c r="A1448" i="4"/>
  <c r="A1440" i="4"/>
  <c r="A1432" i="4"/>
  <c r="A1424" i="4"/>
  <c r="A1416" i="4"/>
  <c r="A1408" i="4"/>
  <c r="A1400" i="4"/>
  <c r="A1392" i="4"/>
  <c r="A1384" i="4"/>
  <c r="A1376" i="4"/>
  <c r="A1368" i="4"/>
  <c r="A1360" i="4"/>
  <c r="A1352" i="4"/>
  <c r="A1344" i="4"/>
  <c r="A1336" i="4"/>
  <c r="A1328" i="4"/>
  <c r="A1320" i="4"/>
  <c r="A1312" i="4"/>
  <c r="A1304" i="4"/>
  <c r="A1296" i="4"/>
  <c r="A1288" i="4"/>
  <c r="A1280" i="4"/>
  <c r="A1272" i="4"/>
  <c r="A1264" i="4"/>
  <c r="A1256" i="4"/>
  <c r="A1248" i="4"/>
  <c r="A1240" i="4"/>
  <c r="A1232" i="4"/>
  <c r="A1224" i="4"/>
  <c r="A1216" i="4"/>
  <c r="A1208" i="4"/>
  <c r="A1200" i="4"/>
  <c r="A1192" i="4"/>
  <c r="A1184" i="4"/>
  <c r="A1176" i="4"/>
  <c r="A1168" i="4"/>
  <c r="A1160" i="4"/>
  <c r="A1152" i="4"/>
  <c r="A1144" i="4"/>
  <c r="A1136" i="4"/>
  <c r="A1128" i="4"/>
  <c r="I1533" i="4"/>
  <c r="A48" i="4"/>
  <c r="A40" i="4"/>
  <c r="A32" i="4"/>
  <c r="A24" i="4"/>
  <c r="A16" i="4"/>
  <c r="A8" i="4"/>
  <c r="A1561" i="4"/>
  <c r="A1553" i="4"/>
  <c r="A1545" i="4"/>
  <c r="A1537" i="4"/>
  <c r="A1529" i="4"/>
  <c r="G1529" i="4"/>
  <c r="A1521" i="4"/>
  <c r="A1513" i="4"/>
  <c r="A1505" i="4"/>
  <c r="A1497" i="4"/>
  <c r="A1489" i="4"/>
  <c r="A1481" i="4"/>
  <c r="A1473" i="4"/>
  <c r="A1465" i="4"/>
  <c r="G1465" i="4"/>
  <c r="A1457" i="4"/>
  <c r="A1449" i="4"/>
  <c r="A1441" i="4"/>
  <c r="A1433" i="4"/>
  <c r="A1425" i="4"/>
  <c r="A1417" i="4"/>
  <c r="A1409" i="4"/>
  <c r="A1401" i="4"/>
  <c r="G1401" i="4"/>
  <c r="A1393" i="4"/>
  <c r="A1385" i="4"/>
  <c r="A1377" i="4"/>
  <c r="A1369" i="4"/>
  <c r="A1361" i="4"/>
  <c r="A1353" i="4"/>
  <c r="A1345" i="4"/>
  <c r="A1337" i="4"/>
  <c r="G1337" i="4"/>
  <c r="A1329" i="4"/>
  <c r="A1321" i="4"/>
  <c r="A1313" i="4"/>
  <c r="A1305" i="4"/>
  <c r="A1297" i="4"/>
  <c r="A1289" i="4"/>
  <c r="A1281" i="4"/>
  <c r="A1273" i="4"/>
  <c r="G1273" i="4"/>
  <c r="A1265" i="4"/>
  <c r="A1257" i="4"/>
  <c r="A1249" i="4"/>
  <c r="A1241" i="4"/>
  <c r="A1233" i="4"/>
  <c r="A1225" i="4"/>
  <c r="A1217" i="4"/>
  <c r="A1209" i="4"/>
  <c r="G1209" i="4"/>
  <c r="A1201" i="4"/>
  <c r="A1193" i="4"/>
  <c r="A1185" i="4"/>
  <c r="A1177" i="4"/>
  <c r="A1169" i="4"/>
  <c r="A1161" i="4"/>
  <c r="A1153" i="4"/>
  <c r="A1145" i="4"/>
  <c r="A1137" i="4"/>
  <c r="A1129" i="4"/>
  <c r="A905" i="4"/>
  <c r="A897" i="4"/>
  <c r="A889" i="4"/>
  <c r="A857" i="4"/>
  <c r="A657" i="4"/>
  <c r="A649" i="4"/>
  <c r="A641" i="4"/>
  <c r="A633" i="4"/>
  <c r="A625" i="4"/>
  <c r="A617" i="4"/>
  <c r="A609" i="4"/>
  <c r="A601" i="4"/>
  <c r="A561" i="4"/>
  <c r="A553" i="4"/>
  <c r="A545" i="4"/>
  <c r="A537" i="4"/>
  <c r="A529" i="4"/>
  <c r="A521" i="4"/>
  <c r="A513" i="4"/>
  <c r="A505" i="4"/>
  <c r="A497" i="4"/>
  <c r="A489" i="4"/>
  <c r="A481" i="4"/>
  <c r="A473" i="4"/>
  <c r="A465" i="4"/>
  <c r="A457" i="4"/>
  <c r="A449" i="4"/>
  <c r="A441" i="4"/>
  <c r="A425" i="4"/>
  <c r="A417" i="4"/>
  <c r="A409" i="4"/>
  <c r="A369" i="4"/>
  <c r="A353" i="4"/>
  <c r="A345" i="4"/>
  <c r="A329" i="4"/>
  <c r="A297" i="4"/>
  <c r="A265" i="4"/>
  <c r="A241" i="4"/>
  <c r="A217" i="4"/>
  <c r="A209" i="4"/>
  <c r="A193" i="4"/>
  <c r="A185" i="4"/>
  <c r="A177" i="4"/>
  <c r="A161" i="4"/>
  <c r="A153" i="4"/>
  <c r="A137" i="4"/>
  <c r="A129" i="4"/>
  <c r="A121" i="4"/>
  <c r="A113" i="4"/>
  <c r="A105" i="4"/>
  <c r="A97" i="4"/>
  <c r="A89" i="4"/>
  <c r="A81" i="4"/>
  <c r="A73" i="4"/>
  <c r="A65" i="4"/>
  <c r="A57" i="4"/>
  <c r="A49" i="4"/>
  <c r="A41" i="4"/>
  <c r="A33" i="4"/>
  <c r="A25" i="4"/>
  <c r="A17" i="4"/>
  <c r="A9" i="4"/>
  <c r="A1562" i="4"/>
  <c r="I1562" i="4"/>
  <c r="A1554" i="4"/>
  <c r="I1554" i="4"/>
  <c r="A1546" i="4"/>
  <c r="A1538" i="4"/>
  <c r="I1538" i="4"/>
  <c r="A1530" i="4"/>
  <c r="I1530" i="4"/>
  <c r="A1522" i="4"/>
  <c r="I1522" i="4"/>
  <c r="A1514" i="4"/>
  <c r="I1514" i="4"/>
  <c r="G1514" i="4"/>
  <c r="A1506" i="4"/>
  <c r="I1506" i="4"/>
  <c r="A1498" i="4"/>
  <c r="I1498" i="4"/>
  <c r="A1490" i="4"/>
  <c r="I1490" i="4"/>
  <c r="A1482" i="4"/>
  <c r="I1482" i="4"/>
  <c r="A1474" i="4"/>
  <c r="I1474" i="4"/>
  <c r="A1466" i="4"/>
  <c r="I1466" i="4"/>
  <c r="A1458" i="4"/>
  <c r="A1450" i="4"/>
  <c r="I1450" i="4"/>
  <c r="G1450" i="4"/>
  <c r="A1442" i="4"/>
  <c r="I1442" i="4"/>
  <c r="A1434" i="4"/>
  <c r="I1434" i="4"/>
  <c r="A1426" i="4"/>
  <c r="I1426" i="4"/>
  <c r="A1418" i="4"/>
  <c r="I1418" i="4"/>
  <c r="A1410" i="4"/>
  <c r="I1410" i="4"/>
  <c r="A1402" i="4"/>
  <c r="I1402" i="4"/>
  <c r="A1394" i="4"/>
  <c r="I1394" i="4"/>
  <c r="A1386" i="4"/>
  <c r="I1386" i="4"/>
  <c r="G1386" i="4"/>
  <c r="A1378" i="4"/>
  <c r="I1378" i="4"/>
  <c r="A1370" i="4"/>
  <c r="I1370" i="4"/>
  <c r="A1362" i="4"/>
  <c r="I1362" i="4"/>
  <c r="A1354" i="4"/>
  <c r="A1346" i="4"/>
  <c r="I1346" i="4"/>
  <c r="A1338" i="4"/>
  <c r="I1338" i="4"/>
  <c r="A1330" i="4"/>
  <c r="I1330" i="4"/>
  <c r="A1322" i="4"/>
  <c r="I1322" i="4"/>
  <c r="G1322" i="4"/>
  <c r="A1314" i="4"/>
  <c r="I1314" i="4"/>
  <c r="A1306" i="4"/>
  <c r="I1306" i="4"/>
  <c r="A1298" i="4"/>
  <c r="I1298" i="4"/>
  <c r="A1290" i="4"/>
  <c r="A1282" i="4"/>
  <c r="I1282" i="4"/>
  <c r="A1274" i="4"/>
  <c r="I1274" i="4"/>
  <c r="A1266" i="4"/>
  <c r="I1266" i="4"/>
  <c r="A1258" i="4"/>
  <c r="I1258" i="4"/>
  <c r="G1258" i="4"/>
  <c r="A1250" i="4"/>
  <c r="I1250" i="4"/>
  <c r="A1242" i="4"/>
  <c r="I1242" i="4"/>
  <c r="A1234" i="4"/>
  <c r="I1234" i="4"/>
  <c r="A1226" i="4"/>
  <c r="A1218" i="4"/>
  <c r="I1218" i="4"/>
  <c r="A1210" i="4"/>
  <c r="I1210" i="4"/>
  <c r="A1202" i="4"/>
  <c r="A1194" i="4"/>
  <c r="A1186" i="4"/>
  <c r="A1178" i="4"/>
  <c r="A1170" i="4"/>
  <c r="A1162" i="4"/>
  <c r="A1154" i="4"/>
  <c r="A1146" i="4"/>
  <c r="A1138" i="4"/>
  <c r="A1130" i="4"/>
  <c r="I1541" i="4"/>
  <c r="A42" i="4"/>
  <c r="A34" i="4"/>
  <c r="A26" i="4"/>
  <c r="A18" i="4"/>
  <c r="A10" i="4"/>
  <c r="A1563" i="4"/>
  <c r="I1563" i="4"/>
  <c r="A1555" i="4"/>
  <c r="I1555" i="4"/>
  <c r="A1547" i="4"/>
  <c r="I1547" i="4"/>
  <c r="A1539" i="4"/>
  <c r="I1539" i="4"/>
  <c r="A1531" i="4"/>
  <c r="I1531" i="4"/>
  <c r="A1523" i="4"/>
  <c r="I1523" i="4"/>
  <c r="A1515" i="4"/>
  <c r="A1507" i="4"/>
  <c r="I1507" i="4"/>
  <c r="A1499" i="4"/>
  <c r="I1499" i="4"/>
  <c r="A1491" i="4"/>
  <c r="I1491" i="4"/>
  <c r="A1483" i="4"/>
  <c r="I1483" i="4"/>
  <c r="A1475" i="4"/>
  <c r="I1475" i="4"/>
  <c r="A1467" i="4"/>
  <c r="I1467" i="4"/>
  <c r="A1459" i="4"/>
  <c r="G1459" i="4"/>
  <c r="I1459" i="4"/>
  <c r="A1451" i="4"/>
  <c r="I1451" i="4"/>
  <c r="A1443" i="4"/>
  <c r="I1443" i="4"/>
  <c r="A1435" i="4"/>
  <c r="I1435" i="4"/>
  <c r="A1427" i="4"/>
  <c r="I1427" i="4"/>
  <c r="A1419" i="4"/>
  <c r="I1419" i="4"/>
  <c r="A1411" i="4"/>
  <c r="A1403" i="4"/>
  <c r="I1403" i="4"/>
  <c r="A1395" i="4"/>
  <c r="G1395" i="4"/>
  <c r="I1395" i="4"/>
  <c r="A1387" i="4"/>
  <c r="I1387" i="4"/>
  <c r="A1379" i="4"/>
  <c r="I1379" i="4"/>
  <c r="A1371" i="4"/>
  <c r="I1371" i="4"/>
  <c r="A1363" i="4"/>
  <c r="I1363" i="4"/>
  <c r="A1355" i="4"/>
  <c r="I1355" i="4"/>
  <c r="A1347" i="4"/>
  <c r="A1339" i="4"/>
  <c r="I1339" i="4"/>
  <c r="A1331" i="4"/>
  <c r="G1331" i="4"/>
  <c r="I1331" i="4"/>
  <c r="A1323" i="4"/>
  <c r="I1323" i="4"/>
  <c r="A1315" i="4"/>
  <c r="I1315" i="4"/>
  <c r="A1307" i="4"/>
  <c r="I1307" i="4"/>
  <c r="A1299" i="4"/>
  <c r="I1299" i="4"/>
  <c r="A1291" i="4"/>
  <c r="I1291" i="4"/>
  <c r="A1283" i="4"/>
  <c r="A1275" i="4"/>
  <c r="I1275" i="4"/>
  <c r="A1267" i="4"/>
  <c r="G1267" i="4"/>
  <c r="I1267" i="4"/>
  <c r="A1259" i="4"/>
  <c r="I1259" i="4"/>
  <c r="A1251" i="4"/>
  <c r="I1251" i="4"/>
  <c r="A1243" i="4"/>
  <c r="I1243" i="4"/>
  <c r="A1235" i="4"/>
  <c r="I1235" i="4"/>
  <c r="A1227" i="4"/>
  <c r="I1227" i="4"/>
  <c r="A1219" i="4"/>
  <c r="A1211" i="4"/>
  <c r="I1211" i="4"/>
  <c r="A1203" i="4"/>
  <c r="A1195" i="4"/>
  <c r="A1187" i="4"/>
  <c r="A1179" i="4"/>
  <c r="A1171" i="4"/>
  <c r="A1163" i="4"/>
  <c r="A1155" i="4"/>
  <c r="A1147" i="4"/>
  <c r="A1139" i="4"/>
  <c r="A1131" i="4"/>
  <c r="I1552" i="4"/>
  <c r="I1544" i="4"/>
  <c r="I1536" i="4"/>
  <c r="I1528" i="4"/>
  <c r="I1520" i="4"/>
  <c r="I1512" i="4"/>
  <c r="I1504" i="4"/>
  <c r="I1488" i="4"/>
  <c r="I1480" i="4"/>
  <c r="I1464" i="4"/>
  <c r="I1456" i="4"/>
  <c r="I1448" i="4"/>
  <c r="I1440" i="4"/>
  <c r="I1424" i="4"/>
  <c r="I1416" i="4"/>
  <c r="I1400" i="4"/>
  <c r="I1392" i="4"/>
  <c r="I1384" i="4"/>
  <c r="I1376" i="4"/>
  <c r="I1360" i="4"/>
  <c r="I1352" i="4"/>
  <c r="I1336" i="4"/>
  <c r="I1328" i="4"/>
  <c r="I1320" i="4"/>
  <c r="I1312" i="4"/>
  <c r="I1296" i="4"/>
  <c r="I1288" i="4"/>
  <c r="I1272" i="4"/>
  <c r="I1264" i="4"/>
  <c r="I1256" i="4"/>
  <c r="I1248" i="4"/>
  <c r="I1232" i="4"/>
  <c r="I1224" i="4"/>
  <c r="I1216" i="4"/>
  <c r="I1208" i="4"/>
  <c r="I1561" i="4"/>
  <c r="I1553" i="4"/>
  <c r="I1545" i="4"/>
  <c r="I1537" i="4"/>
  <c r="I1529" i="4"/>
  <c r="I1521" i="4"/>
  <c r="I1513" i="4"/>
  <c r="I1505" i="4"/>
  <c r="I1497" i="4"/>
  <c r="I1489" i="4"/>
  <c r="I1481" i="4"/>
  <c r="I1473" i="4"/>
  <c r="I1465" i="4"/>
  <c r="I1457" i="4"/>
  <c r="I1449" i="4"/>
  <c r="I1441" i="4"/>
  <c r="I1433" i="4"/>
  <c r="I1425" i="4"/>
  <c r="I1417" i="4"/>
  <c r="I1409" i="4"/>
  <c r="I1401" i="4"/>
  <c r="I1393" i="4"/>
  <c r="I1385" i="4"/>
  <c r="I1377" i="4"/>
  <c r="I1369" i="4"/>
  <c r="I1361" i="4"/>
  <c r="I1353" i="4"/>
  <c r="I1345" i="4"/>
  <c r="I1337" i="4"/>
  <c r="I1329" i="4"/>
  <c r="I1321" i="4"/>
  <c r="I1313" i="4"/>
  <c r="I1305" i="4"/>
  <c r="I1297" i="4"/>
  <c r="I1289" i="4"/>
  <c r="I1281" i="4"/>
  <c r="I1273" i="4"/>
  <c r="I1265" i="4"/>
  <c r="I1257" i="4"/>
  <c r="I1249" i="4"/>
  <c r="I1241" i="4"/>
  <c r="I1233" i="4"/>
  <c r="I1225" i="4"/>
  <c r="I1217" i="4"/>
  <c r="I1209" i="4"/>
  <c r="G21" i="4" l="1"/>
  <c r="F2" i="4"/>
  <c r="D2" i="4"/>
  <c r="E2" i="4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Q1097" i="3"/>
  <c r="Q1098" i="3"/>
  <c r="Q1099" i="3"/>
  <c r="W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S1367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V1500" i="3"/>
  <c r="S1556" i="3"/>
  <c r="S1557" i="3"/>
  <c r="S1558" i="3"/>
  <c r="S1559" i="3"/>
  <c r="S1560" i="3"/>
  <c r="Q1593" i="3"/>
  <c r="Q1594" i="3"/>
  <c r="Q1595" i="3"/>
  <c r="Q1596" i="3"/>
  <c r="Q1597" i="3"/>
  <c r="Q1598" i="3"/>
  <c r="Q1599" i="3"/>
  <c r="Q1600" i="3"/>
  <c r="Q1601" i="3"/>
  <c r="Q1602" i="3"/>
  <c r="Q1603" i="3"/>
  <c r="W1651" i="3"/>
  <c r="W1652" i="3"/>
  <c r="W1653" i="3"/>
  <c r="W1654" i="3"/>
  <c r="W1655" i="3"/>
  <c r="W1656" i="3"/>
  <c r="W1657" i="3"/>
  <c r="W1658" i="3"/>
  <c r="W1659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V1100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W1240" i="3"/>
  <c r="W1241" i="3"/>
  <c r="W1242" i="3"/>
  <c r="W1243" i="3"/>
  <c r="W1244" i="3"/>
  <c r="W1245" i="3"/>
  <c r="W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Q1561" i="3"/>
  <c r="Q1562" i="3"/>
  <c r="Q1563" i="3"/>
  <c r="Q1564" i="3"/>
  <c r="Q1565" i="3"/>
  <c r="Q1566" i="3"/>
  <c r="Q1567" i="3"/>
  <c r="Q1568" i="3"/>
  <c r="Q1569" i="3"/>
  <c r="Q1570" i="3"/>
  <c r="Q1571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W1097" i="3"/>
  <c r="W1098" i="3"/>
  <c r="W1099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V1240" i="3"/>
  <c r="V1241" i="3"/>
  <c r="V1242" i="3"/>
  <c r="V1243" i="3"/>
  <c r="V1244" i="3"/>
  <c r="V1245" i="3"/>
  <c r="V1246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Q1367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Q1556" i="3"/>
  <c r="Q1557" i="3"/>
  <c r="Q1558" i="3"/>
  <c r="Q1559" i="3"/>
  <c r="Q1560" i="3"/>
  <c r="W1593" i="3"/>
  <c r="W1594" i="3"/>
  <c r="W1595" i="3"/>
  <c r="W1596" i="3"/>
  <c r="W1597" i="3"/>
  <c r="W1598" i="3"/>
  <c r="W1599" i="3"/>
  <c r="W1600" i="3"/>
  <c r="W1601" i="3"/>
  <c r="W1602" i="3"/>
  <c r="W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C2" i="4"/>
  <c r="H5" i="4" s="1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V1097" i="3"/>
  <c r="V1098" i="3"/>
  <c r="V1099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S1500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S1100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W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W1556" i="3"/>
  <c r="W1557" i="3"/>
  <c r="W1558" i="3"/>
  <c r="W1559" i="3"/>
  <c r="W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S1240" i="3"/>
  <c r="S1241" i="3"/>
  <c r="S1242" i="3"/>
  <c r="S1243" i="3"/>
  <c r="S1244" i="3"/>
  <c r="S1245" i="3"/>
  <c r="S1246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V1367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Q1500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V1556" i="3"/>
  <c r="V1557" i="3"/>
  <c r="V1558" i="3"/>
  <c r="V1559" i="3"/>
  <c r="V1560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097" i="3"/>
  <c r="S1098" i="3"/>
  <c r="S1099" i="3"/>
  <c r="Q1100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S1593" i="3"/>
  <c r="S1594" i="3"/>
  <c r="S1595" i="3"/>
  <c r="S1596" i="3"/>
  <c r="S1597" i="3"/>
  <c r="S1598" i="3"/>
  <c r="S1599" i="3"/>
  <c r="S1600" i="3"/>
  <c r="S1601" i="3"/>
  <c r="S1602" i="3"/>
  <c r="S1603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Q1240" i="3"/>
  <c r="Q1241" i="3"/>
  <c r="Q1242" i="3"/>
  <c r="Q1243" i="3"/>
  <c r="Q1244" i="3"/>
  <c r="Q1245" i="3"/>
  <c r="Q1246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9" i="3"/>
  <c r="Q1477" i="3"/>
  <c r="Q1485" i="3"/>
  <c r="Q1493" i="3"/>
  <c r="V1505" i="3"/>
  <c r="V1513" i="3"/>
  <c r="S1567" i="3"/>
  <c r="Q1572" i="3"/>
  <c r="S1573" i="3"/>
  <c r="Q1576" i="3"/>
  <c r="S1577" i="3"/>
  <c r="Q1580" i="3"/>
  <c r="S1581" i="3"/>
  <c r="Q1584" i="3"/>
  <c r="S1585" i="3"/>
  <c r="W1588" i="3"/>
  <c r="Q1591" i="3"/>
  <c r="V1596" i="3"/>
  <c r="W1617" i="3"/>
  <c r="Q1620" i="3"/>
  <c r="S1622" i="3"/>
  <c r="V1651" i="3"/>
  <c r="V1659" i="3"/>
  <c r="W1663" i="3"/>
  <c r="V1668" i="3"/>
  <c r="W1669" i="3"/>
  <c r="S1673" i="3"/>
  <c r="V1676" i="3"/>
  <c r="W1677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Q1464" i="3"/>
  <c r="Q1472" i="3"/>
  <c r="Q1480" i="3"/>
  <c r="Q1488" i="3"/>
  <c r="Q1496" i="3"/>
  <c r="W1500" i="3"/>
  <c r="V1508" i="3"/>
  <c r="V1516" i="3"/>
  <c r="S1562" i="3"/>
  <c r="S1570" i="3"/>
  <c r="S1586" i="3"/>
  <c r="W1589" i="3"/>
  <c r="Q1592" i="3"/>
  <c r="V1599" i="3"/>
  <c r="W1605" i="3"/>
  <c r="Q1607" i="3"/>
  <c r="W1609" i="3"/>
  <c r="Q1611" i="3"/>
  <c r="W1613" i="3"/>
  <c r="Q1615" i="3"/>
  <c r="W1618" i="3"/>
  <c r="Q1621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V1654" i="3"/>
  <c r="V1663" i="3"/>
  <c r="S1666" i="3"/>
  <c r="V1669" i="3"/>
  <c r="W1670" i="3"/>
  <c r="S1674" i="3"/>
  <c r="V1677" i="3"/>
  <c r="W1678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W1731" i="3"/>
  <c r="W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Q1467" i="3"/>
  <c r="Q1475" i="3"/>
  <c r="Q1483" i="3"/>
  <c r="Q1491" i="3"/>
  <c r="Q1499" i="3"/>
  <c r="V1503" i="3"/>
  <c r="V1511" i="3"/>
  <c r="S1565" i="3"/>
  <c r="Q1573" i="3"/>
  <c r="S1574" i="3"/>
  <c r="Q1577" i="3"/>
  <c r="S1578" i="3"/>
  <c r="Q1581" i="3"/>
  <c r="S1582" i="3"/>
  <c r="Q1585" i="3"/>
  <c r="S1587" i="3"/>
  <c r="W1590" i="3"/>
  <c r="V1594" i="3"/>
  <c r="V1602" i="3"/>
  <c r="W1619" i="3"/>
  <c r="Q1622" i="3"/>
  <c r="V1657" i="3"/>
  <c r="W1660" i="3"/>
  <c r="W1664" i="3"/>
  <c r="S1667" i="3"/>
  <c r="V1670" i="3"/>
  <c r="W1671" i="3"/>
  <c r="S1675" i="3"/>
  <c r="V1678" i="3"/>
  <c r="W1679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V1731" i="3"/>
  <c r="V1732" i="3"/>
  <c r="Q1462" i="3"/>
  <c r="Q1470" i="3"/>
  <c r="Q1478" i="3"/>
  <c r="Q1486" i="3"/>
  <c r="Q1494" i="3"/>
  <c r="V1506" i="3"/>
  <c r="V1514" i="3"/>
  <c r="S1568" i="3"/>
  <c r="Q1586" i="3"/>
  <c r="S1588" i="3"/>
  <c r="W1591" i="3"/>
  <c r="V1597" i="3"/>
  <c r="Q1604" i="3"/>
  <c r="W1606" i="3"/>
  <c r="Q1608" i="3"/>
  <c r="W1610" i="3"/>
  <c r="Q1612" i="3"/>
  <c r="W1614" i="3"/>
  <c r="Q1616" i="3"/>
  <c r="S1617" i="3"/>
  <c r="W1620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V1652" i="3"/>
  <c r="V1660" i="3"/>
  <c r="V1664" i="3"/>
  <c r="S1668" i="3"/>
  <c r="V1671" i="3"/>
  <c r="W1672" i="3"/>
  <c r="S1676" i="3"/>
  <c r="V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Q1465" i="3"/>
  <c r="Q1473" i="3"/>
  <c r="Q1481" i="3"/>
  <c r="Q1489" i="3"/>
  <c r="Q1497" i="3"/>
  <c r="V1501" i="3"/>
  <c r="V1509" i="3"/>
  <c r="S1563" i="3"/>
  <c r="S1571" i="3"/>
  <c r="Q1574" i="3"/>
  <c r="S1575" i="3"/>
  <c r="Q1578" i="3"/>
  <c r="S1579" i="3"/>
  <c r="Q1582" i="3"/>
  <c r="S1583" i="3"/>
  <c r="Q1587" i="3"/>
  <c r="S1589" i="3"/>
  <c r="W1592" i="3"/>
  <c r="V1600" i="3"/>
  <c r="S1618" i="3"/>
  <c r="W1621" i="3"/>
  <c r="V1655" i="3"/>
  <c r="W1661" i="3"/>
  <c r="W1665" i="3"/>
  <c r="S1669" i="3"/>
  <c r="V1672" i="3"/>
  <c r="W1673" i="3"/>
  <c r="S1677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Q1468" i="3"/>
  <c r="Q1476" i="3"/>
  <c r="Q1484" i="3"/>
  <c r="Q1492" i="3"/>
  <c r="V1504" i="3"/>
  <c r="V1512" i="3"/>
  <c r="S1566" i="3"/>
  <c r="W1585" i="3"/>
  <c r="Q1588" i="3"/>
  <c r="S1590" i="3"/>
  <c r="V1595" i="3"/>
  <c r="V1603" i="3"/>
  <c r="Q1605" i="3"/>
  <c r="W1607" i="3"/>
  <c r="Q1609" i="3"/>
  <c r="W1611" i="3"/>
  <c r="Q1613" i="3"/>
  <c r="W1615" i="3"/>
  <c r="Q1617" i="3"/>
  <c r="S1619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V1658" i="3"/>
  <c r="V1661" i="3"/>
  <c r="V1665" i="3"/>
  <c r="W1666" i="3"/>
  <c r="S1670" i="3"/>
  <c r="V1673" i="3"/>
  <c r="W1674" i="3"/>
  <c r="S1678" i="3"/>
  <c r="S1731" i="3"/>
  <c r="S1732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463" i="3"/>
  <c r="Q1471" i="3"/>
  <c r="Q1479" i="3"/>
  <c r="Q1487" i="3"/>
  <c r="Q1495" i="3"/>
  <c r="V1507" i="3"/>
  <c r="V1515" i="3"/>
  <c r="S1561" i="3"/>
  <c r="S1569" i="3"/>
  <c r="S1572" i="3"/>
  <c r="Q1575" i="3"/>
  <c r="S1576" i="3"/>
  <c r="Q1579" i="3"/>
  <c r="S1580" i="3"/>
  <c r="Q1583" i="3"/>
  <c r="S1584" i="3"/>
  <c r="W1586" i="3"/>
  <c r="Q1589" i="3"/>
  <c r="S1591" i="3"/>
  <c r="V1598" i="3"/>
  <c r="Q1618" i="3"/>
  <c r="S1620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3" i="3"/>
  <c r="W1662" i="3"/>
  <c r="V1666" i="3"/>
  <c r="W1667" i="3"/>
  <c r="S1671" i="3"/>
  <c r="V1674" i="3"/>
  <c r="W1675" i="3"/>
  <c r="S1679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466" i="3"/>
  <c r="Q1474" i="3"/>
  <c r="Q1482" i="3"/>
  <c r="Q1490" i="3"/>
  <c r="Q1498" i="3"/>
  <c r="V1502" i="3"/>
  <c r="V1510" i="3"/>
  <c r="S1564" i="3"/>
  <c r="W1587" i="3"/>
  <c r="Q1590" i="3"/>
  <c r="S1592" i="3"/>
  <c r="V1593" i="3"/>
  <c r="V1601" i="3"/>
  <c r="W1604" i="3"/>
  <c r="Q1606" i="3"/>
  <c r="W1608" i="3"/>
  <c r="Q1610" i="3"/>
  <c r="W1612" i="3"/>
  <c r="Q1614" i="3"/>
  <c r="W1616" i="3"/>
  <c r="Q1619" i="3"/>
  <c r="S1621" i="3"/>
  <c r="V1656" i="3"/>
  <c r="V1662" i="3"/>
  <c r="V1667" i="3"/>
  <c r="W1668" i="3"/>
  <c r="S1672" i="3"/>
  <c r="V1675" i="3"/>
  <c r="W1676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Q1731" i="3"/>
  <c r="Q1732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H1520" i="4"/>
  <c r="G1250" i="4"/>
  <c r="G1314" i="4"/>
  <c r="G1378" i="4"/>
  <c r="G1442" i="4"/>
  <c r="G1506" i="4"/>
  <c r="G1263" i="4"/>
  <c r="G1327" i="4"/>
  <c r="G1391" i="4"/>
  <c r="G1455" i="4"/>
  <c r="G1519" i="4"/>
  <c r="G1229" i="4"/>
  <c r="G1293" i="4"/>
  <c r="G1357" i="4"/>
  <c r="G1254" i="4"/>
  <c r="G1318" i="4"/>
  <c r="G1382" i="4"/>
  <c r="G1446" i="4"/>
  <c r="G1510" i="4"/>
  <c r="G1253" i="4"/>
  <c r="G1317" i="4"/>
  <c r="G1381" i="4"/>
  <c r="G1445" i="4"/>
  <c r="G1252" i="4"/>
  <c r="G1316" i="4"/>
  <c r="G1380" i="4"/>
  <c r="G1444" i="4"/>
  <c r="G1508" i="4"/>
  <c r="G1251" i="4"/>
  <c r="G1315" i="4"/>
  <c r="G1379" i="4"/>
  <c r="G1443" i="4"/>
  <c r="G1507" i="4"/>
  <c r="G1257" i="4"/>
  <c r="G1321" i="4"/>
  <c r="G1385" i="4"/>
  <c r="G1449" i="4"/>
  <c r="G1513" i="4"/>
  <c r="G1216" i="4"/>
  <c r="G1280" i="4"/>
  <c r="G1344" i="4"/>
  <c r="G1408" i="4"/>
  <c r="G1472" i="4"/>
  <c r="G1255" i="4"/>
  <c r="G1319" i="4"/>
  <c r="G1383" i="4"/>
  <c r="G1447" i="4"/>
  <c r="G1511" i="4"/>
  <c r="G1238" i="4"/>
  <c r="G1302" i="4"/>
  <c r="G1366" i="4"/>
  <c r="G1430" i="4"/>
  <c r="G1494" i="4"/>
  <c r="G1558" i="4"/>
  <c r="G1261" i="4"/>
  <c r="G1325" i="4"/>
  <c r="G1389" i="4"/>
  <c r="G1453" i="4"/>
  <c r="G1236" i="4"/>
  <c r="G1300" i="4"/>
  <c r="G1364" i="4"/>
  <c r="G1428" i="4"/>
  <c r="G1492" i="4"/>
  <c r="G1556" i="4"/>
  <c r="G1246" i="4"/>
  <c r="G1310" i="4"/>
  <c r="G1374" i="4"/>
  <c r="G1438" i="4"/>
  <c r="G1502" i="4"/>
  <c r="G1219" i="4"/>
  <c r="G1283" i="4"/>
  <c r="G1347" i="4"/>
  <c r="G1411" i="4"/>
  <c r="G1475" i="4"/>
  <c r="G1539" i="4"/>
  <c r="G1225" i="4"/>
  <c r="G1289" i="4"/>
  <c r="G1353" i="4"/>
  <c r="G1417" i="4"/>
  <c r="G1481" i="4"/>
  <c r="G1545" i="4"/>
  <c r="G1248" i="4"/>
  <c r="G1312" i="4"/>
  <c r="G1376" i="4"/>
  <c r="G1440" i="4"/>
  <c r="G1504" i="4"/>
  <c r="G1223" i="4"/>
  <c r="G1287" i="4"/>
  <c r="G1351" i="4"/>
  <c r="G1415" i="4"/>
  <c r="G1479" i="4"/>
  <c r="G1543" i="4"/>
  <c r="G1206" i="4"/>
  <c r="G1270" i="4"/>
  <c r="G1334" i="4"/>
  <c r="G1398" i="4"/>
  <c r="G1462" i="4"/>
  <c r="G1526" i="4"/>
  <c r="G1421" i="4"/>
  <c r="G1485" i="4"/>
  <c r="G1268" i="4"/>
  <c r="G1332" i="4"/>
  <c r="G1396" i="4"/>
  <c r="G1460" i="4"/>
  <c r="G1524" i="4"/>
  <c r="H1552" i="4"/>
  <c r="G1227" i="4"/>
  <c r="G1291" i="4"/>
  <c r="G1355" i="4"/>
  <c r="G1419" i="4"/>
  <c r="G1483" i="4"/>
  <c r="G1547" i="4"/>
  <c r="G1233" i="4"/>
  <c r="G1297" i="4"/>
  <c r="G1361" i="4"/>
  <c r="G1425" i="4"/>
  <c r="G1489" i="4"/>
  <c r="G1553" i="4"/>
  <c r="G1232" i="4"/>
  <c r="G1256" i="4"/>
  <c r="G1296" i="4"/>
  <c r="G1320" i="4"/>
  <c r="G1360" i="4"/>
  <c r="G1384" i="4"/>
  <c r="G1424" i="4"/>
  <c r="G1448" i="4"/>
  <c r="G1488" i="4"/>
  <c r="G1512" i="4"/>
  <c r="G1528" i="4"/>
  <c r="G1544" i="4"/>
  <c r="G1560" i="4"/>
  <c r="G1207" i="4"/>
  <c r="G1271" i="4"/>
  <c r="G1335" i="4"/>
  <c r="G1399" i="4"/>
  <c r="G1463" i="4"/>
  <c r="G1527" i="4"/>
  <c r="G1214" i="4"/>
  <c r="G1278" i="4"/>
  <c r="G1342" i="4"/>
  <c r="G1406" i="4"/>
  <c r="G1470" i="4"/>
  <c r="G1534" i="4"/>
  <c r="G1213" i="4"/>
  <c r="G1277" i="4"/>
  <c r="G1341" i="4"/>
  <c r="G1405" i="4"/>
  <c r="G1469" i="4"/>
  <c r="G1212" i="4"/>
  <c r="G1276" i="4"/>
  <c r="G1340" i="4"/>
  <c r="G1404" i="4"/>
  <c r="G1468" i="4"/>
  <c r="G1532" i="4"/>
  <c r="G1218" i="4"/>
  <c r="G1282" i="4"/>
  <c r="G1346" i="4"/>
  <c r="G1410" i="4"/>
  <c r="G1474" i="4"/>
  <c r="G1538" i="4"/>
  <c r="G1231" i="4"/>
  <c r="G1295" i="4"/>
  <c r="G1359" i="4"/>
  <c r="G1423" i="4"/>
  <c r="G1487" i="4"/>
  <c r="G1551" i="4"/>
  <c r="G1242" i="4"/>
  <c r="G1306" i="4"/>
  <c r="G1370" i="4"/>
  <c r="G1434" i="4"/>
  <c r="G1498" i="4"/>
  <c r="G1562" i="4"/>
  <c r="G1517" i="4"/>
  <c r="G1533" i="4"/>
  <c r="G1549" i="4"/>
  <c r="G1501" i="4"/>
  <c r="H1423" i="4"/>
  <c r="H1487" i="4"/>
  <c r="H1551" i="4"/>
  <c r="H1254" i="4"/>
  <c r="H1318" i="4"/>
  <c r="H1382" i="4"/>
  <c r="H1446" i="4"/>
  <c r="H1510" i="4"/>
  <c r="H1221" i="4"/>
  <c r="H1285" i="4"/>
  <c r="H1349" i="4"/>
  <c r="H1413" i="4"/>
  <c r="H1477" i="4"/>
  <c r="H1541" i="4"/>
  <c r="H1252" i="4"/>
  <c r="H1316" i="4"/>
  <c r="H1380" i="4"/>
  <c r="H1444" i="4"/>
  <c r="H1508" i="4"/>
  <c r="H1243" i="4"/>
  <c r="H1307" i="4"/>
  <c r="H1371" i="4"/>
  <c r="H1435" i="4"/>
  <c r="H1499" i="4"/>
  <c r="H1563" i="4"/>
  <c r="H1226" i="4"/>
  <c r="H1290" i="4"/>
  <c r="H1354" i="4"/>
  <c r="H1418" i="4"/>
  <c r="H1482" i="4"/>
  <c r="H1546" i="4"/>
  <c r="H1249" i="4"/>
  <c r="H1313" i="4"/>
  <c r="H1377" i="4"/>
  <c r="H1441" i="4"/>
  <c r="H1505" i="4"/>
  <c r="H1240" i="4"/>
  <c r="H1304" i="4"/>
  <c r="H1368" i="4"/>
  <c r="H1432" i="4"/>
  <c r="H1496" i="4"/>
  <c r="G1235" i="4"/>
  <c r="G1299" i="4"/>
  <c r="G1363" i="4"/>
  <c r="G1427" i="4"/>
  <c r="G1491" i="4"/>
  <c r="G1555" i="4"/>
  <c r="G1266" i="4"/>
  <c r="G1330" i="4"/>
  <c r="G1394" i="4"/>
  <c r="G1458" i="4"/>
  <c r="G1522" i="4"/>
  <c r="H1536" i="4"/>
  <c r="G1241" i="4"/>
  <c r="G1305" i="4"/>
  <c r="G1369" i="4"/>
  <c r="G1433" i="4"/>
  <c r="G1497" i="4"/>
  <c r="H1537" i="4"/>
  <c r="G1240" i="4"/>
  <c r="G1304" i="4"/>
  <c r="G1368" i="4"/>
  <c r="G1432" i="4"/>
  <c r="G1496" i="4"/>
  <c r="H1560" i="4"/>
  <c r="G1222" i="4"/>
  <c r="G1262" i="4"/>
  <c r="G1286" i="4"/>
  <c r="G1326" i="4"/>
  <c r="G1350" i="4"/>
  <c r="G1390" i="4"/>
  <c r="G1414" i="4"/>
  <c r="G1454" i="4"/>
  <c r="G1478" i="4"/>
  <c r="G1518" i="4"/>
  <c r="G1542" i="4"/>
  <c r="G1221" i="4"/>
  <c r="G1285" i="4"/>
  <c r="G1349" i="4"/>
  <c r="G1413" i="4"/>
  <c r="G1477" i="4"/>
  <c r="G1220" i="4"/>
  <c r="G1260" i="4"/>
  <c r="G1284" i="4"/>
  <c r="G1324" i="4"/>
  <c r="G1348" i="4"/>
  <c r="G1388" i="4"/>
  <c r="G1412" i="4"/>
  <c r="G1452" i="4"/>
  <c r="G1476" i="4"/>
  <c r="G1516" i="4"/>
  <c r="G1540" i="4"/>
  <c r="H1223" i="4"/>
  <c r="H1287" i="4"/>
  <c r="H1351" i="4"/>
  <c r="H1415" i="4"/>
  <c r="H1479" i="4"/>
  <c r="H1543" i="4"/>
  <c r="H1246" i="4"/>
  <c r="H1310" i="4"/>
  <c r="H1374" i="4"/>
  <c r="H1438" i="4"/>
  <c r="H1502" i="4"/>
  <c r="H1213" i="4"/>
  <c r="H1277" i="4"/>
  <c r="H1341" i="4"/>
  <c r="H1405" i="4"/>
  <c r="H1469" i="4"/>
  <c r="H1533" i="4"/>
  <c r="H1244" i="4"/>
  <c r="H1308" i="4"/>
  <c r="H1372" i="4"/>
  <c r="H1436" i="4"/>
  <c r="H1500" i="4"/>
  <c r="H1235" i="4"/>
  <c r="H1299" i="4"/>
  <c r="H1363" i="4"/>
  <c r="H1427" i="4"/>
  <c r="H1491" i="4"/>
  <c r="H1555" i="4"/>
  <c r="H1218" i="4"/>
  <c r="H1282" i="4"/>
  <c r="H1346" i="4"/>
  <c r="H1410" i="4"/>
  <c r="H1474" i="4"/>
  <c r="H1538" i="4"/>
  <c r="H1241" i="4"/>
  <c r="H1305" i="4"/>
  <c r="H1369" i="4"/>
  <c r="H1433" i="4"/>
  <c r="H1497" i="4"/>
  <c r="H1232" i="4"/>
  <c r="H1296" i="4"/>
  <c r="H1360" i="4"/>
  <c r="H1424" i="4"/>
  <c r="H1488" i="4"/>
  <c r="G1259" i="4"/>
  <c r="G1323" i="4"/>
  <c r="G1387" i="4"/>
  <c r="G1451" i="4"/>
  <c r="G1515" i="4"/>
  <c r="G1226" i="4"/>
  <c r="G1290" i="4"/>
  <c r="G1354" i="4"/>
  <c r="G1418" i="4"/>
  <c r="G1482" i="4"/>
  <c r="G1546" i="4"/>
  <c r="G1265" i="4"/>
  <c r="G1329" i="4"/>
  <c r="G1393" i="4"/>
  <c r="G1457" i="4"/>
  <c r="G1521" i="4"/>
  <c r="G1561" i="4"/>
  <c r="G1224" i="4"/>
  <c r="G1264" i="4"/>
  <c r="G1288" i="4"/>
  <c r="G1328" i="4"/>
  <c r="G1352" i="4"/>
  <c r="G1392" i="4"/>
  <c r="G1416" i="4"/>
  <c r="G1456" i="4"/>
  <c r="G1480" i="4"/>
  <c r="G1520" i="4"/>
  <c r="G1536" i="4"/>
  <c r="G1552" i="4"/>
  <c r="G1239" i="4"/>
  <c r="G1303" i="4"/>
  <c r="G1367" i="4"/>
  <c r="G1431" i="4"/>
  <c r="G1495" i="4"/>
  <c r="G1559" i="4"/>
  <c r="G1245" i="4"/>
  <c r="G1269" i="4"/>
  <c r="G1309" i="4"/>
  <c r="G1333" i="4"/>
  <c r="G1373" i="4"/>
  <c r="G1397" i="4"/>
  <c r="G1437" i="4"/>
  <c r="G1461" i="4"/>
  <c r="G1244" i="4"/>
  <c r="G1308" i="4"/>
  <c r="G1372" i="4"/>
  <c r="G1436" i="4"/>
  <c r="G1500" i="4"/>
  <c r="H1207" i="4"/>
  <c r="H1271" i="4"/>
  <c r="H1335" i="4"/>
  <c r="H1399" i="4"/>
  <c r="H1463" i="4"/>
  <c r="H1527" i="4"/>
  <c r="H1230" i="4"/>
  <c r="H1294" i="4"/>
  <c r="H1358" i="4"/>
  <c r="H1422" i="4"/>
  <c r="H1486" i="4"/>
  <c r="H1550" i="4"/>
  <c r="H1261" i="4"/>
  <c r="H1325" i="4"/>
  <c r="H1389" i="4"/>
  <c r="H1453" i="4"/>
  <c r="H1517" i="4"/>
  <c r="H1228" i="4"/>
  <c r="H1292" i="4"/>
  <c r="H1356" i="4"/>
  <c r="H1420" i="4"/>
  <c r="H1484" i="4"/>
  <c r="H1548" i="4"/>
  <c r="H1219" i="4"/>
  <c r="H1283" i="4"/>
  <c r="H1347" i="4"/>
  <c r="H1411" i="4"/>
  <c r="H1475" i="4"/>
  <c r="H1539" i="4"/>
  <c r="H1266" i="4"/>
  <c r="H1330" i="4"/>
  <c r="H1394" i="4"/>
  <c r="H1458" i="4"/>
  <c r="H1522" i="4"/>
  <c r="H1225" i="4"/>
  <c r="H1289" i="4"/>
  <c r="H1353" i="4"/>
  <c r="H1417" i="4"/>
  <c r="H1481" i="4"/>
  <c r="H1216" i="4"/>
  <c r="H1280" i="4"/>
  <c r="H1344" i="4"/>
  <c r="H1408" i="4"/>
  <c r="H1472" i="4"/>
  <c r="H1544" i="4"/>
  <c r="G1243" i="4"/>
  <c r="G1307" i="4"/>
  <c r="G1371" i="4"/>
  <c r="G1435" i="4"/>
  <c r="G1499" i="4"/>
  <c r="G1563" i="4"/>
  <c r="G1210" i="4"/>
  <c r="G1274" i="4"/>
  <c r="G1338" i="4"/>
  <c r="G1402" i="4"/>
  <c r="G1466" i="4"/>
  <c r="G1530" i="4"/>
  <c r="G1249" i="4"/>
  <c r="G1313" i="4"/>
  <c r="G1377" i="4"/>
  <c r="G1441" i="4"/>
  <c r="G1505" i="4"/>
  <c r="H1545" i="4"/>
  <c r="G1247" i="4"/>
  <c r="G1311" i="4"/>
  <c r="G1375" i="4"/>
  <c r="G1439" i="4"/>
  <c r="G1503" i="4"/>
  <c r="G1509" i="4"/>
  <c r="G1525" i="4"/>
  <c r="G1541" i="4"/>
  <c r="G1557" i="4"/>
  <c r="H1263" i="4"/>
  <c r="H1327" i="4"/>
  <c r="H1391" i="4"/>
  <c r="H1455" i="4"/>
  <c r="H1519" i="4"/>
  <c r="H1222" i="4"/>
  <c r="H1286" i="4"/>
  <c r="H1350" i="4"/>
  <c r="H1414" i="4"/>
  <c r="H1478" i="4"/>
  <c r="H1542" i="4"/>
  <c r="H1253" i="4"/>
  <c r="H1317" i="4"/>
  <c r="H1381" i="4"/>
  <c r="H1445" i="4"/>
  <c r="H1509" i="4"/>
  <c r="H1220" i="4"/>
  <c r="H1284" i="4"/>
  <c r="H1348" i="4"/>
  <c r="H1412" i="4"/>
  <c r="H1476" i="4"/>
  <c r="H1540" i="4"/>
  <c r="H1211" i="4"/>
  <c r="H1275" i="4"/>
  <c r="H1339" i="4"/>
  <c r="H1403" i="4"/>
  <c r="H1467" i="4"/>
  <c r="H1531" i="4"/>
  <c r="H1258" i="4"/>
  <c r="H1322" i="4"/>
  <c r="H1386" i="4"/>
  <c r="H1450" i="4"/>
  <c r="H1514" i="4"/>
  <c r="H1217" i="4"/>
  <c r="H1281" i="4"/>
  <c r="H1345" i="4"/>
  <c r="H1409" i="4"/>
  <c r="H1473" i="4"/>
  <c r="H1208" i="4"/>
  <c r="H1272" i="4"/>
  <c r="H1336" i="4"/>
  <c r="H1400" i="4"/>
  <c r="H1464" i="4"/>
  <c r="H1528" i="4"/>
  <c r="G1234" i="4"/>
  <c r="G1298" i="4"/>
  <c r="G1362" i="4"/>
  <c r="G1426" i="4"/>
  <c r="G1490" i="4"/>
  <c r="G1554" i="4"/>
  <c r="G1208" i="4"/>
  <c r="G1272" i="4"/>
  <c r="G1336" i="4"/>
  <c r="G1400" i="4"/>
  <c r="G1464" i="4"/>
  <c r="G1230" i="4"/>
  <c r="G1294" i="4"/>
  <c r="G1358" i="4"/>
  <c r="G1422" i="4"/>
  <c r="G1486" i="4"/>
  <c r="G1550" i="4"/>
  <c r="G1228" i="4"/>
  <c r="G1292" i="4"/>
  <c r="G1356" i="4"/>
  <c r="G1420" i="4"/>
  <c r="G1484" i="4"/>
  <c r="G1548" i="4"/>
  <c r="H1255" i="4"/>
  <c r="H1319" i="4"/>
  <c r="H1383" i="4"/>
  <c r="H1447" i="4"/>
  <c r="H1511" i="4"/>
  <c r="H1214" i="4"/>
  <c r="H1278" i="4"/>
  <c r="H1342" i="4"/>
  <c r="H1406" i="4"/>
  <c r="H1470" i="4"/>
  <c r="H1534" i="4"/>
  <c r="H1245" i="4"/>
  <c r="H1309" i="4"/>
  <c r="H1373" i="4"/>
  <c r="H1437" i="4"/>
  <c r="H1501" i="4"/>
  <c r="H1212" i="4"/>
  <c r="H1276" i="4"/>
  <c r="H1340" i="4"/>
  <c r="H1404" i="4"/>
  <c r="H1468" i="4"/>
  <c r="H1532" i="4"/>
  <c r="H1267" i="4"/>
  <c r="H1331" i="4"/>
  <c r="H1395" i="4"/>
  <c r="H1459" i="4"/>
  <c r="H1523" i="4"/>
  <c r="H1250" i="4"/>
  <c r="H1314" i="4"/>
  <c r="H1378" i="4"/>
  <c r="H1442" i="4"/>
  <c r="H1506" i="4"/>
  <c r="H1209" i="4"/>
  <c r="H1273" i="4"/>
  <c r="H1337" i="4"/>
  <c r="H1401" i="4"/>
  <c r="H1465" i="4"/>
  <c r="H1529" i="4"/>
  <c r="H1264" i="4"/>
  <c r="H1328" i="4"/>
  <c r="H1392" i="4"/>
  <c r="H1456" i="4"/>
  <c r="G1237" i="4"/>
  <c r="G1301" i="4"/>
  <c r="G1365" i="4"/>
  <c r="G1429" i="4"/>
  <c r="G1493" i="4"/>
  <c r="H1553" i="4"/>
  <c r="H1561" i="4"/>
  <c r="G1211" i="4"/>
  <c r="G1275" i="4"/>
  <c r="G1339" i="4"/>
  <c r="G1403" i="4"/>
  <c r="G1467" i="4"/>
  <c r="G1531" i="4"/>
  <c r="G1217" i="4"/>
  <c r="G1281" i="4"/>
  <c r="G1345" i="4"/>
  <c r="G1409" i="4"/>
  <c r="G1473" i="4"/>
  <c r="G1537" i="4"/>
  <c r="G1215" i="4"/>
  <c r="G1279" i="4"/>
  <c r="G1343" i="4"/>
  <c r="G1407" i="4"/>
  <c r="G1471" i="4"/>
  <c r="G1535" i="4"/>
  <c r="I1126" i="4"/>
  <c r="I1127" i="4"/>
  <c r="I1134" i="4"/>
  <c r="I1135" i="4"/>
  <c r="I1142" i="4"/>
  <c r="I1143" i="4"/>
  <c r="I1150" i="4"/>
  <c r="I1151" i="4"/>
  <c r="I1158" i="4"/>
  <c r="I1159" i="4"/>
  <c r="I1166" i="4"/>
  <c r="I1167" i="4"/>
  <c r="I1174" i="4"/>
  <c r="I1175" i="4"/>
  <c r="I1182" i="4"/>
  <c r="I1183" i="4"/>
  <c r="I1190" i="4"/>
  <c r="I1191" i="4"/>
  <c r="I1198" i="4"/>
  <c r="I1199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8" i="4"/>
  <c r="I1129" i="4"/>
  <c r="I1130" i="4"/>
  <c r="I1131" i="4"/>
  <c r="I1132" i="4"/>
  <c r="I1133" i="4"/>
  <c r="I1136" i="4"/>
  <c r="I1137" i="4"/>
  <c r="I1138" i="4"/>
  <c r="I1139" i="4"/>
  <c r="I1140" i="4"/>
  <c r="I1141" i="4"/>
  <c r="I1144" i="4"/>
  <c r="I1145" i="4"/>
  <c r="I1146" i="4"/>
  <c r="I1147" i="4"/>
  <c r="I1148" i="4"/>
  <c r="I1149" i="4"/>
  <c r="I1152" i="4"/>
  <c r="I1153" i="4"/>
  <c r="I1154" i="4"/>
  <c r="I1155" i="4"/>
  <c r="I1156" i="4"/>
  <c r="I1157" i="4"/>
  <c r="I1160" i="4"/>
  <c r="I1161" i="4"/>
  <c r="I1162" i="4"/>
  <c r="I1163" i="4"/>
  <c r="I1164" i="4"/>
  <c r="I1165" i="4"/>
  <c r="I1168" i="4"/>
  <c r="I1169" i="4"/>
  <c r="I1170" i="4"/>
  <c r="I1171" i="4"/>
  <c r="I1172" i="4"/>
  <c r="I1173" i="4"/>
  <c r="I1176" i="4"/>
  <c r="I1177" i="4"/>
  <c r="I1178" i="4"/>
  <c r="I1179" i="4"/>
  <c r="I1180" i="4"/>
  <c r="I1181" i="4"/>
  <c r="I1184" i="4"/>
  <c r="I1185" i="4"/>
  <c r="I1186" i="4"/>
  <c r="I1187" i="4"/>
  <c r="I1188" i="4"/>
  <c r="I1189" i="4"/>
  <c r="I1192" i="4"/>
  <c r="I1193" i="4"/>
  <c r="I1194" i="4"/>
  <c r="I1195" i="4"/>
  <c r="I1196" i="4"/>
  <c r="I1197" i="4"/>
  <c r="I1200" i="4"/>
  <c r="I1201" i="4"/>
  <c r="I1202" i="4"/>
  <c r="I1203" i="4"/>
  <c r="I1204" i="4"/>
  <c r="I1205" i="4"/>
  <c r="I3" i="4"/>
  <c r="I4" i="4"/>
  <c r="I11" i="4"/>
  <c r="I12" i="4"/>
  <c r="I19" i="4"/>
  <c r="I20" i="4"/>
  <c r="I27" i="4"/>
  <c r="I28" i="4"/>
  <c r="I35" i="4"/>
  <c r="I36" i="4"/>
  <c r="I43" i="4"/>
  <c r="I44" i="4"/>
  <c r="I51" i="4"/>
  <c r="I52" i="4"/>
  <c r="I59" i="4"/>
  <c r="I60" i="4"/>
  <c r="I67" i="4"/>
  <c r="I68" i="4"/>
  <c r="I75" i="4"/>
  <c r="I76" i="4"/>
  <c r="I83" i="4"/>
  <c r="I84" i="4"/>
  <c r="I91" i="4"/>
  <c r="I92" i="4"/>
  <c r="I99" i="4"/>
  <c r="I100" i="4"/>
  <c r="I107" i="4"/>
  <c r="I108" i="4"/>
  <c r="I115" i="4"/>
  <c r="I116" i="4"/>
  <c r="I123" i="4"/>
  <c r="I124" i="4"/>
  <c r="I131" i="4"/>
  <c r="I132" i="4"/>
  <c r="I139" i="4"/>
  <c r="I140" i="4"/>
  <c r="I147" i="4"/>
  <c r="I148" i="4"/>
  <c r="I155" i="4"/>
  <c r="I156" i="4"/>
  <c r="I163" i="4"/>
  <c r="I164" i="4"/>
  <c r="I171" i="4"/>
  <c r="I172" i="4"/>
  <c r="I179" i="4"/>
  <c r="I180" i="4"/>
  <c r="I187" i="4"/>
  <c r="I188" i="4"/>
  <c r="I195" i="4"/>
  <c r="I196" i="4"/>
  <c r="I203" i="4"/>
  <c r="I204" i="4"/>
  <c r="I211" i="4"/>
  <c r="I212" i="4"/>
  <c r="I219" i="4"/>
  <c r="I220" i="4"/>
  <c r="I227" i="4"/>
  <c r="I228" i="4"/>
  <c r="I235" i="4"/>
  <c r="I236" i="4"/>
  <c r="I243" i="4"/>
  <c r="I244" i="4"/>
  <c r="I251" i="4"/>
  <c r="I252" i="4"/>
  <c r="I259" i="4"/>
  <c r="I260" i="4"/>
  <c r="I267" i="4"/>
  <c r="I268" i="4"/>
  <c r="I275" i="4"/>
  <c r="I276" i="4"/>
  <c r="I283" i="4"/>
  <c r="I284" i="4"/>
  <c r="I291" i="4"/>
  <c r="I292" i="4"/>
  <c r="I299" i="4"/>
  <c r="I300" i="4"/>
  <c r="I307" i="4"/>
  <c r="I308" i="4"/>
  <c r="I315" i="4"/>
  <c r="I316" i="4"/>
  <c r="I323" i="4"/>
  <c r="I324" i="4"/>
  <c r="I331" i="4"/>
  <c r="I332" i="4"/>
  <c r="I339" i="4"/>
  <c r="I340" i="4"/>
  <c r="I347" i="4"/>
  <c r="I348" i="4"/>
  <c r="I355" i="4"/>
  <c r="I356" i="4"/>
  <c r="I363" i="4"/>
  <c r="I364" i="4"/>
  <c r="I5" i="4"/>
  <c r="I6" i="4"/>
  <c r="I7" i="4"/>
  <c r="I8" i="4"/>
  <c r="I9" i="4"/>
  <c r="I10" i="4"/>
  <c r="I13" i="4"/>
  <c r="I14" i="4"/>
  <c r="I15" i="4"/>
  <c r="I16" i="4"/>
  <c r="I17" i="4"/>
  <c r="I18" i="4"/>
  <c r="I21" i="4"/>
  <c r="I22" i="4"/>
  <c r="I23" i="4"/>
  <c r="I24" i="4"/>
  <c r="I25" i="4"/>
  <c r="I26" i="4"/>
  <c r="I29" i="4"/>
  <c r="I30" i="4"/>
  <c r="I31" i="4"/>
  <c r="I32" i="4"/>
  <c r="I33" i="4"/>
  <c r="I34" i="4"/>
  <c r="I37" i="4"/>
  <c r="I38" i="4"/>
  <c r="I39" i="4"/>
  <c r="I40" i="4"/>
  <c r="I41" i="4"/>
  <c r="I42" i="4"/>
  <c r="I45" i="4"/>
  <c r="I46" i="4"/>
  <c r="I47" i="4"/>
  <c r="I48" i="4"/>
  <c r="I49" i="4"/>
  <c r="I50" i="4"/>
  <c r="I56" i="4"/>
  <c r="I57" i="4"/>
  <c r="I58" i="4"/>
  <c r="I61" i="4"/>
  <c r="I62" i="4"/>
  <c r="I63" i="4"/>
  <c r="I64" i="4"/>
  <c r="I65" i="4"/>
  <c r="I66" i="4"/>
  <c r="I69" i="4"/>
  <c r="I71" i="4"/>
  <c r="I72" i="4"/>
  <c r="I73" i="4"/>
  <c r="I74" i="4"/>
  <c r="I77" i="4"/>
  <c r="I78" i="4"/>
  <c r="I79" i="4"/>
  <c r="I80" i="4"/>
  <c r="I81" i="4"/>
  <c r="I82" i="4"/>
  <c r="I85" i="4"/>
  <c r="I86" i="4"/>
  <c r="I87" i="4"/>
  <c r="I88" i="4"/>
  <c r="I89" i="4"/>
  <c r="I90" i="4"/>
  <c r="I93" i="4"/>
  <c r="I94" i="4"/>
  <c r="I95" i="4"/>
  <c r="I96" i="4"/>
  <c r="I97" i="4"/>
  <c r="I98" i="4"/>
  <c r="I101" i="4"/>
  <c r="I104" i="4"/>
  <c r="I105" i="4"/>
  <c r="I106" i="4"/>
  <c r="I109" i="4"/>
  <c r="I110" i="4"/>
  <c r="I111" i="4"/>
  <c r="I112" i="4"/>
  <c r="I113" i="4"/>
  <c r="I114" i="4"/>
  <c r="I117" i="4"/>
  <c r="I118" i="4"/>
  <c r="I119" i="4"/>
  <c r="I120" i="4"/>
  <c r="I121" i="4"/>
  <c r="I122" i="4"/>
  <c r="I125" i="4"/>
  <c r="I126" i="4"/>
  <c r="I127" i="4"/>
  <c r="I128" i="4"/>
  <c r="I129" i="4"/>
  <c r="I130" i="4"/>
  <c r="I133" i="4"/>
  <c r="I136" i="4"/>
  <c r="I137" i="4"/>
  <c r="I138" i="4"/>
  <c r="I141" i="4"/>
  <c r="I142" i="4"/>
  <c r="I143" i="4"/>
  <c r="I144" i="4"/>
  <c r="I145" i="4"/>
  <c r="I146" i="4"/>
  <c r="I149" i="4"/>
  <c r="I151" i="4"/>
  <c r="I152" i="4"/>
  <c r="I153" i="4"/>
  <c r="I154" i="4"/>
  <c r="I157" i="4"/>
  <c r="I158" i="4"/>
  <c r="I159" i="4"/>
  <c r="I160" i="4"/>
  <c r="I161" i="4"/>
  <c r="I162" i="4"/>
  <c r="I165" i="4"/>
  <c r="I168" i="4"/>
  <c r="I169" i="4"/>
  <c r="I170" i="4"/>
  <c r="I173" i="4"/>
  <c r="I176" i="4"/>
  <c r="I177" i="4"/>
  <c r="I178" i="4"/>
  <c r="I181" i="4"/>
  <c r="I182" i="4"/>
  <c r="I183" i="4"/>
  <c r="I184" i="4"/>
  <c r="I185" i="4"/>
  <c r="I186" i="4"/>
  <c r="I189" i="4"/>
  <c r="I190" i="4"/>
  <c r="I191" i="4"/>
  <c r="I192" i="4"/>
  <c r="I193" i="4"/>
  <c r="I194" i="4"/>
  <c r="I197" i="4"/>
  <c r="I198" i="4"/>
  <c r="I199" i="4"/>
  <c r="I200" i="4"/>
  <c r="I201" i="4"/>
  <c r="I202" i="4"/>
  <c r="I205" i="4"/>
  <c r="I208" i="4"/>
  <c r="I209" i="4"/>
  <c r="I210" i="4"/>
  <c r="I213" i="4"/>
  <c r="I214" i="4"/>
  <c r="I216" i="4"/>
  <c r="I217" i="4"/>
  <c r="I218" i="4"/>
  <c r="I221" i="4"/>
  <c r="I222" i="4"/>
  <c r="I224" i="4"/>
  <c r="I225" i="4"/>
  <c r="I226" i="4"/>
  <c r="I229" i="4"/>
  <c r="I230" i="4"/>
  <c r="I232" i="4"/>
  <c r="I233" i="4"/>
  <c r="I234" i="4"/>
  <c r="I237" i="4"/>
  <c r="I238" i="4"/>
  <c r="I240" i="4"/>
  <c r="I241" i="4"/>
  <c r="I242" i="4"/>
  <c r="I245" i="4"/>
  <c r="I246" i="4"/>
  <c r="I248" i="4"/>
  <c r="I249" i="4"/>
  <c r="I250" i="4"/>
  <c r="I253" i="4"/>
  <c r="I254" i="4"/>
  <c r="I256" i="4"/>
  <c r="I257" i="4"/>
  <c r="I258" i="4"/>
  <c r="I261" i="4"/>
  <c r="I262" i="4"/>
  <c r="I264" i="4"/>
  <c r="I265" i="4"/>
  <c r="I266" i="4"/>
  <c r="I269" i="4"/>
  <c r="I270" i="4"/>
  <c r="I272" i="4"/>
  <c r="I273" i="4"/>
  <c r="I274" i="4"/>
  <c r="I277" i="4"/>
  <c r="I278" i="4"/>
  <c r="I280" i="4"/>
  <c r="I281" i="4"/>
  <c r="I282" i="4"/>
  <c r="I285" i="4"/>
  <c r="I286" i="4"/>
  <c r="I288" i="4"/>
  <c r="I289" i="4"/>
  <c r="I290" i="4"/>
  <c r="I293" i="4"/>
  <c r="I294" i="4"/>
  <c r="I296" i="4"/>
  <c r="I297" i="4"/>
  <c r="I298" i="4"/>
  <c r="I301" i="4"/>
  <c r="I302" i="4"/>
  <c r="I303" i="4"/>
  <c r="I304" i="4"/>
  <c r="I305" i="4"/>
  <c r="I306" i="4"/>
  <c r="I309" i="4"/>
  <c r="I310" i="4"/>
  <c r="I311" i="4"/>
  <c r="I312" i="4"/>
  <c r="I313" i="4"/>
  <c r="I314" i="4"/>
  <c r="I317" i="4"/>
  <c r="I318" i="4"/>
  <c r="I319" i="4"/>
  <c r="I320" i="4"/>
  <c r="I321" i="4"/>
  <c r="I322" i="4"/>
  <c r="I325" i="4"/>
  <c r="I326" i="4"/>
  <c r="I327" i="4"/>
  <c r="I328" i="4"/>
  <c r="I329" i="4"/>
  <c r="I330" i="4"/>
  <c r="I333" i="4"/>
  <c r="I334" i="4"/>
  <c r="I335" i="4"/>
  <c r="I336" i="4"/>
  <c r="I337" i="4"/>
  <c r="I338" i="4"/>
  <c r="I341" i="4"/>
  <c r="I342" i="4"/>
  <c r="I343" i="4"/>
  <c r="I344" i="4"/>
  <c r="I345" i="4"/>
  <c r="I346" i="4"/>
  <c r="I349" i="4"/>
  <c r="I350" i="4"/>
  <c r="I351" i="4"/>
  <c r="I352" i="4"/>
  <c r="I353" i="4"/>
  <c r="I354" i="4"/>
  <c r="I357" i="4"/>
  <c r="I358" i="4"/>
  <c r="I359" i="4"/>
  <c r="I360" i="4"/>
  <c r="I361" i="4"/>
  <c r="I362" i="4"/>
  <c r="I365" i="4"/>
  <c r="I366" i="4"/>
  <c r="I367" i="4"/>
  <c r="I2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B2" i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7" i="4"/>
  <c r="G348" i="4"/>
  <c r="G349" i="4"/>
  <c r="G350" i="4"/>
  <c r="G351" i="4"/>
  <c r="G352" i="4"/>
  <c r="G353" i="4"/>
  <c r="G355" i="4"/>
  <c r="G356" i="4"/>
  <c r="G357" i="4"/>
  <c r="G358" i="4"/>
  <c r="G359" i="4"/>
  <c r="G360" i="4"/>
  <c r="G361" i="4"/>
  <c r="G363" i="4"/>
  <c r="G364" i="4"/>
  <c r="G365" i="4"/>
  <c r="G366" i="4"/>
  <c r="G367" i="4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2" i="3"/>
  <c r="AC1693" i="3" l="1"/>
  <c r="X1693" i="3"/>
  <c r="AD1693" i="3" s="1"/>
  <c r="Z1693" i="3"/>
  <c r="AE1693" i="3" s="1"/>
  <c r="Y1693" i="3"/>
  <c r="AA1693" i="3"/>
  <c r="AC1685" i="3"/>
  <c r="X1685" i="3"/>
  <c r="AD1685" i="3" s="1"/>
  <c r="AA1685" i="3"/>
  <c r="Y1685" i="3"/>
  <c r="Z1685" i="3"/>
  <c r="AE1685" i="3" s="1"/>
  <c r="Z1672" i="3"/>
  <c r="AE1672" i="3" s="1"/>
  <c r="X1672" i="3"/>
  <c r="AD1672" i="3" s="1"/>
  <c r="Y1672" i="3"/>
  <c r="AA1672" i="3"/>
  <c r="AC1672" i="3"/>
  <c r="X1592" i="3"/>
  <c r="AD1592" i="3" s="1"/>
  <c r="Z1592" i="3"/>
  <c r="AE1592" i="3" s="1"/>
  <c r="Y1592" i="3"/>
  <c r="AA1592" i="3"/>
  <c r="AC1592" i="3"/>
  <c r="AC1725" i="3"/>
  <c r="Y1725" i="3"/>
  <c r="AA1725" i="3"/>
  <c r="Z1725" i="3"/>
  <c r="AE1725" i="3" s="1"/>
  <c r="X1725" i="3"/>
  <c r="AD1725" i="3" s="1"/>
  <c r="AC1717" i="3"/>
  <c r="Z1717" i="3"/>
  <c r="AE1717" i="3" s="1"/>
  <c r="AA1717" i="3"/>
  <c r="Y1717" i="3"/>
  <c r="X1717" i="3"/>
  <c r="AD1717" i="3" s="1"/>
  <c r="AC1709" i="3"/>
  <c r="X1709" i="3"/>
  <c r="AD1709" i="3" s="1"/>
  <c r="Z1709" i="3"/>
  <c r="AE1709" i="3" s="1"/>
  <c r="AA1709" i="3"/>
  <c r="Y1709" i="3"/>
  <c r="AC1701" i="3"/>
  <c r="Y1701" i="3"/>
  <c r="X1701" i="3"/>
  <c r="AD1701" i="3" s="1"/>
  <c r="AA1701" i="3"/>
  <c r="Z1701" i="3"/>
  <c r="AE1701" i="3" s="1"/>
  <c r="X1671" i="3"/>
  <c r="AD1671" i="3" s="1"/>
  <c r="Y1671" i="3"/>
  <c r="AA1671" i="3"/>
  <c r="AC1671" i="3"/>
  <c r="Z1671" i="3"/>
  <c r="AE1671" i="3" s="1"/>
  <c r="AC1748" i="3"/>
  <c r="X1748" i="3"/>
  <c r="AD1748" i="3" s="1"/>
  <c r="Z1748" i="3"/>
  <c r="AE1748" i="3" s="1"/>
  <c r="Y1748" i="3"/>
  <c r="AA1748" i="3"/>
  <c r="Y1740" i="3"/>
  <c r="Z1740" i="3"/>
  <c r="AE1740" i="3" s="1"/>
  <c r="AA1740" i="3"/>
  <c r="AC1740" i="3"/>
  <c r="X1740" i="3"/>
  <c r="AD1740" i="3" s="1"/>
  <c r="AA1579" i="3"/>
  <c r="Y1579" i="3"/>
  <c r="AC1579" i="3"/>
  <c r="Z1579" i="3"/>
  <c r="AE1579" i="3" s="1"/>
  <c r="X1579" i="3"/>
  <c r="AD1579" i="3" s="1"/>
  <c r="AC1799" i="3"/>
  <c r="X1799" i="3"/>
  <c r="AD1799" i="3" s="1"/>
  <c r="Y1799" i="3"/>
  <c r="Z1799" i="3"/>
  <c r="AE1799" i="3" s="1"/>
  <c r="AA1799" i="3"/>
  <c r="Z1791" i="3"/>
  <c r="AE1791" i="3" s="1"/>
  <c r="AC1791" i="3"/>
  <c r="X1791" i="3"/>
  <c r="AD1791" i="3" s="1"/>
  <c r="AA1791" i="3"/>
  <c r="Y1791" i="3"/>
  <c r="Z1783" i="3"/>
  <c r="AE1783" i="3" s="1"/>
  <c r="Y1783" i="3"/>
  <c r="X1783" i="3"/>
  <c r="AD1783" i="3" s="1"/>
  <c r="AA1783" i="3"/>
  <c r="AC1783" i="3"/>
  <c r="Z1775" i="3"/>
  <c r="AE1775" i="3" s="1"/>
  <c r="Y1775" i="3"/>
  <c r="AA1775" i="3"/>
  <c r="AC1775" i="3"/>
  <c r="X1775" i="3"/>
  <c r="AD1775" i="3" s="1"/>
  <c r="AA1767" i="3"/>
  <c r="AC1767" i="3"/>
  <c r="X1767" i="3"/>
  <c r="AD1767" i="3" s="1"/>
  <c r="Y1767" i="3"/>
  <c r="Z1767" i="3"/>
  <c r="AE1767" i="3" s="1"/>
  <c r="Z1759" i="3"/>
  <c r="AE1759" i="3" s="1"/>
  <c r="AA1759" i="3"/>
  <c r="X1759" i="3"/>
  <c r="AD1759" i="3" s="1"/>
  <c r="AC1759" i="3"/>
  <c r="Y1759" i="3"/>
  <c r="AC1751" i="3"/>
  <c r="Z1751" i="3"/>
  <c r="AE1751" i="3" s="1"/>
  <c r="Y1751" i="3"/>
  <c r="AA1751" i="3"/>
  <c r="X1751" i="3"/>
  <c r="AD1751" i="3" s="1"/>
  <c r="Z1667" i="3"/>
  <c r="AE1667" i="3" s="1"/>
  <c r="AA1667" i="3"/>
  <c r="X1667" i="3"/>
  <c r="AD1667" i="3" s="1"/>
  <c r="Y1667" i="3"/>
  <c r="AC1667" i="3"/>
  <c r="Z1666" i="3"/>
  <c r="AE1666" i="3" s="1"/>
  <c r="AA1666" i="3"/>
  <c r="X1666" i="3"/>
  <c r="AD1666" i="3" s="1"/>
  <c r="AC1666" i="3"/>
  <c r="Y1666" i="3"/>
  <c r="AA1645" i="3"/>
  <c r="X1645" i="3"/>
  <c r="AD1645" i="3" s="1"/>
  <c r="Z1645" i="3"/>
  <c r="AE1645" i="3" s="1"/>
  <c r="AC1645" i="3"/>
  <c r="Y1645" i="3"/>
  <c r="AC1637" i="3"/>
  <c r="Z1637" i="3"/>
  <c r="AE1637" i="3" s="1"/>
  <c r="X1637" i="3"/>
  <c r="AD1637" i="3" s="1"/>
  <c r="Y1637" i="3"/>
  <c r="AA1637" i="3"/>
  <c r="AC1629" i="3"/>
  <c r="AA1629" i="3"/>
  <c r="Y1629" i="3"/>
  <c r="Z1629" i="3"/>
  <c r="AE1629" i="3" s="1"/>
  <c r="X1629" i="3"/>
  <c r="AD1629" i="3" s="1"/>
  <c r="Z1407" i="3"/>
  <c r="AE1407" i="3" s="1"/>
  <c r="Y1407" i="3"/>
  <c r="AA1407" i="3"/>
  <c r="AC1407" i="3"/>
  <c r="X1407" i="3"/>
  <c r="AD1407" i="3" s="1"/>
  <c r="Z1399" i="3"/>
  <c r="AE1399" i="3" s="1"/>
  <c r="X1399" i="3"/>
  <c r="AD1399" i="3" s="1"/>
  <c r="Y1399" i="3"/>
  <c r="AA1399" i="3"/>
  <c r="AC1399" i="3"/>
  <c r="X1391" i="3"/>
  <c r="AD1391" i="3" s="1"/>
  <c r="AC1391" i="3"/>
  <c r="Z1391" i="3"/>
  <c r="AE1391" i="3" s="1"/>
  <c r="Y1391" i="3"/>
  <c r="AA1391" i="3"/>
  <c r="Z1383" i="3"/>
  <c r="AE1383" i="3" s="1"/>
  <c r="AA1383" i="3"/>
  <c r="X1383" i="3"/>
  <c r="AD1383" i="3" s="1"/>
  <c r="Y1383" i="3"/>
  <c r="AC1383" i="3"/>
  <c r="Z1375" i="3"/>
  <c r="AE1375" i="3" s="1"/>
  <c r="Y1375" i="3"/>
  <c r="X1375" i="3"/>
  <c r="AD1375" i="3" s="1"/>
  <c r="AC1375" i="3"/>
  <c r="AA1375" i="3"/>
  <c r="X1208" i="3"/>
  <c r="AD1208" i="3" s="1"/>
  <c r="Y1208" i="3"/>
  <c r="Z1208" i="3"/>
  <c r="AE1208" i="3" s="1"/>
  <c r="AA1208" i="3"/>
  <c r="AC1208" i="3"/>
  <c r="X1200" i="3"/>
  <c r="AD1200" i="3" s="1"/>
  <c r="Y1200" i="3"/>
  <c r="Z1200" i="3"/>
  <c r="AE1200" i="3" s="1"/>
  <c r="AA1200" i="3"/>
  <c r="AC1200" i="3"/>
  <c r="X1192" i="3"/>
  <c r="AD1192" i="3" s="1"/>
  <c r="Y1192" i="3"/>
  <c r="AC1192" i="3"/>
  <c r="Z1192" i="3"/>
  <c r="AE1192" i="3" s="1"/>
  <c r="AA1192" i="3"/>
  <c r="AC1092" i="3"/>
  <c r="Y1092" i="3"/>
  <c r="AA1092" i="3"/>
  <c r="X1092" i="3"/>
  <c r="AD1092" i="3" s="1"/>
  <c r="Z1092" i="3"/>
  <c r="AE1092" i="3" s="1"/>
  <c r="AC1084" i="3"/>
  <c r="X1084" i="3"/>
  <c r="AD1084" i="3" s="1"/>
  <c r="AA1084" i="3"/>
  <c r="Z1084" i="3"/>
  <c r="AE1084" i="3" s="1"/>
  <c r="Y1084" i="3"/>
  <c r="AC1076" i="3"/>
  <c r="AA1076" i="3"/>
  <c r="Z1076" i="3"/>
  <c r="AE1076" i="3" s="1"/>
  <c r="X1076" i="3"/>
  <c r="AD1076" i="3" s="1"/>
  <c r="Y1076" i="3"/>
  <c r="AC1068" i="3"/>
  <c r="X1068" i="3"/>
  <c r="AD1068" i="3" s="1"/>
  <c r="Z1068" i="3"/>
  <c r="AE1068" i="3" s="1"/>
  <c r="Y1068" i="3"/>
  <c r="AA1068" i="3"/>
  <c r="AC1060" i="3"/>
  <c r="Y1060" i="3"/>
  <c r="Z1060" i="3"/>
  <c r="AE1060" i="3" s="1"/>
  <c r="X1060" i="3"/>
  <c r="AD1060" i="3" s="1"/>
  <c r="AA1060" i="3"/>
  <c r="AC1597" i="3"/>
  <c r="Y1597" i="3"/>
  <c r="AA1597" i="3"/>
  <c r="X1597" i="3"/>
  <c r="AD1597" i="3" s="1"/>
  <c r="Z1597" i="3"/>
  <c r="AE1597" i="3" s="1"/>
  <c r="X1424" i="3"/>
  <c r="AD1424" i="3" s="1"/>
  <c r="AC1424" i="3"/>
  <c r="Y1424" i="3"/>
  <c r="AA1424" i="3"/>
  <c r="Z1424" i="3"/>
  <c r="AE1424" i="3" s="1"/>
  <c r="X1416" i="3"/>
  <c r="AD1416" i="3" s="1"/>
  <c r="Y1416" i="3"/>
  <c r="AC1416" i="3"/>
  <c r="AA1416" i="3"/>
  <c r="Z1416" i="3"/>
  <c r="AE1416" i="3" s="1"/>
  <c r="AC1239" i="3"/>
  <c r="AA1239" i="3"/>
  <c r="Y1239" i="3"/>
  <c r="X1239" i="3"/>
  <c r="AD1239" i="3" s="1"/>
  <c r="Z1239" i="3"/>
  <c r="AE1239" i="3" s="1"/>
  <c r="Y1231" i="3"/>
  <c r="X1231" i="3"/>
  <c r="AD1231" i="3" s="1"/>
  <c r="AC1231" i="3"/>
  <c r="Z1231" i="3"/>
  <c r="AE1231" i="3" s="1"/>
  <c r="AA1231" i="3"/>
  <c r="Z1223" i="3"/>
  <c r="AE1223" i="3" s="1"/>
  <c r="AA1223" i="3"/>
  <c r="X1223" i="3"/>
  <c r="AD1223" i="3" s="1"/>
  <c r="AC1223" i="3"/>
  <c r="Y1223" i="3"/>
  <c r="AC1215" i="3"/>
  <c r="X1215" i="3"/>
  <c r="AD1215" i="3" s="1"/>
  <c r="Y1215" i="3"/>
  <c r="Z1215" i="3"/>
  <c r="AE1215" i="3" s="1"/>
  <c r="AA1215" i="3"/>
  <c r="AC1098" i="3"/>
  <c r="Z1098" i="3"/>
  <c r="AE1098" i="3" s="1"/>
  <c r="X1098" i="3"/>
  <c r="AD1098" i="3" s="1"/>
  <c r="Y1098" i="3"/>
  <c r="AA1098" i="3"/>
  <c r="Z1610" i="3"/>
  <c r="AE1610" i="3" s="1"/>
  <c r="AC1610" i="3"/>
  <c r="X1610" i="3"/>
  <c r="AD1610" i="3" s="1"/>
  <c r="AA1610" i="3"/>
  <c r="Y1610" i="3"/>
  <c r="AC1495" i="3"/>
  <c r="AA1495" i="3"/>
  <c r="Y1495" i="3"/>
  <c r="Z1495" i="3"/>
  <c r="AE1495" i="3" s="1"/>
  <c r="X1495" i="3"/>
  <c r="AD1495" i="3" s="1"/>
  <c r="AC1487" i="3"/>
  <c r="AA1487" i="3"/>
  <c r="Z1487" i="3"/>
  <c r="AE1487" i="3" s="1"/>
  <c r="X1487" i="3"/>
  <c r="AD1487" i="3" s="1"/>
  <c r="Y1487" i="3"/>
  <c r="AC1479" i="3"/>
  <c r="X1479" i="3"/>
  <c r="AD1479" i="3" s="1"/>
  <c r="Y1479" i="3"/>
  <c r="AA1479" i="3"/>
  <c r="Z1479" i="3"/>
  <c r="AE1479" i="3" s="1"/>
  <c r="AC1471" i="3"/>
  <c r="X1471" i="3"/>
  <c r="AD1471" i="3" s="1"/>
  <c r="AA1471" i="3"/>
  <c r="Y1471" i="3"/>
  <c r="Z1471" i="3"/>
  <c r="AE1471" i="3" s="1"/>
  <c r="AC1463" i="3"/>
  <c r="Z1463" i="3"/>
  <c r="AE1463" i="3" s="1"/>
  <c r="X1463" i="3"/>
  <c r="AD1463" i="3" s="1"/>
  <c r="AA1463" i="3"/>
  <c r="Y1463" i="3"/>
  <c r="AC1455" i="3"/>
  <c r="X1455" i="3"/>
  <c r="AD1455" i="3" s="1"/>
  <c r="Y1455" i="3"/>
  <c r="Z1455" i="3"/>
  <c r="AE1455" i="3" s="1"/>
  <c r="AA1455" i="3"/>
  <c r="AC1447" i="3"/>
  <c r="Z1447" i="3"/>
  <c r="AE1447" i="3" s="1"/>
  <c r="Y1447" i="3"/>
  <c r="X1447" i="3"/>
  <c r="AD1447" i="3" s="1"/>
  <c r="AA1447" i="3"/>
  <c r="AC1439" i="3"/>
  <c r="Z1439" i="3"/>
  <c r="AE1439" i="3" s="1"/>
  <c r="X1439" i="3"/>
  <c r="AD1439" i="3" s="1"/>
  <c r="AA1439" i="3"/>
  <c r="Y1439" i="3"/>
  <c r="AC1431" i="3"/>
  <c r="AA1431" i="3"/>
  <c r="Z1431" i="3"/>
  <c r="AE1431" i="3" s="1"/>
  <c r="X1431" i="3"/>
  <c r="AD1431" i="3" s="1"/>
  <c r="Y1431" i="3"/>
  <c r="X1245" i="3"/>
  <c r="AD1245" i="3" s="1"/>
  <c r="AA1245" i="3"/>
  <c r="Y1245" i="3"/>
  <c r="Z1245" i="3"/>
  <c r="AE1245" i="3" s="1"/>
  <c r="AC1245" i="3"/>
  <c r="Z1665" i="3"/>
  <c r="AE1665" i="3" s="1"/>
  <c r="Y1665" i="3"/>
  <c r="AA1665" i="3"/>
  <c r="AC1665" i="3"/>
  <c r="X1665" i="3"/>
  <c r="AD1665" i="3" s="1"/>
  <c r="Z1657" i="3"/>
  <c r="AE1657" i="3" s="1"/>
  <c r="AC1657" i="3"/>
  <c r="Y1657" i="3"/>
  <c r="X1657" i="3"/>
  <c r="AD1657" i="3" s="1"/>
  <c r="AA1657" i="3"/>
  <c r="X1277" i="3"/>
  <c r="AD1277" i="3" s="1"/>
  <c r="Y1277" i="3"/>
  <c r="Z1277" i="3"/>
  <c r="AE1277" i="3" s="1"/>
  <c r="AA1277" i="3"/>
  <c r="AC1277" i="3"/>
  <c r="X1269" i="3"/>
  <c r="AD1269" i="3" s="1"/>
  <c r="AC1269" i="3"/>
  <c r="AA1269" i="3"/>
  <c r="Y1269" i="3"/>
  <c r="Z1269" i="3"/>
  <c r="AE1269" i="3" s="1"/>
  <c r="X1261" i="3"/>
  <c r="AD1261" i="3" s="1"/>
  <c r="AA1261" i="3"/>
  <c r="Y1261" i="3"/>
  <c r="Z1261" i="3"/>
  <c r="AE1261" i="3" s="1"/>
  <c r="AC1261" i="3"/>
  <c r="X1253" i="3"/>
  <c r="AD1253" i="3" s="1"/>
  <c r="AA1253" i="3"/>
  <c r="AC1253" i="3"/>
  <c r="Y1253" i="3"/>
  <c r="Z1253" i="3"/>
  <c r="AE1253" i="3" s="1"/>
  <c r="Y1323" i="3"/>
  <c r="Z1323" i="3"/>
  <c r="AE1323" i="3" s="1"/>
  <c r="AC1323" i="3"/>
  <c r="X1323" i="3"/>
  <c r="AD1323" i="3" s="1"/>
  <c r="AA1323" i="3"/>
  <c r="AC1315" i="3"/>
  <c r="AA1315" i="3"/>
  <c r="X1315" i="3"/>
  <c r="AD1315" i="3" s="1"/>
  <c r="Y1315" i="3"/>
  <c r="Z1315" i="3"/>
  <c r="AE1315" i="3" s="1"/>
  <c r="Z1307" i="3"/>
  <c r="AE1307" i="3" s="1"/>
  <c r="Y1307" i="3"/>
  <c r="AA1307" i="3"/>
  <c r="AC1307" i="3"/>
  <c r="X1307" i="3"/>
  <c r="AD1307" i="3" s="1"/>
  <c r="X1299" i="3"/>
  <c r="AD1299" i="3" s="1"/>
  <c r="AA1299" i="3"/>
  <c r="AC1299" i="3"/>
  <c r="Z1299" i="3"/>
  <c r="AE1299" i="3" s="1"/>
  <c r="Y1299" i="3"/>
  <c r="AC1291" i="3"/>
  <c r="AA1291" i="3"/>
  <c r="Y1291" i="3"/>
  <c r="Z1291" i="3"/>
  <c r="AE1291" i="3" s="1"/>
  <c r="X1291" i="3"/>
  <c r="AD1291" i="3" s="1"/>
  <c r="AC1283" i="3"/>
  <c r="Y1283" i="3"/>
  <c r="X1283" i="3"/>
  <c r="AD1283" i="3" s="1"/>
  <c r="Z1283" i="3"/>
  <c r="AE1283" i="3" s="1"/>
  <c r="AA1283" i="3"/>
  <c r="Z1121" i="3"/>
  <c r="AE1121" i="3" s="1"/>
  <c r="Y1121" i="3"/>
  <c r="AC1121" i="3"/>
  <c r="X1121" i="3"/>
  <c r="AD1121" i="3" s="1"/>
  <c r="AA1121" i="3"/>
  <c r="Z1113" i="3"/>
  <c r="AE1113" i="3" s="1"/>
  <c r="AA1113" i="3"/>
  <c r="X1113" i="3"/>
  <c r="AD1113" i="3" s="1"/>
  <c r="Y1113" i="3"/>
  <c r="AC1113" i="3"/>
  <c r="Z1105" i="3"/>
  <c r="AE1105" i="3" s="1"/>
  <c r="AA1105" i="3"/>
  <c r="Y1105" i="3"/>
  <c r="AC1105" i="3"/>
  <c r="X1105" i="3"/>
  <c r="AD1105" i="3" s="1"/>
  <c r="H1384" i="4"/>
  <c r="H1224" i="4"/>
  <c r="H1385" i="4"/>
  <c r="H1562" i="4"/>
  <c r="H1402" i="4"/>
  <c r="H1234" i="4"/>
  <c r="H1515" i="4"/>
  <c r="H1355" i="4"/>
  <c r="H1460" i="4"/>
  <c r="H1300" i="4"/>
  <c r="H1485" i="4"/>
  <c r="H1301" i="4"/>
  <c r="H1494" i="4"/>
  <c r="H1326" i="4"/>
  <c r="H1503" i="4"/>
  <c r="H1359" i="4"/>
  <c r="H1231" i="4"/>
  <c r="H1416" i="4"/>
  <c r="H1248" i="4"/>
  <c r="H1393" i="4"/>
  <c r="H1233" i="4"/>
  <c r="H1426" i="4"/>
  <c r="H1242" i="4"/>
  <c r="H1547" i="4"/>
  <c r="H1379" i="4"/>
  <c r="H1492" i="4"/>
  <c r="H1324" i="4"/>
  <c r="H1493" i="4"/>
  <c r="H1333" i="4"/>
  <c r="H1518" i="4"/>
  <c r="H1334" i="4"/>
  <c r="H1535" i="4"/>
  <c r="H1367" i="4"/>
  <c r="H1239" i="4"/>
  <c r="H1440" i="4"/>
  <c r="H1256" i="4"/>
  <c r="H1425" i="4"/>
  <c r="H1257" i="4"/>
  <c r="H1434" i="4"/>
  <c r="H1274" i="4"/>
  <c r="H1387" i="4"/>
  <c r="H1227" i="4"/>
  <c r="H1516" i="4"/>
  <c r="H1332" i="4"/>
  <c r="H1525" i="4"/>
  <c r="H1357" i="4"/>
  <c r="H1526" i="4"/>
  <c r="H1366" i="4"/>
  <c r="H1559" i="4"/>
  <c r="H1375" i="4"/>
  <c r="H1247" i="4"/>
  <c r="H1448" i="4"/>
  <c r="H1288" i="4"/>
  <c r="H1449" i="4"/>
  <c r="H1265" i="4"/>
  <c r="H1466" i="4"/>
  <c r="H1298" i="4"/>
  <c r="H1419" i="4"/>
  <c r="H1251" i="4"/>
  <c r="H1524" i="4"/>
  <c r="H1364" i="4"/>
  <c r="H1549" i="4"/>
  <c r="H1365" i="4"/>
  <c r="H1558" i="4"/>
  <c r="H1390" i="4"/>
  <c r="H1206" i="4"/>
  <c r="H1407" i="4"/>
  <c r="H1279" i="4"/>
  <c r="H1480" i="4"/>
  <c r="H1312" i="4"/>
  <c r="H1457" i="4"/>
  <c r="H1297" i="4"/>
  <c r="H1490" i="4"/>
  <c r="H1306" i="4"/>
  <c r="H1443" i="4"/>
  <c r="H1259" i="4"/>
  <c r="H1556" i="4"/>
  <c r="H1388" i="4"/>
  <c r="H1557" i="4"/>
  <c r="H1397" i="4"/>
  <c r="H1229" i="4"/>
  <c r="H1398" i="4"/>
  <c r="H1238" i="4"/>
  <c r="H1431" i="4"/>
  <c r="H1295" i="4"/>
  <c r="H1504" i="4"/>
  <c r="H1320" i="4"/>
  <c r="H1489" i="4"/>
  <c r="H1321" i="4"/>
  <c r="H1498" i="4"/>
  <c r="H1338" i="4"/>
  <c r="H1451" i="4"/>
  <c r="H1291" i="4"/>
  <c r="H1396" i="4"/>
  <c r="H1236" i="4"/>
  <c r="H1421" i="4"/>
  <c r="H1237" i="4"/>
  <c r="H1430" i="4"/>
  <c r="H1262" i="4"/>
  <c r="H1439" i="4"/>
  <c r="H1303" i="4"/>
  <c r="H1512" i="4"/>
  <c r="H1352" i="4"/>
  <c r="H1513" i="4"/>
  <c r="H1329" i="4"/>
  <c r="H1530" i="4"/>
  <c r="H1362" i="4"/>
  <c r="H1483" i="4"/>
  <c r="H1315" i="4"/>
  <c r="H1428" i="4"/>
  <c r="H1260" i="4"/>
  <c r="H1429" i="4"/>
  <c r="H1269" i="4"/>
  <c r="H1454" i="4"/>
  <c r="H1270" i="4"/>
  <c r="H1471" i="4"/>
  <c r="H1311" i="4"/>
  <c r="H1376" i="4"/>
  <c r="H1521" i="4"/>
  <c r="H1361" i="4"/>
  <c r="H1554" i="4"/>
  <c r="H1370" i="4"/>
  <c r="H1210" i="4"/>
  <c r="H1507" i="4"/>
  <c r="H1323" i="4"/>
  <c r="H1452" i="4"/>
  <c r="H1268" i="4"/>
  <c r="H1461" i="4"/>
  <c r="H1293" i="4"/>
  <c r="H1462" i="4"/>
  <c r="H1302" i="4"/>
  <c r="H1495" i="4"/>
  <c r="H1343" i="4"/>
  <c r="H1215" i="4"/>
  <c r="X1512" i="3"/>
  <c r="AD1512" i="3" s="1"/>
  <c r="AA1512" i="3"/>
  <c r="Y1512" i="3"/>
  <c r="AC1512" i="3"/>
  <c r="Z1512" i="3"/>
  <c r="AE1512" i="3" s="1"/>
  <c r="X1504" i="3"/>
  <c r="AD1504" i="3" s="1"/>
  <c r="AA1504" i="3"/>
  <c r="Z1504" i="3"/>
  <c r="AE1504" i="3" s="1"/>
  <c r="Y1504" i="3"/>
  <c r="AC1504" i="3"/>
  <c r="AC1339" i="3"/>
  <c r="Y1339" i="3"/>
  <c r="X1339" i="3"/>
  <c r="AD1339" i="3" s="1"/>
  <c r="AA1339" i="3"/>
  <c r="Z1339" i="3"/>
  <c r="AE1339" i="3" s="1"/>
  <c r="Y1331" i="3"/>
  <c r="Z1331" i="3"/>
  <c r="AE1331" i="3" s="1"/>
  <c r="AA1331" i="3"/>
  <c r="AC1331" i="3"/>
  <c r="X1331" i="3"/>
  <c r="AD1331" i="3" s="1"/>
  <c r="Z1145" i="3"/>
  <c r="AE1145" i="3" s="1"/>
  <c r="AA1145" i="3"/>
  <c r="Y1145" i="3"/>
  <c r="X1145" i="3"/>
  <c r="AD1145" i="3" s="1"/>
  <c r="AC1145" i="3"/>
  <c r="Z1137" i="3"/>
  <c r="AE1137" i="3" s="1"/>
  <c r="AA1137" i="3"/>
  <c r="AC1137" i="3"/>
  <c r="X1137" i="3"/>
  <c r="AD1137" i="3" s="1"/>
  <c r="Y1137" i="3"/>
  <c r="Z1129" i="3"/>
  <c r="AE1129" i="3" s="1"/>
  <c r="AA1129" i="3"/>
  <c r="Y1129" i="3"/>
  <c r="X1129" i="3"/>
  <c r="AD1129" i="3" s="1"/>
  <c r="AC1129" i="3"/>
  <c r="Y1548" i="3"/>
  <c r="AC1548" i="3"/>
  <c r="X1548" i="3"/>
  <c r="AD1548" i="3" s="1"/>
  <c r="Z1548" i="3"/>
  <c r="AE1548" i="3" s="1"/>
  <c r="AA1548" i="3"/>
  <c r="Z1540" i="3"/>
  <c r="AE1540" i="3" s="1"/>
  <c r="AA1540" i="3"/>
  <c r="Y1540" i="3"/>
  <c r="AC1540" i="3"/>
  <c r="X1540" i="3"/>
  <c r="AD1540" i="3" s="1"/>
  <c r="Y1532" i="3"/>
  <c r="AC1532" i="3"/>
  <c r="Z1532" i="3"/>
  <c r="AE1532" i="3" s="1"/>
  <c r="X1532" i="3"/>
  <c r="AD1532" i="3" s="1"/>
  <c r="AA1532" i="3"/>
  <c r="Y1524" i="3"/>
  <c r="AC1524" i="3"/>
  <c r="AA1524" i="3"/>
  <c r="X1524" i="3"/>
  <c r="AD1524" i="3" s="1"/>
  <c r="Z1524" i="3"/>
  <c r="AE1524" i="3" s="1"/>
  <c r="Z1362" i="3"/>
  <c r="AE1362" i="3" s="1"/>
  <c r="AC1362" i="3"/>
  <c r="Y1362" i="3"/>
  <c r="X1362" i="3"/>
  <c r="AD1362" i="3" s="1"/>
  <c r="AA1362" i="3"/>
  <c r="Z1354" i="3"/>
  <c r="AE1354" i="3" s="1"/>
  <c r="AC1354" i="3"/>
  <c r="AA1354" i="3"/>
  <c r="X1354" i="3"/>
  <c r="AD1354" i="3" s="1"/>
  <c r="Y1354" i="3"/>
  <c r="Z1346" i="3"/>
  <c r="AE1346" i="3" s="1"/>
  <c r="Y1346" i="3"/>
  <c r="X1346" i="3"/>
  <c r="AD1346" i="3" s="1"/>
  <c r="AA1346" i="3"/>
  <c r="AC1346" i="3"/>
  <c r="X1155" i="3"/>
  <c r="AD1155" i="3" s="1"/>
  <c r="Y1155" i="3"/>
  <c r="AA1155" i="3"/>
  <c r="Z1155" i="3"/>
  <c r="AE1155" i="3" s="1"/>
  <c r="AC1155" i="3"/>
  <c r="Y1557" i="3"/>
  <c r="AA1557" i="3"/>
  <c r="AC1557" i="3"/>
  <c r="X1557" i="3"/>
  <c r="AD1557" i="3" s="1"/>
  <c r="Z1557" i="3"/>
  <c r="AE1557" i="3" s="1"/>
  <c r="AC1186" i="3"/>
  <c r="Y1186" i="3"/>
  <c r="Z1186" i="3"/>
  <c r="AE1186" i="3" s="1"/>
  <c r="AA1186" i="3"/>
  <c r="X1186" i="3"/>
  <c r="AD1186" i="3" s="1"/>
  <c r="AC1178" i="3"/>
  <c r="Y1178" i="3"/>
  <c r="AA1178" i="3"/>
  <c r="X1178" i="3"/>
  <c r="AD1178" i="3" s="1"/>
  <c r="Z1178" i="3"/>
  <c r="AE1178" i="3" s="1"/>
  <c r="AC1170" i="3"/>
  <c r="Z1170" i="3"/>
  <c r="AE1170" i="3" s="1"/>
  <c r="Y1170" i="3"/>
  <c r="AA1170" i="3"/>
  <c r="X1170" i="3"/>
  <c r="AD1170" i="3" s="1"/>
  <c r="AC1050" i="3"/>
  <c r="X1050" i="3"/>
  <c r="AD1050" i="3" s="1"/>
  <c r="Y1050" i="3"/>
  <c r="AA1050" i="3"/>
  <c r="Z1050" i="3"/>
  <c r="AE1050" i="3" s="1"/>
  <c r="AC1042" i="3"/>
  <c r="Y1042" i="3"/>
  <c r="X1042" i="3"/>
  <c r="AD1042" i="3" s="1"/>
  <c r="Z1042" i="3"/>
  <c r="AE1042" i="3" s="1"/>
  <c r="AA1042" i="3"/>
  <c r="AC1034" i="3"/>
  <c r="AA1034" i="3"/>
  <c r="Z1034" i="3"/>
  <c r="AE1034" i="3" s="1"/>
  <c r="X1034" i="3"/>
  <c r="AD1034" i="3" s="1"/>
  <c r="Y1034" i="3"/>
  <c r="AC1026" i="3"/>
  <c r="X1026" i="3"/>
  <c r="AD1026" i="3" s="1"/>
  <c r="AA1026" i="3"/>
  <c r="Y1026" i="3"/>
  <c r="Z1026" i="3"/>
  <c r="AE1026" i="3" s="1"/>
  <c r="AC1018" i="3"/>
  <c r="Z1018" i="3"/>
  <c r="AE1018" i="3" s="1"/>
  <c r="Y1018" i="3"/>
  <c r="X1018" i="3"/>
  <c r="AD1018" i="3" s="1"/>
  <c r="AA1018" i="3"/>
  <c r="AC1010" i="3"/>
  <c r="AA1010" i="3"/>
  <c r="X1010" i="3"/>
  <c r="AD1010" i="3" s="1"/>
  <c r="Y1010" i="3"/>
  <c r="Z1010" i="3"/>
  <c r="AE1010" i="3" s="1"/>
  <c r="AC1002" i="3"/>
  <c r="Z1002" i="3"/>
  <c r="AE1002" i="3" s="1"/>
  <c r="X1002" i="3"/>
  <c r="AD1002" i="3" s="1"/>
  <c r="Y1002" i="3"/>
  <c r="AA1002" i="3"/>
  <c r="AC994" i="3"/>
  <c r="Z994" i="3"/>
  <c r="AE994" i="3" s="1"/>
  <c r="Y994" i="3"/>
  <c r="AA994" i="3"/>
  <c r="X994" i="3"/>
  <c r="AD994" i="3" s="1"/>
  <c r="AC986" i="3"/>
  <c r="Y986" i="3"/>
  <c r="X986" i="3"/>
  <c r="AD986" i="3" s="1"/>
  <c r="AA986" i="3"/>
  <c r="Z986" i="3"/>
  <c r="AE986" i="3" s="1"/>
  <c r="AC978" i="3"/>
  <c r="Y978" i="3"/>
  <c r="X978" i="3"/>
  <c r="AD978" i="3" s="1"/>
  <c r="Z978" i="3"/>
  <c r="AE978" i="3" s="1"/>
  <c r="AA978" i="3"/>
  <c r="AC970" i="3"/>
  <c r="Z970" i="3"/>
  <c r="AE970" i="3" s="1"/>
  <c r="Y970" i="3"/>
  <c r="X970" i="3"/>
  <c r="AD970" i="3" s="1"/>
  <c r="AA970" i="3"/>
  <c r="AC962" i="3"/>
  <c r="X962" i="3"/>
  <c r="AD962" i="3" s="1"/>
  <c r="Y962" i="3"/>
  <c r="Z962" i="3"/>
  <c r="AE962" i="3" s="1"/>
  <c r="AA962" i="3"/>
  <c r="AC954" i="3"/>
  <c r="X954" i="3"/>
  <c r="AD954" i="3" s="1"/>
  <c r="Y954" i="3"/>
  <c r="Z954" i="3"/>
  <c r="AE954" i="3" s="1"/>
  <c r="AA954" i="3"/>
  <c r="X1694" i="3"/>
  <c r="AD1694" i="3" s="1"/>
  <c r="Y1694" i="3"/>
  <c r="AC1694" i="3"/>
  <c r="AA1694" i="3"/>
  <c r="Z1694" i="3"/>
  <c r="AE1694" i="3" s="1"/>
  <c r="X1686" i="3"/>
  <c r="AD1686" i="3" s="1"/>
  <c r="AA1686" i="3"/>
  <c r="Z1686" i="3"/>
  <c r="AE1686" i="3" s="1"/>
  <c r="AC1686" i="3"/>
  <c r="Y1686" i="3"/>
  <c r="X1726" i="3"/>
  <c r="AD1726" i="3" s="1"/>
  <c r="Z1726" i="3"/>
  <c r="AE1726" i="3" s="1"/>
  <c r="AC1726" i="3"/>
  <c r="Y1726" i="3"/>
  <c r="AA1726" i="3"/>
  <c r="X1718" i="3"/>
  <c r="AD1718" i="3" s="1"/>
  <c r="Y1718" i="3"/>
  <c r="AA1718" i="3"/>
  <c r="AC1718" i="3"/>
  <c r="Z1718" i="3"/>
  <c r="AE1718" i="3" s="1"/>
  <c r="X1710" i="3"/>
  <c r="AD1710" i="3" s="1"/>
  <c r="Y1710" i="3"/>
  <c r="Z1710" i="3"/>
  <c r="AE1710" i="3" s="1"/>
  <c r="AA1710" i="3"/>
  <c r="AC1710" i="3"/>
  <c r="X1702" i="3"/>
  <c r="AD1702" i="3" s="1"/>
  <c r="AA1702" i="3"/>
  <c r="Z1702" i="3"/>
  <c r="AE1702" i="3" s="1"/>
  <c r="AC1702" i="3"/>
  <c r="Y1702" i="3"/>
  <c r="X1584" i="3"/>
  <c r="AD1584" i="3" s="1"/>
  <c r="AA1584" i="3"/>
  <c r="Y1584" i="3"/>
  <c r="Z1584" i="3"/>
  <c r="AE1584" i="3" s="1"/>
  <c r="AC1584" i="3"/>
  <c r="Z1561" i="3"/>
  <c r="AE1561" i="3" s="1"/>
  <c r="AC1561" i="3"/>
  <c r="Y1561" i="3"/>
  <c r="AA1561" i="3"/>
  <c r="X1561" i="3"/>
  <c r="AD1561" i="3" s="1"/>
  <c r="X1678" i="3"/>
  <c r="AD1678" i="3" s="1"/>
  <c r="Z1678" i="3"/>
  <c r="AE1678" i="3" s="1"/>
  <c r="AC1678" i="3"/>
  <c r="Y1678" i="3"/>
  <c r="AA1678" i="3"/>
  <c r="Z1741" i="3"/>
  <c r="AE1741" i="3" s="1"/>
  <c r="X1741" i="3"/>
  <c r="AD1741" i="3" s="1"/>
  <c r="AA1741" i="3"/>
  <c r="AC1741" i="3"/>
  <c r="Y1741" i="3"/>
  <c r="AC1733" i="3"/>
  <c r="AA1733" i="3"/>
  <c r="X1733" i="3"/>
  <c r="AD1733" i="3" s="1"/>
  <c r="Y1733" i="3"/>
  <c r="Z1733" i="3"/>
  <c r="AE1733" i="3" s="1"/>
  <c r="Z1800" i="3"/>
  <c r="AE1800" i="3" s="1"/>
  <c r="X1800" i="3"/>
  <c r="AD1800" i="3" s="1"/>
  <c r="Y1800" i="3"/>
  <c r="AA1800" i="3"/>
  <c r="AC1800" i="3"/>
  <c r="Z1792" i="3"/>
  <c r="AE1792" i="3" s="1"/>
  <c r="X1792" i="3"/>
  <c r="AD1792" i="3" s="1"/>
  <c r="Y1792" i="3"/>
  <c r="AC1792" i="3"/>
  <c r="AA1792" i="3"/>
  <c r="Z1784" i="3"/>
  <c r="AE1784" i="3" s="1"/>
  <c r="AA1784" i="3"/>
  <c r="X1784" i="3"/>
  <c r="AD1784" i="3" s="1"/>
  <c r="Y1784" i="3"/>
  <c r="AC1784" i="3"/>
  <c r="Z1776" i="3"/>
  <c r="AE1776" i="3" s="1"/>
  <c r="AC1776" i="3"/>
  <c r="X1776" i="3"/>
  <c r="AD1776" i="3" s="1"/>
  <c r="Y1776" i="3"/>
  <c r="AA1776" i="3"/>
  <c r="Z1768" i="3"/>
  <c r="AE1768" i="3" s="1"/>
  <c r="AA1768" i="3"/>
  <c r="X1768" i="3"/>
  <c r="AD1768" i="3" s="1"/>
  <c r="Y1768" i="3"/>
  <c r="AC1768" i="3"/>
  <c r="Z1760" i="3"/>
  <c r="AE1760" i="3" s="1"/>
  <c r="AC1760" i="3"/>
  <c r="AA1760" i="3"/>
  <c r="X1760" i="3"/>
  <c r="AD1760" i="3" s="1"/>
  <c r="Y1760" i="3"/>
  <c r="Z1752" i="3"/>
  <c r="AE1752" i="3" s="1"/>
  <c r="AC1752" i="3"/>
  <c r="X1752" i="3"/>
  <c r="AD1752" i="3" s="1"/>
  <c r="Y1752" i="3"/>
  <c r="AA1752" i="3"/>
  <c r="Y1676" i="3"/>
  <c r="Z1676" i="3"/>
  <c r="AE1676" i="3" s="1"/>
  <c r="AA1676" i="3"/>
  <c r="X1676" i="3"/>
  <c r="AD1676" i="3" s="1"/>
  <c r="AC1676" i="3"/>
  <c r="X1568" i="3"/>
  <c r="AD1568" i="3" s="1"/>
  <c r="Y1568" i="3"/>
  <c r="AA1568" i="3"/>
  <c r="Z1568" i="3"/>
  <c r="AE1568" i="3" s="1"/>
  <c r="AC1568" i="3"/>
  <c r="Y1574" i="3"/>
  <c r="AA1574" i="3"/>
  <c r="X1574" i="3"/>
  <c r="AD1574" i="3" s="1"/>
  <c r="Z1574" i="3"/>
  <c r="AE1574" i="3" s="1"/>
  <c r="AC1574" i="3"/>
  <c r="Z1646" i="3"/>
  <c r="AE1646" i="3" s="1"/>
  <c r="AC1646" i="3"/>
  <c r="X1646" i="3"/>
  <c r="AD1646" i="3" s="1"/>
  <c r="AA1646" i="3"/>
  <c r="Y1646" i="3"/>
  <c r="AC1638" i="3"/>
  <c r="AA1638" i="3"/>
  <c r="X1638" i="3"/>
  <c r="AD1638" i="3" s="1"/>
  <c r="Y1638" i="3"/>
  <c r="Z1638" i="3"/>
  <c r="AE1638" i="3" s="1"/>
  <c r="AC1630" i="3"/>
  <c r="Y1630" i="3"/>
  <c r="AA1630" i="3"/>
  <c r="Z1630" i="3"/>
  <c r="AE1630" i="3" s="1"/>
  <c r="X1630" i="3"/>
  <c r="AD1630" i="3" s="1"/>
  <c r="Z1673" i="3"/>
  <c r="AE1673" i="3" s="1"/>
  <c r="AA1673" i="3"/>
  <c r="X1673" i="3"/>
  <c r="AD1673" i="3" s="1"/>
  <c r="Y1673" i="3"/>
  <c r="AC1673" i="3"/>
  <c r="Z1577" i="3"/>
  <c r="AE1577" i="3" s="1"/>
  <c r="X1577" i="3"/>
  <c r="AD1577" i="3" s="1"/>
  <c r="AA1577" i="3"/>
  <c r="AC1577" i="3"/>
  <c r="Y1577" i="3"/>
  <c r="X1408" i="3"/>
  <c r="AD1408" i="3" s="1"/>
  <c r="AC1408" i="3"/>
  <c r="Y1408" i="3"/>
  <c r="AA1408" i="3"/>
  <c r="Z1408" i="3"/>
  <c r="AE1408" i="3" s="1"/>
  <c r="X1400" i="3"/>
  <c r="AD1400" i="3" s="1"/>
  <c r="AC1400" i="3"/>
  <c r="AA1400" i="3"/>
  <c r="Y1400" i="3"/>
  <c r="Z1400" i="3"/>
  <c r="AE1400" i="3" s="1"/>
  <c r="X1392" i="3"/>
  <c r="AD1392" i="3" s="1"/>
  <c r="AC1392" i="3"/>
  <c r="AA1392" i="3"/>
  <c r="Y1392" i="3"/>
  <c r="Z1392" i="3"/>
  <c r="AE1392" i="3" s="1"/>
  <c r="X1384" i="3"/>
  <c r="AD1384" i="3" s="1"/>
  <c r="AC1384" i="3"/>
  <c r="Y1384" i="3"/>
  <c r="AA1384" i="3"/>
  <c r="Z1384" i="3"/>
  <c r="AE1384" i="3" s="1"/>
  <c r="X1376" i="3"/>
  <c r="AD1376" i="3" s="1"/>
  <c r="AA1376" i="3"/>
  <c r="AC1376" i="3"/>
  <c r="Y1376" i="3"/>
  <c r="Z1376" i="3"/>
  <c r="AE1376" i="3" s="1"/>
  <c r="X1368" i="3"/>
  <c r="AD1368" i="3" s="1"/>
  <c r="AA1368" i="3"/>
  <c r="Y1368" i="3"/>
  <c r="AC1368" i="3"/>
  <c r="Z1368" i="3"/>
  <c r="AE1368" i="3" s="1"/>
  <c r="Z1209" i="3"/>
  <c r="AE1209" i="3" s="1"/>
  <c r="AA1209" i="3"/>
  <c r="X1209" i="3"/>
  <c r="AD1209" i="3" s="1"/>
  <c r="Y1209" i="3"/>
  <c r="AC1209" i="3"/>
  <c r="Z1201" i="3"/>
  <c r="AE1201" i="3" s="1"/>
  <c r="X1201" i="3"/>
  <c r="AD1201" i="3" s="1"/>
  <c r="AC1201" i="3"/>
  <c r="AA1201" i="3"/>
  <c r="Y1201" i="3"/>
  <c r="Z1193" i="3"/>
  <c r="AE1193" i="3" s="1"/>
  <c r="AC1193" i="3"/>
  <c r="X1193" i="3"/>
  <c r="AD1193" i="3" s="1"/>
  <c r="Y1193" i="3"/>
  <c r="AA1193" i="3"/>
  <c r="X1093" i="3"/>
  <c r="AD1093" i="3" s="1"/>
  <c r="Z1093" i="3"/>
  <c r="AE1093" i="3" s="1"/>
  <c r="AA1093" i="3"/>
  <c r="Y1093" i="3"/>
  <c r="AC1093" i="3"/>
  <c r="X1085" i="3"/>
  <c r="AD1085" i="3" s="1"/>
  <c r="Z1085" i="3"/>
  <c r="AE1085" i="3" s="1"/>
  <c r="Y1085" i="3"/>
  <c r="AC1085" i="3"/>
  <c r="AA1085" i="3"/>
  <c r="X1077" i="3"/>
  <c r="AD1077" i="3" s="1"/>
  <c r="AC1077" i="3"/>
  <c r="AA1077" i="3"/>
  <c r="Y1077" i="3"/>
  <c r="Z1077" i="3"/>
  <c r="AE1077" i="3" s="1"/>
  <c r="X1069" i="3"/>
  <c r="AD1069" i="3" s="1"/>
  <c r="Y1069" i="3"/>
  <c r="Z1069" i="3"/>
  <c r="AE1069" i="3" s="1"/>
  <c r="AC1069" i="3"/>
  <c r="AA1069" i="3"/>
  <c r="X1061" i="3"/>
  <c r="AD1061" i="3" s="1"/>
  <c r="Z1061" i="3"/>
  <c r="AE1061" i="3" s="1"/>
  <c r="AC1061" i="3"/>
  <c r="Y1061" i="3"/>
  <c r="AA1061" i="3"/>
  <c r="Z1598" i="3"/>
  <c r="AE1598" i="3" s="1"/>
  <c r="AC1598" i="3"/>
  <c r="AA1598" i="3"/>
  <c r="Y1598" i="3"/>
  <c r="X1598" i="3"/>
  <c r="AD1598" i="3" s="1"/>
  <c r="Z1425" i="3"/>
  <c r="AE1425" i="3" s="1"/>
  <c r="AC1425" i="3"/>
  <c r="Y1425" i="3"/>
  <c r="X1425" i="3"/>
  <c r="AD1425" i="3" s="1"/>
  <c r="AA1425" i="3"/>
  <c r="Z1417" i="3"/>
  <c r="AE1417" i="3" s="1"/>
  <c r="X1417" i="3"/>
  <c r="AD1417" i="3" s="1"/>
  <c r="AA1417" i="3"/>
  <c r="AC1417" i="3"/>
  <c r="Y1417" i="3"/>
  <c r="X1232" i="3"/>
  <c r="AD1232" i="3" s="1"/>
  <c r="Y1232" i="3"/>
  <c r="AA1232" i="3"/>
  <c r="Z1232" i="3"/>
  <c r="AE1232" i="3" s="1"/>
  <c r="AC1232" i="3"/>
  <c r="X1224" i="3"/>
  <c r="AD1224" i="3" s="1"/>
  <c r="AA1224" i="3"/>
  <c r="Z1224" i="3"/>
  <c r="AE1224" i="3" s="1"/>
  <c r="Y1224" i="3"/>
  <c r="AC1224" i="3"/>
  <c r="X1216" i="3"/>
  <c r="AD1216" i="3" s="1"/>
  <c r="AC1216" i="3"/>
  <c r="Z1216" i="3"/>
  <c r="AE1216" i="3" s="1"/>
  <c r="AA1216" i="3"/>
  <c r="Y1216" i="3"/>
  <c r="X1099" i="3"/>
  <c r="AD1099" i="3" s="1"/>
  <c r="Y1099" i="3"/>
  <c r="AC1099" i="3"/>
  <c r="Z1099" i="3"/>
  <c r="AE1099" i="3" s="1"/>
  <c r="AA1099" i="3"/>
  <c r="X1611" i="3"/>
  <c r="AD1611" i="3" s="1"/>
  <c r="Z1611" i="3"/>
  <c r="AE1611" i="3" s="1"/>
  <c r="AA1611" i="3"/>
  <c r="AC1611" i="3"/>
  <c r="Y1611" i="3"/>
  <c r="X1496" i="3"/>
  <c r="AD1496" i="3" s="1"/>
  <c r="Z1496" i="3"/>
  <c r="AE1496" i="3" s="1"/>
  <c r="AA1496" i="3"/>
  <c r="Y1496" i="3"/>
  <c r="AC1496" i="3"/>
  <c r="X1488" i="3"/>
  <c r="AD1488" i="3" s="1"/>
  <c r="AC1488" i="3"/>
  <c r="Y1488" i="3"/>
  <c r="Z1488" i="3"/>
  <c r="AE1488" i="3" s="1"/>
  <c r="AA1488" i="3"/>
  <c r="X1480" i="3"/>
  <c r="AD1480" i="3" s="1"/>
  <c r="AC1480" i="3"/>
  <c r="Z1480" i="3"/>
  <c r="AE1480" i="3" s="1"/>
  <c r="AA1480" i="3"/>
  <c r="Y1480" i="3"/>
  <c r="X1472" i="3"/>
  <c r="AD1472" i="3" s="1"/>
  <c r="AA1472" i="3"/>
  <c r="Z1472" i="3"/>
  <c r="AE1472" i="3" s="1"/>
  <c r="Y1472" i="3"/>
  <c r="AC1472" i="3"/>
  <c r="X1464" i="3"/>
  <c r="AD1464" i="3" s="1"/>
  <c r="Y1464" i="3"/>
  <c r="AC1464" i="3"/>
  <c r="Z1464" i="3"/>
  <c r="AE1464" i="3" s="1"/>
  <c r="AA1464" i="3"/>
  <c r="X1456" i="3"/>
  <c r="AD1456" i="3" s="1"/>
  <c r="AA1456" i="3"/>
  <c r="AC1456" i="3"/>
  <c r="Y1456" i="3"/>
  <c r="Z1456" i="3"/>
  <c r="AE1456" i="3" s="1"/>
  <c r="X1448" i="3"/>
  <c r="AD1448" i="3" s="1"/>
  <c r="Z1448" i="3"/>
  <c r="AE1448" i="3" s="1"/>
  <c r="AC1448" i="3"/>
  <c r="AA1448" i="3"/>
  <c r="Y1448" i="3"/>
  <c r="X1440" i="3"/>
  <c r="AD1440" i="3" s="1"/>
  <c r="AA1440" i="3"/>
  <c r="Y1440" i="3"/>
  <c r="Z1440" i="3"/>
  <c r="AE1440" i="3" s="1"/>
  <c r="AC1440" i="3"/>
  <c r="X1432" i="3"/>
  <c r="AD1432" i="3" s="1"/>
  <c r="Y1432" i="3"/>
  <c r="Z1432" i="3"/>
  <c r="AE1432" i="3" s="1"/>
  <c r="AA1432" i="3"/>
  <c r="AC1432" i="3"/>
  <c r="Z1246" i="3"/>
  <c r="AE1246" i="3" s="1"/>
  <c r="X1246" i="3"/>
  <c r="AD1246" i="3" s="1"/>
  <c r="AC1246" i="3"/>
  <c r="AA1246" i="3"/>
  <c r="Y1246" i="3"/>
  <c r="Z1658" i="3"/>
  <c r="AE1658" i="3" s="1"/>
  <c r="AA1658" i="3"/>
  <c r="Y1658" i="3"/>
  <c r="X1658" i="3"/>
  <c r="AD1658" i="3" s="1"/>
  <c r="AC1658" i="3"/>
  <c r="Z1278" i="3"/>
  <c r="AE1278" i="3" s="1"/>
  <c r="AC1278" i="3"/>
  <c r="X1278" i="3"/>
  <c r="AD1278" i="3" s="1"/>
  <c r="Y1278" i="3"/>
  <c r="AA1278" i="3"/>
  <c r="Z1270" i="3"/>
  <c r="AE1270" i="3" s="1"/>
  <c r="AC1270" i="3"/>
  <c r="Y1270" i="3"/>
  <c r="AA1270" i="3"/>
  <c r="X1270" i="3"/>
  <c r="AD1270" i="3" s="1"/>
  <c r="Z1262" i="3"/>
  <c r="AE1262" i="3" s="1"/>
  <c r="Y1262" i="3"/>
  <c r="AA1262" i="3"/>
  <c r="X1262" i="3"/>
  <c r="AD1262" i="3" s="1"/>
  <c r="AC1262" i="3"/>
  <c r="Z1254" i="3"/>
  <c r="AE1254" i="3" s="1"/>
  <c r="X1254" i="3"/>
  <c r="AD1254" i="3" s="1"/>
  <c r="AA1254" i="3"/>
  <c r="Y1254" i="3"/>
  <c r="AC1254" i="3"/>
  <c r="AC1100" i="3"/>
  <c r="AA1100" i="3"/>
  <c r="X1100" i="3"/>
  <c r="AD1100" i="3" s="1"/>
  <c r="Y1100" i="3"/>
  <c r="Z1100" i="3"/>
  <c r="AE1100" i="3" s="1"/>
  <c r="AC1316" i="3"/>
  <c r="AA1316" i="3"/>
  <c r="Z1316" i="3"/>
  <c r="AE1316" i="3" s="1"/>
  <c r="Y1316" i="3"/>
  <c r="X1316" i="3"/>
  <c r="AD1316" i="3" s="1"/>
  <c r="AC1308" i="3"/>
  <c r="X1308" i="3"/>
  <c r="AD1308" i="3" s="1"/>
  <c r="Y1308" i="3"/>
  <c r="Z1308" i="3"/>
  <c r="AE1308" i="3" s="1"/>
  <c r="AA1308" i="3"/>
  <c r="X1300" i="3"/>
  <c r="AD1300" i="3" s="1"/>
  <c r="Z1300" i="3"/>
  <c r="AE1300" i="3" s="1"/>
  <c r="Y1300" i="3"/>
  <c r="AC1300" i="3"/>
  <c r="AA1300" i="3"/>
  <c r="X1292" i="3"/>
  <c r="AD1292" i="3" s="1"/>
  <c r="Y1292" i="3"/>
  <c r="Z1292" i="3"/>
  <c r="AE1292" i="3" s="1"/>
  <c r="AC1292" i="3"/>
  <c r="AA1292" i="3"/>
  <c r="AC1284" i="3"/>
  <c r="AA1284" i="3"/>
  <c r="X1284" i="3"/>
  <c r="AD1284" i="3" s="1"/>
  <c r="Y1284" i="3"/>
  <c r="Z1284" i="3"/>
  <c r="AE1284" i="3" s="1"/>
  <c r="AC1122" i="3"/>
  <c r="Y1122" i="3"/>
  <c r="X1122" i="3"/>
  <c r="AD1122" i="3" s="1"/>
  <c r="Z1122" i="3"/>
  <c r="AE1122" i="3" s="1"/>
  <c r="AA1122" i="3"/>
  <c r="AC1114" i="3"/>
  <c r="X1114" i="3"/>
  <c r="AD1114" i="3" s="1"/>
  <c r="AA1114" i="3"/>
  <c r="Y1114" i="3"/>
  <c r="Z1114" i="3"/>
  <c r="AE1114" i="3" s="1"/>
  <c r="AC1106" i="3"/>
  <c r="Y1106" i="3"/>
  <c r="AA1106" i="3"/>
  <c r="Z1106" i="3"/>
  <c r="AE1106" i="3" s="1"/>
  <c r="X1106" i="3"/>
  <c r="AD1106" i="3" s="1"/>
  <c r="Z1513" i="3"/>
  <c r="AE1513" i="3" s="1"/>
  <c r="X1513" i="3"/>
  <c r="AD1513" i="3" s="1"/>
  <c r="AC1513" i="3"/>
  <c r="Y1513" i="3"/>
  <c r="AA1513" i="3"/>
  <c r="Z1505" i="3"/>
  <c r="AE1505" i="3" s="1"/>
  <c r="AC1505" i="3"/>
  <c r="Y1505" i="3"/>
  <c r="AA1505" i="3"/>
  <c r="X1505" i="3"/>
  <c r="AD1505" i="3" s="1"/>
  <c r="AC1340" i="3"/>
  <c r="Z1340" i="3"/>
  <c r="AE1340" i="3" s="1"/>
  <c r="X1340" i="3"/>
  <c r="AD1340" i="3" s="1"/>
  <c r="AA1340" i="3"/>
  <c r="Y1340" i="3"/>
  <c r="AC1332" i="3"/>
  <c r="AA1332" i="3"/>
  <c r="Y1332" i="3"/>
  <c r="Z1332" i="3"/>
  <c r="AE1332" i="3" s="1"/>
  <c r="X1332" i="3"/>
  <c r="AD1332" i="3" s="1"/>
  <c r="AC1324" i="3"/>
  <c r="Y1324" i="3"/>
  <c r="AA1324" i="3"/>
  <c r="X1324" i="3"/>
  <c r="AD1324" i="3" s="1"/>
  <c r="Z1324" i="3"/>
  <c r="AE1324" i="3" s="1"/>
  <c r="AC1146" i="3"/>
  <c r="Y1146" i="3"/>
  <c r="Z1146" i="3"/>
  <c r="AE1146" i="3" s="1"/>
  <c r="X1146" i="3"/>
  <c r="AD1146" i="3" s="1"/>
  <c r="AA1146" i="3"/>
  <c r="AC1138" i="3"/>
  <c r="Y1138" i="3"/>
  <c r="X1138" i="3"/>
  <c r="AD1138" i="3" s="1"/>
  <c r="AA1138" i="3"/>
  <c r="Z1138" i="3"/>
  <c r="AE1138" i="3" s="1"/>
  <c r="AC1130" i="3"/>
  <c r="Y1130" i="3"/>
  <c r="Z1130" i="3"/>
  <c r="AE1130" i="3" s="1"/>
  <c r="AA1130" i="3"/>
  <c r="X1130" i="3"/>
  <c r="AD1130" i="3" s="1"/>
  <c r="AC1549" i="3"/>
  <c r="AA1549" i="3"/>
  <c r="Y1549" i="3"/>
  <c r="X1549" i="3"/>
  <c r="AD1549" i="3" s="1"/>
  <c r="Z1549" i="3"/>
  <c r="AE1549" i="3" s="1"/>
  <c r="AC1541" i="3"/>
  <c r="Y1541" i="3"/>
  <c r="Z1541" i="3"/>
  <c r="AE1541" i="3" s="1"/>
  <c r="AA1541" i="3"/>
  <c r="X1541" i="3"/>
  <c r="AD1541" i="3" s="1"/>
  <c r="AC1533" i="3"/>
  <c r="Y1533" i="3"/>
  <c r="X1533" i="3"/>
  <c r="AD1533" i="3" s="1"/>
  <c r="Z1533" i="3"/>
  <c r="AE1533" i="3" s="1"/>
  <c r="AA1533" i="3"/>
  <c r="AC1525" i="3"/>
  <c r="X1525" i="3"/>
  <c r="AD1525" i="3" s="1"/>
  <c r="Z1525" i="3"/>
  <c r="AE1525" i="3" s="1"/>
  <c r="Y1525" i="3"/>
  <c r="AA1525" i="3"/>
  <c r="AC1517" i="3"/>
  <c r="AA1517" i="3"/>
  <c r="Z1517" i="3"/>
  <c r="AE1517" i="3" s="1"/>
  <c r="X1517" i="3"/>
  <c r="AD1517" i="3" s="1"/>
  <c r="Y1517" i="3"/>
  <c r="AC1363" i="3"/>
  <c r="Y1363" i="3"/>
  <c r="Z1363" i="3"/>
  <c r="AE1363" i="3" s="1"/>
  <c r="X1363" i="3"/>
  <c r="AD1363" i="3" s="1"/>
  <c r="AA1363" i="3"/>
  <c r="Y1355" i="3"/>
  <c r="X1355" i="3"/>
  <c r="AD1355" i="3" s="1"/>
  <c r="AA1355" i="3"/>
  <c r="AC1355" i="3"/>
  <c r="Z1355" i="3"/>
  <c r="AE1355" i="3" s="1"/>
  <c r="X1347" i="3"/>
  <c r="AD1347" i="3" s="1"/>
  <c r="AC1347" i="3"/>
  <c r="Z1347" i="3"/>
  <c r="AE1347" i="3" s="1"/>
  <c r="Y1347" i="3"/>
  <c r="AA1347" i="3"/>
  <c r="AC1156" i="3"/>
  <c r="AA1156" i="3"/>
  <c r="X1156" i="3"/>
  <c r="AD1156" i="3" s="1"/>
  <c r="Y1156" i="3"/>
  <c r="Z1156" i="3"/>
  <c r="AE1156" i="3" s="1"/>
  <c r="AC1148" i="3"/>
  <c r="AA1148" i="3"/>
  <c r="Z1148" i="3"/>
  <c r="AE1148" i="3" s="1"/>
  <c r="X1148" i="3"/>
  <c r="AD1148" i="3" s="1"/>
  <c r="Y1148" i="3"/>
  <c r="Y1558" i="3"/>
  <c r="Z1558" i="3"/>
  <c r="AE1558" i="3" s="1"/>
  <c r="X1558" i="3"/>
  <c r="AD1558" i="3" s="1"/>
  <c r="AA1558" i="3"/>
  <c r="AC1558" i="3"/>
  <c r="Z1187" i="3"/>
  <c r="AE1187" i="3" s="1"/>
  <c r="AC1187" i="3"/>
  <c r="AA1187" i="3"/>
  <c r="Y1187" i="3"/>
  <c r="X1187" i="3"/>
  <c r="AD1187" i="3" s="1"/>
  <c r="AC1179" i="3"/>
  <c r="X1179" i="3"/>
  <c r="AD1179" i="3" s="1"/>
  <c r="Z1179" i="3"/>
  <c r="AE1179" i="3" s="1"/>
  <c r="AA1179" i="3"/>
  <c r="Y1179" i="3"/>
  <c r="Z1171" i="3"/>
  <c r="AE1171" i="3" s="1"/>
  <c r="AA1171" i="3"/>
  <c r="X1171" i="3"/>
  <c r="AD1171" i="3" s="1"/>
  <c r="Y1171" i="3"/>
  <c r="AC1171" i="3"/>
  <c r="AC1163" i="3"/>
  <c r="Y1163" i="3"/>
  <c r="Z1163" i="3"/>
  <c r="AE1163" i="3" s="1"/>
  <c r="AA1163" i="3"/>
  <c r="X1163" i="3"/>
  <c r="AD1163" i="3" s="1"/>
  <c r="Z1051" i="3"/>
  <c r="AE1051" i="3" s="1"/>
  <c r="AC1051" i="3"/>
  <c r="Y1051" i="3"/>
  <c r="X1051" i="3"/>
  <c r="AD1051" i="3" s="1"/>
  <c r="AA1051" i="3"/>
  <c r="AC1043" i="3"/>
  <c r="Y1043" i="3"/>
  <c r="AA1043" i="3"/>
  <c r="X1043" i="3"/>
  <c r="AD1043" i="3" s="1"/>
  <c r="Z1043" i="3"/>
  <c r="AE1043" i="3" s="1"/>
  <c r="AC1035" i="3"/>
  <c r="Y1035" i="3"/>
  <c r="AA1035" i="3"/>
  <c r="X1035" i="3"/>
  <c r="AD1035" i="3" s="1"/>
  <c r="Z1035" i="3"/>
  <c r="AE1035" i="3" s="1"/>
  <c r="Z1027" i="3"/>
  <c r="AE1027" i="3" s="1"/>
  <c r="AC1027" i="3"/>
  <c r="X1027" i="3"/>
  <c r="AD1027" i="3" s="1"/>
  <c r="Y1027" i="3"/>
  <c r="AA1027" i="3"/>
  <c r="AC1019" i="3"/>
  <c r="X1019" i="3"/>
  <c r="AD1019" i="3" s="1"/>
  <c r="Y1019" i="3"/>
  <c r="Z1019" i="3"/>
  <c r="AE1019" i="3" s="1"/>
  <c r="AA1019" i="3"/>
  <c r="X1011" i="3"/>
  <c r="AD1011" i="3" s="1"/>
  <c r="AC1011" i="3"/>
  <c r="Z1011" i="3"/>
  <c r="AE1011" i="3" s="1"/>
  <c r="AA1011" i="3"/>
  <c r="Y1011" i="3"/>
  <c r="X1003" i="3"/>
  <c r="AD1003" i="3" s="1"/>
  <c r="Y1003" i="3"/>
  <c r="Z1003" i="3"/>
  <c r="AE1003" i="3" s="1"/>
  <c r="AC1003" i="3"/>
  <c r="AA1003" i="3"/>
  <c r="X995" i="3"/>
  <c r="AD995" i="3" s="1"/>
  <c r="AA995" i="3"/>
  <c r="Z995" i="3"/>
  <c r="AE995" i="3" s="1"/>
  <c r="Y995" i="3"/>
  <c r="AC995" i="3"/>
  <c r="X987" i="3"/>
  <c r="AD987" i="3" s="1"/>
  <c r="Z987" i="3"/>
  <c r="AE987" i="3" s="1"/>
  <c r="AC987" i="3"/>
  <c r="AA987" i="3"/>
  <c r="Y987" i="3"/>
  <c r="AC979" i="3"/>
  <c r="Y979" i="3"/>
  <c r="Z979" i="3"/>
  <c r="AE979" i="3" s="1"/>
  <c r="AA979" i="3"/>
  <c r="X979" i="3"/>
  <c r="AD979" i="3" s="1"/>
  <c r="AC971" i="3"/>
  <c r="AA971" i="3"/>
  <c r="X971" i="3"/>
  <c r="AD971" i="3" s="1"/>
  <c r="Y971" i="3"/>
  <c r="Z971" i="3"/>
  <c r="AE971" i="3" s="1"/>
  <c r="X963" i="3"/>
  <c r="AD963" i="3" s="1"/>
  <c r="Z963" i="3"/>
  <c r="AE963" i="3" s="1"/>
  <c r="Y963" i="3"/>
  <c r="AC963" i="3"/>
  <c r="AA963" i="3"/>
  <c r="AC955" i="3"/>
  <c r="AA955" i="3"/>
  <c r="Z955" i="3"/>
  <c r="AE955" i="3" s="1"/>
  <c r="X955" i="3"/>
  <c r="AD955" i="3" s="1"/>
  <c r="Y955" i="3"/>
  <c r="Z1695" i="3"/>
  <c r="AE1695" i="3" s="1"/>
  <c r="AA1695" i="3"/>
  <c r="AC1695" i="3"/>
  <c r="X1695" i="3"/>
  <c r="AD1695" i="3" s="1"/>
  <c r="Y1695" i="3"/>
  <c r="Z1687" i="3"/>
  <c r="AE1687" i="3" s="1"/>
  <c r="Y1687" i="3"/>
  <c r="AC1687" i="3"/>
  <c r="AA1687" i="3"/>
  <c r="X1687" i="3"/>
  <c r="AD1687" i="3" s="1"/>
  <c r="AA1727" i="3"/>
  <c r="AC1727" i="3"/>
  <c r="X1727" i="3"/>
  <c r="AD1727" i="3" s="1"/>
  <c r="Y1727" i="3"/>
  <c r="Z1727" i="3"/>
  <c r="AE1727" i="3" s="1"/>
  <c r="Z1719" i="3"/>
  <c r="AE1719" i="3" s="1"/>
  <c r="AA1719" i="3"/>
  <c r="AC1719" i="3"/>
  <c r="X1719" i="3"/>
  <c r="AD1719" i="3" s="1"/>
  <c r="Y1719" i="3"/>
  <c r="AC1711" i="3"/>
  <c r="X1711" i="3"/>
  <c r="AD1711" i="3" s="1"/>
  <c r="Z1711" i="3"/>
  <c r="AE1711" i="3" s="1"/>
  <c r="AA1711" i="3"/>
  <c r="Y1711" i="3"/>
  <c r="X1703" i="3"/>
  <c r="AD1703" i="3" s="1"/>
  <c r="Y1703" i="3"/>
  <c r="AC1703" i="3"/>
  <c r="Z1703" i="3"/>
  <c r="AE1703" i="3" s="1"/>
  <c r="AA1703" i="3"/>
  <c r="Z1569" i="3"/>
  <c r="AE1569" i="3" s="1"/>
  <c r="AC1569" i="3"/>
  <c r="Y1569" i="3"/>
  <c r="AA1569" i="3"/>
  <c r="X1569" i="3"/>
  <c r="AD1569" i="3" s="1"/>
  <c r="Z1731" i="3"/>
  <c r="AE1731" i="3" s="1"/>
  <c r="X1731" i="3"/>
  <c r="AD1731" i="3" s="1"/>
  <c r="AC1731" i="3"/>
  <c r="Y1731" i="3"/>
  <c r="AA1731" i="3"/>
  <c r="Z1590" i="3"/>
  <c r="AE1590" i="3" s="1"/>
  <c r="Y1590" i="3"/>
  <c r="AA1590" i="3"/>
  <c r="X1590" i="3"/>
  <c r="AD1590" i="3" s="1"/>
  <c r="AC1590" i="3"/>
  <c r="X1742" i="3"/>
  <c r="AD1742" i="3" s="1"/>
  <c r="Z1742" i="3"/>
  <c r="AE1742" i="3" s="1"/>
  <c r="AA1742" i="3"/>
  <c r="Y1742" i="3"/>
  <c r="AC1742" i="3"/>
  <c r="X1734" i="3"/>
  <c r="AD1734" i="3" s="1"/>
  <c r="Z1734" i="3"/>
  <c r="AE1734" i="3" s="1"/>
  <c r="Y1734" i="3"/>
  <c r="AA1734" i="3"/>
  <c r="AC1734" i="3"/>
  <c r="AA1583" i="3"/>
  <c r="X1583" i="3"/>
  <c r="AD1583" i="3" s="1"/>
  <c r="AC1583" i="3"/>
  <c r="Z1583" i="3"/>
  <c r="AE1583" i="3" s="1"/>
  <c r="Y1583" i="3"/>
  <c r="Z1801" i="3"/>
  <c r="AE1801" i="3" s="1"/>
  <c r="X1801" i="3"/>
  <c r="AD1801" i="3" s="1"/>
  <c r="AA1801" i="3"/>
  <c r="Y1801" i="3"/>
  <c r="AC1801" i="3"/>
  <c r="Y1793" i="3"/>
  <c r="AC1793" i="3"/>
  <c r="X1793" i="3"/>
  <c r="AD1793" i="3" s="1"/>
  <c r="AA1793" i="3"/>
  <c r="Z1793" i="3"/>
  <c r="AE1793" i="3" s="1"/>
  <c r="Y1785" i="3"/>
  <c r="AC1785" i="3"/>
  <c r="Z1785" i="3"/>
  <c r="AE1785" i="3" s="1"/>
  <c r="X1785" i="3"/>
  <c r="AD1785" i="3" s="1"/>
  <c r="AA1785" i="3"/>
  <c r="AA1777" i="3"/>
  <c r="Z1777" i="3"/>
  <c r="AE1777" i="3" s="1"/>
  <c r="Y1777" i="3"/>
  <c r="AC1777" i="3"/>
  <c r="X1777" i="3"/>
  <c r="AD1777" i="3" s="1"/>
  <c r="AA1769" i="3"/>
  <c r="AC1769" i="3"/>
  <c r="Z1769" i="3"/>
  <c r="AE1769" i="3" s="1"/>
  <c r="X1769" i="3"/>
  <c r="AD1769" i="3" s="1"/>
  <c r="Y1769" i="3"/>
  <c r="AA1761" i="3"/>
  <c r="Y1761" i="3"/>
  <c r="X1761" i="3"/>
  <c r="AD1761" i="3" s="1"/>
  <c r="Z1761" i="3"/>
  <c r="AE1761" i="3" s="1"/>
  <c r="AC1761" i="3"/>
  <c r="AA1753" i="3"/>
  <c r="Y1753" i="3"/>
  <c r="AC1753" i="3"/>
  <c r="X1753" i="3"/>
  <c r="AD1753" i="3" s="1"/>
  <c r="Z1753" i="3"/>
  <c r="AE1753" i="3" s="1"/>
  <c r="Z1647" i="3"/>
  <c r="AE1647" i="3" s="1"/>
  <c r="AA1647" i="3"/>
  <c r="Y1647" i="3"/>
  <c r="AC1647" i="3"/>
  <c r="X1647" i="3"/>
  <c r="AD1647" i="3" s="1"/>
  <c r="X1639" i="3"/>
  <c r="AD1639" i="3" s="1"/>
  <c r="AA1639" i="3"/>
  <c r="Z1639" i="3"/>
  <c r="AE1639" i="3" s="1"/>
  <c r="Y1639" i="3"/>
  <c r="AC1639" i="3"/>
  <c r="X1631" i="3"/>
  <c r="AD1631" i="3" s="1"/>
  <c r="Z1631" i="3"/>
  <c r="AE1631" i="3" s="1"/>
  <c r="Y1631" i="3"/>
  <c r="AA1631" i="3"/>
  <c r="AC1631" i="3"/>
  <c r="X1623" i="3"/>
  <c r="AD1623" i="3" s="1"/>
  <c r="AA1623" i="3"/>
  <c r="Y1623" i="3"/>
  <c r="AC1623" i="3"/>
  <c r="Z1623" i="3"/>
  <c r="AE1623" i="3" s="1"/>
  <c r="Z1409" i="3"/>
  <c r="AE1409" i="3" s="1"/>
  <c r="AA1409" i="3"/>
  <c r="AC1409" i="3"/>
  <c r="X1409" i="3"/>
  <c r="AD1409" i="3" s="1"/>
  <c r="Y1409" i="3"/>
  <c r="Z1401" i="3"/>
  <c r="AE1401" i="3" s="1"/>
  <c r="AA1401" i="3"/>
  <c r="AC1401" i="3"/>
  <c r="X1401" i="3"/>
  <c r="AD1401" i="3" s="1"/>
  <c r="Y1401" i="3"/>
  <c r="Z1393" i="3"/>
  <c r="AE1393" i="3" s="1"/>
  <c r="AC1393" i="3"/>
  <c r="X1393" i="3"/>
  <c r="AD1393" i="3" s="1"/>
  <c r="AA1393" i="3"/>
  <c r="Y1393" i="3"/>
  <c r="Z1385" i="3"/>
  <c r="AE1385" i="3" s="1"/>
  <c r="AC1385" i="3"/>
  <c r="X1385" i="3"/>
  <c r="AD1385" i="3" s="1"/>
  <c r="AA1385" i="3"/>
  <c r="Y1385" i="3"/>
  <c r="Z1377" i="3"/>
  <c r="AE1377" i="3" s="1"/>
  <c r="Y1377" i="3"/>
  <c r="AA1377" i="3"/>
  <c r="AC1377" i="3"/>
  <c r="X1377" i="3"/>
  <c r="AD1377" i="3" s="1"/>
  <c r="Z1369" i="3"/>
  <c r="AE1369" i="3" s="1"/>
  <c r="Y1369" i="3"/>
  <c r="AC1369" i="3"/>
  <c r="AA1369" i="3"/>
  <c r="X1369" i="3"/>
  <c r="AD1369" i="3" s="1"/>
  <c r="AC1202" i="3"/>
  <c r="AA1202" i="3"/>
  <c r="X1202" i="3"/>
  <c r="AD1202" i="3" s="1"/>
  <c r="Y1202" i="3"/>
  <c r="Z1202" i="3"/>
  <c r="AE1202" i="3" s="1"/>
  <c r="AC1194" i="3"/>
  <c r="AA1194" i="3"/>
  <c r="Z1194" i="3"/>
  <c r="AE1194" i="3" s="1"/>
  <c r="Y1194" i="3"/>
  <c r="X1194" i="3"/>
  <c r="AD1194" i="3" s="1"/>
  <c r="Y1094" i="3"/>
  <c r="AC1094" i="3"/>
  <c r="X1094" i="3"/>
  <c r="AD1094" i="3" s="1"/>
  <c r="AA1094" i="3"/>
  <c r="Z1094" i="3"/>
  <c r="AE1094" i="3" s="1"/>
  <c r="Y1086" i="3"/>
  <c r="AA1086" i="3"/>
  <c r="X1086" i="3"/>
  <c r="AD1086" i="3" s="1"/>
  <c r="Z1086" i="3"/>
  <c r="AE1086" i="3" s="1"/>
  <c r="AC1086" i="3"/>
  <c r="Y1078" i="3"/>
  <c r="AA1078" i="3"/>
  <c r="X1078" i="3"/>
  <c r="AD1078" i="3" s="1"/>
  <c r="AC1078" i="3"/>
  <c r="Z1078" i="3"/>
  <c r="AE1078" i="3" s="1"/>
  <c r="Y1070" i="3"/>
  <c r="AC1070" i="3"/>
  <c r="AA1070" i="3"/>
  <c r="Z1070" i="3"/>
  <c r="AE1070" i="3" s="1"/>
  <c r="X1070" i="3"/>
  <c r="AD1070" i="3" s="1"/>
  <c r="Y1062" i="3"/>
  <c r="X1062" i="3"/>
  <c r="AD1062" i="3" s="1"/>
  <c r="AA1062" i="3"/>
  <c r="AC1062" i="3"/>
  <c r="Z1062" i="3"/>
  <c r="AE1062" i="3" s="1"/>
  <c r="X1599" i="3"/>
  <c r="AD1599" i="3" s="1"/>
  <c r="Y1599" i="3"/>
  <c r="AA1599" i="3"/>
  <c r="Z1599" i="3"/>
  <c r="AE1599" i="3" s="1"/>
  <c r="AC1599" i="3"/>
  <c r="Z1426" i="3"/>
  <c r="AE1426" i="3" s="1"/>
  <c r="AA1426" i="3"/>
  <c r="AC1426" i="3"/>
  <c r="X1426" i="3"/>
  <c r="AD1426" i="3" s="1"/>
  <c r="Y1426" i="3"/>
  <c r="Z1418" i="3"/>
  <c r="AE1418" i="3" s="1"/>
  <c r="AA1418" i="3"/>
  <c r="AC1418" i="3"/>
  <c r="Y1418" i="3"/>
  <c r="X1418" i="3"/>
  <c r="AD1418" i="3" s="1"/>
  <c r="Z1233" i="3"/>
  <c r="AE1233" i="3" s="1"/>
  <c r="Y1233" i="3"/>
  <c r="AA1233" i="3"/>
  <c r="X1233" i="3"/>
  <c r="AD1233" i="3" s="1"/>
  <c r="AC1233" i="3"/>
  <c r="Z1225" i="3"/>
  <c r="AE1225" i="3" s="1"/>
  <c r="AA1225" i="3"/>
  <c r="AC1225" i="3"/>
  <c r="X1225" i="3"/>
  <c r="AD1225" i="3" s="1"/>
  <c r="Y1225" i="3"/>
  <c r="Z1217" i="3"/>
  <c r="AE1217" i="3" s="1"/>
  <c r="AC1217" i="3"/>
  <c r="AA1217" i="3"/>
  <c r="Y1217" i="3"/>
  <c r="X1217" i="3"/>
  <c r="AD1217" i="3" s="1"/>
  <c r="Y1612" i="3"/>
  <c r="Z1612" i="3"/>
  <c r="AE1612" i="3" s="1"/>
  <c r="AC1612" i="3"/>
  <c r="AA1612" i="3"/>
  <c r="X1612" i="3"/>
  <c r="AD1612" i="3" s="1"/>
  <c r="Y1604" i="3"/>
  <c r="AC1604" i="3"/>
  <c r="X1604" i="3"/>
  <c r="AD1604" i="3" s="1"/>
  <c r="AA1604" i="3"/>
  <c r="Z1604" i="3"/>
  <c r="AE1604" i="3" s="1"/>
  <c r="Z1497" i="3"/>
  <c r="AE1497" i="3" s="1"/>
  <c r="AA1497" i="3"/>
  <c r="AC1497" i="3"/>
  <c r="Y1497" i="3"/>
  <c r="X1497" i="3"/>
  <c r="AD1497" i="3" s="1"/>
  <c r="Z1489" i="3"/>
  <c r="AE1489" i="3" s="1"/>
  <c r="AC1489" i="3"/>
  <c r="Y1489" i="3"/>
  <c r="X1489" i="3"/>
  <c r="AD1489" i="3" s="1"/>
  <c r="AA1489" i="3"/>
  <c r="Z1481" i="3"/>
  <c r="AE1481" i="3" s="1"/>
  <c r="X1481" i="3"/>
  <c r="AD1481" i="3" s="1"/>
  <c r="AA1481" i="3"/>
  <c r="AC1481" i="3"/>
  <c r="Y1481" i="3"/>
  <c r="Z1473" i="3"/>
  <c r="AE1473" i="3" s="1"/>
  <c r="AA1473" i="3"/>
  <c r="AC1473" i="3"/>
  <c r="X1473" i="3"/>
  <c r="AD1473" i="3" s="1"/>
  <c r="Y1473" i="3"/>
  <c r="Z1465" i="3"/>
  <c r="AE1465" i="3" s="1"/>
  <c r="AA1465" i="3"/>
  <c r="X1465" i="3"/>
  <c r="AD1465" i="3" s="1"/>
  <c r="AC1465" i="3"/>
  <c r="Y1465" i="3"/>
  <c r="Z1457" i="3"/>
  <c r="AE1457" i="3" s="1"/>
  <c r="AA1457" i="3"/>
  <c r="X1457" i="3"/>
  <c r="AD1457" i="3" s="1"/>
  <c r="AC1457" i="3"/>
  <c r="Y1457" i="3"/>
  <c r="Z1449" i="3"/>
  <c r="AE1449" i="3" s="1"/>
  <c r="AA1449" i="3"/>
  <c r="X1449" i="3"/>
  <c r="AD1449" i="3" s="1"/>
  <c r="AC1449" i="3"/>
  <c r="Y1449" i="3"/>
  <c r="Z1441" i="3"/>
  <c r="AE1441" i="3" s="1"/>
  <c r="AC1441" i="3"/>
  <c r="Y1441" i="3"/>
  <c r="AA1441" i="3"/>
  <c r="X1441" i="3"/>
  <c r="AD1441" i="3" s="1"/>
  <c r="Z1433" i="3"/>
  <c r="AE1433" i="3" s="1"/>
  <c r="AC1433" i="3"/>
  <c r="Y1433" i="3"/>
  <c r="AA1433" i="3"/>
  <c r="X1433" i="3"/>
  <c r="AD1433" i="3" s="1"/>
  <c r="Z1659" i="3"/>
  <c r="AE1659" i="3" s="1"/>
  <c r="AA1659" i="3"/>
  <c r="AC1659" i="3"/>
  <c r="X1659" i="3"/>
  <c r="AD1659" i="3" s="1"/>
  <c r="Y1659" i="3"/>
  <c r="X1651" i="3"/>
  <c r="AD1651" i="3" s="1"/>
  <c r="Y1651" i="3"/>
  <c r="Z1651" i="3"/>
  <c r="AE1651" i="3" s="1"/>
  <c r="AA1651" i="3"/>
  <c r="AC1651" i="3"/>
  <c r="AC1279" i="3"/>
  <c r="Y1279" i="3"/>
  <c r="X1279" i="3"/>
  <c r="AD1279" i="3" s="1"/>
  <c r="AA1279" i="3"/>
  <c r="Z1279" i="3"/>
  <c r="AE1279" i="3" s="1"/>
  <c r="AC1271" i="3"/>
  <c r="AA1271" i="3"/>
  <c r="X1271" i="3"/>
  <c r="AD1271" i="3" s="1"/>
  <c r="Y1271" i="3"/>
  <c r="Z1271" i="3"/>
  <c r="AE1271" i="3" s="1"/>
  <c r="Y1263" i="3"/>
  <c r="AC1263" i="3"/>
  <c r="AA1263" i="3"/>
  <c r="X1263" i="3"/>
  <c r="AD1263" i="3" s="1"/>
  <c r="Z1263" i="3"/>
  <c r="AE1263" i="3" s="1"/>
  <c r="X1255" i="3"/>
  <c r="AD1255" i="3" s="1"/>
  <c r="AC1255" i="3"/>
  <c r="Y1255" i="3"/>
  <c r="Z1255" i="3"/>
  <c r="AE1255" i="3" s="1"/>
  <c r="AA1255" i="3"/>
  <c r="AC1247" i="3"/>
  <c r="X1247" i="3"/>
  <c r="AD1247" i="3" s="1"/>
  <c r="Y1247" i="3"/>
  <c r="Z1247" i="3"/>
  <c r="AE1247" i="3" s="1"/>
  <c r="AA1247" i="3"/>
  <c r="AC1317" i="3"/>
  <c r="Y1317" i="3"/>
  <c r="AA1317" i="3"/>
  <c r="X1317" i="3"/>
  <c r="AD1317" i="3" s="1"/>
  <c r="Z1317" i="3"/>
  <c r="AE1317" i="3" s="1"/>
  <c r="AC1309" i="3"/>
  <c r="X1309" i="3"/>
  <c r="AD1309" i="3" s="1"/>
  <c r="Y1309" i="3"/>
  <c r="Z1309" i="3"/>
  <c r="AE1309" i="3" s="1"/>
  <c r="AA1309" i="3"/>
  <c r="X1301" i="3"/>
  <c r="AD1301" i="3" s="1"/>
  <c r="Z1301" i="3"/>
  <c r="AE1301" i="3" s="1"/>
  <c r="AA1301" i="3"/>
  <c r="Y1301" i="3"/>
  <c r="AC1301" i="3"/>
  <c r="X1293" i="3"/>
  <c r="AD1293" i="3" s="1"/>
  <c r="AC1293" i="3"/>
  <c r="AA1293" i="3"/>
  <c r="Y1293" i="3"/>
  <c r="Z1293" i="3"/>
  <c r="AE1293" i="3" s="1"/>
  <c r="X1285" i="3"/>
  <c r="AD1285" i="3" s="1"/>
  <c r="Y1285" i="3"/>
  <c r="Z1285" i="3"/>
  <c r="AE1285" i="3" s="1"/>
  <c r="AC1285" i="3"/>
  <c r="AA1285" i="3"/>
  <c r="Y1115" i="3"/>
  <c r="AA1115" i="3"/>
  <c r="X1115" i="3"/>
  <c r="AD1115" i="3" s="1"/>
  <c r="Z1115" i="3"/>
  <c r="AE1115" i="3" s="1"/>
  <c r="AC1115" i="3"/>
  <c r="Z1107" i="3"/>
  <c r="AE1107" i="3" s="1"/>
  <c r="AA1107" i="3"/>
  <c r="X1107" i="3"/>
  <c r="AD1107" i="3" s="1"/>
  <c r="AC1107" i="3"/>
  <c r="Y1107" i="3"/>
  <c r="Z1514" i="3"/>
  <c r="AE1514" i="3" s="1"/>
  <c r="X1514" i="3"/>
  <c r="AD1514" i="3" s="1"/>
  <c r="Y1514" i="3"/>
  <c r="AC1514" i="3"/>
  <c r="AA1514" i="3"/>
  <c r="Z1506" i="3"/>
  <c r="AE1506" i="3" s="1"/>
  <c r="AC1506" i="3"/>
  <c r="AA1506" i="3"/>
  <c r="X1506" i="3"/>
  <c r="AD1506" i="3" s="1"/>
  <c r="Y1506" i="3"/>
  <c r="AC1341" i="3"/>
  <c r="Y1341" i="3"/>
  <c r="AA1341" i="3"/>
  <c r="X1341" i="3"/>
  <c r="AD1341" i="3" s="1"/>
  <c r="Z1341" i="3"/>
  <c r="AE1341" i="3" s="1"/>
  <c r="AC1333" i="3"/>
  <c r="AA1333" i="3"/>
  <c r="X1333" i="3"/>
  <c r="AD1333" i="3" s="1"/>
  <c r="Z1333" i="3"/>
  <c r="AE1333" i="3" s="1"/>
  <c r="Y1333" i="3"/>
  <c r="AC1325" i="3"/>
  <c r="AA1325" i="3"/>
  <c r="Z1325" i="3"/>
  <c r="AE1325" i="3" s="1"/>
  <c r="Y1325" i="3"/>
  <c r="X1325" i="3"/>
  <c r="AD1325" i="3" s="1"/>
  <c r="X1147" i="3"/>
  <c r="AD1147" i="3" s="1"/>
  <c r="Z1147" i="3"/>
  <c r="AE1147" i="3" s="1"/>
  <c r="AC1147" i="3"/>
  <c r="AA1147" i="3"/>
  <c r="Y1147" i="3"/>
  <c r="AC1139" i="3"/>
  <c r="Y1139" i="3"/>
  <c r="X1139" i="3"/>
  <c r="AD1139" i="3" s="1"/>
  <c r="Z1139" i="3"/>
  <c r="AE1139" i="3" s="1"/>
  <c r="AA1139" i="3"/>
  <c r="AC1131" i="3"/>
  <c r="AA1131" i="3"/>
  <c r="X1131" i="3"/>
  <c r="AD1131" i="3" s="1"/>
  <c r="Y1131" i="3"/>
  <c r="Z1131" i="3"/>
  <c r="AE1131" i="3" s="1"/>
  <c r="X1123" i="3"/>
  <c r="AD1123" i="3" s="1"/>
  <c r="AA1123" i="3"/>
  <c r="AC1123" i="3"/>
  <c r="Y1123" i="3"/>
  <c r="Z1123" i="3"/>
  <c r="AE1123" i="3" s="1"/>
  <c r="AA1550" i="3"/>
  <c r="AC1550" i="3"/>
  <c r="Z1550" i="3"/>
  <c r="AE1550" i="3" s="1"/>
  <c r="X1550" i="3"/>
  <c r="AD1550" i="3" s="1"/>
  <c r="Y1550" i="3"/>
  <c r="AA1542" i="3"/>
  <c r="AC1542" i="3"/>
  <c r="X1542" i="3"/>
  <c r="AD1542" i="3" s="1"/>
  <c r="Y1542" i="3"/>
  <c r="Z1542" i="3"/>
  <c r="AE1542" i="3" s="1"/>
  <c r="Z1534" i="3"/>
  <c r="AE1534" i="3" s="1"/>
  <c r="AC1534" i="3"/>
  <c r="Y1534" i="3"/>
  <c r="AA1534" i="3"/>
  <c r="X1534" i="3"/>
  <c r="AD1534" i="3" s="1"/>
  <c r="AC1526" i="3"/>
  <c r="AA1526" i="3"/>
  <c r="Z1526" i="3"/>
  <c r="AE1526" i="3" s="1"/>
  <c r="Y1526" i="3"/>
  <c r="X1526" i="3"/>
  <c r="AD1526" i="3" s="1"/>
  <c r="Z1518" i="3"/>
  <c r="AE1518" i="3" s="1"/>
  <c r="Y1518" i="3"/>
  <c r="AA1518" i="3"/>
  <c r="AC1518" i="3"/>
  <c r="X1518" i="3"/>
  <c r="AD1518" i="3" s="1"/>
  <c r="AC1364" i="3"/>
  <c r="X1364" i="3"/>
  <c r="AD1364" i="3" s="1"/>
  <c r="AA1364" i="3"/>
  <c r="Y1364" i="3"/>
  <c r="Z1364" i="3"/>
  <c r="AE1364" i="3" s="1"/>
  <c r="AC1356" i="3"/>
  <c r="AA1356" i="3"/>
  <c r="Y1356" i="3"/>
  <c r="Z1356" i="3"/>
  <c r="AE1356" i="3" s="1"/>
  <c r="X1356" i="3"/>
  <c r="AD1356" i="3" s="1"/>
  <c r="AC1348" i="3"/>
  <c r="AA1348" i="3"/>
  <c r="Z1348" i="3"/>
  <c r="AE1348" i="3" s="1"/>
  <c r="X1348" i="3"/>
  <c r="AD1348" i="3" s="1"/>
  <c r="Y1348" i="3"/>
  <c r="X1157" i="3"/>
  <c r="AD1157" i="3" s="1"/>
  <c r="Y1157" i="3"/>
  <c r="Z1157" i="3"/>
  <c r="AE1157" i="3" s="1"/>
  <c r="AA1157" i="3"/>
  <c r="AC1157" i="3"/>
  <c r="X1149" i="3"/>
  <c r="AD1149" i="3" s="1"/>
  <c r="Y1149" i="3"/>
  <c r="Z1149" i="3"/>
  <c r="AE1149" i="3" s="1"/>
  <c r="AC1149" i="3"/>
  <c r="AA1149" i="3"/>
  <c r="X1559" i="3"/>
  <c r="AD1559" i="3" s="1"/>
  <c r="AC1559" i="3"/>
  <c r="Z1559" i="3"/>
  <c r="AE1559" i="3" s="1"/>
  <c r="Y1559" i="3"/>
  <c r="AA1559" i="3"/>
  <c r="AC1180" i="3"/>
  <c r="AA1180" i="3"/>
  <c r="Z1180" i="3"/>
  <c r="AE1180" i="3" s="1"/>
  <c r="X1180" i="3"/>
  <c r="AD1180" i="3" s="1"/>
  <c r="Y1180" i="3"/>
  <c r="AC1172" i="3"/>
  <c r="X1172" i="3"/>
  <c r="AD1172" i="3" s="1"/>
  <c r="Y1172" i="3"/>
  <c r="AA1172" i="3"/>
  <c r="Z1172" i="3"/>
  <c r="AE1172" i="3" s="1"/>
  <c r="AC1164" i="3"/>
  <c r="X1164" i="3"/>
  <c r="AD1164" i="3" s="1"/>
  <c r="Y1164" i="3"/>
  <c r="AA1164" i="3"/>
  <c r="Z1164" i="3"/>
  <c r="AE1164" i="3" s="1"/>
  <c r="AC1052" i="3"/>
  <c r="AA1052" i="3"/>
  <c r="X1052" i="3"/>
  <c r="AD1052" i="3" s="1"/>
  <c r="Z1052" i="3"/>
  <c r="AE1052" i="3" s="1"/>
  <c r="Y1052" i="3"/>
  <c r="AC1044" i="3"/>
  <c r="AA1044" i="3"/>
  <c r="X1044" i="3"/>
  <c r="AD1044" i="3" s="1"/>
  <c r="Y1044" i="3"/>
  <c r="Z1044" i="3"/>
  <c r="AE1044" i="3" s="1"/>
  <c r="AC1036" i="3"/>
  <c r="X1036" i="3"/>
  <c r="AD1036" i="3" s="1"/>
  <c r="AA1036" i="3"/>
  <c r="Y1036" i="3"/>
  <c r="Z1036" i="3"/>
  <c r="AE1036" i="3" s="1"/>
  <c r="AC1028" i="3"/>
  <c r="Y1028" i="3"/>
  <c r="AA1028" i="3"/>
  <c r="X1028" i="3"/>
  <c r="AD1028" i="3" s="1"/>
  <c r="Z1028" i="3"/>
  <c r="AE1028" i="3" s="1"/>
  <c r="AC1020" i="3"/>
  <c r="X1020" i="3"/>
  <c r="AD1020" i="3" s="1"/>
  <c r="Z1020" i="3"/>
  <c r="AE1020" i="3" s="1"/>
  <c r="AA1020" i="3"/>
  <c r="Y1020" i="3"/>
  <c r="AC1012" i="3"/>
  <c r="AA1012" i="3"/>
  <c r="Z1012" i="3"/>
  <c r="AE1012" i="3" s="1"/>
  <c r="X1012" i="3"/>
  <c r="AD1012" i="3" s="1"/>
  <c r="Y1012" i="3"/>
  <c r="AC1004" i="3"/>
  <c r="X1004" i="3"/>
  <c r="AD1004" i="3" s="1"/>
  <c r="Z1004" i="3"/>
  <c r="AE1004" i="3" s="1"/>
  <c r="Y1004" i="3"/>
  <c r="AA1004" i="3"/>
  <c r="AC996" i="3"/>
  <c r="Y996" i="3"/>
  <c r="Z996" i="3"/>
  <c r="AE996" i="3" s="1"/>
  <c r="X996" i="3"/>
  <c r="AD996" i="3" s="1"/>
  <c r="AA996" i="3"/>
  <c r="AC988" i="3"/>
  <c r="X988" i="3"/>
  <c r="AD988" i="3" s="1"/>
  <c r="Z988" i="3"/>
  <c r="AE988" i="3" s="1"/>
  <c r="AA988" i="3"/>
  <c r="Y988" i="3"/>
  <c r="AC980" i="3"/>
  <c r="AA980" i="3"/>
  <c r="X980" i="3"/>
  <c r="AD980" i="3" s="1"/>
  <c r="Y980" i="3"/>
  <c r="Z980" i="3"/>
  <c r="AE980" i="3" s="1"/>
  <c r="AC972" i="3"/>
  <c r="X972" i="3"/>
  <c r="AD972" i="3" s="1"/>
  <c r="AA972" i="3"/>
  <c r="Y972" i="3"/>
  <c r="Z972" i="3"/>
  <c r="AE972" i="3" s="1"/>
  <c r="AC964" i="3"/>
  <c r="Z964" i="3"/>
  <c r="AE964" i="3" s="1"/>
  <c r="Y964" i="3"/>
  <c r="X964" i="3"/>
  <c r="AD964" i="3" s="1"/>
  <c r="AA964" i="3"/>
  <c r="AC956" i="3"/>
  <c r="Z956" i="3"/>
  <c r="AE956" i="3" s="1"/>
  <c r="X956" i="3"/>
  <c r="AD956" i="3" s="1"/>
  <c r="AA956" i="3"/>
  <c r="Y956" i="3"/>
  <c r="Z1696" i="3"/>
  <c r="AE1696" i="3" s="1"/>
  <c r="AA1696" i="3"/>
  <c r="X1696" i="3"/>
  <c r="AD1696" i="3" s="1"/>
  <c r="AC1696" i="3"/>
  <c r="Y1696" i="3"/>
  <c r="Z1688" i="3"/>
  <c r="AE1688" i="3" s="1"/>
  <c r="AA1688" i="3"/>
  <c r="AC1688" i="3"/>
  <c r="Y1688" i="3"/>
  <c r="X1688" i="3"/>
  <c r="AD1688" i="3" s="1"/>
  <c r="Z1680" i="3"/>
  <c r="AE1680" i="3" s="1"/>
  <c r="AC1680" i="3"/>
  <c r="AA1680" i="3"/>
  <c r="X1680" i="3"/>
  <c r="AD1680" i="3" s="1"/>
  <c r="Y1680" i="3"/>
  <c r="AC1621" i="3"/>
  <c r="Y1621" i="3"/>
  <c r="AA1621" i="3"/>
  <c r="X1621" i="3"/>
  <c r="AD1621" i="3" s="1"/>
  <c r="Z1621" i="3"/>
  <c r="AE1621" i="3" s="1"/>
  <c r="Z1728" i="3"/>
  <c r="AE1728" i="3" s="1"/>
  <c r="X1728" i="3"/>
  <c r="AD1728" i="3" s="1"/>
  <c r="AA1728" i="3"/>
  <c r="Y1728" i="3"/>
  <c r="AC1728" i="3"/>
  <c r="Z1720" i="3"/>
  <c r="AE1720" i="3" s="1"/>
  <c r="Y1720" i="3"/>
  <c r="AA1720" i="3"/>
  <c r="AC1720" i="3"/>
  <c r="X1720" i="3"/>
  <c r="AD1720" i="3" s="1"/>
  <c r="Z1712" i="3"/>
  <c r="AE1712" i="3" s="1"/>
  <c r="AC1712" i="3"/>
  <c r="Y1712" i="3"/>
  <c r="AA1712" i="3"/>
  <c r="X1712" i="3"/>
  <c r="AD1712" i="3" s="1"/>
  <c r="Z1704" i="3"/>
  <c r="AE1704" i="3" s="1"/>
  <c r="Y1704" i="3"/>
  <c r="AA1704" i="3"/>
  <c r="X1704" i="3"/>
  <c r="AD1704" i="3" s="1"/>
  <c r="AC1704" i="3"/>
  <c r="Z1679" i="3"/>
  <c r="AE1679" i="3" s="1"/>
  <c r="AC1679" i="3"/>
  <c r="AA1679" i="3"/>
  <c r="X1679" i="3"/>
  <c r="AD1679" i="3" s="1"/>
  <c r="Y1679" i="3"/>
  <c r="X1572" i="3"/>
  <c r="AD1572" i="3" s="1"/>
  <c r="AA1572" i="3"/>
  <c r="Z1572" i="3"/>
  <c r="AE1572" i="3" s="1"/>
  <c r="AC1572" i="3"/>
  <c r="Y1572" i="3"/>
  <c r="Z1732" i="3"/>
  <c r="AE1732" i="3" s="1"/>
  <c r="AC1732" i="3"/>
  <c r="AA1732" i="3"/>
  <c r="Y1732" i="3"/>
  <c r="X1732" i="3"/>
  <c r="AD1732" i="3" s="1"/>
  <c r="Z1743" i="3"/>
  <c r="AE1743" i="3" s="1"/>
  <c r="Y1743" i="3"/>
  <c r="AA1743" i="3"/>
  <c r="X1743" i="3"/>
  <c r="AD1743" i="3" s="1"/>
  <c r="AC1743" i="3"/>
  <c r="X1735" i="3"/>
  <c r="AD1735" i="3" s="1"/>
  <c r="Z1735" i="3"/>
  <c r="AE1735" i="3" s="1"/>
  <c r="AC1735" i="3"/>
  <c r="AA1735" i="3"/>
  <c r="Y1735" i="3"/>
  <c r="AC1563" i="3"/>
  <c r="Z1563" i="3"/>
  <c r="AE1563" i="3" s="1"/>
  <c r="Y1563" i="3"/>
  <c r="AA1563" i="3"/>
  <c r="X1563" i="3"/>
  <c r="AD1563" i="3" s="1"/>
  <c r="AC1802" i="3"/>
  <c r="X1802" i="3"/>
  <c r="AD1802" i="3" s="1"/>
  <c r="Y1802" i="3"/>
  <c r="AA1802" i="3"/>
  <c r="Z1802" i="3"/>
  <c r="AE1802" i="3" s="1"/>
  <c r="Z1794" i="3"/>
  <c r="AE1794" i="3" s="1"/>
  <c r="AA1794" i="3"/>
  <c r="X1794" i="3"/>
  <c r="AD1794" i="3" s="1"/>
  <c r="AC1794" i="3"/>
  <c r="Y1794" i="3"/>
  <c r="AC1786" i="3"/>
  <c r="AA1786" i="3"/>
  <c r="X1786" i="3"/>
  <c r="AD1786" i="3" s="1"/>
  <c r="Z1786" i="3"/>
  <c r="AE1786" i="3" s="1"/>
  <c r="Y1786" i="3"/>
  <c r="Z1778" i="3"/>
  <c r="AE1778" i="3" s="1"/>
  <c r="Y1778" i="3"/>
  <c r="AC1778" i="3"/>
  <c r="X1778" i="3"/>
  <c r="AD1778" i="3" s="1"/>
  <c r="AA1778" i="3"/>
  <c r="AC1770" i="3"/>
  <c r="Z1770" i="3"/>
  <c r="AE1770" i="3" s="1"/>
  <c r="X1770" i="3"/>
  <c r="AD1770" i="3" s="1"/>
  <c r="Y1770" i="3"/>
  <c r="AA1770" i="3"/>
  <c r="Z1762" i="3"/>
  <c r="AE1762" i="3" s="1"/>
  <c r="X1762" i="3"/>
  <c r="AD1762" i="3" s="1"/>
  <c r="Y1762" i="3"/>
  <c r="AC1762" i="3"/>
  <c r="AA1762" i="3"/>
  <c r="Z1754" i="3"/>
  <c r="AE1754" i="3" s="1"/>
  <c r="X1754" i="3"/>
  <c r="AD1754" i="3" s="1"/>
  <c r="AC1754" i="3"/>
  <c r="AA1754" i="3"/>
  <c r="Y1754" i="3"/>
  <c r="AA1588" i="3"/>
  <c r="AC1588" i="3"/>
  <c r="Y1588" i="3"/>
  <c r="X1588" i="3"/>
  <c r="AD1588" i="3" s="1"/>
  <c r="Z1588" i="3"/>
  <c r="AE1588" i="3" s="1"/>
  <c r="Z1675" i="3"/>
  <c r="AE1675" i="3" s="1"/>
  <c r="AC1675" i="3"/>
  <c r="X1675" i="3"/>
  <c r="AD1675" i="3" s="1"/>
  <c r="Y1675" i="3"/>
  <c r="AA1675" i="3"/>
  <c r="Z1578" i="3"/>
  <c r="AE1578" i="3" s="1"/>
  <c r="X1578" i="3"/>
  <c r="AD1578" i="3" s="1"/>
  <c r="AA1578" i="3"/>
  <c r="Y1578" i="3"/>
  <c r="AC1578" i="3"/>
  <c r="Z1674" i="3"/>
  <c r="AE1674" i="3" s="1"/>
  <c r="Y1674" i="3"/>
  <c r="X1674" i="3"/>
  <c r="AD1674" i="3" s="1"/>
  <c r="AC1674" i="3"/>
  <c r="AA1674" i="3"/>
  <c r="X1648" i="3"/>
  <c r="AD1648" i="3" s="1"/>
  <c r="AA1648" i="3"/>
  <c r="AC1648" i="3"/>
  <c r="Y1648" i="3"/>
  <c r="Z1648" i="3"/>
  <c r="AE1648" i="3" s="1"/>
  <c r="X1640" i="3"/>
  <c r="AD1640" i="3" s="1"/>
  <c r="AC1640" i="3"/>
  <c r="AA1640" i="3"/>
  <c r="Y1640" i="3"/>
  <c r="Z1640" i="3"/>
  <c r="AE1640" i="3" s="1"/>
  <c r="X1632" i="3"/>
  <c r="AD1632" i="3" s="1"/>
  <c r="Y1632" i="3"/>
  <c r="Z1632" i="3"/>
  <c r="AE1632" i="3" s="1"/>
  <c r="AA1632" i="3"/>
  <c r="AC1632" i="3"/>
  <c r="X1624" i="3"/>
  <c r="AD1624" i="3" s="1"/>
  <c r="AA1624" i="3"/>
  <c r="Y1624" i="3"/>
  <c r="Z1624" i="3"/>
  <c r="AE1624" i="3" s="1"/>
  <c r="AC1624" i="3"/>
  <c r="X1622" i="3"/>
  <c r="AD1622" i="3" s="1"/>
  <c r="Y1622" i="3"/>
  <c r="AC1622" i="3"/>
  <c r="Z1622" i="3"/>
  <c r="AE1622" i="3" s="1"/>
  <c r="AA1622" i="3"/>
  <c r="AC1581" i="3"/>
  <c r="Z1581" i="3"/>
  <c r="AE1581" i="3" s="1"/>
  <c r="Y1581" i="3"/>
  <c r="X1581" i="3"/>
  <c r="AD1581" i="3" s="1"/>
  <c r="AA1581" i="3"/>
  <c r="Z1410" i="3"/>
  <c r="AE1410" i="3" s="1"/>
  <c r="X1410" i="3"/>
  <c r="AD1410" i="3" s="1"/>
  <c r="AA1410" i="3"/>
  <c r="AC1410" i="3"/>
  <c r="Y1410" i="3"/>
  <c r="Z1402" i="3"/>
  <c r="AE1402" i="3" s="1"/>
  <c r="X1402" i="3"/>
  <c r="AD1402" i="3" s="1"/>
  <c r="AC1402" i="3"/>
  <c r="Y1402" i="3"/>
  <c r="AA1402" i="3"/>
  <c r="Z1394" i="3"/>
  <c r="AE1394" i="3" s="1"/>
  <c r="AC1394" i="3"/>
  <c r="Y1394" i="3"/>
  <c r="X1394" i="3"/>
  <c r="AD1394" i="3" s="1"/>
  <c r="AA1394" i="3"/>
  <c r="Z1386" i="3"/>
  <c r="AE1386" i="3" s="1"/>
  <c r="AC1386" i="3"/>
  <c r="Y1386" i="3"/>
  <c r="X1386" i="3"/>
  <c r="AD1386" i="3" s="1"/>
  <c r="AA1386" i="3"/>
  <c r="Z1378" i="3"/>
  <c r="AE1378" i="3" s="1"/>
  <c r="AA1378" i="3"/>
  <c r="X1378" i="3"/>
  <c r="AD1378" i="3" s="1"/>
  <c r="AC1378" i="3"/>
  <c r="Y1378" i="3"/>
  <c r="Z1370" i="3"/>
  <c r="AE1370" i="3" s="1"/>
  <c r="Y1370" i="3"/>
  <c r="AA1370" i="3"/>
  <c r="X1370" i="3"/>
  <c r="AD1370" i="3" s="1"/>
  <c r="AC1370" i="3"/>
  <c r="X1203" i="3"/>
  <c r="AD1203" i="3" s="1"/>
  <c r="AC1203" i="3"/>
  <c r="AA1203" i="3"/>
  <c r="Z1203" i="3"/>
  <c r="AE1203" i="3" s="1"/>
  <c r="Y1203" i="3"/>
  <c r="Y1195" i="3"/>
  <c r="AA1195" i="3"/>
  <c r="AC1195" i="3"/>
  <c r="Z1195" i="3"/>
  <c r="AE1195" i="3" s="1"/>
  <c r="X1195" i="3"/>
  <c r="AD1195" i="3" s="1"/>
  <c r="Z1095" i="3"/>
  <c r="AE1095" i="3" s="1"/>
  <c r="AC1095" i="3"/>
  <c r="Y1095" i="3"/>
  <c r="X1095" i="3"/>
  <c r="AD1095" i="3" s="1"/>
  <c r="AA1095" i="3"/>
  <c r="Z1087" i="3"/>
  <c r="AE1087" i="3" s="1"/>
  <c r="AC1087" i="3"/>
  <c r="Y1087" i="3"/>
  <c r="AA1087" i="3"/>
  <c r="X1087" i="3"/>
  <c r="AD1087" i="3" s="1"/>
  <c r="Z1079" i="3"/>
  <c r="AE1079" i="3" s="1"/>
  <c r="X1079" i="3"/>
  <c r="AD1079" i="3" s="1"/>
  <c r="Y1079" i="3"/>
  <c r="AC1079" i="3"/>
  <c r="AA1079" i="3"/>
  <c r="Z1071" i="3"/>
  <c r="AE1071" i="3" s="1"/>
  <c r="X1071" i="3"/>
  <c r="AD1071" i="3" s="1"/>
  <c r="AA1071" i="3"/>
  <c r="AC1071" i="3"/>
  <c r="Y1071" i="3"/>
  <c r="Z1063" i="3"/>
  <c r="AE1063" i="3" s="1"/>
  <c r="AA1063" i="3"/>
  <c r="X1063" i="3"/>
  <c r="AD1063" i="3" s="1"/>
  <c r="AC1063" i="3"/>
  <c r="Y1063" i="3"/>
  <c r="X1600" i="3"/>
  <c r="AD1600" i="3" s="1"/>
  <c r="Y1600" i="3"/>
  <c r="AA1600" i="3"/>
  <c r="Z1600" i="3"/>
  <c r="AE1600" i="3" s="1"/>
  <c r="AC1600" i="3"/>
  <c r="Z1427" i="3"/>
  <c r="AE1427" i="3" s="1"/>
  <c r="AC1427" i="3"/>
  <c r="X1427" i="3"/>
  <c r="AD1427" i="3" s="1"/>
  <c r="Y1427" i="3"/>
  <c r="AA1427" i="3"/>
  <c r="AC1419" i="3"/>
  <c r="Z1419" i="3"/>
  <c r="AE1419" i="3" s="1"/>
  <c r="X1419" i="3"/>
  <c r="AD1419" i="3" s="1"/>
  <c r="Y1419" i="3"/>
  <c r="AA1419" i="3"/>
  <c r="AC1234" i="3"/>
  <c r="X1234" i="3"/>
  <c r="AD1234" i="3" s="1"/>
  <c r="Z1234" i="3"/>
  <c r="AE1234" i="3" s="1"/>
  <c r="Y1234" i="3"/>
  <c r="AA1234" i="3"/>
  <c r="AC1226" i="3"/>
  <c r="Z1226" i="3"/>
  <c r="AE1226" i="3" s="1"/>
  <c r="Y1226" i="3"/>
  <c r="X1226" i="3"/>
  <c r="AD1226" i="3" s="1"/>
  <c r="AA1226" i="3"/>
  <c r="AC1218" i="3"/>
  <c r="AA1218" i="3"/>
  <c r="X1218" i="3"/>
  <c r="AD1218" i="3" s="1"/>
  <c r="Y1218" i="3"/>
  <c r="Z1218" i="3"/>
  <c r="AE1218" i="3" s="1"/>
  <c r="AC1210" i="3"/>
  <c r="X1210" i="3"/>
  <c r="AD1210" i="3" s="1"/>
  <c r="Z1210" i="3"/>
  <c r="AE1210" i="3" s="1"/>
  <c r="Y1210" i="3"/>
  <c r="AA1210" i="3"/>
  <c r="AC1613" i="3"/>
  <c r="X1613" i="3"/>
  <c r="AD1613" i="3" s="1"/>
  <c r="Z1613" i="3"/>
  <c r="AE1613" i="3" s="1"/>
  <c r="Y1613" i="3"/>
  <c r="AA1613" i="3"/>
  <c r="AC1605" i="3"/>
  <c r="Z1605" i="3"/>
  <c r="AE1605" i="3" s="1"/>
  <c r="Y1605" i="3"/>
  <c r="AA1605" i="3"/>
  <c r="X1605" i="3"/>
  <c r="AD1605" i="3" s="1"/>
  <c r="Z1498" i="3"/>
  <c r="AE1498" i="3" s="1"/>
  <c r="X1498" i="3"/>
  <c r="AD1498" i="3" s="1"/>
  <c r="Y1498" i="3"/>
  <c r="AC1498" i="3"/>
  <c r="AA1498" i="3"/>
  <c r="Z1490" i="3"/>
  <c r="AE1490" i="3" s="1"/>
  <c r="AA1490" i="3"/>
  <c r="AC1490" i="3"/>
  <c r="X1490" i="3"/>
  <c r="AD1490" i="3" s="1"/>
  <c r="Y1490" i="3"/>
  <c r="Z1482" i="3"/>
  <c r="AE1482" i="3" s="1"/>
  <c r="AC1482" i="3"/>
  <c r="Y1482" i="3"/>
  <c r="X1482" i="3"/>
  <c r="AD1482" i="3" s="1"/>
  <c r="AA1482" i="3"/>
  <c r="Z1474" i="3"/>
  <c r="AE1474" i="3" s="1"/>
  <c r="X1474" i="3"/>
  <c r="AD1474" i="3" s="1"/>
  <c r="AA1474" i="3"/>
  <c r="AC1474" i="3"/>
  <c r="Y1474" i="3"/>
  <c r="Z1466" i="3"/>
  <c r="AE1466" i="3" s="1"/>
  <c r="X1466" i="3"/>
  <c r="AD1466" i="3" s="1"/>
  <c r="AA1466" i="3"/>
  <c r="AC1466" i="3"/>
  <c r="Y1466" i="3"/>
  <c r="Z1458" i="3"/>
  <c r="AE1458" i="3" s="1"/>
  <c r="AA1458" i="3"/>
  <c r="Y1458" i="3"/>
  <c r="AC1458" i="3"/>
  <c r="X1458" i="3"/>
  <c r="AD1458" i="3" s="1"/>
  <c r="Z1450" i="3"/>
  <c r="AE1450" i="3" s="1"/>
  <c r="Y1450" i="3"/>
  <c r="AA1450" i="3"/>
  <c r="AC1450" i="3"/>
  <c r="X1450" i="3"/>
  <c r="AD1450" i="3" s="1"/>
  <c r="Z1442" i="3"/>
  <c r="AE1442" i="3" s="1"/>
  <c r="AC1442" i="3"/>
  <c r="AA1442" i="3"/>
  <c r="X1442" i="3"/>
  <c r="AD1442" i="3" s="1"/>
  <c r="Y1442" i="3"/>
  <c r="Z1434" i="3"/>
  <c r="AE1434" i="3" s="1"/>
  <c r="AA1434" i="3"/>
  <c r="X1434" i="3"/>
  <c r="AD1434" i="3" s="1"/>
  <c r="Y1434" i="3"/>
  <c r="AC1434" i="3"/>
  <c r="X1240" i="3"/>
  <c r="AD1240" i="3" s="1"/>
  <c r="Y1240" i="3"/>
  <c r="AA1240" i="3"/>
  <c r="AC1240" i="3"/>
  <c r="Z1240" i="3"/>
  <c r="AE1240" i="3" s="1"/>
  <c r="AC1660" i="3"/>
  <c r="Y1660" i="3"/>
  <c r="X1660" i="3"/>
  <c r="AD1660" i="3" s="1"/>
  <c r="Z1660" i="3"/>
  <c r="AE1660" i="3" s="1"/>
  <c r="AA1660" i="3"/>
  <c r="Y1652" i="3"/>
  <c r="AC1652" i="3"/>
  <c r="X1652" i="3"/>
  <c r="AD1652" i="3" s="1"/>
  <c r="AA1652" i="3"/>
  <c r="Z1652" i="3"/>
  <c r="AE1652" i="3" s="1"/>
  <c r="X1272" i="3"/>
  <c r="AD1272" i="3" s="1"/>
  <c r="Z1272" i="3"/>
  <c r="AE1272" i="3" s="1"/>
  <c r="AA1272" i="3"/>
  <c r="Y1272" i="3"/>
  <c r="AC1272" i="3"/>
  <c r="X1264" i="3"/>
  <c r="AD1264" i="3" s="1"/>
  <c r="AA1264" i="3"/>
  <c r="Z1264" i="3"/>
  <c r="AE1264" i="3" s="1"/>
  <c r="Y1264" i="3"/>
  <c r="AC1264" i="3"/>
  <c r="X1256" i="3"/>
  <c r="AD1256" i="3" s="1"/>
  <c r="AA1256" i="3"/>
  <c r="AC1256" i="3"/>
  <c r="Y1256" i="3"/>
  <c r="Z1256" i="3"/>
  <c r="AE1256" i="3" s="1"/>
  <c r="X1248" i="3"/>
  <c r="AD1248" i="3" s="1"/>
  <c r="Y1248" i="3"/>
  <c r="Z1248" i="3"/>
  <c r="AE1248" i="3" s="1"/>
  <c r="AC1248" i="3"/>
  <c r="AA1248" i="3"/>
  <c r="Y1318" i="3"/>
  <c r="Z1318" i="3"/>
  <c r="AE1318" i="3" s="1"/>
  <c r="X1318" i="3"/>
  <c r="AD1318" i="3" s="1"/>
  <c r="AA1318" i="3"/>
  <c r="AC1318" i="3"/>
  <c r="Y1310" i="3"/>
  <c r="X1310" i="3"/>
  <c r="AD1310" i="3" s="1"/>
  <c r="AC1310" i="3"/>
  <c r="AA1310" i="3"/>
  <c r="Z1310" i="3"/>
  <c r="AE1310" i="3" s="1"/>
  <c r="Y1302" i="3"/>
  <c r="X1302" i="3"/>
  <c r="AD1302" i="3" s="1"/>
  <c r="Z1302" i="3"/>
  <c r="AE1302" i="3" s="1"/>
  <c r="AA1302" i="3"/>
  <c r="AC1302" i="3"/>
  <c r="Z1294" i="3"/>
  <c r="AE1294" i="3" s="1"/>
  <c r="AC1294" i="3"/>
  <c r="AA1294" i="3"/>
  <c r="X1294" i="3"/>
  <c r="AD1294" i="3" s="1"/>
  <c r="Y1294" i="3"/>
  <c r="Z1286" i="3"/>
  <c r="AE1286" i="3" s="1"/>
  <c r="Y1286" i="3"/>
  <c r="AC1286" i="3"/>
  <c r="AA1286" i="3"/>
  <c r="X1286" i="3"/>
  <c r="AD1286" i="3" s="1"/>
  <c r="AC1116" i="3"/>
  <c r="X1116" i="3"/>
  <c r="AD1116" i="3" s="1"/>
  <c r="Z1116" i="3"/>
  <c r="AE1116" i="3" s="1"/>
  <c r="AA1116" i="3"/>
  <c r="Y1116" i="3"/>
  <c r="AC1108" i="3"/>
  <c r="X1108" i="3"/>
  <c r="AD1108" i="3" s="1"/>
  <c r="AA1108" i="3"/>
  <c r="Y1108" i="3"/>
  <c r="Z1108" i="3"/>
  <c r="AE1108" i="3" s="1"/>
  <c r="AC1515" i="3"/>
  <c r="AA1515" i="3"/>
  <c r="Y1515" i="3"/>
  <c r="Z1515" i="3"/>
  <c r="AE1515" i="3" s="1"/>
  <c r="X1515" i="3"/>
  <c r="AD1515" i="3" s="1"/>
  <c r="Z1507" i="3"/>
  <c r="AE1507" i="3" s="1"/>
  <c r="AC1507" i="3"/>
  <c r="Y1507" i="3"/>
  <c r="AA1507" i="3"/>
  <c r="X1507" i="3"/>
  <c r="AD1507" i="3" s="1"/>
  <c r="Y1342" i="3"/>
  <c r="Z1342" i="3"/>
  <c r="AE1342" i="3" s="1"/>
  <c r="AC1342" i="3"/>
  <c r="X1342" i="3"/>
  <c r="AD1342" i="3" s="1"/>
  <c r="AA1342" i="3"/>
  <c r="Y1334" i="3"/>
  <c r="AA1334" i="3"/>
  <c r="X1334" i="3"/>
  <c r="AD1334" i="3" s="1"/>
  <c r="Z1334" i="3"/>
  <c r="AE1334" i="3" s="1"/>
  <c r="AC1334" i="3"/>
  <c r="Y1326" i="3"/>
  <c r="AC1326" i="3"/>
  <c r="X1326" i="3"/>
  <c r="AD1326" i="3" s="1"/>
  <c r="Z1326" i="3"/>
  <c r="AE1326" i="3" s="1"/>
  <c r="AA1326" i="3"/>
  <c r="AC1140" i="3"/>
  <c r="AA1140" i="3"/>
  <c r="Z1140" i="3"/>
  <c r="AE1140" i="3" s="1"/>
  <c r="X1140" i="3"/>
  <c r="AD1140" i="3" s="1"/>
  <c r="Y1140" i="3"/>
  <c r="AC1132" i="3"/>
  <c r="AA1132" i="3"/>
  <c r="X1132" i="3"/>
  <c r="AD1132" i="3" s="1"/>
  <c r="Z1132" i="3"/>
  <c r="AE1132" i="3" s="1"/>
  <c r="Y1132" i="3"/>
  <c r="AC1124" i="3"/>
  <c r="Y1124" i="3"/>
  <c r="Z1124" i="3"/>
  <c r="AE1124" i="3" s="1"/>
  <c r="AA1124" i="3"/>
  <c r="X1124" i="3"/>
  <c r="AD1124" i="3" s="1"/>
  <c r="X1551" i="3"/>
  <c r="AD1551" i="3" s="1"/>
  <c r="AA1551" i="3"/>
  <c r="AC1551" i="3"/>
  <c r="Z1551" i="3"/>
  <c r="AE1551" i="3" s="1"/>
  <c r="Y1551" i="3"/>
  <c r="X1543" i="3"/>
  <c r="AD1543" i="3" s="1"/>
  <c r="AA1543" i="3"/>
  <c r="Y1543" i="3"/>
  <c r="Z1543" i="3"/>
  <c r="AE1543" i="3" s="1"/>
  <c r="AC1543" i="3"/>
  <c r="X1535" i="3"/>
  <c r="AD1535" i="3" s="1"/>
  <c r="Y1535" i="3"/>
  <c r="Z1535" i="3"/>
  <c r="AE1535" i="3" s="1"/>
  <c r="AA1535" i="3"/>
  <c r="AC1535" i="3"/>
  <c r="X1527" i="3"/>
  <c r="AD1527" i="3" s="1"/>
  <c r="AA1527" i="3"/>
  <c r="Z1527" i="3"/>
  <c r="AE1527" i="3" s="1"/>
  <c r="AC1527" i="3"/>
  <c r="Y1527" i="3"/>
  <c r="X1519" i="3"/>
  <c r="AD1519" i="3" s="1"/>
  <c r="AC1519" i="3"/>
  <c r="Y1519" i="3"/>
  <c r="AA1519" i="3"/>
  <c r="Z1519" i="3"/>
  <c r="AE1519" i="3" s="1"/>
  <c r="AC1365" i="3"/>
  <c r="Y1365" i="3"/>
  <c r="X1365" i="3"/>
  <c r="AD1365" i="3" s="1"/>
  <c r="Z1365" i="3"/>
  <c r="AE1365" i="3" s="1"/>
  <c r="AA1365" i="3"/>
  <c r="AC1357" i="3"/>
  <c r="X1357" i="3"/>
  <c r="AD1357" i="3" s="1"/>
  <c r="Z1357" i="3"/>
  <c r="AE1357" i="3" s="1"/>
  <c r="AA1357" i="3"/>
  <c r="Y1357" i="3"/>
  <c r="AC1349" i="3"/>
  <c r="AA1349" i="3"/>
  <c r="Y1349" i="3"/>
  <c r="X1349" i="3"/>
  <c r="AD1349" i="3" s="1"/>
  <c r="Z1349" i="3"/>
  <c r="AE1349" i="3" s="1"/>
  <c r="Z1158" i="3"/>
  <c r="AE1158" i="3" s="1"/>
  <c r="AC1158" i="3"/>
  <c r="AA1158" i="3"/>
  <c r="Y1158" i="3"/>
  <c r="X1158" i="3"/>
  <c r="AD1158" i="3" s="1"/>
  <c r="Z1150" i="3"/>
  <c r="AE1150" i="3" s="1"/>
  <c r="AA1150" i="3"/>
  <c r="AC1150" i="3"/>
  <c r="Y1150" i="3"/>
  <c r="X1150" i="3"/>
  <c r="AD1150" i="3" s="1"/>
  <c r="X1560" i="3"/>
  <c r="AD1560" i="3" s="1"/>
  <c r="AA1560" i="3"/>
  <c r="AC1560" i="3"/>
  <c r="Y1560" i="3"/>
  <c r="Z1560" i="3"/>
  <c r="AE1560" i="3" s="1"/>
  <c r="X1181" i="3"/>
  <c r="AD1181" i="3" s="1"/>
  <c r="AA1181" i="3"/>
  <c r="Y1181" i="3"/>
  <c r="Z1181" i="3"/>
  <c r="AE1181" i="3" s="1"/>
  <c r="AC1181" i="3"/>
  <c r="X1173" i="3"/>
  <c r="AD1173" i="3" s="1"/>
  <c r="Y1173" i="3"/>
  <c r="Z1173" i="3"/>
  <c r="AE1173" i="3" s="1"/>
  <c r="AC1173" i="3"/>
  <c r="AA1173" i="3"/>
  <c r="X1165" i="3"/>
  <c r="AD1165" i="3" s="1"/>
  <c r="AC1165" i="3"/>
  <c r="AA1165" i="3"/>
  <c r="Y1165" i="3"/>
  <c r="Z1165" i="3"/>
  <c r="AE1165" i="3" s="1"/>
  <c r="X1053" i="3"/>
  <c r="AD1053" i="3" s="1"/>
  <c r="Z1053" i="3"/>
  <c r="AE1053" i="3" s="1"/>
  <c r="Y1053" i="3"/>
  <c r="AA1053" i="3"/>
  <c r="AC1053" i="3"/>
  <c r="X1045" i="3"/>
  <c r="AD1045" i="3" s="1"/>
  <c r="AA1045" i="3"/>
  <c r="AC1045" i="3"/>
  <c r="Y1045" i="3"/>
  <c r="Z1045" i="3"/>
  <c r="AE1045" i="3" s="1"/>
  <c r="X1037" i="3"/>
  <c r="AD1037" i="3" s="1"/>
  <c r="Y1037" i="3"/>
  <c r="AC1037" i="3"/>
  <c r="Z1037" i="3"/>
  <c r="AE1037" i="3" s="1"/>
  <c r="AA1037" i="3"/>
  <c r="X1029" i="3"/>
  <c r="AD1029" i="3" s="1"/>
  <c r="Z1029" i="3"/>
  <c r="AE1029" i="3" s="1"/>
  <c r="AA1029" i="3"/>
  <c r="Y1029" i="3"/>
  <c r="AC1029" i="3"/>
  <c r="X1021" i="3"/>
  <c r="AD1021" i="3" s="1"/>
  <c r="Z1021" i="3"/>
  <c r="AE1021" i="3" s="1"/>
  <c r="AA1021" i="3"/>
  <c r="Y1021" i="3"/>
  <c r="AC1021" i="3"/>
  <c r="X1013" i="3"/>
  <c r="AD1013" i="3" s="1"/>
  <c r="AC1013" i="3"/>
  <c r="AA1013" i="3"/>
  <c r="Y1013" i="3"/>
  <c r="Z1013" i="3"/>
  <c r="AE1013" i="3" s="1"/>
  <c r="X1005" i="3"/>
  <c r="AD1005" i="3" s="1"/>
  <c r="Y1005" i="3"/>
  <c r="Z1005" i="3"/>
  <c r="AE1005" i="3" s="1"/>
  <c r="AA1005" i="3"/>
  <c r="AC1005" i="3"/>
  <c r="X997" i="3"/>
  <c r="AD997" i="3" s="1"/>
  <c r="Z997" i="3"/>
  <c r="AE997" i="3" s="1"/>
  <c r="AC997" i="3"/>
  <c r="AA997" i="3"/>
  <c r="Y997" i="3"/>
  <c r="X989" i="3"/>
  <c r="AD989" i="3" s="1"/>
  <c r="Z989" i="3"/>
  <c r="AE989" i="3" s="1"/>
  <c r="AA989" i="3"/>
  <c r="Y989" i="3"/>
  <c r="AC989" i="3"/>
  <c r="X981" i="3"/>
  <c r="AD981" i="3" s="1"/>
  <c r="AC981" i="3"/>
  <c r="Y981" i="3"/>
  <c r="Z981" i="3"/>
  <c r="AE981" i="3" s="1"/>
  <c r="AA981" i="3"/>
  <c r="X973" i="3"/>
  <c r="AD973" i="3" s="1"/>
  <c r="Y973" i="3"/>
  <c r="AC973" i="3"/>
  <c r="Z973" i="3"/>
  <c r="AE973" i="3" s="1"/>
  <c r="AA973" i="3"/>
  <c r="X965" i="3"/>
  <c r="AD965" i="3" s="1"/>
  <c r="AA965" i="3"/>
  <c r="Z965" i="3"/>
  <c r="AE965" i="3" s="1"/>
  <c r="Y965" i="3"/>
  <c r="AC965" i="3"/>
  <c r="X957" i="3"/>
  <c r="AD957" i="3" s="1"/>
  <c r="Z957" i="3"/>
  <c r="AE957" i="3" s="1"/>
  <c r="Y957" i="3"/>
  <c r="AC957" i="3"/>
  <c r="AA957" i="3"/>
  <c r="X949" i="3"/>
  <c r="AD949" i="3" s="1"/>
  <c r="AA949" i="3"/>
  <c r="AC949" i="3"/>
  <c r="Z949" i="3"/>
  <c r="AE949" i="3" s="1"/>
  <c r="Y949" i="3"/>
  <c r="Z1689" i="3"/>
  <c r="AE1689" i="3" s="1"/>
  <c r="Y1689" i="3"/>
  <c r="AA1689" i="3"/>
  <c r="AC1689" i="3"/>
  <c r="X1689" i="3"/>
  <c r="AD1689" i="3" s="1"/>
  <c r="Z1681" i="3"/>
  <c r="AE1681" i="3" s="1"/>
  <c r="AC1681" i="3"/>
  <c r="X1681" i="3"/>
  <c r="AD1681" i="3" s="1"/>
  <c r="AA1681" i="3"/>
  <c r="Y1681" i="3"/>
  <c r="Z1729" i="3"/>
  <c r="AE1729" i="3" s="1"/>
  <c r="AA1729" i="3"/>
  <c r="Y1729" i="3"/>
  <c r="AC1729" i="3"/>
  <c r="X1729" i="3"/>
  <c r="AD1729" i="3" s="1"/>
  <c r="Z1721" i="3"/>
  <c r="AE1721" i="3" s="1"/>
  <c r="AC1721" i="3"/>
  <c r="Y1721" i="3"/>
  <c r="AA1721" i="3"/>
  <c r="X1721" i="3"/>
  <c r="AD1721" i="3" s="1"/>
  <c r="Z1713" i="3"/>
  <c r="AE1713" i="3" s="1"/>
  <c r="AA1713" i="3"/>
  <c r="AC1713" i="3"/>
  <c r="Y1713" i="3"/>
  <c r="X1713" i="3"/>
  <c r="AD1713" i="3" s="1"/>
  <c r="Z1705" i="3"/>
  <c r="AE1705" i="3" s="1"/>
  <c r="AC1705" i="3"/>
  <c r="X1705" i="3"/>
  <c r="AD1705" i="3" s="1"/>
  <c r="Y1705" i="3"/>
  <c r="AA1705" i="3"/>
  <c r="Z1697" i="3"/>
  <c r="AE1697" i="3" s="1"/>
  <c r="AA1697" i="3"/>
  <c r="X1697" i="3"/>
  <c r="AD1697" i="3" s="1"/>
  <c r="Y1697" i="3"/>
  <c r="AC1697" i="3"/>
  <c r="X1591" i="3"/>
  <c r="AD1591" i="3" s="1"/>
  <c r="AA1591" i="3"/>
  <c r="Z1591" i="3"/>
  <c r="AE1591" i="3" s="1"/>
  <c r="Y1591" i="3"/>
  <c r="AC1591" i="3"/>
  <c r="Z1619" i="3"/>
  <c r="AE1619" i="3" s="1"/>
  <c r="X1619" i="3"/>
  <c r="AD1619" i="3" s="1"/>
  <c r="Y1619" i="3"/>
  <c r="AA1619" i="3"/>
  <c r="AC1619" i="3"/>
  <c r="Z1744" i="3"/>
  <c r="AE1744" i="3" s="1"/>
  <c r="AC1744" i="3"/>
  <c r="X1744" i="3"/>
  <c r="AD1744" i="3" s="1"/>
  <c r="Y1744" i="3"/>
  <c r="AA1744" i="3"/>
  <c r="Z1736" i="3"/>
  <c r="AE1736" i="3" s="1"/>
  <c r="AA1736" i="3"/>
  <c r="X1736" i="3"/>
  <c r="AD1736" i="3" s="1"/>
  <c r="Y1736" i="3"/>
  <c r="AC1736" i="3"/>
  <c r="AC1669" i="3"/>
  <c r="X1669" i="3"/>
  <c r="AD1669" i="3" s="1"/>
  <c r="Y1669" i="3"/>
  <c r="AA1669" i="3"/>
  <c r="Z1669" i="3"/>
  <c r="AE1669" i="3" s="1"/>
  <c r="AC1589" i="3"/>
  <c r="Y1589" i="3"/>
  <c r="X1589" i="3"/>
  <c r="AD1589" i="3" s="1"/>
  <c r="AA1589" i="3"/>
  <c r="Z1589" i="3"/>
  <c r="AE1589" i="3" s="1"/>
  <c r="AC1571" i="3"/>
  <c r="Y1571" i="3"/>
  <c r="Z1571" i="3"/>
  <c r="AE1571" i="3" s="1"/>
  <c r="AA1571" i="3"/>
  <c r="X1571" i="3"/>
  <c r="AD1571" i="3" s="1"/>
  <c r="AC1795" i="3"/>
  <c r="Y1795" i="3"/>
  <c r="AA1795" i="3"/>
  <c r="Z1795" i="3"/>
  <c r="AE1795" i="3" s="1"/>
  <c r="X1795" i="3"/>
  <c r="AD1795" i="3" s="1"/>
  <c r="Z1787" i="3"/>
  <c r="AE1787" i="3" s="1"/>
  <c r="AA1787" i="3"/>
  <c r="AC1787" i="3"/>
  <c r="Y1787" i="3"/>
  <c r="X1787" i="3"/>
  <c r="AD1787" i="3" s="1"/>
  <c r="AC1779" i="3"/>
  <c r="AA1779" i="3"/>
  <c r="Z1779" i="3"/>
  <c r="AE1779" i="3" s="1"/>
  <c r="X1779" i="3"/>
  <c r="AD1779" i="3" s="1"/>
  <c r="Y1779" i="3"/>
  <c r="Y1771" i="3"/>
  <c r="X1771" i="3"/>
  <c r="AD1771" i="3" s="1"/>
  <c r="AA1771" i="3"/>
  <c r="AC1771" i="3"/>
  <c r="Z1771" i="3"/>
  <c r="AE1771" i="3" s="1"/>
  <c r="AC1763" i="3"/>
  <c r="X1763" i="3"/>
  <c r="AD1763" i="3" s="1"/>
  <c r="Y1763" i="3"/>
  <c r="AA1763" i="3"/>
  <c r="Z1763" i="3"/>
  <c r="AE1763" i="3" s="1"/>
  <c r="Z1755" i="3"/>
  <c r="AE1755" i="3" s="1"/>
  <c r="AC1755" i="3"/>
  <c r="X1755" i="3"/>
  <c r="AD1755" i="3" s="1"/>
  <c r="AA1755" i="3"/>
  <c r="Y1755" i="3"/>
  <c r="Y1649" i="3"/>
  <c r="AC1649" i="3"/>
  <c r="X1649" i="3"/>
  <c r="AD1649" i="3" s="1"/>
  <c r="AA1649" i="3"/>
  <c r="Z1649" i="3"/>
  <c r="AE1649" i="3" s="1"/>
  <c r="AA1641" i="3"/>
  <c r="X1641" i="3"/>
  <c r="AD1641" i="3" s="1"/>
  <c r="Y1641" i="3"/>
  <c r="Z1641" i="3"/>
  <c r="AE1641" i="3" s="1"/>
  <c r="AC1641" i="3"/>
  <c r="AA1633" i="3"/>
  <c r="Z1633" i="3"/>
  <c r="AE1633" i="3" s="1"/>
  <c r="AC1633" i="3"/>
  <c r="X1633" i="3"/>
  <c r="AD1633" i="3" s="1"/>
  <c r="Y1633" i="3"/>
  <c r="Z1625" i="3"/>
  <c r="AE1625" i="3" s="1"/>
  <c r="AC1625" i="3"/>
  <c r="Y1625" i="3"/>
  <c r="X1625" i="3"/>
  <c r="AD1625" i="3" s="1"/>
  <c r="AA1625" i="3"/>
  <c r="Z1562" i="3"/>
  <c r="AE1562" i="3" s="1"/>
  <c r="AA1562" i="3"/>
  <c r="X1562" i="3"/>
  <c r="AD1562" i="3" s="1"/>
  <c r="Y1562" i="3"/>
  <c r="AC1562" i="3"/>
  <c r="Z1411" i="3"/>
  <c r="AE1411" i="3" s="1"/>
  <c r="AC1411" i="3"/>
  <c r="Y1411" i="3"/>
  <c r="AA1411" i="3"/>
  <c r="X1411" i="3"/>
  <c r="AD1411" i="3" s="1"/>
  <c r="X1403" i="3"/>
  <c r="AD1403" i="3" s="1"/>
  <c r="Z1403" i="3"/>
  <c r="AE1403" i="3" s="1"/>
  <c r="AC1403" i="3"/>
  <c r="Y1403" i="3"/>
  <c r="AA1403" i="3"/>
  <c r="Y1395" i="3"/>
  <c r="AA1395" i="3"/>
  <c r="Z1395" i="3"/>
  <c r="AE1395" i="3" s="1"/>
  <c r="X1395" i="3"/>
  <c r="AD1395" i="3" s="1"/>
  <c r="AC1395" i="3"/>
  <c r="X1387" i="3"/>
  <c r="AD1387" i="3" s="1"/>
  <c r="Z1387" i="3"/>
  <c r="AE1387" i="3" s="1"/>
  <c r="Y1387" i="3"/>
  <c r="AC1387" i="3"/>
  <c r="AA1387" i="3"/>
  <c r="AC1379" i="3"/>
  <c r="Y1379" i="3"/>
  <c r="AA1379" i="3"/>
  <c r="Z1379" i="3"/>
  <c r="AE1379" i="3" s="1"/>
  <c r="X1379" i="3"/>
  <c r="AD1379" i="3" s="1"/>
  <c r="Z1371" i="3"/>
  <c r="AE1371" i="3" s="1"/>
  <c r="X1371" i="3"/>
  <c r="AD1371" i="3" s="1"/>
  <c r="AC1371" i="3"/>
  <c r="Y1371" i="3"/>
  <c r="AA1371" i="3"/>
  <c r="AC1204" i="3"/>
  <c r="AA1204" i="3"/>
  <c r="Z1204" i="3"/>
  <c r="AE1204" i="3" s="1"/>
  <c r="X1204" i="3"/>
  <c r="AD1204" i="3" s="1"/>
  <c r="Y1204" i="3"/>
  <c r="AC1196" i="3"/>
  <c r="X1196" i="3"/>
  <c r="AD1196" i="3" s="1"/>
  <c r="Y1196" i="3"/>
  <c r="Z1196" i="3"/>
  <c r="AE1196" i="3" s="1"/>
  <c r="AA1196" i="3"/>
  <c r="AC1188" i="3"/>
  <c r="Z1188" i="3"/>
  <c r="AE1188" i="3" s="1"/>
  <c r="AA1188" i="3"/>
  <c r="X1188" i="3"/>
  <c r="AD1188" i="3" s="1"/>
  <c r="Y1188" i="3"/>
  <c r="X1096" i="3"/>
  <c r="AD1096" i="3" s="1"/>
  <c r="AC1096" i="3"/>
  <c r="Y1096" i="3"/>
  <c r="Z1096" i="3"/>
  <c r="AE1096" i="3" s="1"/>
  <c r="AA1096" i="3"/>
  <c r="Y1088" i="3"/>
  <c r="AA1088" i="3"/>
  <c r="X1088" i="3"/>
  <c r="AD1088" i="3" s="1"/>
  <c r="AC1088" i="3"/>
  <c r="Z1088" i="3"/>
  <c r="AE1088" i="3" s="1"/>
  <c r="X1080" i="3"/>
  <c r="AD1080" i="3" s="1"/>
  <c r="Y1080" i="3"/>
  <c r="AA1080" i="3"/>
  <c r="AC1080" i="3"/>
  <c r="Z1080" i="3"/>
  <c r="AE1080" i="3" s="1"/>
  <c r="AC1072" i="3"/>
  <c r="X1072" i="3"/>
  <c r="AD1072" i="3" s="1"/>
  <c r="Y1072" i="3"/>
  <c r="AA1072" i="3"/>
  <c r="Z1072" i="3"/>
  <c r="AE1072" i="3" s="1"/>
  <c r="Z1064" i="3"/>
  <c r="AE1064" i="3" s="1"/>
  <c r="AC1064" i="3"/>
  <c r="AA1064" i="3"/>
  <c r="Y1064" i="3"/>
  <c r="X1064" i="3"/>
  <c r="AD1064" i="3" s="1"/>
  <c r="Z1601" i="3"/>
  <c r="AE1601" i="3" s="1"/>
  <c r="AA1601" i="3"/>
  <c r="AC1601" i="3"/>
  <c r="X1601" i="3"/>
  <c r="AD1601" i="3" s="1"/>
  <c r="Y1601" i="3"/>
  <c r="Z1593" i="3"/>
  <c r="AE1593" i="3" s="1"/>
  <c r="AA1593" i="3"/>
  <c r="X1593" i="3"/>
  <c r="AD1593" i="3" s="1"/>
  <c r="AC1593" i="3"/>
  <c r="Y1593" i="3"/>
  <c r="Y1428" i="3"/>
  <c r="Z1428" i="3"/>
  <c r="AE1428" i="3" s="1"/>
  <c r="AC1428" i="3"/>
  <c r="X1428" i="3"/>
  <c r="AD1428" i="3" s="1"/>
  <c r="AA1428" i="3"/>
  <c r="Y1420" i="3"/>
  <c r="AA1420" i="3"/>
  <c r="Z1420" i="3"/>
  <c r="AE1420" i="3" s="1"/>
  <c r="X1420" i="3"/>
  <c r="AD1420" i="3" s="1"/>
  <c r="AC1420" i="3"/>
  <c r="X1235" i="3"/>
  <c r="AD1235" i="3" s="1"/>
  <c r="AC1235" i="3"/>
  <c r="Y1235" i="3"/>
  <c r="Z1235" i="3"/>
  <c r="AE1235" i="3" s="1"/>
  <c r="AA1235" i="3"/>
  <c r="AC1227" i="3"/>
  <c r="Y1227" i="3"/>
  <c r="AA1227" i="3"/>
  <c r="X1227" i="3"/>
  <c r="AD1227" i="3" s="1"/>
  <c r="Z1227" i="3"/>
  <c r="AE1227" i="3" s="1"/>
  <c r="X1219" i="3"/>
  <c r="AD1219" i="3" s="1"/>
  <c r="AA1219" i="3"/>
  <c r="Y1219" i="3"/>
  <c r="Z1219" i="3"/>
  <c r="AE1219" i="3" s="1"/>
  <c r="AC1219" i="3"/>
  <c r="X1211" i="3"/>
  <c r="AD1211" i="3" s="1"/>
  <c r="AC1211" i="3"/>
  <c r="Y1211" i="3"/>
  <c r="AA1211" i="3"/>
  <c r="Z1211" i="3"/>
  <c r="AE1211" i="3" s="1"/>
  <c r="Z1614" i="3"/>
  <c r="AE1614" i="3" s="1"/>
  <c r="AA1614" i="3"/>
  <c r="AC1614" i="3"/>
  <c r="X1614" i="3"/>
  <c r="AD1614" i="3" s="1"/>
  <c r="Y1614" i="3"/>
  <c r="Z1606" i="3"/>
  <c r="AE1606" i="3" s="1"/>
  <c r="AC1606" i="3"/>
  <c r="AA1606" i="3"/>
  <c r="Y1606" i="3"/>
  <c r="X1606" i="3"/>
  <c r="AD1606" i="3" s="1"/>
  <c r="Y1499" i="3"/>
  <c r="Z1499" i="3"/>
  <c r="AE1499" i="3" s="1"/>
  <c r="AA1499" i="3"/>
  <c r="X1499" i="3"/>
  <c r="AD1499" i="3" s="1"/>
  <c r="AC1499" i="3"/>
  <c r="Z1491" i="3"/>
  <c r="AE1491" i="3" s="1"/>
  <c r="AA1491" i="3"/>
  <c r="AC1491" i="3"/>
  <c r="X1491" i="3"/>
  <c r="AD1491" i="3" s="1"/>
  <c r="Y1491" i="3"/>
  <c r="AC1483" i="3"/>
  <c r="X1483" i="3"/>
  <c r="AD1483" i="3" s="1"/>
  <c r="Z1483" i="3"/>
  <c r="AE1483" i="3" s="1"/>
  <c r="Y1483" i="3"/>
  <c r="AA1483" i="3"/>
  <c r="Z1475" i="3"/>
  <c r="AE1475" i="3" s="1"/>
  <c r="X1475" i="3"/>
  <c r="AD1475" i="3" s="1"/>
  <c r="Y1475" i="3"/>
  <c r="AA1475" i="3"/>
  <c r="AC1475" i="3"/>
  <c r="Y1467" i="3"/>
  <c r="Z1467" i="3"/>
  <c r="AE1467" i="3" s="1"/>
  <c r="X1467" i="3"/>
  <c r="AD1467" i="3" s="1"/>
  <c r="AA1467" i="3"/>
  <c r="AC1467" i="3"/>
  <c r="Z1459" i="3"/>
  <c r="AE1459" i="3" s="1"/>
  <c r="AC1459" i="3"/>
  <c r="AA1459" i="3"/>
  <c r="X1459" i="3"/>
  <c r="AD1459" i="3" s="1"/>
  <c r="Y1459" i="3"/>
  <c r="X1451" i="3"/>
  <c r="AD1451" i="3" s="1"/>
  <c r="Y1451" i="3"/>
  <c r="AA1451" i="3"/>
  <c r="Z1451" i="3"/>
  <c r="AE1451" i="3" s="1"/>
  <c r="AC1451" i="3"/>
  <c r="Z1443" i="3"/>
  <c r="AE1443" i="3" s="1"/>
  <c r="Y1443" i="3"/>
  <c r="AC1443" i="3"/>
  <c r="AA1443" i="3"/>
  <c r="X1443" i="3"/>
  <c r="AD1443" i="3" s="1"/>
  <c r="X1435" i="3"/>
  <c r="AD1435" i="3" s="1"/>
  <c r="AC1435" i="3"/>
  <c r="AA1435" i="3"/>
  <c r="Y1435" i="3"/>
  <c r="Z1435" i="3"/>
  <c r="AE1435" i="3" s="1"/>
  <c r="Z1241" i="3"/>
  <c r="AE1241" i="3" s="1"/>
  <c r="AC1241" i="3"/>
  <c r="Y1241" i="3"/>
  <c r="AA1241" i="3"/>
  <c r="X1241" i="3"/>
  <c r="AD1241" i="3" s="1"/>
  <c r="AC1661" i="3"/>
  <c r="Y1661" i="3"/>
  <c r="Z1661" i="3"/>
  <c r="AE1661" i="3" s="1"/>
  <c r="AA1661" i="3"/>
  <c r="X1661" i="3"/>
  <c r="AD1661" i="3" s="1"/>
  <c r="AA1653" i="3"/>
  <c r="X1653" i="3"/>
  <c r="AD1653" i="3" s="1"/>
  <c r="Y1653" i="3"/>
  <c r="Z1653" i="3"/>
  <c r="AE1653" i="3" s="1"/>
  <c r="AC1653" i="3"/>
  <c r="Z1273" i="3"/>
  <c r="AE1273" i="3" s="1"/>
  <c r="Y1273" i="3"/>
  <c r="X1273" i="3"/>
  <c r="AD1273" i="3" s="1"/>
  <c r="AC1273" i="3"/>
  <c r="AA1273" i="3"/>
  <c r="Z1265" i="3"/>
  <c r="AE1265" i="3" s="1"/>
  <c r="X1265" i="3"/>
  <c r="AD1265" i="3" s="1"/>
  <c r="AC1265" i="3"/>
  <c r="AA1265" i="3"/>
  <c r="Y1265" i="3"/>
  <c r="Z1257" i="3"/>
  <c r="AE1257" i="3" s="1"/>
  <c r="AA1257" i="3"/>
  <c r="AC1257" i="3"/>
  <c r="X1257" i="3"/>
  <c r="AD1257" i="3" s="1"/>
  <c r="Y1257" i="3"/>
  <c r="Z1249" i="3"/>
  <c r="AE1249" i="3" s="1"/>
  <c r="X1249" i="3"/>
  <c r="AD1249" i="3" s="1"/>
  <c r="Y1249" i="3"/>
  <c r="AC1249" i="3"/>
  <c r="AA1249" i="3"/>
  <c r="X1319" i="3"/>
  <c r="AD1319" i="3" s="1"/>
  <c r="AA1319" i="3"/>
  <c r="Y1319" i="3"/>
  <c r="Z1319" i="3"/>
  <c r="AE1319" i="3" s="1"/>
  <c r="AC1319" i="3"/>
  <c r="X1311" i="3"/>
  <c r="AD1311" i="3" s="1"/>
  <c r="AA1311" i="3"/>
  <c r="Z1311" i="3"/>
  <c r="AE1311" i="3" s="1"/>
  <c r="Y1311" i="3"/>
  <c r="AC1311" i="3"/>
  <c r="X1303" i="3"/>
  <c r="AD1303" i="3" s="1"/>
  <c r="AC1303" i="3"/>
  <c r="Z1303" i="3"/>
  <c r="AE1303" i="3" s="1"/>
  <c r="AA1303" i="3"/>
  <c r="Y1303" i="3"/>
  <c r="Z1295" i="3"/>
  <c r="AE1295" i="3" s="1"/>
  <c r="AA1295" i="3"/>
  <c r="X1295" i="3"/>
  <c r="AD1295" i="3" s="1"/>
  <c r="Y1295" i="3"/>
  <c r="AC1295" i="3"/>
  <c r="Z1287" i="3"/>
  <c r="AE1287" i="3" s="1"/>
  <c r="X1287" i="3"/>
  <c r="AD1287" i="3" s="1"/>
  <c r="AA1287" i="3"/>
  <c r="AC1287" i="3"/>
  <c r="Y1287" i="3"/>
  <c r="X1117" i="3"/>
  <c r="AD1117" i="3" s="1"/>
  <c r="Z1117" i="3"/>
  <c r="AE1117" i="3" s="1"/>
  <c r="Y1117" i="3"/>
  <c r="AA1117" i="3"/>
  <c r="AC1117" i="3"/>
  <c r="X1109" i="3"/>
  <c r="AD1109" i="3" s="1"/>
  <c r="AA1109" i="3"/>
  <c r="AC1109" i="3"/>
  <c r="Y1109" i="3"/>
  <c r="Z1109" i="3"/>
  <c r="AE1109" i="3" s="1"/>
  <c r="X1101" i="3"/>
  <c r="AD1101" i="3" s="1"/>
  <c r="Y1101" i="3"/>
  <c r="AC1101" i="3"/>
  <c r="AA1101" i="3"/>
  <c r="Z1101" i="3"/>
  <c r="AE1101" i="3" s="1"/>
  <c r="Y1516" i="3"/>
  <c r="AC1516" i="3"/>
  <c r="AA1516" i="3"/>
  <c r="Z1516" i="3"/>
  <c r="AE1516" i="3" s="1"/>
  <c r="X1516" i="3"/>
  <c r="AD1516" i="3" s="1"/>
  <c r="Y1508" i="3"/>
  <c r="X1508" i="3"/>
  <c r="AD1508" i="3" s="1"/>
  <c r="AC1508" i="3"/>
  <c r="AA1508" i="3"/>
  <c r="Z1508" i="3"/>
  <c r="AE1508" i="3" s="1"/>
  <c r="Z1343" i="3"/>
  <c r="AE1343" i="3" s="1"/>
  <c r="X1343" i="3"/>
  <c r="AD1343" i="3" s="1"/>
  <c r="Y1343" i="3"/>
  <c r="AC1343" i="3"/>
  <c r="AA1343" i="3"/>
  <c r="X1335" i="3"/>
  <c r="AD1335" i="3" s="1"/>
  <c r="AA1335" i="3"/>
  <c r="Z1335" i="3"/>
  <c r="AE1335" i="3" s="1"/>
  <c r="AC1335" i="3"/>
  <c r="Y1335" i="3"/>
  <c r="X1327" i="3"/>
  <c r="AD1327" i="3" s="1"/>
  <c r="Z1327" i="3"/>
  <c r="AE1327" i="3" s="1"/>
  <c r="AC1327" i="3"/>
  <c r="AA1327" i="3"/>
  <c r="Y1327" i="3"/>
  <c r="X1141" i="3"/>
  <c r="AD1141" i="3" s="1"/>
  <c r="AC1141" i="3"/>
  <c r="AA1141" i="3"/>
  <c r="Y1141" i="3"/>
  <c r="Z1141" i="3"/>
  <c r="AE1141" i="3" s="1"/>
  <c r="X1133" i="3"/>
  <c r="AD1133" i="3" s="1"/>
  <c r="Y1133" i="3"/>
  <c r="Z1133" i="3"/>
  <c r="AE1133" i="3" s="1"/>
  <c r="AC1133" i="3"/>
  <c r="AA1133" i="3"/>
  <c r="X1125" i="3"/>
  <c r="AD1125" i="3" s="1"/>
  <c r="Z1125" i="3"/>
  <c r="AE1125" i="3" s="1"/>
  <c r="AC1125" i="3"/>
  <c r="Y1125" i="3"/>
  <c r="AA1125" i="3"/>
  <c r="AA1552" i="3"/>
  <c r="Z1552" i="3"/>
  <c r="AE1552" i="3" s="1"/>
  <c r="Y1552" i="3"/>
  <c r="X1552" i="3"/>
  <c r="AD1552" i="3" s="1"/>
  <c r="AC1552" i="3"/>
  <c r="X1544" i="3"/>
  <c r="AD1544" i="3" s="1"/>
  <c r="AC1544" i="3"/>
  <c r="Y1544" i="3"/>
  <c r="Z1544" i="3"/>
  <c r="AE1544" i="3" s="1"/>
  <c r="AA1544" i="3"/>
  <c r="X1536" i="3"/>
  <c r="AD1536" i="3" s="1"/>
  <c r="Y1536" i="3"/>
  <c r="AA1536" i="3"/>
  <c r="Z1536" i="3"/>
  <c r="AE1536" i="3" s="1"/>
  <c r="AC1536" i="3"/>
  <c r="X1528" i="3"/>
  <c r="AD1528" i="3" s="1"/>
  <c r="AA1528" i="3"/>
  <c r="Y1528" i="3"/>
  <c r="AC1528" i="3"/>
  <c r="Z1528" i="3"/>
  <c r="AE1528" i="3" s="1"/>
  <c r="X1520" i="3"/>
  <c r="AD1520" i="3" s="1"/>
  <c r="AA1520" i="3"/>
  <c r="AC1520" i="3"/>
  <c r="Z1520" i="3"/>
  <c r="AE1520" i="3" s="1"/>
  <c r="Y1520" i="3"/>
  <c r="Y1366" i="3"/>
  <c r="AC1366" i="3"/>
  <c r="Z1366" i="3"/>
  <c r="AE1366" i="3" s="1"/>
  <c r="X1366" i="3"/>
  <c r="AD1366" i="3" s="1"/>
  <c r="AA1366" i="3"/>
  <c r="Y1358" i="3"/>
  <c r="AC1358" i="3"/>
  <c r="AA1358" i="3"/>
  <c r="Z1358" i="3"/>
  <c r="AE1358" i="3" s="1"/>
  <c r="X1358" i="3"/>
  <c r="AD1358" i="3" s="1"/>
  <c r="Y1350" i="3"/>
  <c r="AA1350" i="3"/>
  <c r="Z1350" i="3"/>
  <c r="AE1350" i="3" s="1"/>
  <c r="X1350" i="3"/>
  <c r="AD1350" i="3" s="1"/>
  <c r="AC1350" i="3"/>
  <c r="Z1159" i="3"/>
  <c r="AE1159" i="3" s="1"/>
  <c r="Y1159" i="3"/>
  <c r="AC1159" i="3"/>
  <c r="AA1159" i="3"/>
  <c r="X1159" i="3"/>
  <c r="AD1159" i="3" s="1"/>
  <c r="AC1151" i="3"/>
  <c r="Y1151" i="3"/>
  <c r="AA1151" i="3"/>
  <c r="X1151" i="3"/>
  <c r="AD1151" i="3" s="1"/>
  <c r="Z1151" i="3"/>
  <c r="AE1151" i="3" s="1"/>
  <c r="Z1182" i="3"/>
  <c r="AE1182" i="3" s="1"/>
  <c r="Y1182" i="3"/>
  <c r="X1182" i="3"/>
  <c r="AD1182" i="3" s="1"/>
  <c r="AA1182" i="3"/>
  <c r="AC1182" i="3"/>
  <c r="Z1174" i="3"/>
  <c r="AE1174" i="3" s="1"/>
  <c r="AC1174" i="3"/>
  <c r="X1174" i="3"/>
  <c r="AD1174" i="3" s="1"/>
  <c r="Y1174" i="3"/>
  <c r="AA1174" i="3"/>
  <c r="Z1166" i="3"/>
  <c r="AE1166" i="3" s="1"/>
  <c r="AC1166" i="3"/>
  <c r="AA1166" i="3"/>
  <c r="Y1166" i="3"/>
  <c r="X1166" i="3"/>
  <c r="AD1166" i="3" s="1"/>
  <c r="Y1054" i="3"/>
  <c r="AC1054" i="3"/>
  <c r="Z1054" i="3"/>
  <c r="AE1054" i="3" s="1"/>
  <c r="X1054" i="3"/>
  <c r="AD1054" i="3" s="1"/>
  <c r="AA1054" i="3"/>
  <c r="Y1046" i="3"/>
  <c r="AC1046" i="3"/>
  <c r="AA1046" i="3"/>
  <c r="Z1046" i="3"/>
  <c r="AE1046" i="3" s="1"/>
  <c r="X1046" i="3"/>
  <c r="AD1046" i="3" s="1"/>
  <c r="Y1038" i="3"/>
  <c r="AA1038" i="3"/>
  <c r="X1038" i="3"/>
  <c r="AD1038" i="3" s="1"/>
  <c r="Z1038" i="3"/>
  <c r="AE1038" i="3" s="1"/>
  <c r="AC1038" i="3"/>
  <c r="Y1030" i="3"/>
  <c r="AC1030" i="3"/>
  <c r="AA1030" i="3"/>
  <c r="X1030" i="3"/>
  <c r="AD1030" i="3" s="1"/>
  <c r="Z1030" i="3"/>
  <c r="AE1030" i="3" s="1"/>
  <c r="Y1022" i="3"/>
  <c r="Z1022" i="3"/>
  <c r="AE1022" i="3" s="1"/>
  <c r="AC1022" i="3"/>
  <c r="X1022" i="3"/>
  <c r="AD1022" i="3" s="1"/>
  <c r="AA1022" i="3"/>
  <c r="Y1014" i="3"/>
  <c r="X1014" i="3"/>
  <c r="AD1014" i="3" s="1"/>
  <c r="AA1014" i="3"/>
  <c r="Z1014" i="3"/>
  <c r="AE1014" i="3" s="1"/>
  <c r="AC1014" i="3"/>
  <c r="Y1006" i="3"/>
  <c r="AA1006" i="3"/>
  <c r="Z1006" i="3"/>
  <c r="AE1006" i="3" s="1"/>
  <c r="AC1006" i="3"/>
  <c r="X1006" i="3"/>
  <c r="AD1006" i="3" s="1"/>
  <c r="Y998" i="3"/>
  <c r="X998" i="3"/>
  <c r="AD998" i="3" s="1"/>
  <c r="AC998" i="3"/>
  <c r="Z998" i="3"/>
  <c r="AE998" i="3" s="1"/>
  <c r="AA998" i="3"/>
  <c r="Y990" i="3"/>
  <c r="AA990" i="3"/>
  <c r="X990" i="3"/>
  <c r="AD990" i="3" s="1"/>
  <c r="Z990" i="3"/>
  <c r="AE990" i="3" s="1"/>
  <c r="AC990" i="3"/>
  <c r="Y982" i="3"/>
  <c r="AA982" i="3"/>
  <c r="X982" i="3"/>
  <c r="AD982" i="3" s="1"/>
  <c r="AC982" i="3"/>
  <c r="Z982" i="3"/>
  <c r="AE982" i="3" s="1"/>
  <c r="Y974" i="3"/>
  <c r="AC974" i="3"/>
  <c r="Z974" i="3"/>
  <c r="AE974" i="3" s="1"/>
  <c r="AA974" i="3"/>
  <c r="X974" i="3"/>
  <c r="AD974" i="3" s="1"/>
  <c r="Y966" i="3"/>
  <c r="AC966" i="3"/>
  <c r="AA966" i="3"/>
  <c r="Z966" i="3"/>
  <c r="AE966" i="3" s="1"/>
  <c r="X966" i="3"/>
  <c r="AD966" i="3" s="1"/>
  <c r="Y958" i="3"/>
  <c r="X958" i="3"/>
  <c r="AD958" i="3" s="1"/>
  <c r="AC958" i="3"/>
  <c r="AA958" i="3"/>
  <c r="Z958" i="3"/>
  <c r="AE958" i="3" s="1"/>
  <c r="Y950" i="3"/>
  <c r="Z950" i="3"/>
  <c r="AE950" i="3" s="1"/>
  <c r="AC950" i="3"/>
  <c r="X950" i="3"/>
  <c r="AD950" i="3" s="1"/>
  <c r="AA950" i="3"/>
  <c r="Z1690" i="3"/>
  <c r="AE1690" i="3" s="1"/>
  <c r="AC1690" i="3"/>
  <c r="AA1690" i="3"/>
  <c r="X1690" i="3"/>
  <c r="AD1690" i="3" s="1"/>
  <c r="Y1690" i="3"/>
  <c r="Z1682" i="3"/>
  <c r="AE1682" i="3" s="1"/>
  <c r="X1682" i="3"/>
  <c r="AD1682" i="3" s="1"/>
  <c r="AA1682" i="3"/>
  <c r="AC1682" i="3"/>
  <c r="Y1682" i="3"/>
  <c r="AA1564" i="3"/>
  <c r="Z1564" i="3"/>
  <c r="AE1564" i="3" s="1"/>
  <c r="AC1564" i="3"/>
  <c r="Y1564" i="3"/>
  <c r="X1564" i="3"/>
  <c r="AD1564" i="3" s="1"/>
  <c r="Z1730" i="3"/>
  <c r="AE1730" i="3" s="1"/>
  <c r="X1730" i="3"/>
  <c r="AD1730" i="3" s="1"/>
  <c r="AA1730" i="3"/>
  <c r="AC1730" i="3"/>
  <c r="Y1730" i="3"/>
  <c r="Z1722" i="3"/>
  <c r="AE1722" i="3" s="1"/>
  <c r="AC1722" i="3"/>
  <c r="Y1722" i="3"/>
  <c r="X1722" i="3"/>
  <c r="AD1722" i="3" s="1"/>
  <c r="AA1722" i="3"/>
  <c r="Z1714" i="3"/>
  <c r="AE1714" i="3" s="1"/>
  <c r="Y1714" i="3"/>
  <c r="AC1714" i="3"/>
  <c r="X1714" i="3"/>
  <c r="AD1714" i="3" s="1"/>
  <c r="AA1714" i="3"/>
  <c r="Z1706" i="3"/>
  <c r="AE1706" i="3" s="1"/>
  <c r="AC1706" i="3"/>
  <c r="AA1706" i="3"/>
  <c r="Y1706" i="3"/>
  <c r="X1706" i="3"/>
  <c r="AD1706" i="3" s="1"/>
  <c r="Z1698" i="3"/>
  <c r="AE1698" i="3" s="1"/>
  <c r="AA1698" i="3"/>
  <c r="X1698" i="3"/>
  <c r="AD1698" i="3" s="1"/>
  <c r="Y1698" i="3"/>
  <c r="AC1698" i="3"/>
  <c r="X1576" i="3"/>
  <c r="AD1576" i="3" s="1"/>
  <c r="Y1576" i="3"/>
  <c r="AC1576" i="3"/>
  <c r="AA1576" i="3"/>
  <c r="Z1576" i="3"/>
  <c r="AE1576" i="3" s="1"/>
  <c r="Y1745" i="3"/>
  <c r="AC1745" i="3"/>
  <c r="Z1745" i="3"/>
  <c r="AE1745" i="3" s="1"/>
  <c r="X1745" i="3"/>
  <c r="AD1745" i="3" s="1"/>
  <c r="AA1745" i="3"/>
  <c r="X1737" i="3"/>
  <c r="AD1737" i="3" s="1"/>
  <c r="Y1737" i="3"/>
  <c r="AA1737" i="3"/>
  <c r="Z1737" i="3"/>
  <c r="AE1737" i="3" s="1"/>
  <c r="AC1737" i="3"/>
  <c r="AC1796" i="3"/>
  <c r="X1796" i="3"/>
  <c r="AD1796" i="3" s="1"/>
  <c r="AA1796" i="3"/>
  <c r="Y1796" i="3"/>
  <c r="Z1796" i="3"/>
  <c r="AE1796" i="3" s="1"/>
  <c r="Y1788" i="3"/>
  <c r="X1788" i="3"/>
  <c r="AD1788" i="3" s="1"/>
  <c r="AA1788" i="3"/>
  <c r="Z1788" i="3"/>
  <c r="AE1788" i="3" s="1"/>
  <c r="AC1788" i="3"/>
  <c r="AC1780" i="3"/>
  <c r="AA1780" i="3"/>
  <c r="X1780" i="3"/>
  <c r="AD1780" i="3" s="1"/>
  <c r="Y1780" i="3"/>
  <c r="Z1780" i="3"/>
  <c r="AE1780" i="3" s="1"/>
  <c r="AA1772" i="3"/>
  <c r="AC1772" i="3"/>
  <c r="Y1772" i="3"/>
  <c r="X1772" i="3"/>
  <c r="AD1772" i="3" s="1"/>
  <c r="Z1772" i="3"/>
  <c r="AE1772" i="3" s="1"/>
  <c r="AC1764" i="3"/>
  <c r="AA1764" i="3"/>
  <c r="Y1764" i="3"/>
  <c r="X1764" i="3"/>
  <c r="AD1764" i="3" s="1"/>
  <c r="Z1764" i="3"/>
  <c r="AE1764" i="3" s="1"/>
  <c r="Y1756" i="3"/>
  <c r="AA1756" i="3"/>
  <c r="Z1756" i="3"/>
  <c r="AE1756" i="3" s="1"/>
  <c r="X1756" i="3"/>
  <c r="AD1756" i="3" s="1"/>
  <c r="AC1756" i="3"/>
  <c r="Z1617" i="3"/>
  <c r="AE1617" i="3" s="1"/>
  <c r="AC1617" i="3"/>
  <c r="Y1617" i="3"/>
  <c r="AA1617" i="3"/>
  <c r="X1617" i="3"/>
  <c r="AD1617" i="3" s="1"/>
  <c r="AA1582" i="3"/>
  <c r="X1582" i="3"/>
  <c r="AD1582" i="3" s="1"/>
  <c r="Y1582" i="3"/>
  <c r="Z1582" i="3"/>
  <c r="AE1582" i="3" s="1"/>
  <c r="AC1582" i="3"/>
  <c r="Z1650" i="3"/>
  <c r="AE1650" i="3" s="1"/>
  <c r="AA1650" i="3"/>
  <c r="AC1650" i="3"/>
  <c r="X1650" i="3"/>
  <c r="AD1650" i="3" s="1"/>
  <c r="Y1650" i="3"/>
  <c r="Z1642" i="3"/>
  <c r="AE1642" i="3" s="1"/>
  <c r="X1642" i="3"/>
  <c r="AD1642" i="3" s="1"/>
  <c r="AA1642" i="3"/>
  <c r="AC1642" i="3"/>
  <c r="Y1642" i="3"/>
  <c r="Z1634" i="3"/>
  <c r="AE1634" i="3" s="1"/>
  <c r="AC1634" i="3"/>
  <c r="AA1634" i="3"/>
  <c r="X1634" i="3"/>
  <c r="AD1634" i="3" s="1"/>
  <c r="Y1634" i="3"/>
  <c r="Z1626" i="3"/>
  <c r="AE1626" i="3" s="1"/>
  <c r="AA1626" i="3"/>
  <c r="X1626" i="3"/>
  <c r="AD1626" i="3" s="1"/>
  <c r="Y1626" i="3"/>
  <c r="AC1626" i="3"/>
  <c r="Z1570" i="3"/>
  <c r="AE1570" i="3" s="1"/>
  <c r="AC1570" i="3"/>
  <c r="AA1570" i="3"/>
  <c r="X1570" i="3"/>
  <c r="AD1570" i="3" s="1"/>
  <c r="Y1570" i="3"/>
  <c r="Z1585" i="3"/>
  <c r="AE1585" i="3" s="1"/>
  <c r="X1585" i="3"/>
  <c r="AD1585" i="3" s="1"/>
  <c r="AC1585" i="3"/>
  <c r="Y1585" i="3"/>
  <c r="AA1585" i="3"/>
  <c r="Z1567" i="3"/>
  <c r="AE1567" i="3" s="1"/>
  <c r="Y1567" i="3"/>
  <c r="AA1567" i="3"/>
  <c r="X1567" i="3"/>
  <c r="AD1567" i="3" s="1"/>
  <c r="AC1567" i="3"/>
  <c r="Y1412" i="3"/>
  <c r="AC1412" i="3"/>
  <c r="X1412" i="3"/>
  <c r="AD1412" i="3" s="1"/>
  <c r="Z1412" i="3"/>
  <c r="AE1412" i="3" s="1"/>
  <c r="AA1412" i="3"/>
  <c r="Y1404" i="3"/>
  <c r="Z1404" i="3"/>
  <c r="AE1404" i="3" s="1"/>
  <c r="AA1404" i="3"/>
  <c r="AC1404" i="3"/>
  <c r="X1404" i="3"/>
  <c r="AD1404" i="3" s="1"/>
  <c r="Y1396" i="3"/>
  <c r="Z1396" i="3"/>
  <c r="AE1396" i="3" s="1"/>
  <c r="AA1396" i="3"/>
  <c r="AC1396" i="3"/>
  <c r="X1396" i="3"/>
  <c r="AD1396" i="3" s="1"/>
  <c r="Y1388" i="3"/>
  <c r="Z1388" i="3"/>
  <c r="AE1388" i="3" s="1"/>
  <c r="AA1388" i="3"/>
  <c r="AC1388" i="3"/>
  <c r="X1388" i="3"/>
  <c r="AD1388" i="3" s="1"/>
  <c r="Y1380" i="3"/>
  <c r="AC1380" i="3"/>
  <c r="AA1380" i="3"/>
  <c r="Z1380" i="3"/>
  <c r="AE1380" i="3" s="1"/>
  <c r="X1380" i="3"/>
  <c r="AD1380" i="3" s="1"/>
  <c r="AC1372" i="3"/>
  <c r="AA1372" i="3"/>
  <c r="Z1372" i="3"/>
  <c r="AE1372" i="3" s="1"/>
  <c r="X1372" i="3"/>
  <c r="AD1372" i="3" s="1"/>
  <c r="Y1372" i="3"/>
  <c r="X1205" i="3"/>
  <c r="AD1205" i="3" s="1"/>
  <c r="AC1205" i="3"/>
  <c r="Y1205" i="3"/>
  <c r="Z1205" i="3"/>
  <c r="AE1205" i="3" s="1"/>
  <c r="AA1205" i="3"/>
  <c r="X1197" i="3"/>
  <c r="AD1197" i="3" s="1"/>
  <c r="AA1197" i="3"/>
  <c r="Y1197" i="3"/>
  <c r="Z1197" i="3"/>
  <c r="AE1197" i="3" s="1"/>
  <c r="AC1197" i="3"/>
  <c r="X1189" i="3"/>
  <c r="AD1189" i="3" s="1"/>
  <c r="AA1189" i="3"/>
  <c r="AC1189" i="3"/>
  <c r="Y1189" i="3"/>
  <c r="Z1189" i="3"/>
  <c r="AE1189" i="3" s="1"/>
  <c r="Z1089" i="3"/>
  <c r="AE1089" i="3" s="1"/>
  <c r="X1089" i="3"/>
  <c r="AD1089" i="3" s="1"/>
  <c r="AC1089" i="3"/>
  <c r="AA1089" i="3"/>
  <c r="Y1089" i="3"/>
  <c r="Z1081" i="3"/>
  <c r="AE1081" i="3" s="1"/>
  <c r="Y1081" i="3"/>
  <c r="AA1081" i="3"/>
  <c r="X1081" i="3"/>
  <c r="AD1081" i="3" s="1"/>
  <c r="AC1081" i="3"/>
  <c r="Z1073" i="3"/>
  <c r="AE1073" i="3" s="1"/>
  <c r="AA1073" i="3"/>
  <c r="AC1073" i="3"/>
  <c r="Y1073" i="3"/>
  <c r="X1073" i="3"/>
  <c r="AD1073" i="3" s="1"/>
  <c r="Z1065" i="3"/>
  <c r="AE1065" i="3" s="1"/>
  <c r="AA1065" i="3"/>
  <c r="X1065" i="3"/>
  <c r="AD1065" i="3" s="1"/>
  <c r="Y1065" i="3"/>
  <c r="AC1065" i="3"/>
  <c r="Z1057" i="3"/>
  <c r="AE1057" i="3" s="1"/>
  <c r="AA1057" i="3"/>
  <c r="Y1057" i="3"/>
  <c r="AC1057" i="3"/>
  <c r="X1057" i="3"/>
  <c r="AD1057" i="3" s="1"/>
  <c r="Z1602" i="3"/>
  <c r="AE1602" i="3" s="1"/>
  <c r="AA1602" i="3"/>
  <c r="AC1602" i="3"/>
  <c r="X1602" i="3"/>
  <c r="AD1602" i="3" s="1"/>
  <c r="Y1602" i="3"/>
  <c r="Z1594" i="3"/>
  <c r="AE1594" i="3" s="1"/>
  <c r="AC1594" i="3"/>
  <c r="X1594" i="3"/>
  <c r="AD1594" i="3" s="1"/>
  <c r="Y1594" i="3"/>
  <c r="AA1594" i="3"/>
  <c r="AC1421" i="3"/>
  <c r="Y1421" i="3"/>
  <c r="X1421" i="3"/>
  <c r="AD1421" i="3" s="1"/>
  <c r="Z1421" i="3"/>
  <c r="AE1421" i="3" s="1"/>
  <c r="AA1421" i="3"/>
  <c r="AC1413" i="3"/>
  <c r="X1413" i="3"/>
  <c r="AD1413" i="3" s="1"/>
  <c r="Z1413" i="3"/>
  <c r="AE1413" i="3" s="1"/>
  <c r="AA1413" i="3"/>
  <c r="Y1413" i="3"/>
  <c r="AC1236" i="3"/>
  <c r="AA1236" i="3"/>
  <c r="X1236" i="3"/>
  <c r="AD1236" i="3" s="1"/>
  <c r="Y1236" i="3"/>
  <c r="Z1236" i="3"/>
  <c r="AE1236" i="3" s="1"/>
  <c r="AC1228" i="3"/>
  <c r="AA1228" i="3"/>
  <c r="X1228" i="3"/>
  <c r="AD1228" i="3" s="1"/>
  <c r="Y1228" i="3"/>
  <c r="Z1228" i="3"/>
  <c r="AE1228" i="3" s="1"/>
  <c r="AC1220" i="3"/>
  <c r="X1220" i="3"/>
  <c r="AD1220" i="3" s="1"/>
  <c r="Y1220" i="3"/>
  <c r="AA1220" i="3"/>
  <c r="Z1220" i="3"/>
  <c r="AE1220" i="3" s="1"/>
  <c r="AC1212" i="3"/>
  <c r="AA1212" i="3"/>
  <c r="Z1212" i="3"/>
  <c r="AE1212" i="3" s="1"/>
  <c r="X1212" i="3"/>
  <c r="AD1212" i="3" s="1"/>
  <c r="Y1212" i="3"/>
  <c r="X1615" i="3"/>
  <c r="AD1615" i="3" s="1"/>
  <c r="AC1615" i="3"/>
  <c r="Y1615" i="3"/>
  <c r="Z1615" i="3"/>
  <c r="AE1615" i="3" s="1"/>
  <c r="AA1615" i="3"/>
  <c r="X1607" i="3"/>
  <c r="AD1607" i="3" s="1"/>
  <c r="AA1607" i="3"/>
  <c r="Y1607" i="3"/>
  <c r="Z1607" i="3"/>
  <c r="AE1607" i="3" s="1"/>
  <c r="AC1607" i="3"/>
  <c r="Y1492" i="3"/>
  <c r="AA1492" i="3"/>
  <c r="AC1492" i="3"/>
  <c r="X1492" i="3"/>
  <c r="AD1492" i="3" s="1"/>
  <c r="Z1492" i="3"/>
  <c r="AE1492" i="3" s="1"/>
  <c r="Y1484" i="3"/>
  <c r="AC1484" i="3"/>
  <c r="AA1484" i="3"/>
  <c r="Z1484" i="3"/>
  <c r="AE1484" i="3" s="1"/>
  <c r="X1484" i="3"/>
  <c r="AD1484" i="3" s="1"/>
  <c r="Y1476" i="3"/>
  <c r="Z1476" i="3"/>
  <c r="AE1476" i="3" s="1"/>
  <c r="AC1476" i="3"/>
  <c r="AA1476" i="3"/>
  <c r="X1476" i="3"/>
  <c r="AD1476" i="3" s="1"/>
  <c r="Y1468" i="3"/>
  <c r="Z1468" i="3"/>
  <c r="AE1468" i="3" s="1"/>
  <c r="X1468" i="3"/>
  <c r="AD1468" i="3" s="1"/>
  <c r="AC1468" i="3"/>
  <c r="AA1468" i="3"/>
  <c r="Y1460" i="3"/>
  <c r="X1460" i="3"/>
  <c r="AD1460" i="3" s="1"/>
  <c r="Z1460" i="3"/>
  <c r="AE1460" i="3" s="1"/>
  <c r="AA1460" i="3"/>
  <c r="AC1460" i="3"/>
  <c r="Y1452" i="3"/>
  <c r="X1452" i="3"/>
  <c r="AD1452" i="3" s="1"/>
  <c r="Z1452" i="3"/>
  <c r="AE1452" i="3" s="1"/>
  <c r="AA1452" i="3"/>
  <c r="AC1452" i="3"/>
  <c r="Y1444" i="3"/>
  <c r="Z1444" i="3"/>
  <c r="AE1444" i="3" s="1"/>
  <c r="AA1444" i="3"/>
  <c r="AC1444" i="3"/>
  <c r="X1444" i="3"/>
  <c r="AD1444" i="3" s="1"/>
  <c r="Y1436" i="3"/>
  <c r="Z1436" i="3"/>
  <c r="AE1436" i="3" s="1"/>
  <c r="X1436" i="3"/>
  <c r="AD1436" i="3" s="1"/>
  <c r="AC1436" i="3"/>
  <c r="AA1436" i="3"/>
  <c r="AC1242" i="3"/>
  <c r="X1242" i="3"/>
  <c r="AD1242" i="3" s="1"/>
  <c r="Y1242" i="3"/>
  <c r="Z1242" i="3"/>
  <c r="AE1242" i="3" s="1"/>
  <c r="AA1242" i="3"/>
  <c r="X1662" i="3"/>
  <c r="AD1662" i="3" s="1"/>
  <c r="Y1662" i="3"/>
  <c r="Z1662" i="3"/>
  <c r="AE1662" i="3" s="1"/>
  <c r="AA1662" i="3"/>
  <c r="AC1662" i="3"/>
  <c r="Z1654" i="3"/>
  <c r="AE1654" i="3" s="1"/>
  <c r="AA1654" i="3"/>
  <c r="AC1654" i="3"/>
  <c r="X1654" i="3"/>
  <c r="AD1654" i="3" s="1"/>
  <c r="Y1654" i="3"/>
  <c r="AC1274" i="3"/>
  <c r="Z1274" i="3"/>
  <c r="AE1274" i="3" s="1"/>
  <c r="X1274" i="3"/>
  <c r="AD1274" i="3" s="1"/>
  <c r="AA1274" i="3"/>
  <c r="Y1274" i="3"/>
  <c r="AC1266" i="3"/>
  <c r="Y1266" i="3"/>
  <c r="AA1266" i="3"/>
  <c r="X1266" i="3"/>
  <c r="AD1266" i="3" s="1"/>
  <c r="Z1266" i="3"/>
  <c r="AE1266" i="3" s="1"/>
  <c r="AC1258" i="3"/>
  <c r="X1258" i="3"/>
  <c r="AD1258" i="3" s="1"/>
  <c r="AA1258" i="3"/>
  <c r="Z1258" i="3"/>
  <c r="AE1258" i="3" s="1"/>
  <c r="Y1258" i="3"/>
  <c r="AC1250" i="3"/>
  <c r="X1250" i="3"/>
  <c r="AD1250" i="3" s="1"/>
  <c r="Z1250" i="3"/>
  <c r="AE1250" i="3" s="1"/>
  <c r="Y1250" i="3"/>
  <c r="AA1250" i="3"/>
  <c r="Y1500" i="3"/>
  <c r="AA1500" i="3"/>
  <c r="AC1500" i="3"/>
  <c r="Z1500" i="3"/>
  <c r="AE1500" i="3" s="1"/>
  <c r="X1500" i="3"/>
  <c r="AD1500" i="3" s="1"/>
  <c r="AC1320" i="3"/>
  <c r="Z1320" i="3"/>
  <c r="AE1320" i="3" s="1"/>
  <c r="AA1320" i="3"/>
  <c r="Y1320" i="3"/>
  <c r="X1320" i="3"/>
  <c r="AD1320" i="3" s="1"/>
  <c r="Y1312" i="3"/>
  <c r="AA1312" i="3"/>
  <c r="X1312" i="3"/>
  <c r="AD1312" i="3" s="1"/>
  <c r="Z1312" i="3"/>
  <c r="AE1312" i="3" s="1"/>
  <c r="AC1312" i="3"/>
  <c r="AC1304" i="3"/>
  <c r="AA1304" i="3"/>
  <c r="X1304" i="3"/>
  <c r="AD1304" i="3" s="1"/>
  <c r="Z1304" i="3"/>
  <c r="AE1304" i="3" s="1"/>
  <c r="Y1304" i="3"/>
  <c r="X1296" i="3"/>
  <c r="AD1296" i="3" s="1"/>
  <c r="AA1296" i="3"/>
  <c r="Y1296" i="3"/>
  <c r="Z1296" i="3"/>
  <c r="AE1296" i="3" s="1"/>
  <c r="AC1296" i="3"/>
  <c r="X1288" i="3"/>
  <c r="AD1288" i="3" s="1"/>
  <c r="AA1288" i="3"/>
  <c r="AC1288" i="3"/>
  <c r="Z1288" i="3"/>
  <c r="AE1288" i="3" s="1"/>
  <c r="Y1288" i="3"/>
  <c r="X1280" i="3"/>
  <c r="AD1280" i="3" s="1"/>
  <c r="AC1280" i="3"/>
  <c r="AA1280" i="3"/>
  <c r="Y1280" i="3"/>
  <c r="Z1280" i="3"/>
  <c r="AE1280" i="3" s="1"/>
  <c r="Y1118" i="3"/>
  <c r="AA1118" i="3"/>
  <c r="Z1118" i="3"/>
  <c r="AE1118" i="3" s="1"/>
  <c r="X1118" i="3"/>
  <c r="AD1118" i="3" s="1"/>
  <c r="AC1118" i="3"/>
  <c r="Y1110" i="3"/>
  <c r="X1110" i="3"/>
  <c r="AD1110" i="3" s="1"/>
  <c r="AC1110" i="3"/>
  <c r="AA1110" i="3"/>
  <c r="Z1110" i="3"/>
  <c r="AE1110" i="3" s="1"/>
  <c r="Y1102" i="3"/>
  <c r="AA1102" i="3"/>
  <c r="Z1102" i="3"/>
  <c r="AE1102" i="3" s="1"/>
  <c r="AC1102" i="3"/>
  <c r="X1102" i="3"/>
  <c r="AD1102" i="3" s="1"/>
  <c r="AC1509" i="3"/>
  <c r="Z1509" i="3"/>
  <c r="AE1509" i="3" s="1"/>
  <c r="AA1509" i="3"/>
  <c r="X1509" i="3"/>
  <c r="AD1509" i="3" s="1"/>
  <c r="Y1509" i="3"/>
  <c r="AC1501" i="3"/>
  <c r="Y1501" i="3"/>
  <c r="AA1501" i="3"/>
  <c r="Z1501" i="3"/>
  <c r="AE1501" i="3" s="1"/>
  <c r="X1501" i="3"/>
  <c r="AD1501" i="3" s="1"/>
  <c r="AC1336" i="3"/>
  <c r="Z1336" i="3"/>
  <c r="AE1336" i="3" s="1"/>
  <c r="AA1336" i="3"/>
  <c r="Y1336" i="3"/>
  <c r="X1336" i="3"/>
  <c r="AD1336" i="3" s="1"/>
  <c r="Z1328" i="3"/>
  <c r="AE1328" i="3" s="1"/>
  <c r="Y1328" i="3"/>
  <c r="X1328" i="3"/>
  <c r="AD1328" i="3" s="1"/>
  <c r="AC1328" i="3"/>
  <c r="AA1328" i="3"/>
  <c r="Z1142" i="3"/>
  <c r="AE1142" i="3" s="1"/>
  <c r="AC1142" i="3"/>
  <c r="X1142" i="3"/>
  <c r="AD1142" i="3" s="1"/>
  <c r="AA1142" i="3"/>
  <c r="Y1142" i="3"/>
  <c r="Y1134" i="3"/>
  <c r="AA1134" i="3"/>
  <c r="AC1134" i="3"/>
  <c r="Z1134" i="3"/>
  <c r="AE1134" i="3" s="1"/>
  <c r="X1134" i="3"/>
  <c r="AD1134" i="3" s="1"/>
  <c r="Y1126" i="3"/>
  <c r="X1126" i="3"/>
  <c r="AD1126" i="3" s="1"/>
  <c r="AC1126" i="3"/>
  <c r="AA1126" i="3"/>
  <c r="Z1126" i="3"/>
  <c r="AE1126" i="3" s="1"/>
  <c r="Z1553" i="3"/>
  <c r="AE1553" i="3" s="1"/>
  <c r="AC1553" i="3"/>
  <c r="Y1553" i="3"/>
  <c r="X1553" i="3"/>
  <c r="AD1553" i="3" s="1"/>
  <c r="AA1553" i="3"/>
  <c r="Z1545" i="3"/>
  <c r="AE1545" i="3" s="1"/>
  <c r="X1545" i="3"/>
  <c r="AD1545" i="3" s="1"/>
  <c r="AA1545" i="3"/>
  <c r="AC1545" i="3"/>
  <c r="Y1545" i="3"/>
  <c r="Z1537" i="3"/>
  <c r="AE1537" i="3" s="1"/>
  <c r="AA1537" i="3"/>
  <c r="AC1537" i="3"/>
  <c r="X1537" i="3"/>
  <c r="AD1537" i="3" s="1"/>
  <c r="Y1537" i="3"/>
  <c r="Z1529" i="3"/>
  <c r="AE1529" i="3" s="1"/>
  <c r="AA1529" i="3"/>
  <c r="X1529" i="3"/>
  <c r="AD1529" i="3" s="1"/>
  <c r="AC1529" i="3"/>
  <c r="Y1529" i="3"/>
  <c r="Z1521" i="3"/>
  <c r="AE1521" i="3" s="1"/>
  <c r="X1521" i="3"/>
  <c r="AD1521" i="3" s="1"/>
  <c r="AC1521" i="3"/>
  <c r="Y1521" i="3"/>
  <c r="AA1521" i="3"/>
  <c r="Z1359" i="3"/>
  <c r="AE1359" i="3" s="1"/>
  <c r="Y1359" i="3"/>
  <c r="AA1359" i="3"/>
  <c r="AC1359" i="3"/>
  <c r="X1359" i="3"/>
  <c r="AD1359" i="3" s="1"/>
  <c r="Z1351" i="3"/>
  <c r="AE1351" i="3" s="1"/>
  <c r="Y1351" i="3"/>
  <c r="X1351" i="3"/>
  <c r="AD1351" i="3" s="1"/>
  <c r="AA1351" i="3"/>
  <c r="AC1351" i="3"/>
  <c r="X1160" i="3"/>
  <c r="AD1160" i="3" s="1"/>
  <c r="Z1160" i="3"/>
  <c r="AE1160" i="3" s="1"/>
  <c r="Y1160" i="3"/>
  <c r="AC1160" i="3"/>
  <c r="AA1160" i="3"/>
  <c r="X1152" i="3"/>
  <c r="AD1152" i="3" s="1"/>
  <c r="AC1152" i="3"/>
  <c r="AA1152" i="3"/>
  <c r="Y1152" i="3"/>
  <c r="Z1152" i="3"/>
  <c r="AE1152" i="3" s="1"/>
  <c r="Z1367" i="3"/>
  <c r="AE1367" i="3" s="1"/>
  <c r="Y1367" i="3"/>
  <c r="AC1367" i="3"/>
  <c r="X1367" i="3"/>
  <c r="AD1367" i="3" s="1"/>
  <c r="AA1367" i="3"/>
  <c r="X1183" i="3"/>
  <c r="AD1183" i="3" s="1"/>
  <c r="AC1183" i="3"/>
  <c r="Z1183" i="3"/>
  <c r="AE1183" i="3" s="1"/>
  <c r="Y1183" i="3"/>
  <c r="AA1183" i="3"/>
  <c r="AC1175" i="3"/>
  <c r="AA1175" i="3"/>
  <c r="Z1175" i="3"/>
  <c r="AE1175" i="3" s="1"/>
  <c r="X1175" i="3"/>
  <c r="AD1175" i="3" s="1"/>
  <c r="Y1175" i="3"/>
  <c r="Y1167" i="3"/>
  <c r="AA1167" i="3"/>
  <c r="AC1167" i="3"/>
  <c r="Z1167" i="3"/>
  <c r="AE1167" i="3" s="1"/>
  <c r="X1167" i="3"/>
  <c r="AD1167" i="3" s="1"/>
  <c r="Z1055" i="3"/>
  <c r="AE1055" i="3" s="1"/>
  <c r="AA1055" i="3"/>
  <c r="X1055" i="3"/>
  <c r="AD1055" i="3" s="1"/>
  <c r="Y1055" i="3"/>
  <c r="AC1055" i="3"/>
  <c r="Z1047" i="3"/>
  <c r="AE1047" i="3" s="1"/>
  <c r="X1047" i="3"/>
  <c r="AD1047" i="3" s="1"/>
  <c r="AA1047" i="3"/>
  <c r="Y1047" i="3"/>
  <c r="AC1047" i="3"/>
  <c r="Z1039" i="3"/>
  <c r="AE1039" i="3" s="1"/>
  <c r="AC1039" i="3"/>
  <c r="AA1039" i="3"/>
  <c r="X1039" i="3"/>
  <c r="AD1039" i="3" s="1"/>
  <c r="Y1039" i="3"/>
  <c r="Z1031" i="3"/>
  <c r="AE1031" i="3" s="1"/>
  <c r="Y1031" i="3"/>
  <c r="AC1031" i="3"/>
  <c r="AA1031" i="3"/>
  <c r="X1031" i="3"/>
  <c r="AD1031" i="3" s="1"/>
  <c r="Z1023" i="3"/>
  <c r="AE1023" i="3" s="1"/>
  <c r="Y1023" i="3"/>
  <c r="AA1023" i="3"/>
  <c r="AC1023" i="3"/>
  <c r="X1023" i="3"/>
  <c r="AD1023" i="3" s="1"/>
  <c r="Z1015" i="3"/>
  <c r="AE1015" i="3" s="1"/>
  <c r="Y1015" i="3"/>
  <c r="X1015" i="3"/>
  <c r="AD1015" i="3" s="1"/>
  <c r="AC1015" i="3"/>
  <c r="AA1015" i="3"/>
  <c r="Z1007" i="3"/>
  <c r="AE1007" i="3" s="1"/>
  <c r="Y1007" i="3"/>
  <c r="AA1007" i="3"/>
  <c r="AC1007" i="3"/>
  <c r="X1007" i="3"/>
  <c r="AD1007" i="3" s="1"/>
  <c r="Z999" i="3"/>
  <c r="AE999" i="3" s="1"/>
  <c r="X999" i="3"/>
  <c r="AD999" i="3" s="1"/>
  <c r="Y999" i="3"/>
  <c r="AC999" i="3"/>
  <c r="AA999" i="3"/>
  <c r="Z991" i="3"/>
  <c r="AE991" i="3" s="1"/>
  <c r="Y991" i="3"/>
  <c r="AC991" i="3"/>
  <c r="X991" i="3"/>
  <c r="AD991" i="3" s="1"/>
  <c r="AA991" i="3"/>
  <c r="Z983" i="3"/>
  <c r="AE983" i="3" s="1"/>
  <c r="X983" i="3"/>
  <c r="AD983" i="3" s="1"/>
  <c r="AC983" i="3"/>
  <c r="Y983" i="3"/>
  <c r="AA983" i="3"/>
  <c r="Z975" i="3"/>
  <c r="AE975" i="3" s="1"/>
  <c r="AA975" i="3"/>
  <c r="Y975" i="3"/>
  <c r="X975" i="3"/>
  <c r="AD975" i="3" s="1"/>
  <c r="AC975" i="3"/>
  <c r="Z967" i="3"/>
  <c r="AE967" i="3" s="1"/>
  <c r="AC967" i="3"/>
  <c r="AA967" i="3"/>
  <c r="X967" i="3"/>
  <c r="AD967" i="3" s="1"/>
  <c r="Y967" i="3"/>
  <c r="Z959" i="3"/>
  <c r="AE959" i="3" s="1"/>
  <c r="X959" i="3"/>
  <c r="AD959" i="3" s="1"/>
  <c r="AA959" i="3"/>
  <c r="AC959" i="3"/>
  <c r="Y959" i="3"/>
  <c r="Z951" i="3"/>
  <c r="AE951" i="3" s="1"/>
  <c r="Y951" i="3"/>
  <c r="AC951" i="3"/>
  <c r="X951" i="3"/>
  <c r="AD951" i="3" s="1"/>
  <c r="AA951" i="3"/>
  <c r="Z1691" i="3"/>
  <c r="AE1691" i="3" s="1"/>
  <c r="AA1691" i="3"/>
  <c r="X1691" i="3"/>
  <c r="AD1691" i="3" s="1"/>
  <c r="AC1691" i="3"/>
  <c r="Y1691" i="3"/>
  <c r="Z1683" i="3"/>
  <c r="AE1683" i="3" s="1"/>
  <c r="AA1683" i="3"/>
  <c r="X1683" i="3"/>
  <c r="AD1683" i="3" s="1"/>
  <c r="Y1683" i="3"/>
  <c r="AC1683" i="3"/>
  <c r="AC1723" i="3"/>
  <c r="X1723" i="3"/>
  <c r="AD1723" i="3" s="1"/>
  <c r="Y1723" i="3"/>
  <c r="AA1723" i="3"/>
  <c r="Z1723" i="3"/>
  <c r="AE1723" i="3" s="1"/>
  <c r="Z1715" i="3"/>
  <c r="AE1715" i="3" s="1"/>
  <c r="AA1715" i="3"/>
  <c r="X1715" i="3"/>
  <c r="AD1715" i="3" s="1"/>
  <c r="Y1715" i="3"/>
  <c r="AC1715" i="3"/>
  <c r="Z1707" i="3"/>
  <c r="AE1707" i="3" s="1"/>
  <c r="Y1707" i="3"/>
  <c r="AA1707" i="3"/>
  <c r="X1707" i="3"/>
  <c r="AD1707" i="3" s="1"/>
  <c r="AC1707" i="3"/>
  <c r="Z1699" i="3"/>
  <c r="AE1699" i="3" s="1"/>
  <c r="Y1699" i="3"/>
  <c r="AC1699" i="3"/>
  <c r="X1699" i="3"/>
  <c r="AD1699" i="3" s="1"/>
  <c r="AA1699" i="3"/>
  <c r="X1670" i="3"/>
  <c r="AD1670" i="3" s="1"/>
  <c r="AA1670" i="3"/>
  <c r="Z1670" i="3"/>
  <c r="AE1670" i="3" s="1"/>
  <c r="Y1670" i="3"/>
  <c r="AC1670" i="3"/>
  <c r="Z1746" i="3"/>
  <c r="AE1746" i="3" s="1"/>
  <c r="AC1746" i="3"/>
  <c r="X1746" i="3"/>
  <c r="AD1746" i="3" s="1"/>
  <c r="Y1746" i="3"/>
  <c r="AA1746" i="3"/>
  <c r="Z1738" i="3"/>
  <c r="AE1738" i="3" s="1"/>
  <c r="X1738" i="3"/>
  <c r="AD1738" i="3" s="1"/>
  <c r="AA1738" i="3"/>
  <c r="Y1738" i="3"/>
  <c r="AC1738" i="3"/>
  <c r="Z1575" i="3"/>
  <c r="AE1575" i="3" s="1"/>
  <c r="Y1575" i="3"/>
  <c r="AA1575" i="3"/>
  <c r="X1575" i="3"/>
  <c r="AD1575" i="3" s="1"/>
  <c r="AC1575" i="3"/>
  <c r="AC1797" i="3"/>
  <c r="X1797" i="3"/>
  <c r="AD1797" i="3" s="1"/>
  <c r="Y1797" i="3"/>
  <c r="Z1797" i="3"/>
  <c r="AE1797" i="3" s="1"/>
  <c r="AA1797" i="3"/>
  <c r="AC1789" i="3"/>
  <c r="Y1789" i="3"/>
  <c r="AA1789" i="3"/>
  <c r="X1789" i="3"/>
  <c r="AD1789" i="3" s="1"/>
  <c r="Z1789" i="3"/>
  <c r="AE1789" i="3" s="1"/>
  <c r="AC1781" i="3"/>
  <c r="AA1781" i="3"/>
  <c r="Z1781" i="3"/>
  <c r="AE1781" i="3" s="1"/>
  <c r="X1781" i="3"/>
  <c r="AD1781" i="3" s="1"/>
  <c r="Y1781" i="3"/>
  <c r="AA1773" i="3"/>
  <c r="Z1773" i="3"/>
  <c r="AE1773" i="3" s="1"/>
  <c r="X1773" i="3"/>
  <c r="AD1773" i="3" s="1"/>
  <c r="Y1773" i="3"/>
  <c r="AC1773" i="3"/>
  <c r="AC1765" i="3"/>
  <c r="Y1765" i="3"/>
  <c r="AA1765" i="3"/>
  <c r="X1765" i="3"/>
  <c r="AD1765" i="3" s="1"/>
  <c r="Z1765" i="3"/>
  <c r="AE1765" i="3" s="1"/>
  <c r="AA1757" i="3"/>
  <c r="Z1757" i="3"/>
  <c r="AE1757" i="3" s="1"/>
  <c r="Y1757" i="3"/>
  <c r="X1757" i="3"/>
  <c r="AD1757" i="3" s="1"/>
  <c r="AC1757" i="3"/>
  <c r="AC1749" i="3"/>
  <c r="X1749" i="3"/>
  <c r="AD1749" i="3" s="1"/>
  <c r="Y1749" i="3"/>
  <c r="Z1749" i="3"/>
  <c r="AE1749" i="3" s="1"/>
  <c r="AA1749" i="3"/>
  <c r="Z1668" i="3"/>
  <c r="AE1668" i="3" s="1"/>
  <c r="AA1668" i="3"/>
  <c r="AC1668" i="3"/>
  <c r="Y1668" i="3"/>
  <c r="X1668" i="3"/>
  <c r="AD1668" i="3" s="1"/>
  <c r="X1643" i="3"/>
  <c r="AD1643" i="3" s="1"/>
  <c r="Y1643" i="3"/>
  <c r="Z1643" i="3"/>
  <c r="AE1643" i="3" s="1"/>
  <c r="AC1643" i="3"/>
  <c r="AA1643" i="3"/>
  <c r="X1635" i="3"/>
  <c r="AD1635" i="3" s="1"/>
  <c r="AC1635" i="3"/>
  <c r="AA1635" i="3"/>
  <c r="Y1635" i="3"/>
  <c r="Z1635" i="3"/>
  <c r="AE1635" i="3" s="1"/>
  <c r="Z1627" i="3"/>
  <c r="AE1627" i="3" s="1"/>
  <c r="AC1627" i="3"/>
  <c r="AA1627" i="3"/>
  <c r="X1627" i="3"/>
  <c r="AD1627" i="3" s="1"/>
  <c r="Y1627" i="3"/>
  <c r="Z1586" i="3"/>
  <c r="AE1586" i="3" s="1"/>
  <c r="AA1586" i="3"/>
  <c r="X1586" i="3"/>
  <c r="AD1586" i="3" s="1"/>
  <c r="Y1586" i="3"/>
  <c r="AC1586" i="3"/>
  <c r="AC1405" i="3"/>
  <c r="Z1405" i="3"/>
  <c r="AE1405" i="3" s="1"/>
  <c r="AA1405" i="3"/>
  <c r="Y1405" i="3"/>
  <c r="X1405" i="3"/>
  <c r="AD1405" i="3" s="1"/>
  <c r="AC1397" i="3"/>
  <c r="Z1397" i="3"/>
  <c r="AE1397" i="3" s="1"/>
  <c r="AA1397" i="3"/>
  <c r="Y1397" i="3"/>
  <c r="X1397" i="3"/>
  <c r="AD1397" i="3" s="1"/>
  <c r="AC1389" i="3"/>
  <c r="X1389" i="3"/>
  <c r="AD1389" i="3" s="1"/>
  <c r="Y1389" i="3"/>
  <c r="AA1389" i="3"/>
  <c r="Z1389" i="3"/>
  <c r="AE1389" i="3" s="1"/>
  <c r="AC1381" i="3"/>
  <c r="AA1381" i="3"/>
  <c r="Z1381" i="3"/>
  <c r="AE1381" i="3" s="1"/>
  <c r="X1381" i="3"/>
  <c r="AD1381" i="3" s="1"/>
  <c r="Y1381" i="3"/>
  <c r="AC1373" i="3"/>
  <c r="AA1373" i="3"/>
  <c r="X1373" i="3"/>
  <c r="AD1373" i="3" s="1"/>
  <c r="Y1373" i="3"/>
  <c r="Z1373" i="3"/>
  <c r="AE1373" i="3" s="1"/>
  <c r="Z1206" i="3"/>
  <c r="AE1206" i="3" s="1"/>
  <c r="Y1206" i="3"/>
  <c r="AA1206" i="3"/>
  <c r="X1206" i="3"/>
  <c r="AD1206" i="3" s="1"/>
  <c r="AC1206" i="3"/>
  <c r="Z1198" i="3"/>
  <c r="AE1198" i="3" s="1"/>
  <c r="AC1198" i="3"/>
  <c r="AA1198" i="3"/>
  <c r="X1198" i="3"/>
  <c r="AD1198" i="3" s="1"/>
  <c r="Y1198" i="3"/>
  <c r="Z1190" i="3"/>
  <c r="AE1190" i="3" s="1"/>
  <c r="X1190" i="3"/>
  <c r="AD1190" i="3" s="1"/>
  <c r="Y1190" i="3"/>
  <c r="AC1190" i="3"/>
  <c r="AA1190" i="3"/>
  <c r="AC1090" i="3"/>
  <c r="X1090" i="3"/>
  <c r="AD1090" i="3" s="1"/>
  <c r="AA1090" i="3"/>
  <c r="Z1090" i="3"/>
  <c r="AE1090" i="3" s="1"/>
  <c r="Y1090" i="3"/>
  <c r="AC1082" i="3"/>
  <c r="AA1082" i="3"/>
  <c r="Z1082" i="3"/>
  <c r="AE1082" i="3" s="1"/>
  <c r="Y1082" i="3"/>
  <c r="X1082" i="3"/>
  <c r="AD1082" i="3" s="1"/>
  <c r="AC1074" i="3"/>
  <c r="AA1074" i="3"/>
  <c r="Y1074" i="3"/>
  <c r="X1074" i="3"/>
  <c r="AD1074" i="3" s="1"/>
  <c r="Z1074" i="3"/>
  <c r="AE1074" i="3" s="1"/>
  <c r="AC1066" i="3"/>
  <c r="AA1066" i="3"/>
  <c r="Z1066" i="3"/>
  <c r="AE1066" i="3" s="1"/>
  <c r="Y1066" i="3"/>
  <c r="X1066" i="3"/>
  <c r="AD1066" i="3" s="1"/>
  <c r="AC1058" i="3"/>
  <c r="Y1058" i="3"/>
  <c r="Z1058" i="3"/>
  <c r="AE1058" i="3" s="1"/>
  <c r="AA1058" i="3"/>
  <c r="X1058" i="3"/>
  <c r="AD1058" i="3" s="1"/>
  <c r="X1603" i="3"/>
  <c r="AD1603" i="3" s="1"/>
  <c r="AC1603" i="3"/>
  <c r="AA1603" i="3"/>
  <c r="Z1603" i="3"/>
  <c r="AE1603" i="3" s="1"/>
  <c r="Y1603" i="3"/>
  <c r="X1595" i="3"/>
  <c r="AD1595" i="3" s="1"/>
  <c r="AC1595" i="3"/>
  <c r="Y1595" i="3"/>
  <c r="Z1595" i="3"/>
  <c r="AE1595" i="3" s="1"/>
  <c r="AA1595" i="3"/>
  <c r="Z1422" i="3"/>
  <c r="AE1422" i="3" s="1"/>
  <c r="X1422" i="3"/>
  <c r="AD1422" i="3" s="1"/>
  <c r="Y1422" i="3"/>
  <c r="AA1422" i="3"/>
  <c r="AC1422" i="3"/>
  <c r="AC1414" i="3"/>
  <c r="Y1414" i="3"/>
  <c r="Z1414" i="3"/>
  <c r="AE1414" i="3" s="1"/>
  <c r="X1414" i="3"/>
  <c r="AD1414" i="3" s="1"/>
  <c r="AA1414" i="3"/>
  <c r="X1237" i="3"/>
  <c r="AD1237" i="3" s="1"/>
  <c r="Y1237" i="3"/>
  <c r="Z1237" i="3"/>
  <c r="AE1237" i="3" s="1"/>
  <c r="AC1237" i="3"/>
  <c r="AA1237" i="3"/>
  <c r="X1229" i="3"/>
  <c r="AD1229" i="3" s="1"/>
  <c r="AC1229" i="3"/>
  <c r="AA1229" i="3"/>
  <c r="Y1229" i="3"/>
  <c r="Z1229" i="3"/>
  <c r="AE1229" i="3" s="1"/>
  <c r="X1221" i="3"/>
  <c r="AD1221" i="3" s="1"/>
  <c r="AA1221" i="3"/>
  <c r="Y1221" i="3"/>
  <c r="Z1221" i="3"/>
  <c r="AE1221" i="3" s="1"/>
  <c r="AC1221" i="3"/>
  <c r="X1213" i="3"/>
  <c r="AD1213" i="3" s="1"/>
  <c r="Y1213" i="3"/>
  <c r="Z1213" i="3"/>
  <c r="AE1213" i="3" s="1"/>
  <c r="AC1213" i="3"/>
  <c r="AA1213" i="3"/>
  <c r="X1616" i="3"/>
  <c r="AD1616" i="3" s="1"/>
  <c r="Y1616" i="3"/>
  <c r="Z1616" i="3"/>
  <c r="AE1616" i="3" s="1"/>
  <c r="AC1616" i="3"/>
  <c r="AA1616" i="3"/>
  <c r="X1608" i="3"/>
  <c r="AD1608" i="3" s="1"/>
  <c r="Z1608" i="3"/>
  <c r="AE1608" i="3" s="1"/>
  <c r="AA1608" i="3"/>
  <c r="AC1608" i="3"/>
  <c r="Y1608" i="3"/>
  <c r="AC1493" i="3"/>
  <c r="Y1493" i="3"/>
  <c r="X1493" i="3"/>
  <c r="AD1493" i="3" s="1"/>
  <c r="Z1493" i="3"/>
  <c r="AE1493" i="3" s="1"/>
  <c r="AA1493" i="3"/>
  <c r="AC1485" i="3"/>
  <c r="X1485" i="3"/>
  <c r="AD1485" i="3" s="1"/>
  <c r="Z1485" i="3"/>
  <c r="AE1485" i="3" s="1"/>
  <c r="Y1485" i="3"/>
  <c r="AA1485" i="3"/>
  <c r="AC1477" i="3"/>
  <c r="Z1477" i="3"/>
  <c r="AE1477" i="3" s="1"/>
  <c r="AA1477" i="3"/>
  <c r="Y1477" i="3"/>
  <c r="X1477" i="3"/>
  <c r="AD1477" i="3" s="1"/>
  <c r="AC1469" i="3"/>
  <c r="AA1469" i="3"/>
  <c r="X1469" i="3"/>
  <c r="AD1469" i="3" s="1"/>
  <c r="Z1469" i="3"/>
  <c r="AE1469" i="3" s="1"/>
  <c r="Y1469" i="3"/>
  <c r="AC1461" i="3"/>
  <c r="X1461" i="3"/>
  <c r="AD1461" i="3" s="1"/>
  <c r="AA1461" i="3"/>
  <c r="Z1461" i="3"/>
  <c r="AE1461" i="3" s="1"/>
  <c r="Y1461" i="3"/>
  <c r="AC1453" i="3"/>
  <c r="Y1453" i="3"/>
  <c r="Z1453" i="3"/>
  <c r="AE1453" i="3" s="1"/>
  <c r="AA1453" i="3"/>
  <c r="X1453" i="3"/>
  <c r="AD1453" i="3" s="1"/>
  <c r="AC1445" i="3"/>
  <c r="Z1445" i="3"/>
  <c r="AE1445" i="3" s="1"/>
  <c r="X1445" i="3"/>
  <c r="AD1445" i="3" s="1"/>
  <c r="Y1445" i="3"/>
  <c r="AA1445" i="3"/>
  <c r="AC1437" i="3"/>
  <c r="Y1437" i="3"/>
  <c r="AA1437" i="3"/>
  <c r="Z1437" i="3"/>
  <c r="AE1437" i="3" s="1"/>
  <c r="X1437" i="3"/>
  <c r="AD1437" i="3" s="1"/>
  <c r="AC1429" i="3"/>
  <c r="Y1429" i="3"/>
  <c r="AA1429" i="3"/>
  <c r="X1429" i="3"/>
  <c r="AD1429" i="3" s="1"/>
  <c r="Z1429" i="3"/>
  <c r="AE1429" i="3" s="1"/>
  <c r="Y1243" i="3"/>
  <c r="AC1243" i="3"/>
  <c r="X1243" i="3"/>
  <c r="AD1243" i="3" s="1"/>
  <c r="Z1243" i="3"/>
  <c r="AE1243" i="3" s="1"/>
  <c r="AA1243" i="3"/>
  <c r="Z1663" i="3"/>
  <c r="AE1663" i="3" s="1"/>
  <c r="Y1663" i="3"/>
  <c r="AA1663" i="3"/>
  <c r="AC1663" i="3"/>
  <c r="X1663" i="3"/>
  <c r="AD1663" i="3" s="1"/>
  <c r="Z1655" i="3"/>
  <c r="AE1655" i="3" s="1"/>
  <c r="X1655" i="3"/>
  <c r="AD1655" i="3" s="1"/>
  <c r="Y1655" i="3"/>
  <c r="AA1655" i="3"/>
  <c r="AC1655" i="3"/>
  <c r="Y1275" i="3"/>
  <c r="AC1275" i="3"/>
  <c r="AA1275" i="3"/>
  <c r="Z1275" i="3"/>
  <c r="AE1275" i="3" s="1"/>
  <c r="X1275" i="3"/>
  <c r="AD1275" i="3" s="1"/>
  <c r="X1267" i="3"/>
  <c r="AD1267" i="3" s="1"/>
  <c r="Y1267" i="3"/>
  <c r="AA1267" i="3"/>
  <c r="Z1267" i="3"/>
  <c r="AE1267" i="3" s="1"/>
  <c r="AC1267" i="3"/>
  <c r="AC1259" i="3"/>
  <c r="Z1259" i="3"/>
  <c r="AE1259" i="3" s="1"/>
  <c r="X1259" i="3"/>
  <c r="AD1259" i="3" s="1"/>
  <c r="Y1259" i="3"/>
  <c r="AA1259" i="3"/>
  <c r="AC1251" i="3"/>
  <c r="AA1251" i="3"/>
  <c r="Z1251" i="3"/>
  <c r="AE1251" i="3" s="1"/>
  <c r="Y1251" i="3"/>
  <c r="X1251" i="3"/>
  <c r="AD1251" i="3" s="1"/>
  <c r="Z1321" i="3"/>
  <c r="AE1321" i="3" s="1"/>
  <c r="AC1321" i="3"/>
  <c r="Y1321" i="3"/>
  <c r="AA1321" i="3"/>
  <c r="X1321" i="3"/>
  <c r="AD1321" i="3" s="1"/>
  <c r="Z1313" i="3"/>
  <c r="AE1313" i="3" s="1"/>
  <c r="AA1313" i="3"/>
  <c r="Y1313" i="3"/>
  <c r="AC1313" i="3"/>
  <c r="X1313" i="3"/>
  <c r="AD1313" i="3" s="1"/>
  <c r="Z1305" i="3"/>
  <c r="AE1305" i="3" s="1"/>
  <c r="AA1305" i="3"/>
  <c r="Y1305" i="3"/>
  <c r="AC1305" i="3"/>
  <c r="X1305" i="3"/>
  <c r="AD1305" i="3" s="1"/>
  <c r="AA1297" i="3"/>
  <c r="AC1297" i="3"/>
  <c r="Y1297" i="3"/>
  <c r="Z1297" i="3"/>
  <c r="AE1297" i="3" s="1"/>
  <c r="X1297" i="3"/>
  <c r="AD1297" i="3" s="1"/>
  <c r="Z1289" i="3"/>
  <c r="AE1289" i="3" s="1"/>
  <c r="AA1289" i="3"/>
  <c r="AC1289" i="3"/>
  <c r="X1289" i="3"/>
  <c r="AD1289" i="3" s="1"/>
  <c r="Y1289" i="3"/>
  <c r="Z1281" i="3"/>
  <c r="AE1281" i="3" s="1"/>
  <c r="AA1281" i="3"/>
  <c r="AC1281" i="3"/>
  <c r="X1281" i="3"/>
  <c r="AD1281" i="3" s="1"/>
  <c r="Y1281" i="3"/>
  <c r="Z1119" i="3"/>
  <c r="AE1119" i="3" s="1"/>
  <c r="Y1119" i="3"/>
  <c r="AA1119" i="3"/>
  <c r="X1119" i="3"/>
  <c r="AD1119" i="3" s="1"/>
  <c r="AC1119" i="3"/>
  <c r="Z1111" i="3"/>
  <c r="AE1111" i="3" s="1"/>
  <c r="AA1111" i="3"/>
  <c r="AC1111" i="3"/>
  <c r="X1111" i="3"/>
  <c r="AD1111" i="3" s="1"/>
  <c r="Y1111" i="3"/>
  <c r="Z1103" i="3"/>
  <c r="AE1103" i="3" s="1"/>
  <c r="AC1103" i="3"/>
  <c r="X1103" i="3"/>
  <c r="AD1103" i="3" s="1"/>
  <c r="AA1103" i="3"/>
  <c r="Y1103" i="3"/>
  <c r="Z1510" i="3"/>
  <c r="AE1510" i="3" s="1"/>
  <c r="AC1510" i="3"/>
  <c r="Y1510" i="3"/>
  <c r="X1510" i="3"/>
  <c r="AD1510" i="3" s="1"/>
  <c r="AA1510" i="3"/>
  <c r="AC1502" i="3"/>
  <c r="Y1502" i="3"/>
  <c r="AA1502" i="3"/>
  <c r="X1502" i="3"/>
  <c r="AD1502" i="3" s="1"/>
  <c r="Z1502" i="3"/>
  <c r="AE1502" i="3" s="1"/>
  <c r="Z1337" i="3"/>
  <c r="AE1337" i="3" s="1"/>
  <c r="X1337" i="3"/>
  <c r="AD1337" i="3" s="1"/>
  <c r="AA1337" i="3"/>
  <c r="Y1337" i="3"/>
  <c r="AC1337" i="3"/>
  <c r="Z1329" i="3"/>
  <c r="AE1329" i="3" s="1"/>
  <c r="X1329" i="3"/>
  <c r="AD1329" i="3" s="1"/>
  <c r="AC1329" i="3"/>
  <c r="Y1329" i="3"/>
  <c r="AA1329" i="3"/>
  <c r="Z1143" i="3"/>
  <c r="AE1143" i="3" s="1"/>
  <c r="X1143" i="3"/>
  <c r="AD1143" i="3" s="1"/>
  <c r="AA1143" i="3"/>
  <c r="Y1143" i="3"/>
  <c r="AC1143" i="3"/>
  <c r="Z1135" i="3"/>
  <c r="AE1135" i="3" s="1"/>
  <c r="Y1135" i="3"/>
  <c r="AC1135" i="3"/>
  <c r="X1135" i="3"/>
  <c r="AD1135" i="3" s="1"/>
  <c r="AA1135" i="3"/>
  <c r="Z1127" i="3"/>
  <c r="AE1127" i="3" s="1"/>
  <c r="Y1127" i="3"/>
  <c r="X1127" i="3"/>
  <c r="AD1127" i="3" s="1"/>
  <c r="AC1127" i="3"/>
  <c r="AA1127" i="3"/>
  <c r="Z1554" i="3"/>
  <c r="AE1554" i="3" s="1"/>
  <c r="AA1554" i="3"/>
  <c r="X1554" i="3"/>
  <c r="AD1554" i="3" s="1"/>
  <c r="AC1554" i="3"/>
  <c r="Y1554" i="3"/>
  <c r="Z1546" i="3"/>
  <c r="AE1546" i="3" s="1"/>
  <c r="AC1546" i="3"/>
  <c r="X1546" i="3"/>
  <c r="AD1546" i="3" s="1"/>
  <c r="AA1546" i="3"/>
  <c r="Y1546" i="3"/>
  <c r="Z1538" i="3"/>
  <c r="AE1538" i="3" s="1"/>
  <c r="AA1538" i="3"/>
  <c r="AC1538" i="3"/>
  <c r="X1538" i="3"/>
  <c r="AD1538" i="3" s="1"/>
  <c r="Y1538" i="3"/>
  <c r="Z1530" i="3"/>
  <c r="AE1530" i="3" s="1"/>
  <c r="AC1530" i="3"/>
  <c r="AA1530" i="3"/>
  <c r="X1530" i="3"/>
  <c r="AD1530" i="3" s="1"/>
  <c r="Y1530" i="3"/>
  <c r="Z1522" i="3"/>
  <c r="AE1522" i="3" s="1"/>
  <c r="X1522" i="3"/>
  <c r="AD1522" i="3" s="1"/>
  <c r="Y1522" i="3"/>
  <c r="AA1522" i="3"/>
  <c r="AC1522" i="3"/>
  <c r="Z1360" i="3"/>
  <c r="AE1360" i="3" s="1"/>
  <c r="AA1360" i="3"/>
  <c r="X1360" i="3"/>
  <c r="AD1360" i="3" s="1"/>
  <c r="AC1360" i="3"/>
  <c r="Y1360" i="3"/>
  <c r="Z1352" i="3"/>
  <c r="AE1352" i="3" s="1"/>
  <c r="AC1352" i="3"/>
  <c r="Y1352" i="3"/>
  <c r="AA1352" i="3"/>
  <c r="X1352" i="3"/>
  <c r="AD1352" i="3" s="1"/>
  <c r="Z1344" i="3"/>
  <c r="AE1344" i="3" s="1"/>
  <c r="X1344" i="3"/>
  <c r="AD1344" i="3" s="1"/>
  <c r="Y1344" i="3"/>
  <c r="AA1344" i="3"/>
  <c r="AC1344" i="3"/>
  <c r="Z1161" i="3"/>
  <c r="AE1161" i="3" s="1"/>
  <c r="X1161" i="3"/>
  <c r="AD1161" i="3" s="1"/>
  <c r="AC1161" i="3"/>
  <c r="AA1161" i="3"/>
  <c r="Y1161" i="3"/>
  <c r="Z1153" i="3"/>
  <c r="AE1153" i="3" s="1"/>
  <c r="AC1153" i="3"/>
  <c r="AA1153" i="3"/>
  <c r="Y1153" i="3"/>
  <c r="X1153" i="3"/>
  <c r="AD1153" i="3" s="1"/>
  <c r="X1184" i="3"/>
  <c r="AD1184" i="3" s="1"/>
  <c r="Y1184" i="3"/>
  <c r="AA1184" i="3"/>
  <c r="Z1184" i="3"/>
  <c r="AE1184" i="3" s="1"/>
  <c r="AC1184" i="3"/>
  <c r="X1176" i="3"/>
  <c r="AD1176" i="3" s="1"/>
  <c r="Y1176" i="3"/>
  <c r="AC1176" i="3"/>
  <c r="Z1176" i="3"/>
  <c r="AE1176" i="3" s="1"/>
  <c r="AA1176" i="3"/>
  <c r="X1168" i="3"/>
  <c r="AD1168" i="3" s="1"/>
  <c r="AA1168" i="3"/>
  <c r="Z1168" i="3"/>
  <c r="AE1168" i="3" s="1"/>
  <c r="Y1168" i="3"/>
  <c r="AC1168" i="3"/>
  <c r="X1056" i="3"/>
  <c r="AD1056" i="3" s="1"/>
  <c r="AC1056" i="3"/>
  <c r="AA1056" i="3"/>
  <c r="Z1056" i="3"/>
  <c r="AE1056" i="3" s="1"/>
  <c r="Y1056" i="3"/>
  <c r="AC1048" i="3"/>
  <c r="AA1048" i="3"/>
  <c r="Y1048" i="3"/>
  <c r="Z1048" i="3"/>
  <c r="AE1048" i="3" s="1"/>
  <c r="X1048" i="3"/>
  <c r="AD1048" i="3" s="1"/>
  <c r="X1040" i="3"/>
  <c r="AD1040" i="3" s="1"/>
  <c r="Z1040" i="3"/>
  <c r="AE1040" i="3" s="1"/>
  <c r="AC1040" i="3"/>
  <c r="Y1040" i="3"/>
  <c r="AA1040" i="3"/>
  <c r="Z1032" i="3"/>
  <c r="AE1032" i="3" s="1"/>
  <c r="X1032" i="3"/>
  <c r="AD1032" i="3" s="1"/>
  <c r="AC1032" i="3"/>
  <c r="Y1032" i="3"/>
  <c r="AA1032" i="3"/>
  <c r="AC1024" i="3"/>
  <c r="AA1024" i="3"/>
  <c r="X1024" i="3"/>
  <c r="AD1024" i="3" s="1"/>
  <c r="Z1024" i="3"/>
  <c r="AE1024" i="3" s="1"/>
  <c r="Y1024" i="3"/>
  <c r="Y1016" i="3"/>
  <c r="Z1016" i="3"/>
  <c r="AE1016" i="3" s="1"/>
  <c r="AC1016" i="3"/>
  <c r="X1016" i="3"/>
  <c r="AD1016" i="3" s="1"/>
  <c r="AA1016" i="3"/>
  <c r="X1008" i="3"/>
  <c r="AD1008" i="3" s="1"/>
  <c r="Z1008" i="3"/>
  <c r="AE1008" i="3" s="1"/>
  <c r="AC1008" i="3"/>
  <c r="AA1008" i="3"/>
  <c r="Y1008" i="3"/>
  <c r="X1000" i="3"/>
  <c r="AD1000" i="3" s="1"/>
  <c r="Z1000" i="3"/>
  <c r="AE1000" i="3" s="1"/>
  <c r="AA1000" i="3"/>
  <c r="Y1000" i="3"/>
  <c r="AC1000" i="3"/>
  <c r="X992" i="3"/>
  <c r="AD992" i="3" s="1"/>
  <c r="AC992" i="3"/>
  <c r="Y992" i="3"/>
  <c r="Z992" i="3"/>
  <c r="AE992" i="3" s="1"/>
  <c r="AA992" i="3"/>
  <c r="X984" i="3"/>
  <c r="AD984" i="3" s="1"/>
  <c r="Z984" i="3"/>
  <c r="AE984" i="3" s="1"/>
  <c r="AC984" i="3"/>
  <c r="Y984" i="3"/>
  <c r="AA984" i="3"/>
  <c r="X976" i="3"/>
  <c r="AD976" i="3" s="1"/>
  <c r="AA976" i="3"/>
  <c r="Y976" i="3"/>
  <c r="Z976" i="3"/>
  <c r="AE976" i="3" s="1"/>
  <c r="AC976" i="3"/>
  <c r="AC968" i="3"/>
  <c r="AA968" i="3"/>
  <c r="Z968" i="3"/>
  <c r="AE968" i="3" s="1"/>
  <c r="X968" i="3"/>
  <c r="AD968" i="3" s="1"/>
  <c r="Y968" i="3"/>
  <c r="AC960" i="3"/>
  <c r="AA960" i="3"/>
  <c r="Z960" i="3"/>
  <c r="AE960" i="3" s="1"/>
  <c r="X960" i="3"/>
  <c r="AD960" i="3" s="1"/>
  <c r="Y960" i="3"/>
  <c r="Z952" i="3"/>
  <c r="AE952" i="3" s="1"/>
  <c r="AC952" i="3"/>
  <c r="X952" i="3"/>
  <c r="AD952" i="3" s="1"/>
  <c r="Y952" i="3"/>
  <c r="AA952" i="3"/>
  <c r="AC1692" i="3"/>
  <c r="Y1692" i="3"/>
  <c r="X1692" i="3"/>
  <c r="AD1692" i="3" s="1"/>
  <c r="Z1692" i="3"/>
  <c r="AE1692" i="3" s="1"/>
  <c r="AA1692" i="3"/>
  <c r="AC1684" i="3"/>
  <c r="Z1684" i="3"/>
  <c r="AE1684" i="3" s="1"/>
  <c r="AA1684" i="3"/>
  <c r="X1684" i="3"/>
  <c r="AD1684" i="3" s="1"/>
  <c r="Y1684" i="3"/>
  <c r="AC1724" i="3"/>
  <c r="X1724" i="3"/>
  <c r="AD1724" i="3" s="1"/>
  <c r="Y1724" i="3"/>
  <c r="Z1724" i="3"/>
  <c r="AE1724" i="3" s="1"/>
  <c r="AA1724" i="3"/>
  <c r="AC1716" i="3"/>
  <c r="AA1716" i="3"/>
  <c r="Z1716" i="3"/>
  <c r="AE1716" i="3" s="1"/>
  <c r="X1716" i="3"/>
  <c r="AD1716" i="3" s="1"/>
  <c r="Y1716" i="3"/>
  <c r="Y1708" i="3"/>
  <c r="Z1708" i="3"/>
  <c r="AE1708" i="3" s="1"/>
  <c r="X1708" i="3"/>
  <c r="AD1708" i="3" s="1"/>
  <c r="AA1708" i="3"/>
  <c r="AC1708" i="3"/>
  <c r="X1700" i="3"/>
  <c r="AD1700" i="3" s="1"/>
  <c r="Y1700" i="3"/>
  <c r="Z1700" i="3"/>
  <c r="AE1700" i="3" s="1"/>
  <c r="AA1700" i="3"/>
  <c r="AC1700" i="3"/>
  <c r="Y1620" i="3"/>
  <c r="AC1620" i="3"/>
  <c r="X1620" i="3"/>
  <c r="AD1620" i="3" s="1"/>
  <c r="AA1620" i="3"/>
  <c r="Z1620" i="3"/>
  <c r="AE1620" i="3" s="1"/>
  <c r="AA1580" i="3"/>
  <c r="X1580" i="3"/>
  <c r="AD1580" i="3" s="1"/>
  <c r="Z1580" i="3"/>
  <c r="AE1580" i="3" s="1"/>
  <c r="AC1580" i="3"/>
  <c r="Y1580" i="3"/>
  <c r="AA1566" i="3"/>
  <c r="Y1566" i="3"/>
  <c r="Z1566" i="3"/>
  <c r="AE1566" i="3" s="1"/>
  <c r="AC1566" i="3"/>
  <c r="X1566" i="3"/>
  <c r="AD1566" i="3" s="1"/>
  <c r="Y1747" i="3"/>
  <c r="AC1747" i="3"/>
  <c r="X1747" i="3"/>
  <c r="AD1747" i="3" s="1"/>
  <c r="AA1747" i="3"/>
  <c r="Z1747" i="3"/>
  <c r="AE1747" i="3" s="1"/>
  <c r="Z1739" i="3"/>
  <c r="AE1739" i="3" s="1"/>
  <c r="AC1739" i="3"/>
  <c r="Y1739" i="3"/>
  <c r="AA1739" i="3"/>
  <c r="X1739" i="3"/>
  <c r="AD1739" i="3" s="1"/>
  <c r="AC1677" i="3"/>
  <c r="Z1677" i="3"/>
  <c r="AE1677" i="3" s="1"/>
  <c r="X1677" i="3"/>
  <c r="AD1677" i="3" s="1"/>
  <c r="AA1677" i="3"/>
  <c r="Y1677" i="3"/>
  <c r="Z1618" i="3"/>
  <c r="AE1618" i="3" s="1"/>
  <c r="X1618" i="3"/>
  <c r="AD1618" i="3" s="1"/>
  <c r="AC1618" i="3"/>
  <c r="Y1618" i="3"/>
  <c r="AA1618" i="3"/>
  <c r="X1798" i="3"/>
  <c r="AD1798" i="3" s="1"/>
  <c r="Y1798" i="3"/>
  <c r="AA1798" i="3"/>
  <c r="Z1798" i="3"/>
  <c r="AE1798" i="3" s="1"/>
  <c r="AC1798" i="3"/>
  <c r="AA1790" i="3"/>
  <c r="Y1790" i="3"/>
  <c r="X1790" i="3"/>
  <c r="AD1790" i="3" s="1"/>
  <c r="Z1790" i="3"/>
  <c r="AE1790" i="3" s="1"/>
  <c r="AC1790" i="3"/>
  <c r="X1782" i="3"/>
  <c r="AD1782" i="3" s="1"/>
  <c r="AC1782" i="3"/>
  <c r="Y1782" i="3"/>
  <c r="AA1782" i="3"/>
  <c r="Z1782" i="3"/>
  <c r="AE1782" i="3" s="1"/>
  <c r="AA1774" i="3"/>
  <c r="X1774" i="3"/>
  <c r="AD1774" i="3" s="1"/>
  <c r="Z1774" i="3"/>
  <c r="AE1774" i="3" s="1"/>
  <c r="AC1774" i="3"/>
  <c r="Y1774" i="3"/>
  <c r="AA1766" i="3"/>
  <c r="Y1766" i="3"/>
  <c r="Z1766" i="3"/>
  <c r="AE1766" i="3" s="1"/>
  <c r="X1766" i="3"/>
  <c r="AD1766" i="3" s="1"/>
  <c r="AC1766" i="3"/>
  <c r="AA1758" i="3"/>
  <c r="AC1758" i="3"/>
  <c r="Y1758" i="3"/>
  <c r="Z1758" i="3"/>
  <c r="AE1758" i="3" s="1"/>
  <c r="X1758" i="3"/>
  <c r="AD1758" i="3" s="1"/>
  <c r="Z1750" i="3"/>
  <c r="AE1750" i="3" s="1"/>
  <c r="Y1750" i="3"/>
  <c r="AA1750" i="3"/>
  <c r="AC1750" i="3"/>
  <c r="X1750" i="3"/>
  <c r="AD1750" i="3" s="1"/>
  <c r="AA1587" i="3"/>
  <c r="Z1587" i="3"/>
  <c r="AE1587" i="3" s="1"/>
  <c r="X1587" i="3"/>
  <c r="AD1587" i="3" s="1"/>
  <c r="AC1587" i="3"/>
  <c r="Y1587" i="3"/>
  <c r="AA1565" i="3"/>
  <c r="Y1565" i="3"/>
  <c r="AC1565" i="3"/>
  <c r="Z1565" i="3"/>
  <c r="AE1565" i="3" s="1"/>
  <c r="X1565" i="3"/>
  <c r="AD1565" i="3" s="1"/>
  <c r="Y1644" i="3"/>
  <c r="AC1644" i="3"/>
  <c r="Z1644" i="3"/>
  <c r="AE1644" i="3" s="1"/>
  <c r="AA1644" i="3"/>
  <c r="X1644" i="3"/>
  <c r="AD1644" i="3" s="1"/>
  <c r="Y1636" i="3"/>
  <c r="AA1636" i="3"/>
  <c r="X1636" i="3"/>
  <c r="AD1636" i="3" s="1"/>
  <c r="Z1636" i="3"/>
  <c r="AE1636" i="3" s="1"/>
  <c r="AC1636" i="3"/>
  <c r="Y1628" i="3"/>
  <c r="AC1628" i="3"/>
  <c r="Z1628" i="3"/>
  <c r="AE1628" i="3" s="1"/>
  <c r="AA1628" i="3"/>
  <c r="X1628" i="3"/>
  <c r="AD1628" i="3" s="1"/>
  <c r="AA1573" i="3"/>
  <c r="Z1573" i="3"/>
  <c r="AE1573" i="3" s="1"/>
  <c r="X1573" i="3"/>
  <c r="AD1573" i="3" s="1"/>
  <c r="Y1573" i="3"/>
  <c r="AC1573" i="3"/>
  <c r="Y1406" i="3"/>
  <c r="X1406" i="3"/>
  <c r="AD1406" i="3" s="1"/>
  <c r="AC1406" i="3"/>
  <c r="AA1406" i="3"/>
  <c r="Z1406" i="3"/>
  <c r="AE1406" i="3" s="1"/>
  <c r="Y1398" i="3"/>
  <c r="AC1398" i="3"/>
  <c r="AA1398" i="3"/>
  <c r="Z1398" i="3"/>
  <c r="AE1398" i="3" s="1"/>
  <c r="X1398" i="3"/>
  <c r="AD1398" i="3" s="1"/>
  <c r="Y1390" i="3"/>
  <c r="X1390" i="3"/>
  <c r="AD1390" i="3" s="1"/>
  <c r="AA1390" i="3"/>
  <c r="AC1390" i="3"/>
  <c r="Z1390" i="3"/>
  <c r="AE1390" i="3" s="1"/>
  <c r="Y1382" i="3"/>
  <c r="AC1382" i="3"/>
  <c r="AA1382" i="3"/>
  <c r="X1382" i="3"/>
  <c r="AD1382" i="3" s="1"/>
  <c r="Z1382" i="3"/>
  <c r="AE1382" i="3" s="1"/>
  <c r="Y1374" i="3"/>
  <c r="AC1374" i="3"/>
  <c r="AA1374" i="3"/>
  <c r="X1374" i="3"/>
  <c r="AD1374" i="3" s="1"/>
  <c r="Z1374" i="3"/>
  <c r="AE1374" i="3" s="1"/>
  <c r="Z1207" i="3"/>
  <c r="AE1207" i="3" s="1"/>
  <c r="Y1207" i="3"/>
  <c r="X1207" i="3"/>
  <c r="AD1207" i="3" s="1"/>
  <c r="AC1207" i="3"/>
  <c r="AA1207" i="3"/>
  <c r="AC1199" i="3"/>
  <c r="X1199" i="3"/>
  <c r="AD1199" i="3" s="1"/>
  <c r="Z1199" i="3"/>
  <c r="AE1199" i="3" s="1"/>
  <c r="AA1199" i="3"/>
  <c r="Y1199" i="3"/>
  <c r="X1191" i="3"/>
  <c r="AD1191" i="3" s="1"/>
  <c r="AA1191" i="3"/>
  <c r="Y1191" i="3"/>
  <c r="Z1191" i="3"/>
  <c r="AE1191" i="3" s="1"/>
  <c r="AC1191" i="3"/>
  <c r="AC1091" i="3"/>
  <c r="Z1091" i="3"/>
  <c r="AE1091" i="3" s="1"/>
  <c r="AA1091" i="3"/>
  <c r="X1091" i="3"/>
  <c r="AD1091" i="3" s="1"/>
  <c r="Y1091" i="3"/>
  <c r="X1083" i="3"/>
  <c r="AD1083" i="3" s="1"/>
  <c r="Z1083" i="3"/>
  <c r="AE1083" i="3" s="1"/>
  <c r="AA1083" i="3"/>
  <c r="Y1083" i="3"/>
  <c r="AC1083" i="3"/>
  <c r="Z1075" i="3"/>
  <c r="AE1075" i="3" s="1"/>
  <c r="AC1075" i="3"/>
  <c r="Y1075" i="3"/>
  <c r="AA1075" i="3"/>
  <c r="X1075" i="3"/>
  <c r="AD1075" i="3" s="1"/>
  <c r="AC1067" i="3"/>
  <c r="Y1067" i="3"/>
  <c r="AA1067" i="3"/>
  <c r="X1067" i="3"/>
  <c r="AD1067" i="3" s="1"/>
  <c r="Z1067" i="3"/>
  <c r="AE1067" i="3" s="1"/>
  <c r="Y1059" i="3"/>
  <c r="Z1059" i="3"/>
  <c r="AE1059" i="3" s="1"/>
  <c r="AA1059" i="3"/>
  <c r="X1059" i="3"/>
  <c r="AD1059" i="3" s="1"/>
  <c r="AC1059" i="3"/>
  <c r="Y1596" i="3"/>
  <c r="AA1596" i="3"/>
  <c r="AC1596" i="3"/>
  <c r="X1596" i="3"/>
  <c r="AD1596" i="3" s="1"/>
  <c r="Z1596" i="3"/>
  <c r="AE1596" i="3" s="1"/>
  <c r="Z1423" i="3"/>
  <c r="AE1423" i="3" s="1"/>
  <c r="AC1423" i="3"/>
  <c r="X1423" i="3"/>
  <c r="AD1423" i="3" s="1"/>
  <c r="AA1423" i="3"/>
  <c r="Y1423" i="3"/>
  <c r="Z1415" i="3"/>
  <c r="AE1415" i="3" s="1"/>
  <c r="X1415" i="3"/>
  <c r="AD1415" i="3" s="1"/>
  <c r="AC1415" i="3"/>
  <c r="AA1415" i="3"/>
  <c r="Y1415" i="3"/>
  <c r="Z1238" i="3"/>
  <c r="AE1238" i="3" s="1"/>
  <c r="X1238" i="3"/>
  <c r="AD1238" i="3" s="1"/>
  <c r="AC1238" i="3"/>
  <c r="AA1238" i="3"/>
  <c r="Y1238" i="3"/>
  <c r="Z1230" i="3"/>
  <c r="AE1230" i="3" s="1"/>
  <c r="AA1230" i="3"/>
  <c r="Y1230" i="3"/>
  <c r="AC1230" i="3"/>
  <c r="X1230" i="3"/>
  <c r="AD1230" i="3" s="1"/>
  <c r="Z1222" i="3"/>
  <c r="AE1222" i="3" s="1"/>
  <c r="Y1222" i="3"/>
  <c r="AC1222" i="3"/>
  <c r="X1222" i="3"/>
  <c r="AD1222" i="3" s="1"/>
  <c r="AA1222" i="3"/>
  <c r="Z1214" i="3"/>
  <c r="AE1214" i="3" s="1"/>
  <c r="X1214" i="3"/>
  <c r="AD1214" i="3" s="1"/>
  <c r="Y1214" i="3"/>
  <c r="AA1214" i="3"/>
  <c r="AC1214" i="3"/>
  <c r="Z1097" i="3"/>
  <c r="AE1097" i="3" s="1"/>
  <c r="AA1097" i="3"/>
  <c r="X1097" i="3"/>
  <c r="AD1097" i="3" s="1"/>
  <c r="AC1097" i="3"/>
  <c r="Y1097" i="3"/>
  <c r="Z1609" i="3"/>
  <c r="AE1609" i="3" s="1"/>
  <c r="AA1609" i="3"/>
  <c r="X1609" i="3"/>
  <c r="AD1609" i="3" s="1"/>
  <c r="AC1609" i="3"/>
  <c r="Y1609" i="3"/>
  <c r="Z1494" i="3"/>
  <c r="AE1494" i="3" s="1"/>
  <c r="X1494" i="3"/>
  <c r="AD1494" i="3" s="1"/>
  <c r="Y1494" i="3"/>
  <c r="AC1494" i="3"/>
  <c r="AA1494" i="3"/>
  <c r="AC1486" i="3"/>
  <c r="Y1486" i="3"/>
  <c r="X1486" i="3"/>
  <c r="AD1486" i="3" s="1"/>
  <c r="Z1486" i="3"/>
  <c r="AE1486" i="3" s="1"/>
  <c r="AA1486" i="3"/>
  <c r="Z1478" i="3"/>
  <c r="AE1478" i="3" s="1"/>
  <c r="AC1478" i="3"/>
  <c r="AA1478" i="3"/>
  <c r="Y1478" i="3"/>
  <c r="X1478" i="3"/>
  <c r="AD1478" i="3" s="1"/>
  <c r="AC1470" i="3"/>
  <c r="Z1470" i="3"/>
  <c r="AE1470" i="3" s="1"/>
  <c r="X1470" i="3"/>
  <c r="AD1470" i="3" s="1"/>
  <c r="Y1470" i="3"/>
  <c r="AA1470" i="3"/>
  <c r="Y1462" i="3"/>
  <c r="X1462" i="3"/>
  <c r="AD1462" i="3" s="1"/>
  <c r="AC1462" i="3"/>
  <c r="AA1462" i="3"/>
  <c r="Z1462" i="3"/>
  <c r="AE1462" i="3" s="1"/>
  <c r="AC1454" i="3"/>
  <c r="Y1454" i="3"/>
  <c r="X1454" i="3"/>
  <c r="AD1454" i="3" s="1"/>
  <c r="Z1454" i="3"/>
  <c r="AE1454" i="3" s="1"/>
  <c r="AA1454" i="3"/>
  <c r="Y1446" i="3"/>
  <c r="X1446" i="3"/>
  <c r="AD1446" i="3" s="1"/>
  <c r="AA1446" i="3"/>
  <c r="Z1446" i="3"/>
  <c r="AE1446" i="3" s="1"/>
  <c r="AC1446" i="3"/>
  <c r="AC1438" i="3"/>
  <c r="Y1438" i="3"/>
  <c r="AA1438" i="3"/>
  <c r="Z1438" i="3"/>
  <c r="AE1438" i="3" s="1"/>
  <c r="X1438" i="3"/>
  <c r="AD1438" i="3" s="1"/>
  <c r="Y1430" i="3"/>
  <c r="AA1430" i="3"/>
  <c r="X1430" i="3"/>
  <c r="AD1430" i="3" s="1"/>
  <c r="Z1430" i="3"/>
  <c r="AE1430" i="3" s="1"/>
  <c r="AC1430" i="3"/>
  <c r="AC1244" i="3"/>
  <c r="Z1244" i="3"/>
  <c r="AE1244" i="3" s="1"/>
  <c r="X1244" i="3"/>
  <c r="AD1244" i="3" s="1"/>
  <c r="Y1244" i="3"/>
  <c r="AA1244" i="3"/>
  <c r="Z1664" i="3"/>
  <c r="AE1664" i="3" s="1"/>
  <c r="X1664" i="3"/>
  <c r="AD1664" i="3" s="1"/>
  <c r="AA1664" i="3"/>
  <c r="Y1664" i="3"/>
  <c r="AC1664" i="3"/>
  <c r="Z1656" i="3"/>
  <c r="AE1656" i="3" s="1"/>
  <c r="Y1656" i="3"/>
  <c r="AA1656" i="3"/>
  <c r="AC1656" i="3"/>
  <c r="X1656" i="3"/>
  <c r="AD1656" i="3" s="1"/>
  <c r="AC1276" i="3"/>
  <c r="Z1276" i="3"/>
  <c r="AE1276" i="3" s="1"/>
  <c r="AA1276" i="3"/>
  <c r="X1276" i="3"/>
  <c r="AD1276" i="3" s="1"/>
  <c r="Y1276" i="3"/>
  <c r="AC1268" i="3"/>
  <c r="Z1268" i="3"/>
  <c r="AE1268" i="3" s="1"/>
  <c r="X1268" i="3"/>
  <c r="AD1268" i="3" s="1"/>
  <c r="Y1268" i="3"/>
  <c r="AA1268" i="3"/>
  <c r="AC1260" i="3"/>
  <c r="AA1260" i="3"/>
  <c r="X1260" i="3"/>
  <c r="AD1260" i="3" s="1"/>
  <c r="Y1260" i="3"/>
  <c r="Z1260" i="3"/>
  <c r="AE1260" i="3" s="1"/>
  <c r="AC1252" i="3"/>
  <c r="Z1252" i="3"/>
  <c r="AE1252" i="3" s="1"/>
  <c r="AA1252" i="3"/>
  <c r="X1252" i="3"/>
  <c r="AD1252" i="3" s="1"/>
  <c r="Y1252" i="3"/>
  <c r="Z1322" i="3"/>
  <c r="AE1322" i="3" s="1"/>
  <c r="X1322" i="3"/>
  <c r="AD1322" i="3" s="1"/>
  <c r="Y1322" i="3"/>
  <c r="AA1322" i="3"/>
  <c r="AC1322" i="3"/>
  <c r="Z1314" i="3"/>
  <c r="AE1314" i="3" s="1"/>
  <c r="AA1314" i="3"/>
  <c r="Y1314" i="3"/>
  <c r="AC1314" i="3"/>
  <c r="X1314" i="3"/>
  <c r="AD1314" i="3" s="1"/>
  <c r="AC1306" i="3"/>
  <c r="Z1306" i="3"/>
  <c r="AE1306" i="3" s="1"/>
  <c r="Y1306" i="3"/>
  <c r="X1306" i="3"/>
  <c r="AD1306" i="3" s="1"/>
  <c r="AA1306" i="3"/>
  <c r="AC1298" i="3"/>
  <c r="Z1298" i="3"/>
  <c r="AE1298" i="3" s="1"/>
  <c r="AA1298" i="3"/>
  <c r="X1298" i="3"/>
  <c r="AD1298" i="3" s="1"/>
  <c r="Y1298" i="3"/>
  <c r="AC1290" i="3"/>
  <c r="AA1290" i="3"/>
  <c r="Z1290" i="3"/>
  <c r="AE1290" i="3" s="1"/>
  <c r="X1290" i="3"/>
  <c r="AD1290" i="3" s="1"/>
  <c r="Y1290" i="3"/>
  <c r="AC1282" i="3"/>
  <c r="Y1282" i="3"/>
  <c r="X1282" i="3"/>
  <c r="AD1282" i="3" s="1"/>
  <c r="AA1282" i="3"/>
  <c r="Z1282" i="3"/>
  <c r="AE1282" i="3" s="1"/>
  <c r="X1120" i="3"/>
  <c r="AD1120" i="3" s="1"/>
  <c r="Z1120" i="3"/>
  <c r="AE1120" i="3" s="1"/>
  <c r="AA1120" i="3"/>
  <c r="AC1120" i="3"/>
  <c r="Y1120" i="3"/>
  <c r="X1112" i="3"/>
  <c r="AD1112" i="3" s="1"/>
  <c r="AC1112" i="3"/>
  <c r="AA1112" i="3"/>
  <c r="Y1112" i="3"/>
  <c r="Z1112" i="3"/>
  <c r="AE1112" i="3" s="1"/>
  <c r="X1104" i="3"/>
  <c r="AD1104" i="3" s="1"/>
  <c r="AC1104" i="3"/>
  <c r="Z1104" i="3"/>
  <c r="AE1104" i="3" s="1"/>
  <c r="AA1104" i="3"/>
  <c r="Y1104" i="3"/>
  <c r="X1511" i="3"/>
  <c r="AD1511" i="3" s="1"/>
  <c r="Y1511" i="3"/>
  <c r="AA1511" i="3"/>
  <c r="Z1511" i="3"/>
  <c r="AE1511" i="3" s="1"/>
  <c r="AC1511" i="3"/>
  <c r="X1503" i="3"/>
  <c r="AD1503" i="3" s="1"/>
  <c r="Z1503" i="3"/>
  <c r="AE1503" i="3" s="1"/>
  <c r="Y1503" i="3"/>
  <c r="AA1503" i="3"/>
  <c r="AC1503" i="3"/>
  <c r="Z1338" i="3"/>
  <c r="AE1338" i="3" s="1"/>
  <c r="AA1338" i="3"/>
  <c r="X1338" i="3"/>
  <c r="AD1338" i="3" s="1"/>
  <c r="Y1338" i="3"/>
  <c r="AC1338" i="3"/>
  <c r="Z1330" i="3"/>
  <c r="AE1330" i="3" s="1"/>
  <c r="AC1330" i="3"/>
  <c r="X1330" i="3"/>
  <c r="AD1330" i="3" s="1"/>
  <c r="Y1330" i="3"/>
  <c r="AA1330" i="3"/>
  <c r="X1144" i="3"/>
  <c r="AD1144" i="3" s="1"/>
  <c r="Z1144" i="3"/>
  <c r="AE1144" i="3" s="1"/>
  <c r="Y1144" i="3"/>
  <c r="AC1144" i="3"/>
  <c r="AA1144" i="3"/>
  <c r="X1136" i="3"/>
  <c r="AD1136" i="3" s="1"/>
  <c r="Z1136" i="3"/>
  <c r="AE1136" i="3" s="1"/>
  <c r="AA1136" i="3"/>
  <c r="AC1136" i="3"/>
  <c r="Y1136" i="3"/>
  <c r="X1128" i="3"/>
  <c r="AD1128" i="3" s="1"/>
  <c r="AA1128" i="3"/>
  <c r="AC1128" i="3"/>
  <c r="Y1128" i="3"/>
  <c r="Z1128" i="3"/>
  <c r="AE1128" i="3" s="1"/>
  <c r="X1555" i="3"/>
  <c r="AD1555" i="3" s="1"/>
  <c r="AC1555" i="3"/>
  <c r="Y1555" i="3"/>
  <c r="Z1555" i="3"/>
  <c r="AE1555" i="3" s="1"/>
  <c r="AA1555" i="3"/>
  <c r="X1547" i="3"/>
  <c r="AD1547" i="3" s="1"/>
  <c r="AA1547" i="3"/>
  <c r="Y1547" i="3"/>
  <c r="Z1547" i="3"/>
  <c r="AE1547" i="3" s="1"/>
  <c r="AC1547" i="3"/>
  <c r="X1539" i="3"/>
  <c r="AD1539" i="3" s="1"/>
  <c r="Y1539" i="3"/>
  <c r="AA1539" i="3"/>
  <c r="Z1539" i="3"/>
  <c r="AE1539" i="3" s="1"/>
  <c r="AC1539" i="3"/>
  <c r="Z1531" i="3"/>
  <c r="AE1531" i="3" s="1"/>
  <c r="AA1531" i="3"/>
  <c r="X1531" i="3"/>
  <c r="AD1531" i="3" s="1"/>
  <c r="Y1531" i="3"/>
  <c r="AC1531" i="3"/>
  <c r="Z1523" i="3"/>
  <c r="AE1523" i="3" s="1"/>
  <c r="AA1523" i="3"/>
  <c r="AC1523" i="3"/>
  <c r="X1523" i="3"/>
  <c r="AD1523" i="3" s="1"/>
  <c r="Y1523" i="3"/>
  <c r="Z1361" i="3"/>
  <c r="AE1361" i="3" s="1"/>
  <c r="AC1361" i="3"/>
  <c r="Y1361" i="3"/>
  <c r="X1361" i="3"/>
  <c r="AD1361" i="3" s="1"/>
  <c r="AA1361" i="3"/>
  <c r="Z1353" i="3"/>
  <c r="AE1353" i="3" s="1"/>
  <c r="AA1353" i="3"/>
  <c r="X1353" i="3"/>
  <c r="AD1353" i="3" s="1"/>
  <c r="AC1353" i="3"/>
  <c r="Y1353" i="3"/>
  <c r="Z1345" i="3"/>
  <c r="AE1345" i="3" s="1"/>
  <c r="AA1345" i="3"/>
  <c r="AC1345" i="3"/>
  <c r="X1345" i="3"/>
  <c r="AD1345" i="3" s="1"/>
  <c r="Y1345" i="3"/>
  <c r="AC1162" i="3"/>
  <c r="Y1162" i="3"/>
  <c r="Z1162" i="3"/>
  <c r="AE1162" i="3" s="1"/>
  <c r="AA1162" i="3"/>
  <c r="X1162" i="3"/>
  <c r="AD1162" i="3" s="1"/>
  <c r="AC1154" i="3"/>
  <c r="X1154" i="3"/>
  <c r="AD1154" i="3" s="1"/>
  <c r="Y1154" i="3"/>
  <c r="Z1154" i="3"/>
  <c r="AE1154" i="3" s="1"/>
  <c r="AA1154" i="3"/>
  <c r="Z1556" i="3"/>
  <c r="AE1556" i="3" s="1"/>
  <c r="AA1556" i="3"/>
  <c r="AC1556" i="3"/>
  <c r="X1556" i="3"/>
  <c r="AD1556" i="3" s="1"/>
  <c r="Y1556" i="3"/>
  <c r="Z1185" i="3"/>
  <c r="AE1185" i="3" s="1"/>
  <c r="Y1185" i="3"/>
  <c r="X1185" i="3"/>
  <c r="AD1185" i="3" s="1"/>
  <c r="AA1185" i="3"/>
  <c r="AC1185" i="3"/>
  <c r="Z1177" i="3"/>
  <c r="AE1177" i="3" s="1"/>
  <c r="AA1177" i="3"/>
  <c r="X1177" i="3"/>
  <c r="AD1177" i="3" s="1"/>
  <c r="AC1177" i="3"/>
  <c r="Y1177" i="3"/>
  <c r="Z1169" i="3"/>
  <c r="AE1169" i="3" s="1"/>
  <c r="Y1169" i="3"/>
  <c r="X1169" i="3"/>
  <c r="AD1169" i="3" s="1"/>
  <c r="AA1169" i="3"/>
  <c r="AC1169" i="3"/>
  <c r="Z1049" i="3"/>
  <c r="AE1049" i="3" s="1"/>
  <c r="AA1049" i="3"/>
  <c r="X1049" i="3"/>
  <c r="AD1049" i="3" s="1"/>
  <c r="Y1049" i="3"/>
  <c r="AC1049" i="3"/>
  <c r="Z1041" i="3"/>
  <c r="AE1041" i="3" s="1"/>
  <c r="AA1041" i="3"/>
  <c r="Y1041" i="3"/>
  <c r="AC1041" i="3"/>
  <c r="X1041" i="3"/>
  <c r="AD1041" i="3" s="1"/>
  <c r="Z1033" i="3"/>
  <c r="AE1033" i="3" s="1"/>
  <c r="X1033" i="3"/>
  <c r="AD1033" i="3" s="1"/>
  <c r="AA1033" i="3"/>
  <c r="AC1033" i="3"/>
  <c r="Y1033" i="3"/>
  <c r="Z1025" i="3"/>
  <c r="AE1025" i="3" s="1"/>
  <c r="AC1025" i="3"/>
  <c r="Y1025" i="3"/>
  <c r="X1025" i="3"/>
  <c r="AD1025" i="3" s="1"/>
  <c r="AA1025" i="3"/>
  <c r="Z1017" i="3"/>
  <c r="AE1017" i="3" s="1"/>
  <c r="Y1017" i="3"/>
  <c r="AA1017" i="3"/>
  <c r="X1017" i="3"/>
  <c r="AD1017" i="3" s="1"/>
  <c r="AC1017" i="3"/>
  <c r="Z1009" i="3"/>
  <c r="AE1009" i="3" s="1"/>
  <c r="AC1009" i="3"/>
  <c r="AA1009" i="3"/>
  <c r="Y1009" i="3"/>
  <c r="X1009" i="3"/>
  <c r="AD1009" i="3" s="1"/>
  <c r="Z1001" i="3"/>
  <c r="AE1001" i="3" s="1"/>
  <c r="AA1001" i="3"/>
  <c r="Y1001" i="3"/>
  <c r="X1001" i="3"/>
  <c r="AD1001" i="3" s="1"/>
  <c r="AC1001" i="3"/>
  <c r="Z993" i="3"/>
  <c r="AE993" i="3" s="1"/>
  <c r="Y993" i="3"/>
  <c r="X993" i="3"/>
  <c r="AD993" i="3" s="1"/>
  <c r="AA993" i="3"/>
  <c r="AC993" i="3"/>
  <c r="Z985" i="3"/>
  <c r="AE985" i="3" s="1"/>
  <c r="X985" i="3"/>
  <c r="AD985" i="3" s="1"/>
  <c r="Y985" i="3"/>
  <c r="AA985" i="3"/>
  <c r="AC985" i="3"/>
  <c r="Z977" i="3"/>
  <c r="AE977" i="3" s="1"/>
  <c r="AA977" i="3"/>
  <c r="Y977" i="3"/>
  <c r="AC977" i="3"/>
  <c r="X977" i="3"/>
  <c r="AD977" i="3" s="1"/>
  <c r="Z969" i="3"/>
  <c r="AE969" i="3" s="1"/>
  <c r="X969" i="3"/>
  <c r="AD969" i="3" s="1"/>
  <c r="AA969" i="3"/>
  <c r="AC969" i="3"/>
  <c r="Y969" i="3"/>
  <c r="Z961" i="3"/>
  <c r="AE961" i="3" s="1"/>
  <c r="X961" i="3"/>
  <c r="AD961" i="3" s="1"/>
  <c r="AC961" i="3"/>
  <c r="Y961" i="3"/>
  <c r="AA961" i="3"/>
  <c r="Z953" i="3"/>
  <c r="AE953" i="3" s="1"/>
  <c r="AA953" i="3"/>
  <c r="X953" i="3"/>
  <c r="AD953" i="3" s="1"/>
  <c r="Y953" i="3"/>
  <c r="AC953" i="3"/>
  <c r="G362" i="4"/>
  <c r="G354" i="4"/>
  <c r="G346" i="4"/>
  <c r="I206" i="4"/>
  <c r="I174" i="4"/>
  <c r="I166" i="4"/>
  <c r="I150" i="4"/>
  <c r="I134" i="4"/>
  <c r="I102" i="4"/>
  <c r="I70" i="4"/>
  <c r="I295" i="4"/>
  <c r="I287" i="4"/>
  <c r="I279" i="4"/>
  <c r="I271" i="4"/>
  <c r="I263" i="4"/>
  <c r="I255" i="4"/>
  <c r="I247" i="4"/>
  <c r="I239" i="4"/>
  <c r="I231" i="4"/>
  <c r="I223" i="4"/>
  <c r="I215" i="4"/>
  <c r="I207" i="4"/>
  <c r="I175" i="4"/>
  <c r="I167" i="4"/>
  <c r="I135" i="4"/>
  <c r="I103" i="4"/>
  <c r="I55" i="4"/>
  <c r="H129" i="4"/>
  <c r="H96" i="4"/>
  <c r="H410" i="4"/>
  <c r="H986" i="4"/>
  <c r="H994" i="4"/>
  <c r="H1026" i="4"/>
  <c r="H1090" i="4"/>
  <c r="H1098" i="4"/>
  <c r="H1106" i="4"/>
  <c r="H1114" i="4"/>
  <c r="H1162" i="4"/>
  <c r="H1170" i="4"/>
  <c r="H1178" i="4"/>
  <c r="H1186" i="4"/>
  <c r="H76" i="4"/>
  <c r="H85" i="4"/>
  <c r="H95" i="4"/>
  <c r="H104" i="4"/>
  <c r="H113" i="4"/>
  <c r="H121" i="4"/>
  <c r="H137" i="4"/>
  <c r="H145" i="4"/>
  <c r="H153" i="4"/>
  <c r="H161" i="4"/>
  <c r="H169" i="4"/>
  <c r="H177" i="4"/>
  <c r="H185" i="4"/>
  <c r="H193" i="4"/>
  <c r="H201" i="4"/>
  <c r="H209" i="4"/>
  <c r="H217" i="4"/>
  <c r="H225" i="4"/>
  <c r="H233" i="4"/>
  <c r="H241" i="4"/>
  <c r="H249" i="4"/>
  <c r="H257" i="4"/>
  <c r="H265" i="4"/>
  <c r="H273" i="4"/>
  <c r="H281" i="4"/>
  <c r="H289" i="4"/>
  <c r="H297" i="4"/>
  <c r="H305" i="4"/>
  <c r="H313" i="4"/>
  <c r="H321" i="4"/>
  <c r="H329" i="4"/>
  <c r="H337" i="4"/>
  <c r="H345" i="4"/>
  <c r="H353" i="4"/>
  <c r="H361" i="4"/>
  <c r="H369" i="4"/>
  <c r="H377" i="4"/>
  <c r="H385" i="4"/>
  <c r="H393" i="4"/>
  <c r="H401" i="4"/>
  <c r="H409" i="4"/>
  <c r="H417" i="4"/>
  <c r="H425" i="4"/>
  <c r="H433" i="4"/>
  <c r="H441" i="4"/>
  <c r="H449" i="4"/>
  <c r="H457" i="4"/>
  <c r="H465" i="4"/>
  <c r="H473" i="4"/>
  <c r="H481" i="4"/>
  <c r="H489" i="4"/>
  <c r="H497" i="4"/>
  <c r="H505" i="4"/>
  <c r="H513" i="4"/>
  <c r="H521" i="4"/>
  <c r="H529" i="4"/>
  <c r="H537" i="4"/>
  <c r="H545" i="4"/>
  <c r="H553" i="4"/>
  <c r="H561" i="4"/>
  <c r="H569" i="4"/>
  <c r="H577" i="4"/>
  <c r="H585" i="4"/>
  <c r="H593" i="4"/>
  <c r="H601" i="4"/>
  <c r="H609" i="4"/>
  <c r="H617" i="4"/>
  <c r="H625" i="4"/>
  <c r="H633" i="4"/>
  <c r="H641" i="4"/>
  <c r="H649" i="4"/>
  <c r="H657" i="4"/>
  <c r="H665" i="4"/>
  <c r="H673" i="4"/>
  <c r="H681" i="4"/>
  <c r="H689" i="4"/>
  <c r="H697" i="4"/>
  <c r="H705" i="4"/>
  <c r="H713" i="4"/>
  <c r="H721" i="4"/>
  <c r="H729" i="4"/>
  <c r="H737" i="4"/>
  <c r="H745" i="4"/>
  <c r="H753" i="4"/>
  <c r="H761" i="4"/>
  <c r="H769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905" i="4"/>
  <c r="H913" i="4"/>
  <c r="H921" i="4"/>
  <c r="H929" i="4"/>
  <c r="H937" i="4"/>
  <c r="H945" i="4"/>
  <c r="H953" i="4"/>
  <c r="H961" i="4"/>
  <c r="H969" i="4"/>
  <c r="H977" i="4"/>
  <c r="H985" i="4"/>
  <c r="H993" i="4"/>
  <c r="H1001" i="4"/>
  <c r="H1009" i="4"/>
  <c r="H1017" i="4"/>
  <c r="H1025" i="4"/>
  <c r="H1033" i="4"/>
  <c r="H1041" i="4"/>
  <c r="H1049" i="4"/>
  <c r="H1057" i="4"/>
  <c r="H1065" i="4"/>
  <c r="H1073" i="4"/>
  <c r="H1081" i="4"/>
  <c r="H1089" i="4"/>
  <c r="H1097" i="4"/>
  <c r="H1105" i="4"/>
  <c r="H1113" i="4"/>
  <c r="H1121" i="4"/>
  <c r="H1129" i="4"/>
  <c r="H1137" i="4"/>
  <c r="H1145" i="4"/>
  <c r="H1153" i="4"/>
  <c r="H1161" i="4"/>
  <c r="H1169" i="4"/>
  <c r="H1177" i="4"/>
  <c r="H1185" i="4"/>
  <c r="H1193" i="4"/>
  <c r="H1201" i="4"/>
  <c r="H34" i="4"/>
  <c r="H66" i="4"/>
  <c r="H75" i="4"/>
  <c r="H84" i="4"/>
  <c r="H93" i="4"/>
  <c r="H103" i="4"/>
  <c r="H112" i="4"/>
  <c r="H120" i="4"/>
  <c r="H128" i="4"/>
  <c r="H136" i="4"/>
  <c r="H144" i="4"/>
  <c r="H152" i="4"/>
  <c r="H160" i="4"/>
  <c r="H168" i="4"/>
  <c r="H176" i="4"/>
  <c r="H184" i="4"/>
  <c r="H192" i="4"/>
  <c r="H200" i="4"/>
  <c r="H208" i="4"/>
  <c r="H216" i="4"/>
  <c r="H224" i="4"/>
  <c r="H232" i="4"/>
  <c r="H240" i="4"/>
  <c r="H248" i="4"/>
  <c r="H256" i="4"/>
  <c r="H264" i="4"/>
  <c r="H272" i="4"/>
  <c r="H280" i="4"/>
  <c r="H288" i="4"/>
  <c r="H296" i="4"/>
  <c r="H304" i="4"/>
  <c r="H312" i="4"/>
  <c r="H320" i="4"/>
  <c r="H328" i="4"/>
  <c r="H336" i="4"/>
  <c r="H344" i="4"/>
  <c r="H352" i="4"/>
  <c r="H360" i="4"/>
  <c r="H368" i="4"/>
  <c r="H376" i="4"/>
  <c r="H384" i="4"/>
  <c r="H392" i="4"/>
  <c r="H400" i="4"/>
  <c r="H408" i="4"/>
  <c r="H416" i="4"/>
  <c r="H424" i="4"/>
  <c r="H432" i="4"/>
  <c r="H440" i="4"/>
  <c r="H448" i="4"/>
  <c r="H456" i="4"/>
  <c r="H464" i="4"/>
  <c r="H472" i="4"/>
  <c r="H480" i="4"/>
  <c r="H488" i="4"/>
  <c r="H496" i="4"/>
  <c r="H504" i="4"/>
  <c r="H512" i="4"/>
  <c r="H520" i="4"/>
  <c r="H528" i="4"/>
  <c r="H536" i="4"/>
  <c r="H544" i="4"/>
  <c r="H552" i="4"/>
  <c r="H560" i="4"/>
  <c r="H568" i="4"/>
  <c r="H576" i="4"/>
  <c r="H584" i="4"/>
  <c r="H592" i="4"/>
  <c r="H600" i="4"/>
  <c r="H608" i="4"/>
  <c r="H616" i="4"/>
  <c r="H624" i="4"/>
  <c r="H632" i="4"/>
  <c r="H640" i="4"/>
  <c r="H648" i="4"/>
  <c r="H656" i="4"/>
  <c r="H664" i="4"/>
  <c r="H672" i="4"/>
  <c r="H680" i="4"/>
  <c r="H688" i="4"/>
  <c r="H696" i="4"/>
  <c r="H704" i="4"/>
  <c r="H712" i="4"/>
  <c r="H720" i="4"/>
  <c r="H728" i="4"/>
  <c r="H736" i="4"/>
  <c r="H744" i="4"/>
  <c r="H752" i="4"/>
  <c r="H760" i="4"/>
  <c r="H768" i="4"/>
  <c r="H776" i="4"/>
  <c r="H784" i="4"/>
  <c r="H792" i="4"/>
  <c r="H800" i="4"/>
  <c r="H808" i="4"/>
  <c r="H816" i="4"/>
  <c r="H824" i="4"/>
  <c r="H832" i="4"/>
  <c r="H840" i="4"/>
  <c r="H848" i="4"/>
  <c r="H856" i="4"/>
  <c r="H864" i="4"/>
  <c r="H872" i="4"/>
  <c r="H880" i="4"/>
  <c r="H888" i="4"/>
  <c r="H896" i="4"/>
  <c r="H904" i="4"/>
  <c r="H912" i="4"/>
  <c r="H920" i="4"/>
  <c r="H928" i="4"/>
  <c r="H936" i="4"/>
  <c r="H944" i="4"/>
  <c r="H952" i="4"/>
  <c r="H960" i="4"/>
  <c r="H968" i="4"/>
  <c r="H976" i="4"/>
  <c r="H984" i="4"/>
  <c r="H992" i="4"/>
  <c r="H1000" i="4"/>
  <c r="H1008" i="4"/>
  <c r="H1016" i="4"/>
  <c r="H1024" i="4"/>
  <c r="H1032" i="4"/>
  <c r="H1040" i="4"/>
  <c r="H1048" i="4"/>
  <c r="H1056" i="4"/>
  <c r="H1064" i="4"/>
  <c r="H1072" i="4"/>
  <c r="H1080" i="4"/>
  <c r="H1088" i="4"/>
  <c r="H1096" i="4"/>
  <c r="H1104" i="4"/>
  <c r="H1112" i="4"/>
  <c r="H1120" i="4"/>
  <c r="H1128" i="4"/>
  <c r="H1136" i="4"/>
  <c r="H1144" i="4"/>
  <c r="H1152" i="4"/>
  <c r="H1160" i="4"/>
  <c r="H1168" i="4"/>
  <c r="H1176" i="4"/>
  <c r="H1184" i="4"/>
  <c r="H1192" i="4"/>
  <c r="H1200" i="4"/>
  <c r="H26" i="4"/>
  <c r="H64" i="4"/>
  <c r="H74" i="4"/>
  <c r="H83" i="4"/>
  <c r="H92" i="4"/>
  <c r="H101" i="4"/>
  <c r="H111" i="4"/>
  <c r="H119" i="4"/>
  <c r="H127" i="4"/>
  <c r="H135" i="4"/>
  <c r="H143" i="4"/>
  <c r="H151" i="4"/>
  <c r="H159" i="4"/>
  <c r="H167" i="4"/>
  <c r="H175" i="4"/>
  <c r="H183" i="4"/>
  <c r="H191" i="4"/>
  <c r="H199" i="4"/>
  <c r="H207" i="4"/>
  <c r="H215" i="4"/>
  <c r="H223" i="4"/>
  <c r="H231" i="4"/>
  <c r="H239" i="4"/>
  <c r="H247" i="4"/>
  <c r="H255" i="4"/>
  <c r="H263" i="4"/>
  <c r="H271" i="4"/>
  <c r="H279" i="4"/>
  <c r="H287" i="4"/>
  <c r="H295" i="4"/>
  <c r="H303" i="4"/>
  <c r="H311" i="4"/>
  <c r="H319" i="4"/>
  <c r="H327" i="4"/>
  <c r="H335" i="4"/>
  <c r="H343" i="4"/>
  <c r="H351" i="4"/>
  <c r="H359" i="4"/>
  <c r="H367" i="4"/>
  <c r="H375" i="4"/>
  <c r="H383" i="4"/>
  <c r="H391" i="4"/>
  <c r="H399" i="4"/>
  <c r="H407" i="4"/>
  <c r="H415" i="4"/>
  <c r="H423" i="4"/>
  <c r="H431" i="4"/>
  <c r="H439" i="4"/>
  <c r="H447" i="4"/>
  <c r="H455" i="4"/>
  <c r="H463" i="4"/>
  <c r="H471" i="4"/>
  <c r="H479" i="4"/>
  <c r="H487" i="4"/>
  <c r="H495" i="4"/>
  <c r="H503" i="4"/>
  <c r="H511" i="4"/>
  <c r="H519" i="4"/>
  <c r="H527" i="4"/>
  <c r="H535" i="4"/>
  <c r="H543" i="4"/>
  <c r="H551" i="4"/>
  <c r="H559" i="4"/>
  <c r="H567" i="4"/>
  <c r="H575" i="4"/>
  <c r="H583" i="4"/>
  <c r="H591" i="4"/>
  <c r="H599" i="4"/>
  <c r="H607" i="4"/>
  <c r="H615" i="4"/>
  <c r="H623" i="4"/>
  <c r="H631" i="4"/>
  <c r="H639" i="4"/>
  <c r="H647" i="4"/>
  <c r="H655" i="4"/>
  <c r="H663" i="4"/>
  <c r="H671" i="4"/>
  <c r="H679" i="4"/>
  <c r="H687" i="4"/>
  <c r="H695" i="4"/>
  <c r="H703" i="4"/>
  <c r="H711" i="4"/>
  <c r="H719" i="4"/>
  <c r="H727" i="4"/>
  <c r="H735" i="4"/>
  <c r="H743" i="4"/>
  <c r="H751" i="4"/>
  <c r="H759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1031" i="4"/>
  <c r="H1039" i="4"/>
  <c r="H1047" i="4"/>
  <c r="H1055" i="4"/>
  <c r="H1063" i="4"/>
  <c r="H1071" i="4"/>
  <c r="H1079" i="4"/>
  <c r="H1087" i="4"/>
  <c r="H1095" i="4"/>
  <c r="H1103" i="4"/>
  <c r="H1111" i="4"/>
  <c r="H1119" i="4"/>
  <c r="H1127" i="4"/>
  <c r="H1135" i="4"/>
  <c r="H1143" i="4"/>
  <c r="H1151" i="4"/>
  <c r="H1159" i="4"/>
  <c r="H1167" i="4"/>
  <c r="H1175" i="4"/>
  <c r="H1183" i="4"/>
  <c r="H1191" i="4"/>
  <c r="H1199" i="4"/>
  <c r="H18" i="4"/>
  <c r="H63" i="4"/>
  <c r="H73" i="4"/>
  <c r="H82" i="4"/>
  <c r="H91" i="4"/>
  <c r="H100" i="4"/>
  <c r="H109" i="4"/>
  <c r="H118" i="4"/>
  <c r="H126" i="4"/>
  <c r="H134" i="4"/>
  <c r="H142" i="4"/>
  <c r="H150" i="4"/>
  <c r="H158" i="4"/>
  <c r="H166" i="4"/>
  <c r="H174" i="4"/>
  <c r="H182" i="4"/>
  <c r="H190" i="4"/>
  <c r="H198" i="4"/>
  <c r="H206" i="4"/>
  <c r="H214" i="4"/>
  <c r="H222" i="4"/>
  <c r="H230" i="4"/>
  <c r="H238" i="4"/>
  <c r="H246" i="4"/>
  <c r="H254" i="4"/>
  <c r="H262" i="4"/>
  <c r="H270" i="4"/>
  <c r="H278" i="4"/>
  <c r="H286" i="4"/>
  <c r="H294" i="4"/>
  <c r="H302" i="4"/>
  <c r="H310" i="4"/>
  <c r="H318" i="4"/>
  <c r="H326" i="4"/>
  <c r="H334" i="4"/>
  <c r="H342" i="4"/>
  <c r="H350" i="4"/>
  <c r="H358" i="4"/>
  <c r="H366" i="4"/>
  <c r="H374" i="4"/>
  <c r="H382" i="4"/>
  <c r="H390" i="4"/>
  <c r="H398" i="4"/>
  <c r="H406" i="4"/>
  <c r="H414" i="4"/>
  <c r="H422" i="4"/>
  <c r="H430" i="4"/>
  <c r="H438" i="4"/>
  <c r="H446" i="4"/>
  <c r="H454" i="4"/>
  <c r="H462" i="4"/>
  <c r="H470" i="4"/>
  <c r="H478" i="4"/>
  <c r="H486" i="4"/>
  <c r="H494" i="4"/>
  <c r="H502" i="4"/>
  <c r="H510" i="4"/>
  <c r="H518" i="4"/>
  <c r="H526" i="4"/>
  <c r="H534" i="4"/>
  <c r="H542" i="4"/>
  <c r="H550" i="4"/>
  <c r="H558" i="4"/>
  <c r="H566" i="4"/>
  <c r="H574" i="4"/>
  <c r="H582" i="4"/>
  <c r="H590" i="4"/>
  <c r="H598" i="4"/>
  <c r="H606" i="4"/>
  <c r="H614" i="4"/>
  <c r="H622" i="4"/>
  <c r="H630" i="4"/>
  <c r="H638" i="4"/>
  <c r="H646" i="4"/>
  <c r="H654" i="4"/>
  <c r="H662" i="4"/>
  <c r="H670" i="4"/>
  <c r="H678" i="4"/>
  <c r="H686" i="4"/>
  <c r="H694" i="4"/>
  <c r="H702" i="4"/>
  <c r="H710" i="4"/>
  <c r="H718" i="4"/>
  <c r="H726" i="4"/>
  <c r="H734" i="4"/>
  <c r="H742" i="4"/>
  <c r="H750" i="4"/>
  <c r="H758" i="4"/>
  <c r="H766" i="4"/>
  <c r="H774" i="4"/>
  <c r="H782" i="4"/>
  <c r="H790" i="4"/>
  <c r="H798" i="4"/>
  <c r="H806" i="4"/>
  <c r="H814" i="4"/>
  <c r="H822" i="4"/>
  <c r="H830" i="4"/>
  <c r="H838" i="4"/>
  <c r="H846" i="4"/>
  <c r="H854" i="4"/>
  <c r="H862" i="4"/>
  <c r="H870" i="4"/>
  <c r="H878" i="4"/>
  <c r="H886" i="4"/>
  <c r="H894" i="4"/>
  <c r="H902" i="4"/>
  <c r="H910" i="4"/>
  <c r="H918" i="4"/>
  <c r="H926" i="4"/>
  <c r="H934" i="4"/>
  <c r="H942" i="4"/>
  <c r="H950" i="4"/>
  <c r="H958" i="4"/>
  <c r="H966" i="4"/>
  <c r="H974" i="4"/>
  <c r="H982" i="4"/>
  <c r="H990" i="4"/>
  <c r="H998" i="4"/>
  <c r="H1006" i="4"/>
  <c r="H1014" i="4"/>
  <c r="H1022" i="4"/>
  <c r="H1030" i="4"/>
  <c r="H1038" i="4"/>
  <c r="H1046" i="4"/>
  <c r="H1054" i="4"/>
  <c r="H1062" i="4"/>
  <c r="H1070" i="4"/>
  <c r="H1078" i="4"/>
  <c r="H1086" i="4"/>
  <c r="H1094" i="4"/>
  <c r="H1102" i="4"/>
  <c r="H1110" i="4"/>
  <c r="H1118" i="4"/>
  <c r="H1126" i="4"/>
  <c r="H1134" i="4"/>
  <c r="H1142" i="4"/>
  <c r="H1150" i="4"/>
  <c r="H1158" i="4"/>
  <c r="H1166" i="4"/>
  <c r="H1174" i="4"/>
  <c r="H1182" i="4"/>
  <c r="H1190" i="4"/>
  <c r="H1198" i="4"/>
  <c r="H2" i="4"/>
  <c r="H10" i="4"/>
  <c r="H61" i="4"/>
  <c r="H72" i="4"/>
  <c r="H81" i="4"/>
  <c r="H90" i="4"/>
  <c r="H99" i="4"/>
  <c r="H108" i="4"/>
  <c r="H117" i="4"/>
  <c r="H125" i="4"/>
  <c r="H133" i="4"/>
  <c r="H141" i="4"/>
  <c r="H149" i="4"/>
  <c r="H157" i="4"/>
  <c r="H165" i="4"/>
  <c r="H173" i="4"/>
  <c r="H181" i="4"/>
  <c r="H189" i="4"/>
  <c r="H197" i="4"/>
  <c r="H205" i="4"/>
  <c r="H213" i="4"/>
  <c r="H221" i="4"/>
  <c r="H229" i="4"/>
  <c r="H237" i="4"/>
  <c r="H245" i="4"/>
  <c r="H253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H581" i="4"/>
  <c r="H589" i="4"/>
  <c r="H597" i="4"/>
  <c r="H605" i="4"/>
  <c r="H613" i="4"/>
  <c r="H621" i="4"/>
  <c r="H629" i="4"/>
  <c r="H637" i="4"/>
  <c r="H645" i="4"/>
  <c r="H653" i="4"/>
  <c r="H661" i="4"/>
  <c r="H669" i="4"/>
  <c r="H677" i="4"/>
  <c r="H685" i="4"/>
  <c r="H693" i="4"/>
  <c r="H701" i="4"/>
  <c r="H709" i="4"/>
  <c r="H717" i="4"/>
  <c r="H725" i="4"/>
  <c r="H733" i="4"/>
  <c r="H741" i="4"/>
  <c r="H749" i="4"/>
  <c r="H757" i="4"/>
  <c r="H765" i="4"/>
  <c r="H773" i="4"/>
  <c r="H781" i="4"/>
  <c r="H789" i="4"/>
  <c r="H797" i="4"/>
  <c r="H805" i="4"/>
  <c r="H813" i="4"/>
  <c r="H821" i="4"/>
  <c r="H829" i="4"/>
  <c r="H837" i="4"/>
  <c r="H845" i="4"/>
  <c r="H853" i="4"/>
  <c r="H861" i="4"/>
  <c r="H869" i="4"/>
  <c r="H877" i="4"/>
  <c r="H885" i="4"/>
  <c r="H893" i="4"/>
  <c r="H901" i="4"/>
  <c r="H909" i="4"/>
  <c r="H917" i="4"/>
  <c r="H925" i="4"/>
  <c r="H933" i="4"/>
  <c r="H941" i="4"/>
  <c r="H949" i="4"/>
  <c r="H957" i="4"/>
  <c r="H965" i="4"/>
  <c r="H973" i="4"/>
  <c r="H981" i="4"/>
  <c r="H989" i="4"/>
  <c r="H997" i="4"/>
  <c r="H1005" i="4"/>
  <c r="H1013" i="4"/>
  <c r="H1021" i="4"/>
  <c r="H1029" i="4"/>
  <c r="H1037" i="4"/>
  <c r="H1045" i="4"/>
  <c r="H1053" i="4"/>
  <c r="H1061" i="4"/>
  <c r="H1069" i="4"/>
  <c r="H1077" i="4"/>
  <c r="H1085" i="4"/>
  <c r="H1093" i="4"/>
  <c r="H1101" i="4"/>
  <c r="H1109" i="4"/>
  <c r="H1117" i="4"/>
  <c r="H1125" i="4"/>
  <c r="H1133" i="4"/>
  <c r="H1141" i="4"/>
  <c r="H1149" i="4"/>
  <c r="H1157" i="4"/>
  <c r="H1165" i="4"/>
  <c r="H1173" i="4"/>
  <c r="H1181" i="4"/>
  <c r="H1189" i="4"/>
  <c r="H1197" i="4"/>
  <c r="H1205" i="4"/>
  <c r="H60" i="4"/>
  <c r="H71" i="4"/>
  <c r="H80" i="4"/>
  <c r="H89" i="4"/>
  <c r="H98" i="4"/>
  <c r="H107" i="4"/>
  <c r="H116" i="4"/>
  <c r="H124" i="4"/>
  <c r="H132" i="4"/>
  <c r="H140" i="4"/>
  <c r="H148" i="4"/>
  <c r="H156" i="4"/>
  <c r="H164" i="4"/>
  <c r="H172" i="4"/>
  <c r="H180" i="4"/>
  <c r="H188" i="4"/>
  <c r="H196" i="4"/>
  <c r="H204" i="4"/>
  <c r="H212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32" i="4"/>
  <c r="H340" i="4"/>
  <c r="H348" i="4"/>
  <c r="H356" i="4"/>
  <c r="H364" i="4"/>
  <c r="H372" i="4"/>
  <c r="H380" i="4"/>
  <c r="H388" i="4"/>
  <c r="H396" i="4"/>
  <c r="H404" i="4"/>
  <c r="H412" i="4"/>
  <c r="H420" i="4"/>
  <c r="H428" i="4"/>
  <c r="H436" i="4"/>
  <c r="H444" i="4"/>
  <c r="H452" i="4"/>
  <c r="H460" i="4"/>
  <c r="H468" i="4"/>
  <c r="H476" i="4"/>
  <c r="H484" i="4"/>
  <c r="H492" i="4"/>
  <c r="H500" i="4"/>
  <c r="H508" i="4"/>
  <c r="H516" i="4"/>
  <c r="H524" i="4"/>
  <c r="H532" i="4"/>
  <c r="H540" i="4"/>
  <c r="H548" i="4"/>
  <c r="H556" i="4"/>
  <c r="H564" i="4"/>
  <c r="H572" i="4"/>
  <c r="H580" i="4"/>
  <c r="H588" i="4"/>
  <c r="H596" i="4"/>
  <c r="H604" i="4"/>
  <c r="H612" i="4"/>
  <c r="H620" i="4"/>
  <c r="H628" i="4"/>
  <c r="H636" i="4"/>
  <c r="H644" i="4"/>
  <c r="H652" i="4"/>
  <c r="H660" i="4"/>
  <c r="H668" i="4"/>
  <c r="H676" i="4"/>
  <c r="H684" i="4"/>
  <c r="H692" i="4"/>
  <c r="H700" i="4"/>
  <c r="H708" i="4"/>
  <c r="H716" i="4"/>
  <c r="H724" i="4"/>
  <c r="H732" i="4"/>
  <c r="H740" i="4"/>
  <c r="H748" i="4"/>
  <c r="H756" i="4"/>
  <c r="H764" i="4"/>
  <c r="H772" i="4"/>
  <c r="H780" i="4"/>
  <c r="H788" i="4"/>
  <c r="H796" i="4"/>
  <c r="H804" i="4"/>
  <c r="H812" i="4"/>
  <c r="H820" i="4"/>
  <c r="H828" i="4"/>
  <c r="H836" i="4"/>
  <c r="H844" i="4"/>
  <c r="H852" i="4"/>
  <c r="H860" i="4"/>
  <c r="H868" i="4"/>
  <c r="H876" i="4"/>
  <c r="H884" i="4"/>
  <c r="H892" i="4"/>
  <c r="H900" i="4"/>
  <c r="H908" i="4"/>
  <c r="H916" i="4"/>
  <c r="H924" i="4"/>
  <c r="H932" i="4"/>
  <c r="H940" i="4"/>
  <c r="H948" i="4"/>
  <c r="H956" i="4"/>
  <c r="H964" i="4"/>
  <c r="H972" i="4"/>
  <c r="H980" i="4"/>
  <c r="H988" i="4"/>
  <c r="H996" i="4"/>
  <c r="H1004" i="4"/>
  <c r="H1012" i="4"/>
  <c r="H1020" i="4"/>
  <c r="H1028" i="4"/>
  <c r="H1036" i="4"/>
  <c r="H1044" i="4"/>
  <c r="H1052" i="4"/>
  <c r="H1060" i="4"/>
  <c r="H1068" i="4"/>
  <c r="H1076" i="4"/>
  <c r="H1084" i="4"/>
  <c r="H1092" i="4"/>
  <c r="H1100" i="4"/>
  <c r="H1108" i="4"/>
  <c r="H1116" i="4"/>
  <c r="H1124" i="4"/>
  <c r="H1132" i="4"/>
  <c r="H1140" i="4"/>
  <c r="H1148" i="4"/>
  <c r="H1156" i="4"/>
  <c r="H1164" i="4"/>
  <c r="H1172" i="4"/>
  <c r="H1180" i="4"/>
  <c r="H1188" i="4"/>
  <c r="H1196" i="4"/>
  <c r="H1204" i="4"/>
  <c r="H58" i="4"/>
  <c r="H69" i="4"/>
  <c r="H79" i="4"/>
  <c r="H88" i="4"/>
  <c r="H97" i="4"/>
  <c r="H106" i="4"/>
  <c r="H115" i="4"/>
  <c r="H123" i="4"/>
  <c r="H131" i="4"/>
  <c r="H139" i="4"/>
  <c r="H147" i="4"/>
  <c r="H155" i="4"/>
  <c r="H163" i="4"/>
  <c r="H171" i="4"/>
  <c r="H179" i="4"/>
  <c r="H187" i="4"/>
  <c r="H195" i="4"/>
  <c r="H203" i="4"/>
  <c r="H211" i="4"/>
  <c r="H219" i="4"/>
  <c r="H227" i="4"/>
  <c r="H235" i="4"/>
  <c r="H243" i="4"/>
  <c r="H251" i="4"/>
  <c r="H259" i="4"/>
  <c r="H267" i="4"/>
  <c r="H275" i="4"/>
  <c r="H283" i="4"/>
  <c r="H291" i="4"/>
  <c r="H299" i="4"/>
  <c r="H307" i="4"/>
  <c r="H315" i="4"/>
  <c r="H323" i="4"/>
  <c r="H331" i="4"/>
  <c r="H339" i="4"/>
  <c r="H347" i="4"/>
  <c r="H355" i="4"/>
  <c r="H363" i="4"/>
  <c r="H371" i="4"/>
  <c r="H379" i="4"/>
  <c r="H387" i="4"/>
  <c r="H395" i="4"/>
  <c r="H403" i="4"/>
  <c r="H411" i="4"/>
  <c r="H419" i="4"/>
  <c r="H427" i="4"/>
  <c r="H435" i="4"/>
  <c r="H443" i="4"/>
  <c r="H451" i="4"/>
  <c r="H459" i="4"/>
  <c r="H467" i="4"/>
  <c r="H475" i="4"/>
  <c r="H483" i="4"/>
  <c r="H491" i="4"/>
  <c r="H499" i="4"/>
  <c r="H507" i="4"/>
  <c r="H515" i="4"/>
  <c r="H523" i="4"/>
  <c r="H531" i="4"/>
  <c r="H539" i="4"/>
  <c r="H547" i="4"/>
  <c r="H555" i="4"/>
  <c r="H563" i="4"/>
  <c r="H571" i="4"/>
  <c r="H579" i="4"/>
  <c r="H587" i="4"/>
  <c r="H595" i="4"/>
  <c r="H603" i="4"/>
  <c r="H611" i="4"/>
  <c r="H619" i="4"/>
  <c r="H627" i="4"/>
  <c r="H635" i="4"/>
  <c r="H643" i="4"/>
  <c r="H651" i="4"/>
  <c r="H659" i="4"/>
  <c r="H667" i="4"/>
  <c r="H675" i="4"/>
  <c r="H683" i="4"/>
  <c r="H691" i="4"/>
  <c r="H699" i="4"/>
  <c r="H707" i="4"/>
  <c r="H715" i="4"/>
  <c r="H723" i="4"/>
  <c r="H731" i="4"/>
  <c r="H739" i="4"/>
  <c r="H747" i="4"/>
  <c r="H755" i="4"/>
  <c r="H763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907" i="4"/>
  <c r="H915" i="4"/>
  <c r="H923" i="4"/>
  <c r="H931" i="4"/>
  <c r="H939" i="4"/>
  <c r="H947" i="4"/>
  <c r="H955" i="4"/>
  <c r="H963" i="4"/>
  <c r="H971" i="4"/>
  <c r="H979" i="4"/>
  <c r="H987" i="4"/>
  <c r="H995" i="4"/>
  <c r="H1003" i="4"/>
  <c r="H1011" i="4"/>
  <c r="H1019" i="4"/>
  <c r="H1027" i="4"/>
  <c r="H1035" i="4"/>
  <c r="H1043" i="4"/>
  <c r="H1051" i="4"/>
  <c r="H1059" i="4"/>
  <c r="H1067" i="4"/>
  <c r="H1075" i="4"/>
  <c r="H1083" i="4"/>
  <c r="H1091" i="4"/>
  <c r="H1099" i="4"/>
  <c r="H1107" i="4"/>
  <c r="H1115" i="4"/>
  <c r="H1123" i="4"/>
  <c r="H1131" i="4"/>
  <c r="H1139" i="4"/>
  <c r="H1147" i="4"/>
  <c r="H1155" i="4"/>
  <c r="H1163" i="4"/>
  <c r="H1171" i="4"/>
  <c r="H1179" i="4"/>
  <c r="H1187" i="4"/>
  <c r="H1195" i="4"/>
  <c r="H1203" i="4"/>
  <c r="H59" i="4"/>
  <c r="H51" i="4"/>
  <c r="H43" i="4"/>
  <c r="H35" i="4"/>
  <c r="H27" i="4"/>
  <c r="H19" i="4"/>
  <c r="H11" i="4"/>
  <c r="H3" i="4"/>
  <c r="H52" i="4"/>
  <c r="H44" i="4"/>
  <c r="H36" i="4"/>
  <c r="H28" i="4"/>
  <c r="H20" i="4"/>
  <c r="H12" i="4"/>
  <c r="H4" i="4"/>
  <c r="H53" i="4"/>
  <c r="H45" i="4"/>
  <c r="H37" i="4"/>
  <c r="H29" i="4"/>
  <c r="H21" i="4"/>
  <c r="H13" i="4"/>
  <c r="H110" i="4"/>
  <c r="H102" i="4"/>
  <c r="H94" i="4"/>
  <c r="H86" i="4"/>
  <c r="H78" i="4"/>
  <c r="H70" i="4"/>
  <c r="H62" i="4"/>
  <c r="H54" i="4"/>
  <c r="H46" i="4"/>
  <c r="H38" i="4"/>
  <c r="H30" i="4"/>
  <c r="H22" i="4"/>
  <c r="H14" i="4"/>
  <c r="H6" i="4"/>
  <c r="H55" i="4"/>
  <c r="H47" i="4"/>
  <c r="H39" i="4"/>
  <c r="H31" i="4"/>
  <c r="H23" i="4"/>
  <c r="H15" i="4"/>
  <c r="H7" i="4"/>
  <c r="H56" i="4"/>
  <c r="H48" i="4"/>
  <c r="H40" i="4"/>
  <c r="H32" i="4"/>
  <c r="H24" i="4"/>
  <c r="H16" i="4"/>
  <c r="H8" i="4"/>
  <c r="H65" i="4"/>
  <c r="H57" i="4"/>
  <c r="H49" i="4"/>
  <c r="H41" i="4"/>
  <c r="H33" i="4"/>
  <c r="H25" i="4"/>
  <c r="H17" i="4"/>
  <c r="Q266" i="3"/>
  <c r="R266" i="3"/>
  <c r="S266" i="3"/>
  <c r="T266" i="3"/>
  <c r="U266" i="3"/>
  <c r="V266" i="3"/>
  <c r="W266" i="3"/>
  <c r="Q267" i="3"/>
  <c r="R267" i="3"/>
  <c r="S267" i="3"/>
  <c r="T267" i="3"/>
  <c r="U267" i="3"/>
  <c r="V267" i="3"/>
  <c r="W267" i="3"/>
  <c r="Q268" i="3"/>
  <c r="R268" i="3"/>
  <c r="S268" i="3"/>
  <c r="T268" i="3"/>
  <c r="U268" i="3"/>
  <c r="V268" i="3"/>
  <c r="W268" i="3"/>
  <c r="Q269" i="3"/>
  <c r="R269" i="3"/>
  <c r="S269" i="3"/>
  <c r="T269" i="3"/>
  <c r="U269" i="3"/>
  <c r="V269" i="3"/>
  <c r="W269" i="3"/>
  <c r="Q270" i="3"/>
  <c r="R270" i="3"/>
  <c r="S270" i="3"/>
  <c r="T270" i="3"/>
  <c r="U270" i="3"/>
  <c r="V270" i="3"/>
  <c r="W270" i="3"/>
  <c r="Q271" i="3"/>
  <c r="R271" i="3"/>
  <c r="S271" i="3"/>
  <c r="T271" i="3"/>
  <c r="U271" i="3"/>
  <c r="V271" i="3"/>
  <c r="W271" i="3"/>
  <c r="Q272" i="3"/>
  <c r="R272" i="3"/>
  <c r="S272" i="3"/>
  <c r="T272" i="3"/>
  <c r="U272" i="3"/>
  <c r="V272" i="3"/>
  <c r="W272" i="3"/>
  <c r="Q273" i="3"/>
  <c r="R273" i="3"/>
  <c r="S273" i="3"/>
  <c r="T273" i="3"/>
  <c r="U273" i="3"/>
  <c r="V273" i="3"/>
  <c r="W273" i="3"/>
  <c r="Q274" i="3"/>
  <c r="R274" i="3"/>
  <c r="S274" i="3"/>
  <c r="T274" i="3"/>
  <c r="U274" i="3"/>
  <c r="V274" i="3"/>
  <c r="W274" i="3"/>
  <c r="Q275" i="3"/>
  <c r="R275" i="3"/>
  <c r="S275" i="3"/>
  <c r="T275" i="3"/>
  <c r="U275" i="3"/>
  <c r="V275" i="3"/>
  <c r="W275" i="3"/>
  <c r="Q276" i="3"/>
  <c r="R276" i="3"/>
  <c r="S276" i="3"/>
  <c r="T276" i="3"/>
  <c r="U276" i="3"/>
  <c r="V276" i="3"/>
  <c r="W276" i="3"/>
  <c r="Q277" i="3"/>
  <c r="R277" i="3"/>
  <c r="S277" i="3"/>
  <c r="T277" i="3"/>
  <c r="U277" i="3"/>
  <c r="V277" i="3"/>
  <c r="W277" i="3"/>
  <c r="Q278" i="3"/>
  <c r="R278" i="3"/>
  <c r="S278" i="3"/>
  <c r="T278" i="3"/>
  <c r="U278" i="3"/>
  <c r="V278" i="3"/>
  <c r="W278" i="3"/>
  <c r="Q279" i="3"/>
  <c r="R279" i="3"/>
  <c r="S279" i="3"/>
  <c r="T279" i="3"/>
  <c r="U279" i="3"/>
  <c r="V279" i="3"/>
  <c r="W279" i="3"/>
  <c r="Q280" i="3"/>
  <c r="R280" i="3"/>
  <c r="S280" i="3"/>
  <c r="T280" i="3"/>
  <c r="U280" i="3"/>
  <c r="V280" i="3"/>
  <c r="W280" i="3"/>
  <c r="Q281" i="3"/>
  <c r="R281" i="3"/>
  <c r="S281" i="3"/>
  <c r="T281" i="3"/>
  <c r="U281" i="3"/>
  <c r="V281" i="3"/>
  <c r="W281" i="3"/>
  <c r="Q282" i="3"/>
  <c r="R282" i="3"/>
  <c r="S282" i="3"/>
  <c r="T282" i="3"/>
  <c r="U282" i="3"/>
  <c r="V282" i="3"/>
  <c r="W282" i="3"/>
  <c r="Q283" i="3"/>
  <c r="R283" i="3"/>
  <c r="S283" i="3"/>
  <c r="T283" i="3"/>
  <c r="U283" i="3"/>
  <c r="V283" i="3"/>
  <c r="W283" i="3"/>
  <c r="Q284" i="3"/>
  <c r="R284" i="3"/>
  <c r="S284" i="3"/>
  <c r="T284" i="3"/>
  <c r="U284" i="3"/>
  <c r="V284" i="3"/>
  <c r="W284" i="3"/>
  <c r="Q285" i="3"/>
  <c r="R285" i="3"/>
  <c r="S285" i="3"/>
  <c r="T285" i="3"/>
  <c r="U285" i="3"/>
  <c r="V285" i="3"/>
  <c r="W285" i="3"/>
  <c r="Q286" i="3"/>
  <c r="R286" i="3"/>
  <c r="S286" i="3"/>
  <c r="T286" i="3"/>
  <c r="U286" i="3"/>
  <c r="V286" i="3"/>
  <c r="W286" i="3"/>
  <c r="Q287" i="3"/>
  <c r="R287" i="3"/>
  <c r="S287" i="3"/>
  <c r="T287" i="3"/>
  <c r="U287" i="3"/>
  <c r="V287" i="3"/>
  <c r="W287" i="3"/>
  <c r="Q288" i="3"/>
  <c r="R288" i="3"/>
  <c r="S288" i="3"/>
  <c r="T288" i="3"/>
  <c r="U288" i="3"/>
  <c r="V288" i="3"/>
  <c r="W288" i="3"/>
  <c r="Q289" i="3"/>
  <c r="R289" i="3"/>
  <c r="S289" i="3"/>
  <c r="T289" i="3"/>
  <c r="U289" i="3"/>
  <c r="V289" i="3"/>
  <c r="W289" i="3"/>
  <c r="Q290" i="3"/>
  <c r="R290" i="3"/>
  <c r="S290" i="3"/>
  <c r="T290" i="3"/>
  <c r="U290" i="3"/>
  <c r="V290" i="3"/>
  <c r="W290" i="3"/>
  <c r="Q291" i="3"/>
  <c r="R291" i="3"/>
  <c r="S291" i="3"/>
  <c r="T291" i="3"/>
  <c r="U291" i="3"/>
  <c r="V291" i="3"/>
  <c r="W291" i="3"/>
  <c r="Q292" i="3"/>
  <c r="R292" i="3"/>
  <c r="S292" i="3"/>
  <c r="T292" i="3"/>
  <c r="U292" i="3"/>
  <c r="V292" i="3"/>
  <c r="W292" i="3"/>
  <c r="Q293" i="3"/>
  <c r="R293" i="3"/>
  <c r="S293" i="3"/>
  <c r="T293" i="3"/>
  <c r="U293" i="3"/>
  <c r="V293" i="3"/>
  <c r="W293" i="3"/>
  <c r="Q294" i="3"/>
  <c r="R294" i="3"/>
  <c r="S294" i="3"/>
  <c r="T294" i="3"/>
  <c r="U294" i="3"/>
  <c r="V294" i="3"/>
  <c r="W294" i="3"/>
  <c r="Q295" i="3"/>
  <c r="R295" i="3"/>
  <c r="S295" i="3"/>
  <c r="T295" i="3"/>
  <c r="U295" i="3"/>
  <c r="V295" i="3"/>
  <c r="W295" i="3"/>
  <c r="Q296" i="3"/>
  <c r="R296" i="3"/>
  <c r="S296" i="3"/>
  <c r="T296" i="3"/>
  <c r="U296" i="3"/>
  <c r="V296" i="3"/>
  <c r="W296" i="3"/>
  <c r="Q297" i="3"/>
  <c r="R297" i="3"/>
  <c r="S297" i="3"/>
  <c r="T297" i="3"/>
  <c r="U297" i="3"/>
  <c r="V297" i="3"/>
  <c r="W297" i="3"/>
  <c r="Q298" i="3"/>
  <c r="R298" i="3"/>
  <c r="S298" i="3"/>
  <c r="T298" i="3"/>
  <c r="U298" i="3"/>
  <c r="V298" i="3"/>
  <c r="W298" i="3"/>
  <c r="Q299" i="3"/>
  <c r="R299" i="3"/>
  <c r="S299" i="3"/>
  <c r="T299" i="3"/>
  <c r="U299" i="3"/>
  <c r="V299" i="3"/>
  <c r="W299" i="3"/>
  <c r="Q300" i="3"/>
  <c r="R300" i="3"/>
  <c r="S300" i="3"/>
  <c r="T300" i="3"/>
  <c r="U300" i="3"/>
  <c r="V300" i="3"/>
  <c r="W300" i="3"/>
  <c r="Q301" i="3"/>
  <c r="R301" i="3"/>
  <c r="S301" i="3"/>
  <c r="T301" i="3"/>
  <c r="U301" i="3"/>
  <c r="V301" i="3"/>
  <c r="W301" i="3"/>
  <c r="Q302" i="3"/>
  <c r="R302" i="3"/>
  <c r="S302" i="3"/>
  <c r="T302" i="3"/>
  <c r="U302" i="3"/>
  <c r="V302" i="3"/>
  <c r="W302" i="3"/>
  <c r="Q303" i="3"/>
  <c r="R303" i="3"/>
  <c r="S303" i="3"/>
  <c r="T303" i="3"/>
  <c r="U303" i="3"/>
  <c r="V303" i="3"/>
  <c r="W303" i="3"/>
  <c r="Q304" i="3"/>
  <c r="R304" i="3"/>
  <c r="S304" i="3"/>
  <c r="T304" i="3"/>
  <c r="U304" i="3"/>
  <c r="V304" i="3"/>
  <c r="W304" i="3"/>
  <c r="Q305" i="3"/>
  <c r="R305" i="3"/>
  <c r="S305" i="3"/>
  <c r="T305" i="3"/>
  <c r="U305" i="3"/>
  <c r="V305" i="3"/>
  <c r="W305" i="3"/>
  <c r="Q306" i="3"/>
  <c r="R306" i="3"/>
  <c r="S306" i="3"/>
  <c r="T306" i="3"/>
  <c r="U306" i="3"/>
  <c r="V306" i="3"/>
  <c r="W306" i="3"/>
  <c r="Q307" i="3"/>
  <c r="R307" i="3"/>
  <c r="S307" i="3"/>
  <c r="T307" i="3"/>
  <c r="U307" i="3"/>
  <c r="V307" i="3"/>
  <c r="W307" i="3"/>
  <c r="Q308" i="3"/>
  <c r="R308" i="3"/>
  <c r="S308" i="3"/>
  <c r="T308" i="3"/>
  <c r="U308" i="3"/>
  <c r="V308" i="3"/>
  <c r="W308" i="3"/>
  <c r="Q309" i="3"/>
  <c r="R309" i="3"/>
  <c r="S309" i="3"/>
  <c r="T309" i="3"/>
  <c r="U309" i="3"/>
  <c r="V309" i="3"/>
  <c r="W309" i="3"/>
  <c r="Q310" i="3"/>
  <c r="R310" i="3"/>
  <c r="S310" i="3"/>
  <c r="T310" i="3"/>
  <c r="U310" i="3"/>
  <c r="V310" i="3"/>
  <c r="W310" i="3"/>
  <c r="Q311" i="3"/>
  <c r="R311" i="3"/>
  <c r="S311" i="3"/>
  <c r="T311" i="3"/>
  <c r="U311" i="3"/>
  <c r="V311" i="3"/>
  <c r="W311" i="3"/>
  <c r="Q312" i="3"/>
  <c r="R312" i="3"/>
  <c r="S312" i="3"/>
  <c r="T312" i="3"/>
  <c r="U312" i="3"/>
  <c r="V312" i="3"/>
  <c r="W312" i="3"/>
  <c r="Q313" i="3"/>
  <c r="R313" i="3"/>
  <c r="S313" i="3"/>
  <c r="T313" i="3"/>
  <c r="U313" i="3"/>
  <c r="V313" i="3"/>
  <c r="W313" i="3"/>
  <c r="Q314" i="3"/>
  <c r="R314" i="3"/>
  <c r="S314" i="3"/>
  <c r="T314" i="3"/>
  <c r="U314" i="3"/>
  <c r="V314" i="3"/>
  <c r="W314" i="3"/>
  <c r="Q315" i="3"/>
  <c r="R315" i="3"/>
  <c r="S315" i="3"/>
  <c r="T315" i="3"/>
  <c r="U315" i="3"/>
  <c r="V315" i="3"/>
  <c r="W315" i="3"/>
  <c r="Q316" i="3"/>
  <c r="R316" i="3"/>
  <c r="S316" i="3"/>
  <c r="T316" i="3"/>
  <c r="U316" i="3"/>
  <c r="V316" i="3"/>
  <c r="W316" i="3"/>
  <c r="Q317" i="3"/>
  <c r="R317" i="3"/>
  <c r="S317" i="3"/>
  <c r="T317" i="3"/>
  <c r="U317" i="3"/>
  <c r="V317" i="3"/>
  <c r="W317" i="3"/>
  <c r="Q318" i="3"/>
  <c r="R318" i="3"/>
  <c r="A1038" i="4" s="1"/>
  <c r="S318" i="3"/>
  <c r="T318" i="3"/>
  <c r="U318" i="3"/>
  <c r="V318" i="3"/>
  <c r="W318" i="3"/>
  <c r="Q319" i="3"/>
  <c r="R319" i="3"/>
  <c r="S319" i="3"/>
  <c r="T319" i="3"/>
  <c r="U319" i="3"/>
  <c r="V319" i="3"/>
  <c r="W319" i="3"/>
  <c r="Q320" i="3"/>
  <c r="R320" i="3"/>
  <c r="S320" i="3"/>
  <c r="T320" i="3"/>
  <c r="U320" i="3"/>
  <c r="V320" i="3"/>
  <c r="W320" i="3"/>
  <c r="Q321" i="3"/>
  <c r="R321" i="3"/>
  <c r="S321" i="3"/>
  <c r="T321" i="3"/>
  <c r="U321" i="3"/>
  <c r="V321" i="3"/>
  <c r="W321" i="3"/>
  <c r="Q322" i="3"/>
  <c r="R322" i="3"/>
  <c r="S322" i="3"/>
  <c r="T322" i="3"/>
  <c r="U322" i="3"/>
  <c r="V322" i="3"/>
  <c r="W322" i="3"/>
  <c r="Q323" i="3"/>
  <c r="R323" i="3"/>
  <c r="S323" i="3"/>
  <c r="T323" i="3"/>
  <c r="U323" i="3"/>
  <c r="V323" i="3"/>
  <c r="W323" i="3"/>
  <c r="Q324" i="3"/>
  <c r="R324" i="3"/>
  <c r="S324" i="3"/>
  <c r="T324" i="3"/>
  <c r="U324" i="3"/>
  <c r="V324" i="3"/>
  <c r="W324" i="3"/>
  <c r="Q325" i="3"/>
  <c r="R325" i="3"/>
  <c r="S325" i="3"/>
  <c r="T325" i="3"/>
  <c r="U325" i="3"/>
  <c r="V325" i="3"/>
  <c r="W325" i="3"/>
  <c r="Q326" i="3"/>
  <c r="R326" i="3"/>
  <c r="S326" i="3"/>
  <c r="T326" i="3"/>
  <c r="U326" i="3"/>
  <c r="V326" i="3"/>
  <c r="W326" i="3"/>
  <c r="Q327" i="3"/>
  <c r="R327" i="3"/>
  <c r="S327" i="3"/>
  <c r="T327" i="3"/>
  <c r="U327" i="3"/>
  <c r="V327" i="3"/>
  <c r="W327" i="3"/>
  <c r="Q328" i="3"/>
  <c r="R328" i="3"/>
  <c r="A1037" i="4" s="1"/>
  <c r="S328" i="3"/>
  <c r="T328" i="3"/>
  <c r="U328" i="3"/>
  <c r="V328" i="3"/>
  <c r="W328" i="3"/>
  <c r="Q329" i="3"/>
  <c r="R329" i="3"/>
  <c r="S329" i="3"/>
  <c r="T329" i="3"/>
  <c r="U329" i="3"/>
  <c r="V329" i="3"/>
  <c r="W329" i="3"/>
  <c r="Q330" i="3"/>
  <c r="R330" i="3"/>
  <c r="S330" i="3"/>
  <c r="T330" i="3"/>
  <c r="U330" i="3"/>
  <c r="V330" i="3"/>
  <c r="W330" i="3"/>
  <c r="Q331" i="3"/>
  <c r="R331" i="3"/>
  <c r="S331" i="3"/>
  <c r="T331" i="3"/>
  <c r="U331" i="3"/>
  <c r="V331" i="3"/>
  <c r="W331" i="3"/>
  <c r="Q332" i="3"/>
  <c r="R332" i="3"/>
  <c r="S332" i="3"/>
  <c r="T332" i="3"/>
  <c r="U332" i="3"/>
  <c r="V332" i="3"/>
  <c r="W332" i="3"/>
  <c r="Q333" i="3"/>
  <c r="R333" i="3"/>
  <c r="S333" i="3"/>
  <c r="T333" i="3"/>
  <c r="U333" i="3"/>
  <c r="V333" i="3"/>
  <c r="W333" i="3"/>
  <c r="Q334" i="3"/>
  <c r="R334" i="3"/>
  <c r="S334" i="3"/>
  <c r="T334" i="3"/>
  <c r="U334" i="3"/>
  <c r="V334" i="3"/>
  <c r="W334" i="3"/>
  <c r="Q335" i="3"/>
  <c r="R335" i="3"/>
  <c r="S335" i="3"/>
  <c r="T335" i="3"/>
  <c r="U335" i="3"/>
  <c r="V335" i="3"/>
  <c r="W335" i="3"/>
  <c r="Q336" i="3"/>
  <c r="R336" i="3"/>
  <c r="S336" i="3"/>
  <c r="T336" i="3"/>
  <c r="U336" i="3"/>
  <c r="V336" i="3"/>
  <c r="W336" i="3"/>
  <c r="Q337" i="3"/>
  <c r="R337" i="3"/>
  <c r="S337" i="3"/>
  <c r="T337" i="3"/>
  <c r="U337" i="3"/>
  <c r="V337" i="3"/>
  <c r="W337" i="3"/>
  <c r="Q338" i="3"/>
  <c r="R338" i="3"/>
  <c r="S338" i="3"/>
  <c r="T338" i="3"/>
  <c r="U338" i="3"/>
  <c r="V338" i="3"/>
  <c r="W338" i="3"/>
  <c r="Q339" i="3"/>
  <c r="R339" i="3"/>
  <c r="S339" i="3"/>
  <c r="T339" i="3"/>
  <c r="U339" i="3"/>
  <c r="V339" i="3"/>
  <c r="W339" i="3"/>
  <c r="Q340" i="3"/>
  <c r="R340" i="3"/>
  <c r="S340" i="3"/>
  <c r="T340" i="3"/>
  <c r="U340" i="3"/>
  <c r="V340" i="3"/>
  <c r="W340" i="3"/>
  <c r="Q341" i="3"/>
  <c r="R341" i="3"/>
  <c r="S341" i="3"/>
  <c r="T341" i="3"/>
  <c r="U341" i="3"/>
  <c r="V341" i="3"/>
  <c r="W341" i="3"/>
  <c r="Q342" i="3"/>
  <c r="R342" i="3"/>
  <c r="S342" i="3"/>
  <c r="T342" i="3"/>
  <c r="U342" i="3"/>
  <c r="V342" i="3"/>
  <c r="W342" i="3"/>
  <c r="Q343" i="3"/>
  <c r="R343" i="3"/>
  <c r="S343" i="3"/>
  <c r="T343" i="3"/>
  <c r="U343" i="3"/>
  <c r="V343" i="3"/>
  <c r="W343" i="3"/>
  <c r="Q344" i="3"/>
  <c r="R344" i="3"/>
  <c r="S344" i="3"/>
  <c r="T344" i="3"/>
  <c r="U344" i="3"/>
  <c r="V344" i="3"/>
  <c r="W344" i="3"/>
  <c r="Q345" i="3"/>
  <c r="R345" i="3"/>
  <c r="S345" i="3"/>
  <c r="T345" i="3"/>
  <c r="U345" i="3"/>
  <c r="V345" i="3"/>
  <c r="W345" i="3"/>
  <c r="Q346" i="3"/>
  <c r="R346" i="3"/>
  <c r="S346" i="3"/>
  <c r="T346" i="3"/>
  <c r="U346" i="3"/>
  <c r="V346" i="3"/>
  <c r="W346" i="3"/>
  <c r="Q347" i="3"/>
  <c r="R347" i="3"/>
  <c r="S347" i="3"/>
  <c r="T347" i="3"/>
  <c r="U347" i="3"/>
  <c r="V347" i="3"/>
  <c r="W347" i="3"/>
  <c r="Q348" i="3"/>
  <c r="R348" i="3"/>
  <c r="S348" i="3"/>
  <c r="T348" i="3"/>
  <c r="U348" i="3"/>
  <c r="V348" i="3"/>
  <c r="W348" i="3"/>
  <c r="Q349" i="3"/>
  <c r="R349" i="3"/>
  <c r="S349" i="3"/>
  <c r="T349" i="3"/>
  <c r="U349" i="3"/>
  <c r="V349" i="3"/>
  <c r="W349" i="3"/>
  <c r="Q350" i="3"/>
  <c r="R350" i="3"/>
  <c r="S350" i="3"/>
  <c r="T350" i="3"/>
  <c r="U350" i="3"/>
  <c r="V350" i="3"/>
  <c r="W350" i="3"/>
  <c r="Q351" i="3"/>
  <c r="R351" i="3"/>
  <c r="S351" i="3"/>
  <c r="T351" i="3"/>
  <c r="U351" i="3"/>
  <c r="V351" i="3"/>
  <c r="W351" i="3"/>
  <c r="Q352" i="3"/>
  <c r="R352" i="3"/>
  <c r="S352" i="3"/>
  <c r="T352" i="3"/>
  <c r="U352" i="3"/>
  <c r="V352" i="3"/>
  <c r="W352" i="3"/>
  <c r="Q353" i="3"/>
  <c r="R353" i="3"/>
  <c r="S353" i="3"/>
  <c r="T353" i="3"/>
  <c r="U353" i="3"/>
  <c r="V353" i="3"/>
  <c r="W353" i="3"/>
  <c r="Q354" i="3"/>
  <c r="R354" i="3"/>
  <c r="S354" i="3"/>
  <c r="T354" i="3"/>
  <c r="U354" i="3"/>
  <c r="V354" i="3"/>
  <c r="W354" i="3"/>
  <c r="Q355" i="3"/>
  <c r="R355" i="3"/>
  <c r="S355" i="3"/>
  <c r="T355" i="3"/>
  <c r="U355" i="3"/>
  <c r="V355" i="3"/>
  <c r="W355" i="3"/>
  <c r="Q356" i="3"/>
  <c r="R356" i="3"/>
  <c r="S356" i="3"/>
  <c r="T356" i="3"/>
  <c r="U356" i="3"/>
  <c r="V356" i="3"/>
  <c r="W356" i="3"/>
  <c r="Q357" i="3"/>
  <c r="R357" i="3"/>
  <c r="S357" i="3"/>
  <c r="T357" i="3"/>
  <c r="U357" i="3"/>
  <c r="V357" i="3"/>
  <c r="W357" i="3"/>
  <c r="Q358" i="3"/>
  <c r="R358" i="3"/>
  <c r="S358" i="3"/>
  <c r="T358" i="3"/>
  <c r="U358" i="3"/>
  <c r="V358" i="3"/>
  <c r="W358" i="3"/>
  <c r="Q359" i="3"/>
  <c r="R359" i="3"/>
  <c r="S359" i="3"/>
  <c r="T359" i="3"/>
  <c r="U359" i="3"/>
  <c r="V359" i="3"/>
  <c r="W359" i="3"/>
  <c r="Q360" i="3"/>
  <c r="R360" i="3"/>
  <c r="S360" i="3"/>
  <c r="T360" i="3"/>
  <c r="U360" i="3"/>
  <c r="V360" i="3"/>
  <c r="W360" i="3"/>
  <c r="Q361" i="3"/>
  <c r="R361" i="3"/>
  <c r="S361" i="3"/>
  <c r="T361" i="3"/>
  <c r="U361" i="3"/>
  <c r="V361" i="3"/>
  <c r="W361" i="3"/>
  <c r="Q362" i="3"/>
  <c r="R362" i="3"/>
  <c r="S362" i="3"/>
  <c r="T362" i="3"/>
  <c r="U362" i="3"/>
  <c r="V362" i="3"/>
  <c r="W362" i="3"/>
  <c r="Q363" i="3"/>
  <c r="R363" i="3"/>
  <c r="S363" i="3"/>
  <c r="T363" i="3"/>
  <c r="U363" i="3"/>
  <c r="V363" i="3"/>
  <c r="W363" i="3"/>
  <c r="Q364" i="3"/>
  <c r="R364" i="3"/>
  <c r="S364" i="3"/>
  <c r="T364" i="3"/>
  <c r="U364" i="3"/>
  <c r="V364" i="3"/>
  <c r="W364" i="3"/>
  <c r="Q365" i="3"/>
  <c r="R365" i="3"/>
  <c r="S365" i="3"/>
  <c r="T365" i="3"/>
  <c r="U365" i="3"/>
  <c r="V365" i="3"/>
  <c r="W365" i="3"/>
  <c r="Q366" i="3"/>
  <c r="R366" i="3"/>
  <c r="S366" i="3"/>
  <c r="T366" i="3"/>
  <c r="U366" i="3"/>
  <c r="V366" i="3"/>
  <c r="W366" i="3"/>
  <c r="Q367" i="3"/>
  <c r="R367" i="3"/>
  <c r="S367" i="3"/>
  <c r="T367" i="3"/>
  <c r="U367" i="3"/>
  <c r="V367" i="3"/>
  <c r="W367" i="3"/>
  <c r="Q368" i="3"/>
  <c r="R368" i="3"/>
  <c r="S368" i="3"/>
  <c r="T368" i="3"/>
  <c r="U368" i="3"/>
  <c r="V368" i="3"/>
  <c r="W368" i="3"/>
  <c r="Q369" i="3"/>
  <c r="R369" i="3"/>
  <c r="S369" i="3"/>
  <c r="T369" i="3"/>
  <c r="U369" i="3"/>
  <c r="V369" i="3"/>
  <c r="W369" i="3"/>
  <c r="Q370" i="3"/>
  <c r="R370" i="3"/>
  <c r="S370" i="3"/>
  <c r="T370" i="3"/>
  <c r="U370" i="3"/>
  <c r="V370" i="3"/>
  <c r="W370" i="3"/>
  <c r="Q371" i="3"/>
  <c r="R371" i="3"/>
  <c r="S371" i="3"/>
  <c r="T371" i="3"/>
  <c r="U371" i="3"/>
  <c r="V371" i="3"/>
  <c r="W371" i="3"/>
  <c r="Q372" i="3"/>
  <c r="R372" i="3"/>
  <c r="S372" i="3"/>
  <c r="T372" i="3"/>
  <c r="U372" i="3"/>
  <c r="V372" i="3"/>
  <c r="W372" i="3"/>
  <c r="Q373" i="3"/>
  <c r="R373" i="3"/>
  <c r="S373" i="3"/>
  <c r="T373" i="3"/>
  <c r="U373" i="3"/>
  <c r="V373" i="3"/>
  <c r="W373" i="3"/>
  <c r="Q374" i="3"/>
  <c r="R374" i="3"/>
  <c r="S374" i="3"/>
  <c r="T374" i="3"/>
  <c r="U374" i="3"/>
  <c r="V374" i="3"/>
  <c r="W374" i="3"/>
  <c r="Q375" i="3"/>
  <c r="R375" i="3"/>
  <c r="S375" i="3"/>
  <c r="T375" i="3"/>
  <c r="U375" i="3"/>
  <c r="V375" i="3"/>
  <c r="W375" i="3"/>
  <c r="Q376" i="3"/>
  <c r="R376" i="3"/>
  <c r="S376" i="3"/>
  <c r="T376" i="3"/>
  <c r="U376" i="3"/>
  <c r="V376" i="3"/>
  <c r="W376" i="3"/>
  <c r="Q377" i="3"/>
  <c r="R377" i="3"/>
  <c r="S377" i="3"/>
  <c r="T377" i="3"/>
  <c r="U377" i="3"/>
  <c r="V377" i="3"/>
  <c r="W377" i="3"/>
  <c r="Q378" i="3"/>
  <c r="R378" i="3"/>
  <c r="S378" i="3"/>
  <c r="T378" i="3"/>
  <c r="U378" i="3"/>
  <c r="V378" i="3"/>
  <c r="W378" i="3"/>
  <c r="Q379" i="3"/>
  <c r="R379" i="3"/>
  <c r="S379" i="3"/>
  <c r="T379" i="3"/>
  <c r="U379" i="3"/>
  <c r="V379" i="3"/>
  <c r="W379" i="3"/>
  <c r="Q380" i="3"/>
  <c r="R380" i="3"/>
  <c r="S380" i="3"/>
  <c r="T380" i="3"/>
  <c r="U380" i="3"/>
  <c r="V380" i="3"/>
  <c r="W380" i="3"/>
  <c r="Q381" i="3"/>
  <c r="R381" i="3"/>
  <c r="S381" i="3"/>
  <c r="T381" i="3"/>
  <c r="U381" i="3"/>
  <c r="V381" i="3"/>
  <c r="W381" i="3"/>
  <c r="Q382" i="3"/>
  <c r="R382" i="3"/>
  <c r="S382" i="3"/>
  <c r="T382" i="3"/>
  <c r="U382" i="3"/>
  <c r="V382" i="3"/>
  <c r="W382" i="3"/>
  <c r="Q383" i="3"/>
  <c r="R383" i="3"/>
  <c r="S383" i="3"/>
  <c r="T383" i="3"/>
  <c r="U383" i="3"/>
  <c r="V383" i="3"/>
  <c r="W383" i="3"/>
  <c r="Q384" i="3"/>
  <c r="R384" i="3"/>
  <c r="S384" i="3"/>
  <c r="T384" i="3"/>
  <c r="U384" i="3"/>
  <c r="V384" i="3"/>
  <c r="W384" i="3"/>
  <c r="Q385" i="3"/>
  <c r="R385" i="3"/>
  <c r="S385" i="3"/>
  <c r="T385" i="3"/>
  <c r="U385" i="3"/>
  <c r="V385" i="3"/>
  <c r="W385" i="3"/>
  <c r="Q386" i="3"/>
  <c r="R386" i="3"/>
  <c r="S386" i="3"/>
  <c r="T386" i="3"/>
  <c r="U386" i="3"/>
  <c r="V386" i="3"/>
  <c r="W386" i="3"/>
  <c r="Q387" i="3"/>
  <c r="R387" i="3"/>
  <c r="S387" i="3"/>
  <c r="T387" i="3"/>
  <c r="U387" i="3"/>
  <c r="V387" i="3"/>
  <c r="W387" i="3"/>
  <c r="Q388" i="3"/>
  <c r="R388" i="3"/>
  <c r="S388" i="3"/>
  <c r="T388" i="3"/>
  <c r="U388" i="3"/>
  <c r="V388" i="3"/>
  <c r="W388" i="3"/>
  <c r="Q389" i="3"/>
  <c r="R389" i="3"/>
  <c r="S389" i="3"/>
  <c r="T389" i="3"/>
  <c r="U389" i="3"/>
  <c r="V389" i="3"/>
  <c r="W389" i="3"/>
  <c r="Q390" i="3"/>
  <c r="R390" i="3"/>
  <c r="S390" i="3"/>
  <c r="T390" i="3"/>
  <c r="U390" i="3"/>
  <c r="V390" i="3"/>
  <c r="W390" i="3"/>
  <c r="Q391" i="3"/>
  <c r="R391" i="3"/>
  <c r="S391" i="3"/>
  <c r="T391" i="3"/>
  <c r="U391" i="3"/>
  <c r="V391" i="3"/>
  <c r="W391" i="3"/>
  <c r="Q392" i="3"/>
  <c r="R392" i="3"/>
  <c r="S392" i="3"/>
  <c r="T392" i="3"/>
  <c r="U392" i="3"/>
  <c r="V392" i="3"/>
  <c r="W392" i="3"/>
  <c r="Q393" i="3"/>
  <c r="R393" i="3"/>
  <c r="S393" i="3"/>
  <c r="T393" i="3"/>
  <c r="U393" i="3"/>
  <c r="V393" i="3"/>
  <c r="W393" i="3"/>
  <c r="Q394" i="3"/>
  <c r="R394" i="3"/>
  <c r="S394" i="3"/>
  <c r="T394" i="3"/>
  <c r="U394" i="3"/>
  <c r="V394" i="3"/>
  <c r="W394" i="3"/>
  <c r="Q395" i="3"/>
  <c r="R395" i="3"/>
  <c r="S395" i="3"/>
  <c r="T395" i="3"/>
  <c r="U395" i="3"/>
  <c r="V395" i="3"/>
  <c r="W395" i="3"/>
  <c r="Q396" i="3"/>
  <c r="R396" i="3"/>
  <c r="S396" i="3"/>
  <c r="T396" i="3"/>
  <c r="U396" i="3"/>
  <c r="V396" i="3"/>
  <c r="W396" i="3"/>
  <c r="Q397" i="3"/>
  <c r="R397" i="3"/>
  <c r="S397" i="3"/>
  <c r="T397" i="3"/>
  <c r="U397" i="3"/>
  <c r="V397" i="3"/>
  <c r="W397" i="3"/>
  <c r="Q398" i="3"/>
  <c r="R398" i="3"/>
  <c r="S398" i="3"/>
  <c r="T398" i="3"/>
  <c r="U398" i="3"/>
  <c r="V398" i="3"/>
  <c r="W398" i="3"/>
  <c r="Q399" i="3"/>
  <c r="R399" i="3"/>
  <c r="S399" i="3"/>
  <c r="T399" i="3"/>
  <c r="U399" i="3"/>
  <c r="V399" i="3"/>
  <c r="W399" i="3"/>
  <c r="Q400" i="3"/>
  <c r="R400" i="3"/>
  <c r="S400" i="3"/>
  <c r="T400" i="3"/>
  <c r="U400" i="3"/>
  <c r="V400" i="3"/>
  <c r="W400" i="3"/>
  <c r="Q401" i="3"/>
  <c r="R401" i="3"/>
  <c r="S401" i="3"/>
  <c r="T401" i="3"/>
  <c r="U401" i="3"/>
  <c r="V401" i="3"/>
  <c r="W401" i="3"/>
  <c r="Q402" i="3"/>
  <c r="R402" i="3"/>
  <c r="S402" i="3"/>
  <c r="T402" i="3"/>
  <c r="U402" i="3"/>
  <c r="V402" i="3"/>
  <c r="W402" i="3"/>
  <c r="Q403" i="3"/>
  <c r="R403" i="3"/>
  <c r="S403" i="3"/>
  <c r="T403" i="3"/>
  <c r="U403" i="3"/>
  <c r="V403" i="3"/>
  <c r="W403" i="3"/>
  <c r="Q404" i="3"/>
  <c r="R404" i="3"/>
  <c r="S404" i="3"/>
  <c r="T404" i="3"/>
  <c r="U404" i="3"/>
  <c r="V404" i="3"/>
  <c r="W404" i="3"/>
  <c r="Q405" i="3"/>
  <c r="R405" i="3"/>
  <c r="S405" i="3"/>
  <c r="T405" i="3"/>
  <c r="U405" i="3"/>
  <c r="V405" i="3"/>
  <c r="W405" i="3"/>
  <c r="Q406" i="3"/>
  <c r="R406" i="3"/>
  <c r="S406" i="3"/>
  <c r="T406" i="3"/>
  <c r="U406" i="3"/>
  <c r="V406" i="3"/>
  <c r="W406" i="3"/>
  <c r="Q407" i="3"/>
  <c r="R407" i="3"/>
  <c r="S407" i="3"/>
  <c r="T407" i="3"/>
  <c r="U407" i="3"/>
  <c r="V407" i="3"/>
  <c r="W407" i="3"/>
  <c r="Q408" i="3"/>
  <c r="R408" i="3"/>
  <c r="S408" i="3"/>
  <c r="T408" i="3"/>
  <c r="U408" i="3"/>
  <c r="V408" i="3"/>
  <c r="W408" i="3"/>
  <c r="Q409" i="3"/>
  <c r="R409" i="3"/>
  <c r="S409" i="3"/>
  <c r="T409" i="3"/>
  <c r="U409" i="3"/>
  <c r="V409" i="3"/>
  <c r="W409" i="3"/>
  <c r="Q410" i="3"/>
  <c r="R410" i="3"/>
  <c r="S410" i="3"/>
  <c r="T410" i="3"/>
  <c r="U410" i="3"/>
  <c r="V410" i="3"/>
  <c r="W410" i="3"/>
  <c r="Q411" i="3"/>
  <c r="R411" i="3"/>
  <c r="S411" i="3"/>
  <c r="T411" i="3"/>
  <c r="U411" i="3"/>
  <c r="V411" i="3"/>
  <c r="W411" i="3"/>
  <c r="Q412" i="3"/>
  <c r="R412" i="3"/>
  <c r="S412" i="3"/>
  <c r="T412" i="3"/>
  <c r="U412" i="3"/>
  <c r="V412" i="3"/>
  <c r="W412" i="3"/>
  <c r="Q413" i="3"/>
  <c r="R413" i="3"/>
  <c r="S413" i="3"/>
  <c r="T413" i="3"/>
  <c r="U413" i="3"/>
  <c r="V413" i="3"/>
  <c r="W413" i="3"/>
  <c r="Q414" i="3"/>
  <c r="R414" i="3"/>
  <c r="S414" i="3"/>
  <c r="T414" i="3"/>
  <c r="U414" i="3"/>
  <c r="V414" i="3"/>
  <c r="W414" i="3"/>
  <c r="Q415" i="3"/>
  <c r="R415" i="3"/>
  <c r="S415" i="3"/>
  <c r="T415" i="3"/>
  <c r="U415" i="3"/>
  <c r="V415" i="3"/>
  <c r="W415" i="3"/>
  <c r="Q416" i="3"/>
  <c r="R416" i="3"/>
  <c r="S416" i="3"/>
  <c r="T416" i="3"/>
  <c r="U416" i="3"/>
  <c r="V416" i="3"/>
  <c r="W416" i="3"/>
  <c r="Q417" i="3"/>
  <c r="R417" i="3"/>
  <c r="S417" i="3"/>
  <c r="T417" i="3"/>
  <c r="U417" i="3"/>
  <c r="V417" i="3"/>
  <c r="W417" i="3"/>
  <c r="Q418" i="3"/>
  <c r="R418" i="3"/>
  <c r="S418" i="3"/>
  <c r="T418" i="3"/>
  <c r="U418" i="3"/>
  <c r="V418" i="3"/>
  <c r="W418" i="3"/>
  <c r="Q419" i="3"/>
  <c r="R419" i="3"/>
  <c r="S419" i="3"/>
  <c r="T419" i="3"/>
  <c r="U419" i="3"/>
  <c r="V419" i="3"/>
  <c r="W419" i="3"/>
  <c r="Q420" i="3"/>
  <c r="R420" i="3"/>
  <c r="S420" i="3"/>
  <c r="T420" i="3"/>
  <c r="U420" i="3"/>
  <c r="V420" i="3"/>
  <c r="W420" i="3"/>
  <c r="Q421" i="3"/>
  <c r="R421" i="3"/>
  <c r="S421" i="3"/>
  <c r="T421" i="3"/>
  <c r="U421" i="3"/>
  <c r="V421" i="3"/>
  <c r="W421" i="3"/>
  <c r="Q422" i="3"/>
  <c r="R422" i="3"/>
  <c r="S422" i="3"/>
  <c r="T422" i="3"/>
  <c r="U422" i="3"/>
  <c r="V422" i="3"/>
  <c r="W422" i="3"/>
  <c r="Q423" i="3"/>
  <c r="R423" i="3"/>
  <c r="S423" i="3"/>
  <c r="T423" i="3"/>
  <c r="U423" i="3"/>
  <c r="V423" i="3"/>
  <c r="W423" i="3"/>
  <c r="Q424" i="3"/>
  <c r="R424" i="3"/>
  <c r="S424" i="3"/>
  <c r="T424" i="3"/>
  <c r="U424" i="3"/>
  <c r="V424" i="3"/>
  <c r="W424" i="3"/>
  <c r="Q425" i="3"/>
  <c r="R425" i="3"/>
  <c r="S425" i="3"/>
  <c r="T425" i="3"/>
  <c r="U425" i="3"/>
  <c r="V425" i="3"/>
  <c r="W425" i="3"/>
  <c r="Q426" i="3"/>
  <c r="R426" i="3"/>
  <c r="S426" i="3"/>
  <c r="T426" i="3"/>
  <c r="U426" i="3"/>
  <c r="V426" i="3"/>
  <c r="W426" i="3"/>
  <c r="Q427" i="3"/>
  <c r="R427" i="3"/>
  <c r="S427" i="3"/>
  <c r="T427" i="3"/>
  <c r="U427" i="3"/>
  <c r="V427" i="3"/>
  <c r="W427" i="3"/>
  <c r="Q428" i="3"/>
  <c r="R428" i="3"/>
  <c r="S428" i="3"/>
  <c r="T428" i="3"/>
  <c r="U428" i="3"/>
  <c r="V428" i="3"/>
  <c r="W428" i="3"/>
  <c r="Q429" i="3"/>
  <c r="R429" i="3"/>
  <c r="S429" i="3"/>
  <c r="T429" i="3"/>
  <c r="U429" i="3"/>
  <c r="V429" i="3"/>
  <c r="W429" i="3"/>
  <c r="Q430" i="3"/>
  <c r="R430" i="3"/>
  <c r="S430" i="3"/>
  <c r="T430" i="3"/>
  <c r="U430" i="3"/>
  <c r="V430" i="3"/>
  <c r="W430" i="3"/>
  <c r="Q431" i="3"/>
  <c r="R431" i="3"/>
  <c r="S431" i="3"/>
  <c r="T431" i="3"/>
  <c r="U431" i="3"/>
  <c r="V431" i="3"/>
  <c r="W431" i="3"/>
  <c r="Q432" i="3"/>
  <c r="R432" i="3"/>
  <c r="S432" i="3"/>
  <c r="T432" i="3"/>
  <c r="U432" i="3"/>
  <c r="V432" i="3"/>
  <c r="W432" i="3"/>
  <c r="Q433" i="3"/>
  <c r="R433" i="3"/>
  <c r="S433" i="3"/>
  <c r="T433" i="3"/>
  <c r="U433" i="3"/>
  <c r="V433" i="3"/>
  <c r="W433" i="3"/>
  <c r="Q434" i="3"/>
  <c r="R434" i="3"/>
  <c r="S434" i="3"/>
  <c r="T434" i="3"/>
  <c r="U434" i="3"/>
  <c r="V434" i="3"/>
  <c r="W434" i="3"/>
  <c r="Q435" i="3"/>
  <c r="R435" i="3"/>
  <c r="S435" i="3"/>
  <c r="T435" i="3"/>
  <c r="U435" i="3"/>
  <c r="V435" i="3"/>
  <c r="W435" i="3"/>
  <c r="Q436" i="3"/>
  <c r="R436" i="3"/>
  <c r="A976" i="4" s="1"/>
  <c r="S436" i="3"/>
  <c r="T436" i="3"/>
  <c r="U436" i="3"/>
  <c r="V436" i="3"/>
  <c r="W436" i="3"/>
  <c r="Q437" i="3"/>
  <c r="R437" i="3"/>
  <c r="A975" i="4" s="1"/>
  <c r="S437" i="3"/>
  <c r="T437" i="3"/>
  <c r="U437" i="3"/>
  <c r="V437" i="3"/>
  <c r="W437" i="3"/>
  <c r="Q438" i="3"/>
  <c r="R438" i="3"/>
  <c r="S438" i="3"/>
  <c r="T438" i="3"/>
  <c r="U438" i="3"/>
  <c r="V438" i="3"/>
  <c r="W438" i="3"/>
  <c r="Q439" i="3"/>
  <c r="R439" i="3"/>
  <c r="S439" i="3"/>
  <c r="T439" i="3"/>
  <c r="U439" i="3"/>
  <c r="V439" i="3"/>
  <c r="W439" i="3"/>
  <c r="Q440" i="3"/>
  <c r="R440" i="3"/>
  <c r="S440" i="3"/>
  <c r="T440" i="3"/>
  <c r="U440" i="3"/>
  <c r="V440" i="3"/>
  <c r="W440" i="3"/>
  <c r="Q441" i="3"/>
  <c r="R441" i="3"/>
  <c r="S441" i="3"/>
  <c r="T441" i="3"/>
  <c r="U441" i="3"/>
  <c r="V441" i="3"/>
  <c r="W441" i="3"/>
  <c r="Q442" i="3"/>
  <c r="R442" i="3"/>
  <c r="S442" i="3"/>
  <c r="T442" i="3"/>
  <c r="U442" i="3"/>
  <c r="V442" i="3"/>
  <c r="W442" i="3"/>
  <c r="Q443" i="3"/>
  <c r="R443" i="3"/>
  <c r="S443" i="3"/>
  <c r="T443" i="3"/>
  <c r="U443" i="3"/>
  <c r="V443" i="3"/>
  <c r="W443" i="3"/>
  <c r="Q444" i="3"/>
  <c r="R444" i="3"/>
  <c r="S444" i="3"/>
  <c r="T444" i="3"/>
  <c r="U444" i="3"/>
  <c r="V444" i="3"/>
  <c r="W444" i="3"/>
  <c r="Q445" i="3"/>
  <c r="R445" i="3"/>
  <c r="S445" i="3"/>
  <c r="T445" i="3"/>
  <c r="U445" i="3"/>
  <c r="V445" i="3"/>
  <c r="W445" i="3"/>
  <c r="Q446" i="3"/>
  <c r="R446" i="3"/>
  <c r="S446" i="3"/>
  <c r="T446" i="3"/>
  <c r="U446" i="3"/>
  <c r="V446" i="3"/>
  <c r="W446" i="3"/>
  <c r="Q447" i="3"/>
  <c r="R447" i="3"/>
  <c r="S447" i="3"/>
  <c r="T447" i="3"/>
  <c r="U447" i="3"/>
  <c r="V447" i="3"/>
  <c r="W447" i="3"/>
  <c r="Q448" i="3"/>
  <c r="R448" i="3"/>
  <c r="S448" i="3"/>
  <c r="T448" i="3"/>
  <c r="U448" i="3"/>
  <c r="V448" i="3"/>
  <c r="W448" i="3"/>
  <c r="Q449" i="3"/>
  <c r="R449" i="3"/>
  <c r="S449" i="3"/>
  <c r="T449" i="3"/>
  <c r="U449" i="3"/>
  <c r="V449" i="3"/>
  <c r="W449" i="3"/>
  <c r="Q450" i="3"/>
  <c r="R450" i="3"/>
  <c r="S450" i="3"/>
  <c r="T450" i="3"/>
  <c r="U450" i="3"/>
  <c r="V450" i="3"/>
  <c r="W450" i="3"/>
  <c r="Q451" i="3"/>
  <c r="R451" i="3"/>
  <c r="S451" i="3"/>
  <c r="T451" i="3"/>
  <c r="U451" i="3"/>
  <c r="V451" i="3"/>
  <c r="W451" i="3"/>
  <c r="Q452" i="3"/>
  <c r="R452" i="3"/>
  <c r="S452" i="3"/>
  <c r="T452" i="3"/>
  <c r="U452" i="3"/>
  <c r="V452" i="3"/>
  <c r="W452" i="3"/>
  <c r="Q453" i="3"/>
  <c r="R453" i="3"/>
  <c r="S453" i="3"/>
  <c r="T453" i="3"/>
  <c r="U453" i="3"/>
  <c r="V453" i="3"/>
  <c r="W453" i="3"/>
  <c r="Q454" i="3"/>
  <c r="R454" i="3"/>
  <c r="S454" i="3"/>
  <c r="T454" i="3"/>
  <c r="U454" i="3"/>
  <c r="V454" i="3"/>
  <c r="W454" i="3"/>
  <c r="Q455" i="3"/>
  <c r="R455" i="3"/>
  <c r="S455" i="3"/>
  <c r="T455" i="3"/>
  <c r="U455" i="3"/>
  <c r="V455" i="3"/>
  <c r="W455" i="3"/>
  <c r="Q456" i="3"/>
  <c r="R456" i="3"/>
  <c r="S456" i="3"/>
  <c r="T456" i="3"/>
  <c r="U456" i="3"/>
  <c r="V456" i="3"/>
  <c r="W456" i="3"/>
  <c r="Q457" i="3"/>
  <c r="R457" i="3"/>
  <c r="S457" i="3"/>
  <c r="T457" i="3"/>
  <c r="U457" i="3"/>
  <c r="V457" i="3"/>
  <c r="W457" i="3"/>
  <c r="Q458" i="3"/>
  <c r="R458" i="3"/>
  <c r="S458" i="3"/>
  <c r="T458" i="3"/>
  <c r="U458" i="3"/>
  <c r="V458" i="3"/>
  <c r="W458" i="3"/>
  <c r="Q459" i="3"/>
  <c r="R459" i="3"/>
  <c r="S459" i="3"/>
  <c r="T459" i="3"/>
  <c r="U459" i="3"/>
  <c r="V459" i="3"/>
  <c r="W459" i="3"/>
  <c r="Q460" i="3"/>
  <c r="R460" i="3"/>
  <c r="S460" i="3"/>
  <c r="T460" i="3"/>
  <c r="U460" i="3"/>
  <c r="V460" i="3"/>
  <c r="W460" i="3"/>
  <c r="Q461" i="3"/>
  <c r="R461" i="3"/>
  <c r="S461" i="3"/>
  <c r="T461" i="3"/>
  <c r="U461" i="3"/>
  <c r="V461" i="3"/>
  <c r="W461" i="3"/>
  <c r="Q462" i="3"/>
  <c r="R462" i="3"/>
  <c r="S462" i="3"/>
  <c r="T462" i="3"/>
  <c r="U462" i="3"/>
  <c r="V462" i="3"/>
  <c r="W462" i="3"/>
  <c r="Q463" i="3"/>
  <c r="R463" i="3"/>
  <c r="S463" i="3"/>
  <c r="T463" i="3"/>
  <c r="U463" i="3"/>
  <c r="V463" i="3"/>
  <c r="W463" i="3"/>
  <c r="Q464" i="3"/>
  <c r="R464" i="3"/>
  <c r="S464" i="3"/>
  <c r="T464" i="3"/>
  <c r="U464" i="3"/>
  <c r="V464" i="3"/>
  <c r="W464" i="3"/>
  <c r="Q465" i="3"/>
  <c r="R465" i="3"/>
  <c r="S465" i="3"/>
  <c r="T465" i="3"/>
  <c r="U465" i="3"/>
  <c r="V465" i="3"/>
  <c r="W465" i="3"/>
  <c r="Q466" i="3"/>
  <c r="R466" i="3"/>
  <c r="S466" i="3"/>
  <c r="T466" i="3"/>
  <c r="U466" i="3"/>
  <c r="V466" i="3"/>
  <c r="W466" i="3"/>
  <c r="Q467" i="3"/>
  <c r="R467" i="3"/>
  <c r="S467" i="3"/>
  <c r="T467" i="3"/>
  <c r="U467" i="3"/>
  <c r="V467" i="3"/>
  <c r="W467" i="3"/>
  <c r="Q468" i="3"/>
  <c r="R468" i="3"/>
  <c r="S468" i="3"/>
  <c r="T468" i="3"/>
  <c r="U468" i="3"/>
  <c r="V468" i="3"/>
  <c r="W468" i="3"/>
  <c r="Q469" i="3"/>
  <c r="R469" i="3"/>
  <c r="S469" i="3"/>
  <c r="T469" i="3"/>
  <c r="U469" i="3"/>
  <c r="V469" i="3"/>
  <c r="W469" i="3"/>
  <c r="Q470" i="3"/>
  <c r="R470" i="3"/>
  <c r="S470" i="3"/>
  <c r="T470" i="3"/>
  <c r="U470" i="3"/>
  <c r="V470" i="3"/>
  <c r="W470" i="3"/>
  <c r="Q471" i="3"/>
  <c r="R471" i="3"/>
  <c r="S471" i="3"/>
  <c r="T471" i="3"/>
  <c r="U471" i="3"/>
  <c r="V471" i="3"/>
  <c r="W471" i="3"/>
  <c r="Q472" i="3"/>
  <c r="R472" i="3"/>
  <c r="S472" i="3"/>
  <c r="T472" i="3"/>
  <c r="U472" i="3"/>
  <c r="V472" i="3"/>
  <c r="W472" i="3"/>
  <c r="Q473" i="3"/>
  <c r="R473" i="3"/>
  <c r="S473" i="3"/>
  <c r="T473" i="3"/>
  <c r="U473" i="3"/>
  <c r="V473" i="3"/>
  <c r="W473" i="3"/>
  <c r="Q474" i="3"/>
  <c r="R474" i="3"/>
  <c r="S474" i="3"/>
  <c r="T474" i="3"/>
  <c r="U474" i="3"/>
  <c r="V474" i="3"/>
  <c r="W474" i="3"/>
  <c r="Q475" i="3"/>
  <c r="R475" i="3"/>
  <c r="S475" i="3"/>
  <c r="T475" i="3"/>
  <c r="U475" i="3"/>
  <c r="V475" i="3"/>
  <c r="W475" i="3"/>
  <c r="Q476" i="3"/>
  <c r="R476" i="3"/>
  <c r="S476" i="3"/>
  <c r="T476" i="3"/>
  <c r="U476" i="3"/>
  <c r="V476" i="3"/>
  <c r="W476" i="3"/>
  <c r="Q477" i="3"/>
  <c r="R477" i="3"/>
  <c r="S477" i="3"/>
  <c r="T477" i="3"/>
  <c r="U477" i="3"/>
  <c r="V477" i="3"/>
  <c r="W477" i="3"/>
  <c r="Q478" i="3"/>
  <c r="R478" i="3"/>
  <c r="S478" i="3"/>
  <c r="T478" i="3"/>
  <c r="U478" i="3"/>
  <c r="V478" i="3"/>
  <c r="W478" i="3"/>
  <c r="Q479" i="3"/>
  <c r="R479" i="3"/>
  <c r="S479" i="3"/>
  <c r="T479" i="3"/>
  <c r="U479" i="3"/>
  <c r="V479" i="3"/>
  <c r="W479" i="3"/>
  <c r="Q480" i="3"/>
  <c r="R480" i="3"/>
  <c r="S480" i="3"/>
  <c r="T480" i="3"/>
  <c r="U480" i="3"/>
  <c r="V480" i="3"/>
  <c r="W480" i="3"/>
  <c r="Q481" i="3"/>
  <c r="R481" i="3"/>
  <c r="S481" i="3"/>
  <c r="T481" i="3"/>
  <c r="U481" i="3"/>
  <c r="V481" i="3"/>
  <c r="W481" i="3"/>
  <c r="Q482" i="3"/>
  <c r="R482" i="3"/>
  <c r="S482" i="3"/>
  <c r="T482" i="3"/>
  <c r="U482" i="3"/>
  <c r="V482" i="3"/>
  <c r="W482" i="3"/>
  <c r="Q483" i="3"/>
  <c r="R483" i="3"/>
  <c r="S483" i="3"/>
  <c r="T483" i="3"/>
  <c r="U483" i="3"/>
  <c r="V483" i="3"/>
  <c r="W483" i="3"/>
  <c r="Q484" i="3"/>
  <c r="R484" i="3"/>
  <c r="S484" i="3"/>
  <c r="T484" i="3"/>
  <c r="U484" i="3"/>
  <c r="V484" i="3"/>
  <c r="W484" i="3"/>
  <c r="Q485" i="3"/>
  <c r="R485" i="3"/>
  <c r="S485" i="3"/>
  <c r="T485" i="3"/>
  <c r="U485" i="3"/>
  <c r="V485" i="3"/>
  <c r="W485" i="3"/>
  <c r="Q486" i="3"/>
  <c r="R486" i="3"/>
  <c r="S486" i="3"/>
  <c r="T486" i="3"/>
  <c r="U486" i="3"/>
  <c r="V486" i="3"/>
  <c r="W486" i="3"/>
  <c r="Q487" i="3"/>
  <c r="R487" i="3"/>
  <c r="S487" i="3"/>
  <c r="T487" i="3"/>
  <c r="U487" i="3"/>
  <c r="V487" i="3"/>
  <c r="W487" i="3"/>
  <c r="Q488" i="3"/>
  <c r="R488" i="3"/>
  <c r="S488" i="3"/>
  <c r="T488" i="3"/>
  <c r="U488" i="3"/>
  <c r="V488" i="3"/>
  <c r="W488" i="3"/>
  <c r="Q489" i="3"/>
  <c r="R489" i="3"/>
  <c r="S489" i="3"/>
  <c r="T489" i="3"/>
  <c r="U489" i="3"/>
  <c r="V489" i="3"/>
  <c r="W489" i="3"/>
  <c r="Q490" i="3"/>
  <c r="R490" i="3"/>
  <c r="S490" i="3"/>
  <c r="T490" i="3"/>
  <c r="U490" i="3"/>
  <c r="V490" i="3"/>
  <c r="W490" i="3"/>
  <c r="Q491" i="3"/>
  <c r="R491" i="3"/>
  <c r="S491" i="3"/>
  <c r="T491" i="3"/>
  <c r="U491" i="3"/>
  <c r="V491" i="3"/>
  <c r="W491" i="3"/>
  <c r="Q492" i="3"/>
  <c r="R492" i="3"/>
  <c r="S492" i="3"/>
  <c r="T492" i="3"/>
  <c r="U492" i="3"/>
  <c r="V492" i="3"/>
  <c r="W492" i="3"/>
  <c r="Q493" i="3"/>
  <c r="R493" i="3"/>
  <c r="S493" i="3"/>
  <c r="T493" i="3"/>
  <c r="U493" i="3"/>
  <c r="V493" i="3"/>
  <c r="W493" i="3"/>
  <c r="Q494" i="3"/>
  <c r="R494" i="3"/>
  <c r="S494" i="3"/>
  <c r="T494" i="3"/>
  <c r="U494" i="3"/>
  <c r="V494" i="3"/>
  <c r="W494" i="3"/>
  <c r="Q495" i="3"/>
  <c r="R495" i="3"/>
  <c r="S495" i="3"/>
  <c r="T495" i="3"/>
  <c r="U495" i="3"/>
  <c r="V495" i="3"/>
  <c r="W495" i="3"/>
  <c r="Q496" i="3"/>
  <c r="R496" i="3"/>
  <c r="S496" i="3"/>
  <c r="T496" i="3"/>
  <c r="U496" i="3"/>
  <c r="V496" i="3"/>
  <c r="W496" i="3"/>
  <c r="Q497" i="3"/>
  <c r="R497" i="3"/>
  <c r="S497" i="3"/>
  <c r="T497" i="3"/>
  <c r="U497" i="3"/>
  <c r="V497" i="3"/>
  <c r="W497" i="3"/>
  <c r="Q498" i="3"/>
  <c r="R498" i="3"/>
  <c r="S498" i="3"/>
  <c r="T498" i="3"/>
  <c r="U498" i="3"/>
  <c r="V498" i="3"/>
  <c r="W498" i="3"/>
  <c r="Q499" i="3"/>
  <c r="R499" i="3"/>
  <c r="S499" i="3"/>
  <c r="T499" i="3"/>
  <c r="U499" i="3"/>
  <c r="V499" i="3"/>
  <c r="W499" i="3"/>
  <c r="Q500" i="3"/>
  <c r="R500" i="3"/>
  <c r="S500" i="3"/>
  <c r="T500" i="3"/>
  <c r="U500" i="3"/>
  <c r="V500" i="3"/>
  <c r="W500" i="3"/>
  <c r="Q501" i="3"/>
  <c r="R501" i="3"/>
  <c r="S501" i="3"/>
  <c r="T501" i="3"/>
  <c r="U501" i="3"/>
  <c r="V501" i="3"/>
  <c r="W501" i="3"/>
  <c r="Q502" i="3"/>
  <c r="R502" i="3"/>
  <c r="S502" i="3"/>
  <c r="T502" i="3"/>
  <c r="U502" i="3"/>
  <c r="V502" i="3"/>
  <c r="W502" i="3"/>
  <c r="Q503" i="3"/>
  <c r="R503" i="3"/>
  <c r="S503" i="3"/>
  <c r="T503" i="3"/>
  <c r="U503" i="3"/>
  <c r="V503" i="3"/>
  <c r="W503" i="3"/>
  <c r="Q504" i="3"/>
  <c r="R504" i="3"/>
  <c r="S504" i="3"/>
  <c r="T504" i="3"/>
  <c r="U504" i="3"/>
  <c r="V504" i="3"/>
  <c r="W504" i="3"/>
  <c r="Q505" i="3"/>
  <c r="R505" i="3"/>
  <c r="S505" i="3"/>
  <c r="T505" i="3"/>
  <c r="U505" i="3"/>
  <c r="V505" i="3"/>
  <c r="W505" i="3"/>
  <c r="Q506" i="3"/>
  <c r="R506" i="3"/>
  <c r="S506" i="3"/>
  <c r="T506" i="3"/>
  <c r="U506" i="3"/>
  <c r="V506" i="3"/>
  <c r="W506" i="3"/>
  <c r="Q507" i="3"/>
  <c r="R507" i="3"/>
  <c r="S507" i="3"/>
  <c r="T507" i="3"/>
  <c r="U507" i="3"/>
  <c r="V507" i="3"/>
  <c r="W507" i="3"/>
  <c r="Q508" i="3"/>
  <c r="R508" i="3"/>
  <c r="S508" i="3"/>
  <c r="T508" i="3"/>
  <c r="U508" i="3"/>
  <c r="V508" i="3"/>
  <c r="W508" i="3"/>
  <c r="Q509" i="3"/>
  <c r="R509" i="3"/>
  <c r="S509" i="3"/>
  <c r="T509" i="3"/>
  <c r="U509" i="3"/>
  <c r="V509" i="3"/>
  <c r="W509" i="3"/>
  <c r="Q510" i="3"/>
  <c r="R510" i="3"/>
  <c r="S510" i="3"/>
  <c r="T510" i="3"/>
  <c r="U510" i="3"/>
  <c r="V510" i="3"/>
  <c r="W510" i="3"/>
  <c r="Q511" i="3"/>
  <c r="R511" i="3"/>
  <c r="S511" i="3"/>
  <c r="T511" i="3"/>
  <c r="U511" i="3"/>
  <c r="V511" i="3"/>
  <c r="W511" i="3"/>
  <c r="Q512" i="3"/>
  <c r="R512" i="3"/>
  <c r="S512" i="3"/>
  <c r="T512" i="3"/>
  <c r="U512" i="3"/>
  <c r="V512" i="3"/>
  <c r="W512" i="3"/>
  <c r="Q513" i="3"/>
  <c r="R513" i="3"/>
  <c r="S513" i="3"/>
  <c r="T513" i="3"/>
  <c r="U513" i="3"/>
  <c r="V513" i="3"/>
  <c r="W513" i="3"/>
  <c r="Q514" i="3"/>
  <c r="R514" i="3"/>
  <c r="S514" i="3"/>
  <c r="T514" i="3"/>
  <c r="U514" i="3"/>
  <c r="V514" i="3"/>
  <c r="W514" i="3"/>
  <c r="Q515" i="3"/>
  <c r="R515" i="3"/>
  <c r="S515" i="3"/>
  <c r="T515" i="3"/>
  <c r="U515" i="3"/>
  <c r="V515" i="3"/>
  <c r="W515" i="3"/>
  <c r="Q516" i="3"/>
  <c r="R516" i="3"/>
  <c r="S516" i="3"/>
  <c r="T516" i="3"/>
  <c r="U516" i="3"/>
  <c r="V516" i="3"/>
  <c r="W516" i="3"/>
  <c r="Q517" i="3"/>
  <c r="R517" i="3"/>
  <c r="S517" i="3"/>
  <c r="T517" i="3"/>
  <c r="U517" i="3"/>
  <c r="V517" i="3"/>
  <c r="W517" i="3"/>
  <c r="Q518" i="3"/>
  <c r="R518" i="3"/>
  <c r="S518" i="3"/>
  <c r="T518" i="3"/>
  <c r="U518" i="3"/>
  <c r="V518" i="3"/>
  <c r="W518" i="3"/>
  <c r="Q519" i="3"/>
  <c r="R519" i="3"/>
  <c r="S519" i="3"/>
  <c r="T519" i="3"/>
  <c r="U519" i="3"/>
  <c r="V519" i="3"/>
  <c r="W519" i="3"/>
  <c r="Q520" i="3"/>
  <c r="R520" i="3"/>
  <c r="S520" i="3"/>
  <c r="T520" i="3"/>
  <c r="U520" i="3"/>
  <c r="V520" i="3"/>
  <c r="W520" i="3"/>
  <c r="Q521" i="3"/>
  <c r="R521" i="3"/>
  <c r="S521" i="3"/>
  <c r="T521" i="3"/>
  <c r="U521" i="3"/>
  <c r="V521" i="3"/>
  <c r="W521" i="3"/>
  <c r="Q522" i="3"/>
  <c r="R522" i="3"/>
  <c r="S522" i="3"/>
  <c r="T522" i="3"/>
  <c r="U522" i="3"/>
  <c r="V522" i="3"/>
  <c r="W522" i="3"/>
  <c r="Q523" i="3"/>
  <c r="R523" i="3"/>
  <c r="S523" i="3"/>
  <c r="T523" i="3"/>
  <c r="U523" i="3"/>
  <c r="V523" i="3"/>
  <c r="W523" i="3"/>
  <c r="Q524" i="3"/>
  <c r="R524" i="3"/>
  <c r="S524" i="3"/>
  <c r="T524" i="3"/>
  <c r="U524" i="3"/>
  <c r="V524" i="3"/>
  <c r="W524" i="3"/>
  <c r="Q525" i="3"/>
  <c r="R525" i="3"/>
  <c r="S525" i="3"/>
  <c r="T525" i="3"/>
  <c r="U525" i="3"/>
  <c r="V525" i="3"/>
  <c r="W525" i="3"/>
  <c r="Q526" i="3"/>
  <c r="R526" i="3"/>
  <c r="S526" i="3"/>
  <c r="T526" i="3"/>
  <c r="U526" i="3"/>
  <c r="V526" i="3"/>
  <c r="W526" i="3"/>
  <c r="Q527" i="3"/>
  <c r="R527" i="3"/>
  <c r="S527" i="3"/>
  <c r="T527" i="3"/>
  <c r="U527" i="3"/>
  <c r="V527" i="3"/>
  <c r="W527" i="3"/>
  <c r="Q528" i="3"/>
  <c r="R528" i="3"/>
  <c r="S528" i="3"/>
  <c r="T528" i="3"/>
  <c r="U528" i="3"/>
  <c r="V528" i="3"/>
  <c r="W528" i="3"/>
  <c r="Q529" i="3"/>
  <c r="R529" i="3"/>
  <c r="S529" i="3"/>
  <c r="T529" i="3"/>
  <c r="U529" i="3"/>
  <c r="V529" i="3"/>
  <c r="W529" i="3"/>
  <c r="Q530" i="3"/>
  <c r="R530" i="3"/>
  <c r="S530" i="3"/>
  <c r="T530" i="3"/>
  <c r="U530" i="3"/>
  <c r="V530" i="3"/>
  <c r="W530" i="3"/>
  <c r="Q531" i="3"/>
  <c r="R531" i="3"/>
  <c r="S531" i="3"/>
  <c r="T531" i="3"/>
  <c r="U531" i="3"/>
  <c r="V531" i="3"/>
  <c r="W531" i="3"/>
  <c r="Q532" i="3"/>
  <c r="R532" i="3"/>
  <c r="S532" i="3"/>
  <c r="T532" i="3"/>
  <c r="U532" i="3"/>
  <c r="V532" i="3"/>
  <c r="W532" i="3"/>
  <c r="Q533" i="3"/>
  <c r="R533" i="3"/>
  <c r="S533" i="3"/>
  <c r="T533" i="3"/>
  <c r="U533" i="3"/>
  <c r="V533" i="3"/>
  <c r="W533" i="3"/>
  <c r="Q534" i="3"/>
  <c r="R534" i="3"/>
  <c r="S534" i="3"/>
  <c r="T534" i="3"/>
  <c r="U534" i="3"/>
  <c r="V534" i="3"/>
  <c r="W534" i="3"/>
  <c r="Q535" i="3"/>
  <c r="R535" i="3"/>
  <c r="S535" i="3"/>
  <c r="T535" i="3"/>
  <c r="U535" i="3"/>
  <c r="V535" i="3"/>
  <c r="W535" i="3"/>
  <c r="Q536" i="3"/>
  <c r="R536" i="3"/>
  <c r="S536" i="3"/>
  <c r="T536" i="3"/>
  <c r="U536" i="3"/>
  <c r="V536" i="3"/>
  <c r="W536" i="3"/>
  <c r="Q537" i="3"/>
  <c r="R537" i="3"/>
  <c r="S537" i="3"/>
  <c r="T537" i="3"/>
  <c r="U537" i="3"/>
  <c r="V537" i="3"/>
  <c r="W537" i="3"/>
  <c r="Q538" i="3"/>
  <c r="R538" i="3"/>
  <c r="S538" i="3"/>
  <c r="T538" i="3"/>
  <c r="U538" i="3"/>
  <c r="V538" i="3"/>
  <c r="W538" i="3"/>
  <c r="Q539" i="3"/>
  <c r="R539" i="3"/>
  <c r="S539" i="3"/>
  <c r="T539" i="3"/>
  <c r="U539" i="3"/>
  <c r="V539" i="3"/>
  <c r="W539" i="3"/>
  <c r="Q540" i="3"/>
  <c r="R540" i="3"/>
  <c r="S540" i="3"/>
  <c r="T540" i="3"/>
  <c r="U540" i="3"/>
  <c r="V540" i="3"/>
  <c r="W540" i="3"/>
  <c r="Q541" i="3"/>
  <c r="R541" i="3"/>
  <c r="S541" i="3"/>
  <c r="T541" i="3"/>
  <c r="U541" i="3"/>
  <c r="V541" i="3"/>
  <c r="W541" i="3"/>
  <c r="Q542" i="3"/>
  <c r="R542" i="3"/>
  <c r="S542" i="3"/>
  <c r="T542" i="3"/>
  <c r="U542" i="3"/>
  <c r="V542" i="3"/>
  <c r="W542" i="3"/>
  <c r="Q543" i="3"/>
  <c r="R543" i="3"/>
  <c r="S543" i="3"/>
  <c r="T543" i="3"/>
  <c r="U543" i="3"/>
  <c r="V543" i="3"/>
  <c r="W543" i="3"/>
  <c r="Q544" i="3"/>
  <c r="R544" i="3"/>
  <c r="S544" i="3"/>
  <c r="T544" i="3"/>
  <c r="U544" i="3"/>
  <c r="V544" i="3"/>
  <c r="W544" i="3"/>
  <c r="Q545" i="3"/>
  <c r="R545" i="3"/>
  <c r="S545" i="3"/>
  <c r="T545" i="3"/>
  <c r="U545" i="3"/>
  <c r="V545" i="3"/>
  <c r="W545" i="3"/>
  <c r="Q546" i="3"/>
  <c r="R546" i="3"/>
  <c r="S546" i="3"/>
  <c r="T546" i="3"/>
  <c r="U546" i="3"/>
  <c r="V546" i="3"/>
  <c r="W546" i="3"/>
  <c r="Q547" i="3"/>
  <c r="R547" i="3"/>
  <c r="S547" i="3"/>
  <c r="T547" i="3"/>
  <c r="U547" i="3"/>
  <c r="V547" i="3"/>
  <c r="W547" i="3"/>
  <c r="Q548" i="3"/>
  <c r="R548" i="3"/>
  <c r="S548" i="3"/>
  <c r="T548" i="3"/>
  <c r="U548" i="3"/>
  <c r="V548" i="3"/>
  <c r="W548" i="3"/>
  <c r="Q549" i="3"/>
  <c r="R549" i="3"/>
  <c r="S549" i="3"/>
  <c r="T549" i="3"/>
  <c r="U549" i="3"/>
  <c r="V549" i="3"/>
  <c r="W549" i="3"/>
  <c r="Q550" i="3"/>
  <c r="R550" i="3"/>
  <c r="S550" i="3"/>
  <c r="T550" i="3"/>
  <c r="U550" i="3"/>
  <c r="V550" i="3"/>
  <c r="W550" i="3"/>
  <c r="Q551" i="3"/>
  <c r="R551" i="3"/>
  <c r="S551" i="3"/>
  <c r="T551" i="3"/>
  <c r="U551" i="3"/>
  <c r="V551" i="3"/>
  <c r="W551" i="3"/>
  <c r="Q552" i="3"/>
  <c r="R552" i="3"/>
  <c r="S552" i="3"/>
  <c r="T552" i="3"/>
  <c r="U552" i="3"/>
  <c r="V552" i="3"/>
  <c r="W552" i="3"/>
  <c r="Q553" i="3"/>
  <c r="R553" i="3"/>
  <c r="S553" i="3"/>
  <c r="T553" i="3"/>
  <c r="U553" i="3"/>
  <c r="V553" i="3"/>
  <c r="W553" i="3"/>
  <c r="Q554" i="3"/>
  <c r="R554" i="3"/>
  <c r="S554" i="3"/>
  <c r="T554" i="3"/>
  <c r="U554" i="3"/>
  <c r="V554" i="3"/>
  <c r="W554" i="3"/>
  <c r="Q555" i="3"/>
  <c r="R555" i="3"/>
  <c r="S555" i="3"/>
  <c r="T555" i="3"/>
  <c r="U555" i="3"/>
  <c r="V555" i="3"/>
  <c r="W555" i="3"/>
  <c r="Q556" i="3"/>
  <c r="R556" i="3"/>
  <c r="S556" i="3"/>
  <c r="T556" i="3"/>
  <c r="U556" i="3"/>
  <c r="V556" i="3"/>
  <c r="W556" i="3"/>
  <c r="Q557" i="3"/>
  <c r="R557" i="3"/>
  <c r="S557" i="3"/>
  <c r="T557" i="3"/>
  <c r="U557" i="3"/>
  <c r="V557" i="3"/>
  <c r="W557" i="3"/>
  <c r="Q558" i="3"/>
  <c r="R558" i="3"/>
  <c r="S558" i="3"/>
  <c r="T558" i="3"/>
  <c r="U558" i="3"/>
  <c r="V558" i="3"/>
  <c r="W558" i="3"/>
  <c r="Q559" i="3"/>
  <c r="R559" i="3"/>
  <c r="S559" i="3"/>
  <c r="T559" i="3"/>
  <c r="U559" i="3"/>
  <c r="V559" i="3"/>
  <c r="W559" i="3"/>
  <c r="Q560" i="3"/>
  <c r="R560" i="3"/>
  <c r="S560" i="3"/>
  <c r="T560" i="3"/>
  <c r="U560" i="3"/>
  <c r="V560" i="3"/>
  <c r="W560" i="3"/>
  <c r="Q561" i="3"/>
  <c r="R561" i="3"/>
  <c r="S561" i="3"/>
  <c r="T561" i="3"/>
  <c r="U561" i="3"/>
  <c r="V561" i="3"/>
  <c r="W561" i="3"/>
  <c r="Q562" i="3"/>
  <c r="R562" i="3"/>
  <c r="S562" i="3"/>
  <c r="T562" i="3"/>
  <c r="U562" i="3"/>
  <c r="V562" i="3"/>
  <c r="W562" i="3"/>
  <c r="Q563" i="3"/>
  <c r="R563" i="3"/>
  <c r="S563" i="3"/>
  <c r="T563" i="3"/>
  <c r="U563" i="3"/>
  <c r="V563" i="3"/>
  <c r="W563" i="3"/>
  <c r="Q564" i="3"/>
  <c r="R564" i="3"/>
  <c r="S564" i="3"/>
  <c r="T564" i="3"/>
  <c r="U564" i="3"/>
  <c r="V564" i="3"/>
  <c r="W564" i="3"/>
  <c r="Q565" i="3"/>
  <c r="R565" i="3"/>
  <c r="S565" i="3"/>
  <c r="T565" i="3"/>
  <c r="U565" i="3"/>
  <c r="V565" i="3"/>
  <c r="W565" i="3"/>
  <c r="Q566" i="3"/>
  <c r="R566" i="3"/>
  <c r="S566" i="3"/>
  <c r="T566" i="3"/>
  <c r="U566" i="3"/>
  <c r="V566" i="3"/>
  <c r="W566" i="3"/>
  <c r="Q567" i="3"/>
  <c r="R567" i="3"/>
  <c r="S567" i="3"/>
  <c r="T567" i="3"/>
  <c r="U567" i="3"/>
  <c r="V567" i="3"/>
  <c r="W567" i="3"/>
  <c r="Q568" i="3"/>
  <c r="R568" i="3"/>
  <c r="S568" i="3"/>
  <c r="T568" i="3"/>
  <c r="U568" i="3"/>
  <c r="V568" i="3"/>
  <c r="W568" i="3"/>
  <c r="Q569" i="3"/>
  <c r="R569" i="3"/>
  <c r="S569" i="3"/>
  <c r="T569" i="3"/>
  <c r="U569" i="3"/>
  <c r="V569" i="3"/>
  <c r="W569" i="3"/>
  <c r="Q570" i="3"/>
  <c r="R570" i="3"/>
  <c r="S570" i="3"/>
  <c r="T570" i="3"/>
  <c r="U570" i="3"/>
  <c r="V570" i="3"/>
  <c r="W570" i="3"/>
  <c r="Q571" i="3"/>
  <c r="R571" i="3"/>
  <c r="S571" i="3"/>
  <c r="T571" i="3"/>
  <c r="U571" i="3"/>
  <c r="V571" i="3"/>
  <c r="W571" i="3"/>
  <c r="Q572" i="3"/>
  <c r="R572" i="3"/>
  <c r="S572" i="3"/>
  <c r="T572" i="3"/>
  <c r="U572" i="3"/>
  <c r="V572" i="3"/>
  <c r="W572" i="3"/>
  <c r="Q573" i="3"/>
  <c r="R573" i="3"/>
  <c r="S573" i="3"/>
  <c r="T573" i="3"/>
  <c r="U573" i="3"/>
  <c r="V573" i="3"/>
  <c r="W573" i="3"/>
  <c r="Q574" i="3"/>
  <c r="R574" i="3"/>
  <c r="S574" i="3"/>
  <c r="T574" i="3"/>
  <c r="U574" i="3"/>
  <c r="V574" i="3"/>
  <c r="W574" i="3"/>
  <c r="Q575" i="3"/>
  <c r="R575" i="3"/>
  <c r="S575" i="3"/>
  <c r="T575" i="3"/>
  <c r="U575" i="3"/>
  <c r="V575" i="3"/>
  <c r="W575" i="3"/>
  <c r="Q576" i="3"/>
  <c r="R576" i="3"/>
  <c r="S576" i="3"/>
  <c r="T576" i="3"/>
  <c r="U576" i="3"/>
  <c r="V576" i="3"/>
  <c r="W576" i="3"/>
  <c r="Q577" i="3"/>
  <c r="R577" i="3"/>
  <c r="S577" i="3"/>
  <c r="T577" i="3"/>
  <c r="U577" i="3"/>
  <c r="V577" i="3"/>
  <c r="W577" i="3"/>
  <c r="Q578" i="3"/>
  <c r="R578" i="3"/>
  <c r="S578" i="3"/>
  <c r="T578" i="3"/>
  <c r="U578" i="3"/>
  <c r="V578" i="3"/>
  <c r="W578" i="3"/>
  <c r="Q579" i="3"/>
  <c r="R579" i="3"/>
  <c r="S579" i="3"/>
  <c r="T579" i="3"/>
  <c r="U579" i="3"/>
  <c r="V579" i="3"/>
  <c r="W579" i="3"/>
  <c r="Q580" i="3"/>
  <c r="R580" i="3"/>
  <c r="S580" i="3"/>
  <c r="T580" i="3"/>
  <c r="U580" i="3"/>
  <c r="V580" i="3"/>
  <c r="W580" i="3"/>
  <c r="Q581" i="3"/>
  <c r="R581" i="3"/>
  <c r="S581" i="3"/>
  <c r="T581" i="3"/>
  <c r="U581" i="3"/>
  <c r="V581" i="3"/>
  <c r="W581" i="3"/>
  <c r="Q582" i="3"/>
  <c r="R582" i="3"/>
  <c r="S582" i="3"/>
  <c r="T582" i="3"/>
  <c r="U582" i="3"/>
  <c r="V582" i="3"/>
  <c r="W582" i="3"/>
  <c r="Q583" i="3"/>
  <c r="R583" i="3"/>
  <c r="S583" i="3"/>
  <c r="T583" i="3"/>
  <c r="U583" i="3"/>
  <c r="V583" i="3"/>
  <c r="W583" i="3"/>
  <c r="Q584" i="3"/>
  <c r="R584" i="3"/>
  <c r="S584" i="3"/>
  <c r="T584" i="3"/>
  <c r="U584" i="3"/>
  <c r="V584" i="3"/>
  <c r="W584" i="3"/>
  <c r="Q585" i="3"/>
  <c r="R585" i="3"/>
  <c r="S585" i="3"/>
  <c r="T585" i="3"/>
  <c r="U585" i="3"/>
  <c r="V585" i="3"/>
  <c r="W585" i="3"/>
  <c r="Q586" i="3"/>
  <c r="R586" i="3"/>
  <c r="S586" i="3"/>
  <c r="T586" i="3"/>
  <c r="U586" i="3"/>
  <c r="V586" i="3"/>
  <c r="W586" i="3"/>
  <c r="Q587" i="3"/>
  <c r="R587" i="3"/>
  <c r="S587" i="3"/>
  <c r="T587" i="3"/>
  <c r="U587" i="3"/>
  <c r="V587" i="3"/>
  <c r="W587" i="3"/>
  <c r="Q588" i="3"/>
  <c r="R588" i="3"/>
  <c r="S588" i="3"/>
  <c r="T588" i="3"/>
  <c r="U588" i="3"/>
  <c r="V588" i="3"/>
  <c r="W588" i="3"/>
  <c r="Q589" i="3"/>
  <c r="R589" i="3"/>
  <c r="S589" i="3"/>
  <c r="T589" i="3"/>
  <c r="U589" i="3"/>
  <c r="V589" i="3"/>
  <c r="W589" i="3"/>
  <c r="Q590" i="3"/>
  <c r="R590" i="3"/>
  <c r="S590" i="3"/>
  <c r="T590" i="3"/>
  <c r="U590" i="3"/>
  <c r="V590" i="3"/>
  <c r="W590" i="3"/>
  <c r="Q591" i="3"/>
  <c r="R591" i="3"/>
  <c r="S591" i="3"/>
  <c r="T591" i="3"/>
  <c r="U591" i="3"/>
  <c r="V591" i="3"/>
  <c r="W591" i="3"/>
  <c r="Q592" i="3"/>
  <c r="R592" i="3"/>
  <c r="A1035" i="4" s="1"/>
  <c r="S592" i="3"/>
  <c r="T592" i="3"/>
  <c r="U592" i="3"/>
  <c r="V592" i="3"/>
  <c r="W592" i="3"/>
  <c r="Q593" i="3"/>
  <c r="R593" i="3"/>
  <c r="S593" i="3"/>
  <c r="T593" i="3"/>
  <c r="U593" i="3"/>
  <c r="V593" i="3"/>
  <c r="W593" i="3"/>
  <c r="Q594" i="3"/>
  <c r="R594" i="3"/>
  <c r="S594" i="3"/>
  <c r="T594" i="3"/>
  <c r="U594" i="3"/>
  <c r="V594" i="3"/>
  <c r="W594" i="3"/>
  <c r="Q595" i="3"/>
  <c r="R595" i="3"/>
  <c r="S595" i="3"/>
  <c r="T595" i="3"/>
  <c r="U595" i="3"/>
  <c r="V595" i="3"/>
  <c r="W595" i="3"/>
  <c r="Q596" i="3"/>
  <c r="R596" i="3"/>
  <c r="S596" i="3"/>
  <c r="T596" i="3"/>
  <c r="U596" i="3"/>
  <c r="V596" i="3"/>
  <c r="W596" i="3"/>
  <c r="Q597" i="3"/>
  <c r="R597" i="3"/>
  <c r="S597" i="3"/>
  <c r="T597" i="3"/>
  <c r="U597" i="3"/>
  <c r="V597" i="3"/>
  <c r="W597" i="3"/>
  <c r="Q598" i="3"/>
  <c r="R598" i="3"/>
  <c r="S598" i="3"/>
  <c r="T598" i="3"/>
  <c r="U598" i="3"/>
  <c r="V598" i="3"/>
  <c r="W598" i="3"/>
  <c r="Q599" i="3"/>
  <c r="R599" i="3"/>
  <c r="S599" i="3"/>
  <c r="T599" i="3"/>
  <c r="U599" i="3"/>
  <c r="V599" i="3"/>
  <c r="W599" i="3"/>
  <c r="Q600" i="3"/>
  <c r="R600" i="3"/>
  <c r="S600" i="3"/>
  <c r="T600" i="3"/>
  <c r="U600" i="3"/>
  <c r="V600" i="3"/>
  <c r="W600" i="3"/>
  <c r="Q601" i="3"/>
  <c r="R601" i="3"/>
  <c r="S601" i="3"/>
  <c r="T601" i="3"/>
  <c r="U601" i="3"/>
  <c r="V601" i="3"/>
  <c r="W601" i="3"/>
  <c r="Q602" i="3"/>
  <c r="R602" i="3"/>
  <c r="S602" i="3"/>
  <c r="T602" i="3"/>
  <c r="U602" i="3"/>
  <c r="V602" i="3"/>
  <c r="W602" i="3"/>
  <c r="Q603" i="3"/>
  <c r="R603" i="3"/>
  <c r="S603" i="3"/>
  <c r="T603" i="3"/>
  <c r="U603" i="3"/>
  <c r="V603" i="3"/>
  <c r="W603" i="3"/>
  <c r="Q604" i="3"/>
  <c r="R604" i="3"/>
  <c r="S604" i="3"/>
  <c r="T604" i="3"/>
  <c r="U604" i="3"/>
  <c r="V604" i="3"/>
  <c r="W604" i="3"/>
  <c r="Q605" i="3"/>
  <c r="R605" i="3"/>
  <c r="S605" i="3"/>
  <c r="T605" i="3"/>
  <c r="U605" i="3"/>
  <c r="V605" i="3"/>
  <c r="W605" i="3"/>
  <c r="Q606" i="3"/>
  <c r="R606" i="3"/>
  <c r="S606" i="3"/>
  <c r="T606" i="3"/>
  <c r="U606" i="3"/>
  <c r="V606" i="3"/>
  <c r="W606" i="3"/>
  <c r="Q607" i="3"/>
  <c r="R607" i="3"/>
  <c r="S607" i="3"/>
  <c r="T607" i="3"/>
  <c r="U607" i="3"/>
  <c r="V607" i="3"/>
  <c r="W607" i="3"/>
  <c r="Q608" i="3"/>
  <c r="R608" i="3"/>
  <c r="S608" i="3"/>
  <c r="T608" i="3"/>
  <c r="U608" i="3"/>
  <c r="V608" i="3"/>
  <c r="W608" i="3"/>
  <c r="Q609" i="3"/>
  <c r="R609" i="3"/>
  <c r="S609" i="3"/>
  <c r="T609" i="3"/>
  <c r="U609" i="3"/>
  <c r="V609" i="3"/>
  <c r="W609" i="3"/>
  <c r="Q610" i="3"/>
  <c r="R610" i="3"/>
  <c r="S610" i="3"/>
  <c r="T610" i="3"/>
  <c r="U610" i="3"/>
  <c r="V610" i="3"/>
  <c r="W610" i="3"/>
  <c r="Q611" i="3"/>
  <c r="R611" i="3"/>
  <c r="S611" i="3"/>
  <c r="T611" i="3"/>
  <c r="U611" i="3"/>
  <c r="V611" i="3"/>
  <c r="W611" i="3"/>
  <c r="Q612" i="3"/>
  <c r="R612" i="3"/>
  <c r="S612" i="3"/>
  <c r="T612" i="3"/>
  <c r="U612" i="3"/>
  <c r="V612" i="3"/>
  <c r="W612" i="3"/>
  <c r="Q613" i="3"/>
  <c r="R613" i="3"/>
  <c r="S613" i="3"/>
  <c r="T613" i="3"/>
  <c r="U613" i="3"/>
  <c r="V613" i="3"/>
  <c r="W613" i="3"/>
  <c r="Q614" i="3"/>
  <c r="R614" i="3"/>
  <c r="S614" i="3"/>
  <c r="T614" i="3"/>
  <c r="U614" i="3"/>
  <c r="V614" i="3"/>
  <c r="W614" i="3"/>
  <c r="Q615" i="3"/>
  <c r="R615" i="3"/>
  <c r="S615" i="3"/>
  <c r="T615" i="3"/>
  <c r="U615" i="3"/>
  <c r="V615" i="3"/>
  <c r="W615" i="3"/>
  <c r="Q616" i="3"/>
  <c r="R616" i="3"/>
  <c r="S616" i="3"/>
  <c r="T616" i="3"/>
  <c r="U616" i="3"/>
  <c r="V616" i="3"/>
  <c r="W616" i="3"/>
  <c r="Q617" i="3"/>
  <c r="R617" i="3"/>
  <c r="S617" i="3"/>
  <c r="T617" i="3"/>
  <c r="U617" i="3"/>
  <c r="V617" i="3"/>
  <c r="W617" i="3"/>
  <c r="Q618" i="3"/>
  <c r="R618" i="3"/>
  <c r="S618" i="3"/>
  <c r="T618" i="3"/>
  <c r="U618" i="3"/>
  <c r="V618" i="3"/>
  <c r="W618" i="3"/>
  <c r="Q619" i="3"/>
  <c r="R619" i="3"/>
  <c r="S619" i="3"/>
  <c r="T619" i="3"/>
  <c r="U619" i="3"/>
  <c r="V619" i="3"/>
  <c r="W619" i="3"/>
  <c r="Q620" i="3"/>
  <c r="R620" i="3"/>
  <c r="S620" i="3"/>
  <c r="T620" i="3"/>
  <c r="U620" i="3"/>
  <c r="V620" i="3"/>
  <c r="W620" i="3"/>
  <c r="Q621" i="3"/>
  <c r="R621" i="3"/>
  <c r="S621" i="3"/>
  <c r="T621" i="3"/>
  <c r="U621" i="3"/>
  <c r="V621" i="3"/>
  <c r="W621" i="3"/>
  <c r="Q622" i="3"/>
  <c r="R622" i="3"/>
  <c r="S622" i="3"/>
  <c r="T622" i="3"/>
  <c r="U622" i="3"/>
  <c r="V622" i="3"/>
  <c r="W622" i="3"/>
  <c r="Q623" i="3"/>
  <c r="R623" i="3"/>
  <c r="S623" i="3"/>
  <c r="T623" i="3"/>
  <c r="U623" i="3"/>
  <c r="V623" i="3"/>
  <c r="W623" i="3"/>
  <c r="Q624" i="3"/>
  <c r="R624" i="3"/>
  <c r="S624" i="3"/>
  <c r="T624" i="3"/>
  <c r="U624" i="3"/>
  <c r="V624" i="3"/>
  <c r="W624" i="3"/>
  <c r="Q625" i="3"/>
  <c r="R625" i="3"/>
  <c r="S625" i="3"/>
  <c r="T625" i="3"/>
  <c r="U625" i="3"/>
  <c r="V625" i="3"/>
  <c r="W625" i="3"/>
  <c r="Q626" i="3"/>
  <c r="R626" i="3"/>
  <c r="S626" i="3"/>
  <c r="T626" i="3"/>
  <c r="U626" i="3"/>
  <c r="V626" i="3"/>
  <c r="W626" i="3"/>
  <c r="Q627" i="3"/>
  <c r="R627" i="3"/>
  <c r="S627" i="3"/>
  <c r="T627" i="3"/>
  <c r="U627" i="3"/>
  <c r="V627" i="3"/>
  <c r="W627" i="3"/>
  <c r="Q628" i="3"/>
  <c r="R628" i="3"/>
  <c r="S628" i="3"/>
  <c r="T628" i="3"/>
  <c r="U628" i="3"/>
  <c r="V628" i="3"/>
  <c r="W628" i="3"/>
  <c r="Q629" i="3"/>
  <c r="R629" i="3"/>
  <c r="S629" i="3"/>
  <c r="T629" i="3"/>
  <c r="U629" i="3"/>
  <c r="V629" i="3"/>
  <c r="W629" i="3"/>
  <c r="Q630" i="3"/>
  <c r="R630" i="3"/>
  <c r="S630" i="3"/>
  <c r="T630" i="3"/>
  <c r="U630" i="3"/>
  <c r="V630" i="3"/>
  <c r="W630" i="3"/>
  <c r="Q631" i="3"/>
  <c r="R631" i="3"/>
  <c r="S631" i="3"/>
  <c r="T631" i="3"/>
  <c r="U631" i="3"/>
  <c r="V631" i="3"/>
  <c r="W631" i="3"/>
  <c r="Q632" i="3"/>
  <c r="R632" i="3"/>
  <c r="S632" i="3"/>
  <c r="T632" i="3"/>
  <c r="U632" i="3"/>
  <c r="V632" i="3"/>
  <c r="W632" i="3"/>
  <c r="Q633" i="3"/>
  <c r="R633" i="3"/>
  <c r="S633" i="3"/>
  <c r="T633" i="3"/>
  <c r="U633" i="3"/>
  <c r="V633" i="3"/>
  <c r="W633" i="3"/>
  <c r="Q634" i="3"/>
  <c r="R634" i="3"/>
  <c r="S634" i="3"/>
  <c r="T634" i="3"/>
  <c r="U634" i="3"/>
  <c r="V634" i="3"/>
  <c r="W634" i="3"/>
  <c r="Q635" i="3"/>
  <c r="R635" i="3"/>
  <c r="S635" i="3"/>
  <c r="T635" i="3"/>
  <c r="U635" i="3"/>
  <c r="V635" i="3"/>
  <c r="W635" i="3"/>
  <c r="Q636" i="3"/>
  <c r="R636" i="3"/>
  <c r="S636" i="3"/>
  <c r="T636" i="3"/>
  <c r="U636" i="3"/>
  <c r="V636" i="3"/>
  <c r="W636" i="3"/>
  <c r="Q637" i="3"/>
  <c r="R637" i="3"/>
  <c r="S637" i="3"/>
  <c r="T637" i="3"/>
  <c r="U637" i="3"/>
  <c r="V637" i="3"/>
  <c r="W637" i="3"/>
  <c r="Q638" i="3"/>
  <c r="R638" i="3"/>
  <c r="S638" i="3"/>
  <c r="T638" i="3"/>
  <c r="U638" i="3"/>
  <c r="V638" i="3"/>
  <c r="W638" i="3"/>
  <c r="Q639" i="3"/>
  <c r="R639" i="3"/>
  <c r="S639" i="3"/>
  <c r="T639" i="3"/>
  <c r="U639" i="3"/>
  <c r="V639" i="3"/>
  <c r="W639" i="3"/>
  <c r="Q640" i="3"/>
  <c r="R640" i="3"/>
  <c r="S640" i="3"/>
  <c r="T640" i="3"/>
  <c r="U640" i="3"/>
  <c r="V640" i="3"/>
  <c r="W640" i="3"/>
  <c r="Q641" i="3"/>
  <c r="R641" i="3"/>
  <c r="S641" i="3"/>
  <c r="T641" i="3"/>
  <c r="U641" i="3"/>
  <c r="V641" i="3"/>
  <c r="W641" i="3"/>
  <c r="Q642" i="3"/>
  <c r="R642" i="3"/>
  <c r="S642" i="3"/>
  <c r="T642" i="3"/>
  <c r="U642" i="3"/>
  <c r="V642" i="3"/>
  <c r="W642" i="3"/>
  <c r="Q643" i="3"/>
  <c r="R643" i="3"/>
  <c r="S643" i="3"/>
  <c r="T643" i="3"/>
  <c r="U643" i="3"/>
  <c r="V643" i="3"/>
  <c r="W643" i="3"/>
  <c r="Q644" i="3"/>
  <c r="R644" i="3"/>
  <c r="S644" i="3"/>
  <c r="T644" i="3"/>
  <c r="U644" i="3"/>
  <c r="V644" i="3"/>
  <c r="W644" i="3"/>
  <c r="Q645" i="3"/>
  <c r="R645" i="3"/>
  <c r="S645" i="3"/>
  <c r="T645" i="3"/>
  <c r="U645" i="3"/>
  <c r="V645" i="3"/>
  <c r="W645" i="3"/>
  <c r="Q646" i="3"/>
  <c r="R646" i="3"/>
  <c r="S646" i="3"/>
  <c r="T646" i="3"/>
  <c r="U646" i="3"/>
  <c r="V646" i="3"/>
  <c r="W646" i="3"/>
  <c r="Q647" i="3"/>
  <c r="R647" i="3"/>
  <c r="S647" i="3"/>
  <c r="T647" i="3"/>
  <c r="U647" i="3"/>
  <c r="V647" i="3"/>
  <c r="W647" i="3"/>
  <c r="Q648" i="3"/>
  <c r="R648" i="3"/>
  <c r="S648" i="3"/>
  <c r="T648" i="3"/>
  <c r="U648" i="3"/>
  <c r="V648" i="3"/>
  <c r="W648" i="3"/>
  <c r="Q649" i="3"/>
  <c r="R649" i="3"/>
  <c r="S649" i="3"/>
  <c r="T649" i="3"/>
  <c r="U649" i="3"/>
  <c r="V649" i="3"/>
  <c r="W649" i="3"/>
  <c r="Q650" i="3"/>
  <c r="R650" i="3"/>
  <c r="S650" i="3"/>
  <c r="T650" i="3"/>
  <c r="U650" i="3"/>
  <c r="V650" i="3"/>
  <c r="W650" i="3"/>
  <c r="Q651" i="3"/>
  <c r="R651" i="3"/>
  <c r="S651" i="3"/>
  <c r="T651" i="3"/>
  <c r="U651" i="3"/>
  <c r="V651" i="3"/>
  <c r="W651" i="3"/>
  <c r="Q652" i="3"/>
  <c r="R652" i="3"/>
  <c r="S652" i="3"/>
  <c r="T652" i="3"/>
  <c r="U652" i="3"/>
  <c r="V652" i="3"/>
  <c r="W652" i="3"/>
  <c r="Q653" i="3"/>
  <c r="R653" i="3"/>
  <c r="S653" i="3"/>
  <c r="T653" i="3"/>
  <c r="U653" i="3"/>
  <c r="V653" i="3"/>
  <c r="W653" i="3"/>
  <c r="Q654" i="3"/>
  <c r="R654" i="3"/>
  <c r="S654" i="3"/>
  <c r="T654" i="3"/>
  <c r="U654" i="3"/>
  <c r="V654" i="3"/>
  <c r="W654" i="3"/>
  <c r="Q655" i="3"/>
  <c r="R655" i="3"/>
  <c r="S655" i="3"/>
  <c r="T655" i="3"/>
  <c r="U655" i="3"/>
  <c r="V655" i="3"/>
  <c r="W655" i="3"/>
  <c r="Q656" i="3"/>
  <c r="R656" i="3"/>
  <c r="S656" i="3"/>
  <c r="T656" i="3"/>
  <c r="U656" i="3"/>
  <c r="V656" i="3"/>
  <c r="W656" i="3"/>
  <c r="Q657" i="3"/>
  <c r="R657" i="3"/>
  <c r="S657" i="3"/>
  <c r="T657" i="3"/>
  <c r="U657" i="3"/>
  <c r="V657" i="3"/>
  <c r="W657" i="3"/>
  <c r="Q658" i="3"/>
  <c r="R658" i="3"/>
  <c r="S658" i="3"/>
  <c r="T658" i="3"/>
  <c r="U658" i="3"/>
  <c r="V658" i="3"/>
  <c r="W658" i="3"/>
  <c r="Q659" i="3"/>
  <c r="R659" i="3"/>
  <c r="S659" i="3"/>
  <c r="T659" i="3"/>
  <c r="U659" i="3"/>
  <c r="V659" i="3"/>
  <c r="W659" i="3"/>
  <c r="Q660" i="3"/>
  <c r="R660" i="3"/>
  <c r="S660" i="3"/>
  <c r="T660" i="3"/>
  <c r="U660" i="3"/>
  <c r="V660" i="3"/>
  <c r="W660" i="3"/>
  <c r="Q661" i="3"/>
  <c r="R661" i="3"/>
  <c r="S661" i="3"/>
  <c r="T661" i="3"/>
  <c r="U661" i="3"/>
  <c r="V661" i="3"/>
  <c r="W661" i="3"/>
  <c r="Q662" i="3"/>
  <c r="R662" i="3"/>
  <c r="S662" i="3"/>
  <c r="T662" i="3"/>
  <c r="U662" i="3"/>
  <c r="V662" i="3"/>
  <c r="W662" i="3"/>
  <c r="Q663" i="3"/>
  <c r="R663" i="3"/>
  <c r="S663" i="3"/>
  <c r="T663" i="3"/>
  <c r="U663" i="3"/>
  <c r="V663" i="3"/>
  <c r="W663" i="3"/>
  <c r="Q664" i="3"/>
  <c r="R664" i="3"/>
  <c r="S664" i="3"/>
  <c r="T664" i="3"/>
  <c r="U664" i="3"/>
  <c r="V664" i="3"/>
  <c r="W664" i="3"/>
  <c r="Q665" i="3"/>
  <c r="R665" i="3"/>
  <c r="S665" i="3"/>
  <c r="T665" i="3"/>
  <c r="U665" i="3"/>
  <c r="V665" i="3"/>
  <c r="W665" i="3"/>
  <c r="Q666" i="3"/>
  <c r="R666" i="3"/>
  <c r="S666" i="3"/>
  <c r="T666" i="3"/>
  <c r="U666" i="3"/>
  <c r="V666" i="3"/>
  <c r="W666" i="3"/>
  <c r="Q667" i="3"/>
  <c r="R667" i="3"/>
  <c r="S667" i="3"/>
  <c r="T667" i="3"/>
  <c r="U667" i="3"/>
  <c r="V667" i="3"/>
  <c r="W667" i="3"/>
  <c r="Q668" i="3"/>
  <c r="R668" i="3"/>
  <c r="S668" i="3"/>
  <c r="T668" i="3"/>
  <c r="U668" i="3"/>
  <c r="V668" i="3"/>
  <c r="W668" i="3"/>
  <c r="Q669" i="3"/>
  <c r="R669" i="3"/>
  <c r="S669" i="3"/>
  <c r="T669" i="3"/>
  <c r="U669" i="3"/>
  <c r="V669" i="3"/>
  <c r="W669" i="3"/>
  <c r="Q670" i="3"/>
  <c r="R670" i="3"/>
  <c r="S670" i="3"/>
  <c r="T670" i="3"/>
  <c r="U670" i="3"/>
  <c r="V670" i="3"/>
  <c r="W670" i="3"/>
  <c r="Q671" i="3"/>
  <c r="R671" i="3"/>
  <c r="S671" i="3"/>
  <c r="T671" i="3"/>
  <c r="U671" i="3"/>
  <c r="V671" i="3"/>
  <c r="W671" i="3"/>
  <c r="Q672" i="3"/>
  <c r="R672" i="3"/>
  <c r="S672" i="3"/>
  <c r="T672" i="3"/>
  <c r="U672" i="3"/>
  <c r="V672" i="3"/>
  <c r="W672" i="3"/>
  <c r="Q673" i="3"/>
  <c r="R673" i="3"/>
  <c r="S673" i="3"/>
  <c r="T673" i="3"/>
  <c r="U673" i="3"/>
  <c r="V673" i="3"/>
  <c r="W673" i="3"/>
  <c r="Q674" i="3"/>
  <c r="R674" i="3"/>
  <c r="S674" i="3"/>
  <c r="T674" i="3"/>
  <c r="U674" i="3"/>
  <c r="V674" i="3"/>
  <c r="W674" i="3"/>
  <c r="Q675" i="3"/>
  <c r="R675" i="3"/>
  <c r="S675" i="3"/>
  <c r="T675" i="3"/>
  <c r="U675" i="3"/>
  <c r="V675" i="3"/>
  <c r="W675" i="3"/>
  <c r="Q676" i="3"/>
  <c r="R676" i="3"/>
  <c r="S676" i="3"/>
  <c r="T676" i="3"/>
  <c r="U676" i="3"/>
  <c r="V676" i="3"/>
  <c r="W676" i="3"/>
  <c r="Q677" i="3"/>
  <c r="R677" i="3"/>
  <c r="S677" i="3"/>
  <c r="T677" i="3"/>
  <c r="U677" i="3"/>
  <c r="V677" i="3"/>
  <c r="W677" i="3"/>
  <c r="Q678" i="3"/>
  <c r="R678" i="3"/>
  <c r="S678" i="3"/>
  <c r="T678" i="3"/>
  <c r="U678" i="3"/>
  <c r="V678" i="3"/>
  <c r="W678" i="3"/>
  <c r="Q679" i="3"/>
  <c r="R679" i="3"/>
  <c r="S679" i="3"/>
  <c r="T679" i="3"/>
  <c r="U679" i="3"/>
  <c r="V679" i="3"/>
  <c r="W679" i="3"/>
  <c r="Q680" i="3"/>
  <c r="R680" i="3"/>
  <c r="S680" i="3"/>
  <c r="T680" i="3"/>
  <c r="U680" i="3"/>
  <c r="V680" i="3"/>
  <c r="W680" i="3"/>
  <c r="Q681" i="3"/>
  <c r="R681" i="3"/>
  <c r="S681" i="3"/>
  <c r="T681" i="3"/>
  <c r="U681" i="3"/>
  <c r="V681" i="3"/>
  <c r="W681" i="3"/>
  <c r="Q682" i="3"/>
  <c r="R682" i="3"/>
  <c r="S682" i="3"/>
  <c r="T682" i="3"/>
  <c r="U682" i="3"/>
  <c r="V682" i="3"/>
  <c r="W682" i="3"/>
  <c r="Q683" i="3"/>
  <c r="R683" i="3"/>
  <c r="S683" i="3"/>
  <c r="T683" i="3"/>
  <c r="U683" i="3"/>
  <c r="V683" i="3"/>
  <c r="W683" i="3"/>
  <c r="Q684" i="3"/>
  <c r="R684" i="3"/>
  <c r="S684" i="3"/>
  <c r="T684" i="3"/>
  <c r="U684" i="3"/>
  <c r="V684" i="3"/>
  <c r="W684" i="3"/>
  <c r="Q685" i="3"/>
  <c r="R685" i="3"/>
  <c r="S685" i="3"/>
  <c r="T685" i="3"/>
  <c r="U685" i="3"/>
  <c r="V685" i="3"/>
  <c r="W685" i="3"/>
  <c r="Q686" i="3"/>
  <c r="R686" i="3"/>
  <c r="S686" i="3"/>
  <c r="T686" i="3"/>
  <c r="U686" i="3"/>
  <c r="V686" i="3"/>
  <c r="W686" i="3"/>
  <c r="Q687" i="3"/>
  <c r="R687" i="3"/>
  <c r="S687" i="3"/>
  <c r="T687" i="3"/>
  <c r="U687" i="3"/>
  <c r="V687" i="3"/>
  <c r="W687" i="3"/>
  <c r="Q688" i="3"/>
  <c r="R688" i="3"/>
  <c r="S688" i="3"/>
  <c r="T688" i="3"/>
  <c r="U688" i="3"/>
  <c r="V688" i="3"/>
  <c r="W688" i="3"/>
  <c r="Q689" i="3"/>
  <c r="R689" i="3"/>
  <c r="S689" i="3"/>
  <c r="T689" i="3"/>
  <c r="U689" i="3"/>
  <c r="V689" i="3"/>
  <c r="W689" i="3"/>
  <c r="Q690" i="3"/>
  <c r="R690" i="3"/>
  <c r="S690" i="3"/>
  <c r="T690" i="3"/>
  <c r="U690" i="3"/>
  <c r="V690" i="3"/>
  <c r="W690" i="3"/>
  <c r="Q691" i="3"/>
  <c r="R691" i="3"/>
  <c r="S691" i="3"/>
  <c r="T691" i="3"/>
  <c r="U691" i="3"/>
  <c r="V691" i="3"/>
  <c r="W691" i="3"/>
  <c r="Q692" i="3"/>
  <c r="R692" i="3"/>
  <c r="S692" i="3"/>
  <c r="T692" i="3"/>
  <c r="U692" i="3"/>
  <c r="V692" i="3"/>
  <c r="W692" i="3"/>
  <c r="Q693" i="3"/>
  <c r="R693" i="3"/>
  <c r="S693" i="3"/>
  <c r="T693" i="3"/>
  <c r="U693" i="3"/>
  <c r="V693" i="3"/>
  <c r="W693" i="3"/>
  <c r="Q694" i="3"/>
  <c r="R694" i="3"/>
  <c r="S694" i="3"/>
  <c r="T694" i="3"/>
  <c r="U694" i="3"/>
  <c r="V694" i="3"/>
  <c r="W694" i="3"/>
  <c r="Q695" i="3"/>
  <c r="R695" i="3"/>
  <c r="S695" i="3"/>
  <c r="T695" i="3"/>
  <c r="U695" i="3"/>
  <c r="V695" i="3"/>
  <c r="W695" i="3"/>
  <c r="Q696" i="3"/>
  <c r="R696" i="3"/>
  <c r="S696" i="3"/>
  <c r="T696" i="3"/>
  <c r="U696" i="3"/>
  <c r="V696" i="3"/>
  <c r="W696" i="3"/>
  <c r="Q697" i="3"/>
  <c r="R697" i="3"/>
  <c r="S697" i="3"/>
  <c r="T697" i="3"/>
  <c r="U697" i="3"/>
  <c r="V697" i="3"/>
  <c r="W697" i="3"/>
  <c r="Q698" i="3"/>
  <c r="R698" i="3"/>
  <c r="S698" i="3"/>
  <c r="T698" i="3"/>
  <c r="U698" i="3"/>
  <c r="V698" i="3"/>
  <c r="W698" i="3"/>
  <c r="Q699" i="3"/>
  <c r="R699" i="3"/>
  <c r="S699" i="3"/>
  <c r="T699" i="3"/>
  <c r="U699" i="3"/>
  <c r="V699" i="3"/>
  <c r="W699" i="3"/>
  <c r="Q700" i="3"/>
  <c r="R700" i="3"/>
  <c r="S700" i="3"/>
  <c r="T700" i="3"/>
  <c r="U700" i="3"/>
  <c r="V700" i="3"/>
  <c r="W700" i="3"/>
  <c r="Q701" i="3"/>
  <c r="R701" i="3"/>
  <c r="S701" i="3"/>
  <c r="T701" i="3"/>
  <c r="U701" i="3"/>
  <c r="V701" i="3"/>
  <c r="W701" i="3"/>
  <c r="Q702" i="3"/>
  <c r="R702" i="3"/>
  <c r="S702" i="3"/>
  <c r="T702" i="3"/>
  <c r="U702" i="3"/>
  <c r="V702" i="3"/>
  <c r="W702" i="3"/>
  <c r="Q703" i="3"/>
  <c r="R703" i="3"/>
  <c r="S703" i="3"/>
  <c r="T703" i="3"/>
  <c r="U703" i="3"/>
  <c r="V703" i="3"/>
  <c r="W703" i="3"/>
  <c r="Q704" i="3"/>
  <c r="R704" i="3"/>
  <c r="S704" i="3"/>
  <c r="T704" i="3"/>
  <c r="U704" i="3"/>
  <c r="V704" i="3"/>
  <c r="W704" i="3"/>
  <c r="Q705" i="3"/>
  <c r="R705" i="3"/>
  <c r="S705" i="3"/>
  <c r="T705" i="3"/>
  <c r="U705" i="3"/>
  <c r="V705" i="3"/>
  <c r="W705" i="3"/>
  <c r="Q706" i="3"/>
  <c r="R706" i="3"/>
  <c r="S706" i="3"/>
  <c r="T706" i="3"/>
  <c r="U706" i="3"/>
  <c r="V706" i="3"/>
  <c r="W706" i="3"/>
  <c r="Q707" i="3"/>
  <c r="R707" i="3"/>
  <c r="S707" i="3"/>
  <c r="T707" i="3"/>
  <c r="U707" i="3"/>
  <c r="V707" i="3"/>
  <c r="W707" i="3"/>
  <c r="Q708" i="3"/>
  <c r="R708" i="3"/>
  <c r="S708" i="3"/>
  <c r="T708" i="3"/>
  <c r="U708" i="3"/>
  <c r="V708" i="3"/>
  <c r="W708" i="3"/>
  <c r="Q709" i="3"/>
  <c r="R709" i="3"/>
  <c r="S709" i="3"/>
  <c r="T709" i="3"/>
  <c r="U709" i="3"/>
  <c r="V709" i="3"/>
  <c r="W709" i="3"/>
  <c r="Q710" i="3"/>
  <c r="R710" i="3"/>
  <c r="S710" i="3"/>
  <c r="T710" i="3"/>
  <c r="U710" i="3"/>
  <c r="V710" i="3"/>
  <c r="W710" i="3"/>
  <c r="Q711" i="3"/>
  <c r="R711" i="3"/>
  <c r="S711" i="3"/>
  <c r="T711" i="3"/>
  <c r="U711" i="3"/>
  <c r="V711" i="3"/>
  <c r="W711" i="3"/>
  <c r="Q712" i="3"/>
  <c r="R712" i="3"/>
  <c r="S712" i="3"/>
  <c r="T712" i="3"/>
  <c r="U712" i="3"/>
  <c r="V712" i="3"/>
  <c r="W712" i="3"/>
  <c r="Q713" i="3"/>
  <c r="R713" i="3"/>
  <c r="S713" i="3"/>
  <c r="T713" i="3"/>
  <c r="U713" i="3"/>
  <c r="V713" i="3"/>
  <c r="W713" i="3"/>
  <c r="Q714" i="3"/>
  <c r="R714" i="3"/>
  <c r="S714" i="3"/>
  <c r="T714" i="3"/>
  <c r="U714" i="3"/>
  <c r="V714" i="3"/>
  <c r="W714" i="3"/>
  <c r="Q715" i="3"/>
  <c r="R715" i="3"/>
  <c r="S715" i="3"/>
  <c r="T715" i="3"/>
  <c r="U715" i="3"/>
  <c r="V715" i="3"/>
  <c r="W715" i="3"/>
  <c r="Q716" i="3"/>
  <c r="R716" i="3"/>
  <c r="S716" i="3"/>
  <c r="T716" i="3"/>
  <c r="U716" i="3"/>
  <c r="V716" i="3"/>
  <c r="W716" i="3"/>
  <c r="Q717" i="3"/>
  <c r="R717" i="3"/>
  <c r="S717" i="3"/>
  <c r="T717" i="3"/>
  <c r="U717" i="3"/>
  <c r="V717" i="3"/>
  <c r="W717" i="3"/>
  <c r="Q718" i="3"/>
  <c r="R718" i="3"/>
  <c r="S718" i="3"/>
  <c r="T718" i="3"/>
  <c r="U718" i="3"/>
  <c r="V718" i="3"/>
  <c r="W718" i="3"/>
  <c r="Q719" i="3"/>
  <c r="R719" i="3"/>
  <c r="S719" i="3"/>
  <c r="T719" i="3"/>
  <c r="U719" i="3"/>
  <c r="V719" i="3"/>
  <c r="W719" i="3"/>
  <c r="Q720" i="3"/>
  <c r="R720" i="3"/>
  <c r="S720" i="3"/>
  <c r="T720" i="3"/>
  <c r="U720" i="3"/>
  <c r="V720" i="3"/>
  <c r="W720" i="3"/>
  <c r="Q721" i="3"/>
  <c r="R721" i="3"/>
  <c r="S721" i="3"/>
  <c r="T721" i="3"/>
  <c r="U721" i="3"/>
  <c r="V721" i="3"/>
  <c r="W721" i="3"/>
  <c r="Q722" i="3"/>
  <c r="R722" i="3"/>
  <c r="S722" i="3"/>
  <c r="T722" i="3"/>
  <c r="U722" i="3"/>
  <c r="V722" i="3"/>
  <c r="W722" i="3"/>
  <c r="Q723" i="3"/>
  <c r="R723" i="3"/>
  <c r="S723" i="3"/>
  <c r="T723" i="3"/>
  <c r="U723" i="3"/>
  <c r="V723" i="3"/>
  <c r="W723" i="3"/>
  <c r="Q724" i="3"/>
  <c r="R724" i="3"/>
  <c r="S724" i="3"/>
  <c r="T724" i="3"/>
  <c r="U724" i="3"/>
  <c r="V724" i="3"/>
  <c r="W724" i="3"/>
  <c r="Q725" i="3"/>
  <c r="R725" i="3"/>
  <c r="S725" i="3"/>
  <c r="T725" i="3"/>
  <c r="U725" i="3"/>
  <c r="V725" i="3"/>
  <c r="W725" i="3"/>
  <c r="Q726" i="3"/>
  <c r="R726" i="3"/>
  <c r="S726" i="3"/>
  <c r="T726" i="3"/>
  <c r="U726" i="3"/>
  <c r="V726" i="3"/>
  <c r="W726" i="3"/>
  <c r="Q727" i="3"/>
  <c r="R727" i="3"/>
  <c r="S727" i="3"/>
  <c r="T727" i="3"/>
  <c r="U727" i="3"/>
  <c r="V727" i="3"/>
  <c r="W727" i="3"/>
  <c r="Q728" i="3"/>
  <c r="R728" i="3"/>
  <c r="S728" i="3"/>
  <c r="T728" i="3"/>
  <c r="U728" i="3"/>
  <c r="V728" i="3"/>
  <c r="W728" i="3"/>
  <c r="Q729" i="3"/>
  <c r="R729" i="3"/>
  <c r="S729" i="3"/>
  <c r="T729" i="3"/>
  <c r="U729" i="3"/>
  <c r="V729" i="3"/>
  <c r="W729" i="3"/>
  <c r="Q730" i="3"/>
  <c r="R730" i="3"/>
  <c r="S730" i="3"/>
  <c r="T730" i="3"/>
  <c r="U730" i="3"/>
  <c r="V730" i="3"/>
  <c r="W730" i="3"/>
  <c r="Q731" i="3"/>
  <c r="R731" i="3"/>
  <c r="S731" i="3"/>
  <c r="T731" i="3"/>
  <c r="U731" i="3"/>
  <c r="V731" i="3"/>
  <c r="W731" i="3"/>
  <c r="Q732" i="3"/>
  <c r="R732" i="3"/>
  <c r="S732" i="3"/>
  <c r="T732" i="3"/>
  <c r="U732" i="3"/>
  <c r="V732" i="3"/>
  <c r="W732" i="3"/>
  <c r="Q733" i="3"/>
  <c r="R733" i="3"/>
  <c r="S733" i="3"/>
  <c r="T733" i="3"/>
  <c r="U733" i="3"/>
  <c r="V733" i="3"/>
  <c r="W733" i="3"/>
  <c r="Q734" i="3"/>
  <c r="R734" i="3"/>
  <c r="S734" i="3"/>
  <c r="T734" i="3"/>
  <c r="U734" i="3"/>
  <c r="V734" i="3"/>
  <c r="W734" i="3"/>
  <c r="Q735" i="3"/>
  <c r="R735" i="3"/>
  <c r="S735" i="3"/>
  <c r="T735" i="3"/>
  <c r="U735" i="3"/>
  <c r="V735" i="3"/>
  <c r="W735" i="3"/>
  <c r="Q736" i="3"/>
  <c r="R736" i="3"/>
  <c r="S736" i="3"/>
  <c r="T736" i="3"/>
  <c r="U736" i="3"/>
  <c r="V736" i="3"/>
  <c r="W736" i="3"/>
  <c r="Q737" i="3"/>
  <c r="R737" i="3"/>
  <c r="S737" i="3"/>
  <c r="T737" i="3"/>
  <c r="U737" i="3"/>
  <c r="V737" i="3"/>
  <c r="W737" i="3"/>
  <c r="Q738" i="3"/>
  <c r="R738" i="3"/>
  <c r="S738" i="3"/>
  <c r="T738" i="3"/>
  <c r="U738" i="3"/>
  <c r="V738" i="3"/>
  <c r="W738" i="3"/>
  <c r="Q739" i="3"/>
  <c r="R739" i="3"/>
  <c r="S739" i="3"/>
  <c r="T739" i="3"/>
  <c r="U739" i="3"/>
  <c r="V739" i="3"/>
  <c r="W739" i="3"/>
  <c r="Q740" i="3"/>
  <c r="R740" i="3"/>
  <c r="S740" i="3"/>
  <c r="T740" i="3"/>
  <c r="U740" i="3"/>
  <c r="V740" i="3"/>
  <c r="W740" i="3"/>
  <c r="Q741" i="3"/>
  <c r="R741" i="3"/>
  <c r="S741" i="3"/>
  <c r="T741" i="3"/>
  <c r="U741" i="3"/>
  <c r="V741" i="3"/>
  <c r="W741" i="3"/>
  <c r="Q742" i="3"/>
  <c r="R742" i="3"/>
  <c r="S742" i="3"/>
  <c r="T742" i="3"/>
  <c r="U742" i="3"/>
  <c r="V742" i="3"/>
  <c r="W742" i="3"/>
  <c r="Q743" i="3"/>
  <c r="R743" i="3"/>
  <c r="S743" i="3"/>
  <c r="T743" i="3"/>
  <c r="U743" i="3"/>
  <c r="V743" i="3"/>
  <c r="W743" i="3"/>
  <c r="Q744" i="3"/>
  <c r="R744" i="3"/>
  <c r="S744" i="3"/>
  <c r="T744" i="3"/>
  <c r="U744" i="3"/>
  <c r="V744" i="3"/>
  <c r="W744" i="3"/>
  <c r="Q745" i="3"/>
  <c r="R745" i="3"/>
  <c r="S745" i="3"/>
  <c r="T745" i="3"/>
  <c r="U745" i="3"/>
  <c r="V745" i="3"/>
  <c r="W745" i="3"/>
  <c r="Q746" i="3"/>
  <c r="R746" i="3"/>
  <c r="S746" i="3"/>
  <c r="T746" i="3"/>
  <c r="U746" i="3"/>
  <c r="V746" i="3"/>
  <c r="W746" i="3"/>
  <c r="Q747" i="3"/>
  <c r="R747" i="3"/>
  <c r="S747" i="3"/>
  <c r="T747" i="3"/>
  <c r="U747" i="3"/>
  <c r="V747" i="3"/>
  <c r="W747" i="3"/>
  <c r="Q748" i="3"/>
  <c r="R748" i="3"/>
  <c r="S748" i="3"/>
  <c r="T748" i="3"/>
  <c r="U748" i="3"/>
  <c r="V748" i="3"/>
  <c r="W748" i="3"/>
  <c r="Q749" i="3"/>
  <c r="R749" i="3"/>
  <c r="S749" i="3"/>
  <c r="T749" i="3"/>
  <c r="U749" i="3"/>
  <c r="V749" i="3"/>
  <c r="W749" i="3"/>
  <c r="Q750" i="3"/>
  <c r="R750" i="3"/>
  <c r="S750" i="3"/>
  <c r="T750" i="3"/>
  <c r="U750" i="3"/>
  <c r="V750" i="3"/>
  <c r="W750" i="3"/>
  <c r="Q751" i="3"/>
  <c r="R751" i="3"/>
  <c r="S751" i="3"/>
  <c r="T751" i="3"/>
  <c r="U751" i="3"/>
  <c r="V751" i="3"/>
  <c r="W751" i="3"/>
  <c r="Q752" i="3"/>
  <c r="R752" i="3"/>
  <c r="S752" i="3"/>
  <c r="T752" i="3"/>
  <c r="U752" i="3"/>
  <c r="V752" i="3"/>
  <c r="W752" i="3"/>
  <c r="Q753" i="3"/>
  <c r="R753" i="3"/>
  <c r="S753" i="3"/>
  <c r="T753" i="3"/>
  <c r="U753" i="3"/>
  <c r="V753" i="3"/>
  <c r="W753" i="3"/>
  <c r="Q754" i="3"/>
  <c r="R754" i="3"/>
  <c r="S754" i="3"/>
  <c r="T754" i="3"/>
  <c r="U754" i="3"/>
  <c r="V754" i="3"/>
  <c r="W754" i="3"/>
  <c r="Q755" i="3"/>
  <c r="R755" i="3"/>
  <c r="S755" i="3"/>
  <c r="T755" i="3"/>
  <c r="U755" i="3"/>
  <c r="V755" i="3"/>
  <c r="W755" i="3"/>
  <c r="Q756" i="3"/>
  <c r="R756" i="3"/>
  <c r="S756" i="3"/>
  <c r="T756" i="3"/>
  <c r="U756" i="3"/>
  <c r="V756" i="3"/>
  <c r="W756" i="3"/>
  <c r="Q757" i="3"/>
  <c r="R757" i="3"/>
  <c r="S757" i="3"/>
  <c r="T757" i="3"/>
  <c r="U757" i="3"/>
  <c r="V757" i="3"/>
  <c r="W757" i="3"/>
  <c r="Q758" i="3"/>
  <c r="R758" i="3"/>
  <c r="S758" i="3"/>
  <c r="T758" i="3"/>
  <c r="U758" i="3"/>
  <c r="V758" i="3"/>
  <c r="W758" i="3"/>
  <c r="Q759" i="3"/>
  <c r="R759" i="3"/>
  <c r="S759" i="3"/>
  <c r="T759" i="3"/>
  <c r="U759" i="3"/>
  <c r="V759" i="3"/>
  <c r="W759" i="3"/>
  <c r="Q760" i="3"/>
  <c r="R760" i="3"/>
  <c r="S760" i="3"/>
  <c r="T760" i="3"/>
  <c r="U760" i="3"/>
  <c r="V760" i="3"/>
  <c r="W760" i="3"/>
  <c r="Q761" i="3"/>
  <c r="R761" i="3"/>
  <c r="S761" i="3"/>
  <c r="T761" i="3"/>
  <c r="U761" i="3"/>
  <c r="V761" i="3"/>
  <c r="W761" i="3"/>
  <c r="Q762" i="3"/>
  <c r="R762" i="3"/>
  <c r="S762" i="3"/>
  <c r="T762" i="3"/>
  <c r="U762" i="3"/>
  <c r="V762" i="3"/>
  <c r="W762" i="3"/>
  <c r="Q763" i="3"/>
  <c r="R763" i="3"/>
  <c r="S763" i="3"/>
  <c r="T763" i="3"/>
  <c r="U763" i="3"/>
  <c r="V763" i="3"/>
  <c r="W763" i="3"/>
  <c r="Q764" i="3"/>
  <c r="R764" i="3"/>
  <c r="S764" i="3"/>
  <c r="T764" i="3"/>
  <c r="U764" i="3"/>
  <c r="V764" i="3"/>
  <c r="W764" i="3"/>
  <c r="Q765" i="3"/>
  <c r="R765" i="3"/>
  <c r="S765" i="3"/>
  <c r="T765" i="3"/>
  <c r="U765" i="3"/>
  <c r="V765" i="3"/>
  <c r="W765" i="3"/>
  <c r="Q766" i="3"/>
  <c r="R766" i="3"/>
  <c r="S766" i="3"/>
  <c r="T766" i="3"/>
  <c r="U766" i="3"/>
  <c r="V766" i="3"/>
  <c r="W766" i="3"/>
  <c r="Q767" i="3"/>
  <c r="R767" i="3"/>
  <c r="S767" i="3"/>
  <c r="T767" i="3"/>
  <c r="U767" i="3"/>
  <c r="V767" i="3"/>
  <c r="W767" i="3"/>
  <c r="Q768" i="3"/>
  <c r="R768" i="3"/>
  <c r="S768" i="3"/>
  <c r="T768" i="3"/>
  <c r="U768" i="3"/>
  <c r="V768" i="3"/>
  <c r="W768" i="3"/>
  <c r="Q769" i="3"/>
  <c r="R769" i="3"/>
  <c r="S769" i="3"/>
  <c r="T769" i="3"/>
  <c r="U769" i="3"/>
  <c r="V769" i="3"/>
  <c r="W769" i="3"/>
  <c r="Q770" i="3"/>
  <c r="R770" i="3"/>
  <c r="S770" i="3"/>
  <c r="T770" i="3"/>
  <c r="U770" i="3"/>
  <c r="V770" i="3"/>
  <c r="W770" i="3"/>
  <c r="Q771" i="3"/>
  <c r="R771" i="3"/>
  <c r="S771" i="3"/>
  <c r="T771" i="3"/>
  <c r="U771" i="3"/>
  <c r="V771" i="3"/>
  <c r="W771" i="3"/>
  <c r="Q772" i="3"/>
  <c r="R772" i="3"/>
  <c r="S772" i="3"/>
  <c r="T772" i="3"/>
  <c r="U772" i="3"/>
  <c r="V772" i="3"/>
  <c r="W772" i="3"/>
  <c r="Q773" i="3"/>
  <c r="R773" i="3"/>
  <c r="S773" i="3"/>
  <c r="T773" i="3"/>
  <c r="U773" i="3"/>
  <c r="V773" i="3"/>
  <c r="W773" i="3"/>
  <c r="Q774" i="3"/>
  <c r="R774" i="3"/>
  <c r="S774" i="3"/>
  <c r="T774" i="3"/>
  <c r="U774" i="3"/>
  <c r="V774" i="3"/>
  <c r="W774" i="3"/>
  <c r="Q775" i="3"/>
  <c r="R775" i="3"/>
  <c r="S775" i="3"/>
  <c r="T775" i="3"/>
  <c r="U775" i="3"/>
  <c r="V775" i="3"/>
  <c r="W775" i="3"/>
  <c r="Q776" i="3"/>
  <c r="R776" i="3"/>
  <c r="S776" i="3"/>
  <c r="T776" i="3"/>
  <c r="U776" i="3"/>
  <c r="V776" i="3"/>
  <c r="W776" i="3"/>
  <c r="Q777" i="3"/>
  <c r="R777" i="3"/>
  <c r="S777" i="3"/>
  <c r="T777" i="3"/>
  <c r="U777" i="3"/>
  <c r="V777" i="3"/>
  <c r="W777" i="3"/>
  <c r="Q778" i="3"/>
  <c r="R778" i="3"/>
  <c r="S778" i="3"/>
  <c r="T778" i="3"/>
  <c r="U778" i="3"/>
  <c r="V778" i="3"/>
  <c r="W778" i="3"/>
  <c r="Q779" i="3"/>
  <c r="R779" i="3"/>
  <c r="S779" i="3"/>
  <c r="T779" i="3"/>
  <c r="U779" i="3"/>
  <c r="V779" i="3"/>
  <c r="W779" i="3"/>
  <c r="Q780" i="3"/>
  <c r="R780" i="3"/>
  <c r="S780" i="3"/>
  <c r="T780" i="3"/>
  <c r="U780" i="3"/>
  <c r="V780" i="3"/>
  <c r="W780" i="3"/>
  <c r="Q781" i="3"/>
  <c r="R781" i="3"/>
  <c r="S781" i="3"/>
  <c r="T781" i="3"/>
  <c r="U781" i="3"/>
  <c r="V781" i="3"/>
  <c r="W781" i="3"/>
  <c r="Q782" i="3"/>
  <c r="R782" i="3"/>
  <c r="S782" i="3"/>
  <c r="T782" i="3"/>
  <c r="U782" i="3"/>
  <c r="V782" i="3"/>
  <c r="W782" i="3"/>
  <c r="Q783" i="3"/>
  <c r="R783" i="3"/>
  <c r="S783" i="3"/>
  <c r="T783" i="3"/>
  <c r="U783" i="3"/>
  <c r="V783" i="3"/>
  <c r="W783" i="3"/>
  <c r="Q784" i="3"/>
  <c r="R784" i="3"/>
  <c r="S784" i="3"/>
  <c r="T784" i="3"/>
  <c r="U784" i="3"/>
  <c r="V784" i="3"/>
  <c r="W784" i="3"/>
  <c r="Q785" i="3"/>
  <c r="R785" i="3"/>
  <c r="S785" i="3"/>
  <c r="T785" i="3"/>
  <c r="U785" i="3"/>
  <c r="V785" i="3"/>
  <c r="W785" i="3"/>
  <c r="Q786" i="3"/>
  <c r="R786" i="3"/>
  <c r="S786" i="3"/>
  <c r="T786" i="3"/>
  <c r="U786" i="3"/>
  <c r="V786" i="3"/>
  <c r="W786" i="3"/>
  <c r="Q787" i="3"/>
  <c r="R787" i="3"/>
  <c r="S787" i="3"/>
  <c r="T787" i="3"/>
  <c r="U787" i="3"/>
  <c r="V787" i="3"/>
  <c r="W787" i="3"/>
  <c r="Q788" i="3"/>
  <c r="R788" i="3"/>
  <c r="S788" i="3"/>
  <c r="T788" i="3"/>
  <c r="U788" i="3"/>
  <c r="V788" i="3"/>
  <c r="W788" i="3"/>
  <c r="Q789" i="3"/>
  <c r="R789" i="3"/>
  <c r="S789" i="3"/>
  <c r="T789" i="3"/>
  <c r="U789" i="3"/>
  <c r="V789" i="3"/>
  <c r="W789" i="3"/>
  <c r="Q790" i="3"/>
  <c r="R790" i="3"/>
  <c r="S790" i="3"/>
  <c r="T790" i="3"/>
  <c r="U790" i="3"/>
  <c r="V790" i="3"/>
  <c r="W790" i="3"/>
  <c r="Q791" i="3"/>
  <c r="R791" i="3"/>
  <c r="S791" i="3"/>
  <c r="T791" i="3"/>
  <c r="U791" i="3"/>
  <c r="V791" i="3"/>
  <c r="W791" i="3"/>
  <c r="Q792" i="3"/>
  <c r="R792" i="3"/>
  <c r="S792" i="3"/>
  <c r="T792" i="3"/>
  <c r="U792" i="3"/>
  <c r="V792" i="3"/>
  <c r="W792" i="3"/>
  <c r="Q793" i="3"/>
  <c r="R793" i="3"/>
  <c r="S793" i="3"/>
  <c r="T793" i="3"/>
  <c r="U793" i="3"/>
  <c r="V793" i="3"/>
  <c r="W793" i="3"/>
  <c r="Q794" i="3"/>
  <c r="R794" i="3"/>
  <c r="S794" i="3"/>
  <c r="T794" i="3"/>
  <c r="U794" i="3"/>
  <c r="V794" i="3"/>
  <c r="W794" i="3"/>
  <c r="Q795" i="3"/>
  <c r="R795" i="3"/>
  <c r="S795" i="3"/>
  <c r="T795" i="3"/>
  <c r="U795" i="3"/>
  <c r="V795" i="3"/>
  <c r="W795" i="3"/>
  <c r="Q796" i="3"/>
  <c r="R796" i="3"/>
  <c r="S796" i="3"/>
  <c r="T796" i="3"/>
  <c r="U796" i="3"/>
  <c r="V796" i="3"/>
  <c r="W796" i="3"/>
  <c r="Q797" i="3"/>
  <c r="R797" i="3"/>
  <c r="S797" i="3"/>
  <c r="T797" i="3"/>
  <c r="U797" i="3"/>
  <c r="V797" i="3"/>
  <c r="W797" i="3"/>
  <c r="Q798" i="3"/>
  <c r="R798" i="3"/>
  <c r="S798" i="3"/>
  <c r="T798" i="3"/>
  <c r="U798" i="3"/>
  <c r="V798" i="3"/>
  <c r="W798" i="3"/>
  <c r="Q799" i="3"/>
  <c r="R799" i="3"/>
  <c r="S799" i="3"/>
  <c r="T799" i="3"/>
  <c r="U799" i="3"/>
  <c r="V799" i="3"/>
  <c r="W799" i="3"/>
  <c r="Q800" i="3"/>
  <c r="R800" i="3"/>
  <c r="S800" i="3"/>
  <c r="T800" i="3"/>
  <c r="U800" i="3"/>
  <c r="V800" i="3"/>
  <c r="W800" i="3"/>
  <c r="Q801" i="3"/>
  <c r="R801" i="3"/>
  <c r="S801" i="3"/>
  <c r="T801" i="3"/>
  <c r="U801" i="3"/>
  <c r="V801" i="3"/>
  <c r="W801" i="3"/>
  <c r="Q802" i="3"/>
  <c r="R802" i="3"/>
  <c r="S802" i="3"/>
  <c r="T802" i="3"/>
  <c r="U802" i="3"/>
  <c r="V802" i="3"/>
  <c r="W802" i="3"/>
  <c r="Q803" i="3"/>
  <c r="R803" i="3"/>
  <c r="S803" i="3"/>
  <c r="T803" i="3"/>
  <c r="U803" i="3"/>
  <c r="V803" i="3"/>
  <c r="W803" i="3"/>
  <c r="Q804" i="3"/>
  <c r="R804" i="3"/>
  <c r="S804" i="3"/>
  <c r="T804" i="3"/>
  <c r="U804" i="3"/>
  <c r="V804" i="3"/>
  <c r="W804" i="3"/>
  <c r="Q805" i="3"/>
  <c r="R805" i="3"/>
  <c r="S805" i="3"/>
  <c r="T805" i="3"/>
  <c r="U805" i="3"/>
  <c r="V805" i="3"/>
  <c r="W805" i="3"/>
  <c r="Q806" i="3"/>
  <c r="R806" i="3"/>
  <c r="S806" i="3"/>
  <c r="T806" i="3"/>
  <c r="U806" i="3"/>
  <c r="V806" i="3"/>
  <c r="W806" i="3"/>
  <c r="Q807" i="3"/>
  <c r="R807" i="3"/>
  <c r="S807" i="3"/>
  <c r="T807" i="3"/>
  <c r="U807" i="3"/>
  <c r="V807" i="3"/>
  <c r="W807" i="3"/>
  <c r="Q808" i="3"/>
  <c r="R808" i="3"/>
  <c r="S808" i="3"/>
  <c r="T808" i="3"/>
  <c r="U808" i="3"/>
  <c r="V808" i="3"/>
  <c r="W808" i="3"/>
  <c r="Q809" i="3"/>
  <c r="R809" i="3"/>
  <c r="S809" i="3"/>
  <c r="T809" i="3"/>
  <c r="U809" i="3"/>
  <c r="V809" i="3"/>
  <c r="W809" i="3"/>
  <c r="Q810" i="3"/>
  <c r="R810" i="3"/>
  <c r="S810" i="3"/>
  <c r="T810" i="3"/>
  <c r="U810" i="3"/>
  <c r="V810" i="3"/>
  <c r="W810" i="3"/>
  <c r="Q811" i="3"/>
  <c r="R811" i="3"/>
  <c r="S811" i="3"/>
  <c r="T811" i="3"/>
  <c r="U811" i="3"/>
  <c r="V811" i="3"/>
  <c r="W811" i="3"/>
  <c r="Q812" i="3"/>
  <c r="R812" i="3"/>
  <c r="S812" i="3"/>
  <c r="T812" i="3"/>
  <c r="U812" i="3"/>
  <c r="V812" i="3"/>
  <c r="W812" i="3"/>
  <c r="Q813" i="3"/>
  <c r="R813" i="3"/>
  <c r="S813" i="3"/>
  <c r="T813" i="3"/>
  <c r="U813" i="3"/>
  <c r="V813" i="3"/>
  <c r="W813" i="3"/>
  <c r="Q814" i="3"/>
  <c r="R814" i="3"/>
  <c r="S814" i="3"/>
  <c r="T814" i="3"/>
  <c r="U814" i="3"/>
  <c r="V814" i="3"/>
  <c r="W814" i="3"/>
  <c r="Q815" i="3"/>
  <c r="R815" i="3"/>
  <c r="S815" i="3"/>
  <c r="T815" i="3"/>
  <c r="U815" i="3"/>
  <c r="V815" i="3"/>
  <c r="W815" i="3"/>
  <c r="Q816" i="3"/>
  <c r="R816" i="3"/>
  <c r="S816" i="3"/>
  <c r="T816" i="3"/>
  <c r="U816" i="3"/>
  <c r="V816" i="3"/>
  <c r="W816" i="3"/>
  <c r="Q817" i="3"/>
  <c r="R817" i="3"/>
  <c r="S817" i="3"/>
  <c r="T817" i="3"/>
  <c r="U817" i="3"/>
  <c r="V817" i="3"/>
  <c r="W817" i="3"/>
  <c r="Q818" i="3"/>
  <c r="R818" i="3"/>
  <c r="S818" i="3"/>
  <c r="T818" i="3"/>
  <c r="U818" i="3"/>
  <c r="V818" i="3"/>
  <c r="W818" i="3"/>
  <c r="Q819" i="3"/>
  <c r="R819" i="3"/>
  <c r="S819" i="3"/>
  <c r="T819" i="3"/>
  <c r="U819" i="3"/>
  <c r="V819" i="3"/>
  <c r="W819" i="3"/>
  <c r="Q820" i="3"/>
  <c r="R820" i="3"/>
  <c r="S820" i="3"/>
  <c r="T820" i="3"/>
  <c r="U820" i="3"/>
  <c r="V820" i="3"/>
  <c r="W820" i="3"/>
  <c r="Q821" i="3"/>
  <c r="R821" i="3"/>
  <c r="S821" i="3"/>
  <c r="T821" i="3"/>
  <c r="U821" i="3"/>
  <c r="V821" i="3"/>
  <c r="W821" i="3"/>
  <c r="Q822" i="3"/>
  <c r="R822" i="3"/>
  <c r="S822" i="3"/>
  <c r="T822" i="3"/>
  <c r="U822" i="3"/>
  <c r="V822" i="3"/>
  <c r="W822" i="3"/>
  <c r="Q823" i="3"/>
  <c r="R823" i="3"/>
  <c r="S823" i="3"/>
  <c r="T823" i="3"/>
  <c r="U823" i="3"/>
  <c r="V823" i="3"/>
  <c r="W823" i="3"/>
  <c r="Q824" i="3"/>
  <c r="R824" i="3"/>
  <c r="S824" i="3"/>
  <c r="T824" i="3"/>
  <c r="U824" i="3"/>
  <c r="V824" i="3"/>
  <c r="W824" i="3"/>
  <c r="Q825" i="3"/>
  <c r="R825" i="3"/>
  <c r="S825" i="3"/>
  <c r="T825" i="3"/>
  <c r="U825" i="3"/>
  <c r="V825" i="3"/>
  <c r="W825" i="3"/>
  <c r="Q826" i="3"/>
  <c r="R826" i="3"/>
  <c r="S826" i="3"/>
  <c r="T826" i="3"/>
  <c r="U826" i="3"/>
  <c r="V826" i="3"/>
  <c r="W826" i="3"/>
  <c r="Q827" i="3"/>
  <c r="R827" i="3"/>
  <c r="S827" i="3"/>
  <c r="T827" i="3"/>
  <c r="U827" i="3"/>
  <c r="V827" i="3"/>
  <c r="W827" i="3"/>
  <c r="Q828" i="3"/>
  <c r="R828" i="3"/>
  <c r="S828" i="3"/>
  <c r="T828" i="3"/>
  <c r="U828" i="3"/>
  <c r="V828" i="3"/>
  <c r="W828" i="3"/>
  <c r="Q829" i="3"/>
  <c r="R829" i="3"/>
  <c r="S829" i="3"/>
  <c r="T829" i="3"/>
  <c r="U829" i="3"/>
  <c r="V829" i="3"/>
  <c r="W829" i="3"/>
  <c r="Q830" i="3"/>
  <c r="R830" i="3"/>
  <c r="S830" i="3"/>
  <c r="T830" i="3"/>
  <c r="U830" i="3"/>
  <c r="V830" i="3"/>
  <c r="W830" i="3"/>
  <c r="Q831" i="3"/>
  <c r="R831" i="3"/>
  <c r="S831" i="3"/>
  <c r="T831" i="3"/>
  <c r="U831" i="3"/>
  <c r="V831" i="3"/>
  <c r="W831" i="3"/>
  <c r="Q832" i="3"/>
  <c r="R832" i="3"/>
  <c r="S832" i="3"/>
  <c r="T832" i="3"/>
  <c r="U832" i="3"/>
  <c r="V832" i="3"/>
  <c r="W832" i="3"/>
  <c r="Q833" i="3"/>
  <c r="R833" i="3"/>
  <c r="S833" i="3"/>
  <c r="T833" i="3"/>
  <c r="U833" i="3"/>
  <c r="V833" i="3"/>
  <c r="W833" i="3"/>
  <c r="Q834" i="3"/>
  <c r="R834" i="3"/>
  <c r="S834" i="3"/>
  <c r="T834" i="3"/>
  <c r="U834" i="3"/>
  <c r="V834" i="3"/>
  <c r="W834" i="3"/>
  <c r="Q835" i="3"/>
  <c r="R835" i="3"/>
  <c r="S835" i="3"/>
  <c r="T835" i="3"/>
  <c r="U835" i="3"/>
  <c r="V835" i="3"/>
  <c r="W835" i="3"/>
  <c r="Q836" i="3"/>
  <c r="R836" i="3"/>
  <c r="S836" i="3"/>
  <c r="T836" i="3"/>
  <c r="U836" i="3"/>
  <c r="V836" i="3"/>
  <c r="W836" i="3"/>
  <c r="Q837" i="3"/>
  <c r="R837" i="3"/>
  <c r="S837" i="3"/>
  <c r="T837" i="3"/>
  <c r="U837" i="3"/>
  <c r="V837" i="3"/>
  <c r="W837" i="3"/>
  <c r="Q838" i="3"/>
  <c r="R838" i="3"/>
  <c r="S838" i="3"/>
  <c r="T838" i="3"/>
  <c r="U838" i="3"/>
  <c r="V838" i="3"/>
  <c r="W838" i="3"/>
  <c r="Q839" i="3"/>
  <c r="R839" i="3"/>
  <c r="S839" i="3"/>
  <c r="T839" i="3"/>
  <c r="U839" i="3"/>
  <c r="V839" i="3"/>
  <c r="W839" i="3"/>
  <c r="Q840" i="3"/>
  <c r="R840" i="3"/>
  <c r="S840" i="3"/>
  <c r="T840" i="3"/>
  <c r="U840" i="3"/>
  <c r="V840" i="3"/>
  <c r="W840" i="3"/>
  <c r="Q841" i="3"/>
  <c r="R841" i="3"/>
  <c r="S841" i="3"/>
  <c r="T841" i="3"/>
  <c r="U841" i="3"/>
  <c r="V841" i="3"/>
  <c r="W841" i="3"/>
  <c r="Q842" i="3"/>
  <c r="R842" i="3"/>
  <c r="S842" i="3"/>
  <c r="T842" i="3"/>
  <c r="U842" i="3"/>
  <c r="V842" i="3"/>
  <c r="W842" i="3"/>
  <c r="Q843" i="3"/>
  <c r="R843" i="3"/>
  <c r="S843" i="3"/>
  <c r="T843" i="3"/>
  <c r="U843" i="3"/>
  <c r="V843" i="3"/>
  <c r="W843" i="3"/>
  <c r="Q844" i="3"/>
  <c r="R844" i="3"/>
  <c r="S844" i="3"/>
  <c r="T844" i="3"/>
  <c r="U844" i="3"/>
  <c r="V844" i="3"/>
  <c r="W844" i="3"/>
  <c r="Q845" i="3"/>
  <c r="R845" i="3"/>
  <c r="S845" i="3"/>
  <c r="T845" i="3"/>
  <c r="U845" i="3"/>
  <c r="V845" i="3"/>
  <c r="W845" i="3"/>
  <c r="Q846" i="3"/>
  <c r="R846" i="3"/>
  <c r="S846" i="3"/>
  <c r="T846" i="3"/>
  <c r="U846" i="3"/>
  <c r="V846" i="3"/>
  <c r="W846" i="3"/>
  <c r="Q847" i="3"/>
  <c r="R847" i="3"/>
  <c r="S847" i="3"/>
  <c r="T847" i="3"/>
  <c r="U847" i="3"/>
  <c r="V847" i="3"/>
  <c r="W847" i="3"/>
  <c r="Q848" i="3"/>
  <c r="R848" i="3"/>
  <c r="S848" i="3"/>
  <c r="T848" i="3"/>
  <c r="U848" i="3"/>
  <c r="V848" i="3"/>
  <c r="W848" i="3"/>
  <c r="Q849" i="3"/>
  <c r="R849" i="3"/>
  <c r="S849" i="3"/>
  <c r="T849" i="3"/>
  <c r="U849" i="3"/>
  <c r="V849" i="3"/>
  <c r="W849" i="3"/>
  <c r="Q850" i="3"/>
  <c r="R850" i="3"/>
  <c r="S850" i="3"/>
  <c r="T850" i="3"/>
  <c r="U850" i="3"/>
  <c r="V850" i="3"/>
  <c r="W850" i="3"/>
  <c r="Q851" i="3"/>
  <c r="R851" i="3"/>
  <c r="S851" i="3"/>
  <c r="T851" i="3"/>
  <c r="U851" i="3"/>
  <c r="V851" i="3"/>
  <c r="W851" i="3"/>
  <c r="Q852" i="3"/>
  <c r="R852" i="3"/>
  <c r="S852" i="3"/>
  <c r="T852" i="3"/>
  <c r="U852" i="3"/>
  <c r="V852" i="3"/>
  <c r="W852" i="3"/>
  <c r="Q853" i="3"/>
  <c r="R853" i="3"/>
  <c r="S853" i="3"/>
  <c r="T853" i="3"/>
  <c r="U853" i="3"/>
  <c r="V853" i="3"/>
  <c r="W853" i="3"/>
  <c r="Q854" i="3"/>
  <c r="R854" i="3"/>
  <c r="S854" i="3"/>
  <c r="T854" i="3"/>
  <c r="U854" i="3"/>
  <c r="V854" i="3"/>
  <c r="W854" i="3"/>
  <c r="Q855" i="3"/>
  <c r="R855" i="3"/>
  <c r="S855" i="3"/>
  <c r="T855" i="3"/>
  <c r="U855" i="3"/>
  <c r="V855" i="3"/>
  <c r="W855" i="3"/>
  <c r="Q856" i="3"/>
  <c r="R856" i="3"/>
  <c r="S856" i="3"/>
  <c r="T856" i="3"/>
  <c r="U856" i="3"/>
  <c r="V856" i="3"/>
  <c r="W856" i="3"/>
  <c r="Q857" i="3"/>
  <c r="R857" i="3"/>
  <c r="S857" i="3"/>
  <c r="T857" i="3"/>
  <c r="U857" i="3"/>
  <c r="V857" i="3"/>
  <c r="W857" i="3"/>
  <c r="Q858" i="3"/>
  <c r="R858" i="3"/>
  <c r="S858" i="3"/>
  <c r="T858" i="3"/>
  <c r="U858" i="3"/>
  <c r="V858" i="3"/>
  <c r="W858" i="3"/>
  <c r="Q859" i="3"/>
  <c r="R859" i="3"/>
  <c r="S859" i="3"/>
  <c r="T859" i="3"/>
  <c r="U859" i="3"/>
  <c r="V859" i="3"/>
  <c r="W859" i="3"/>
  <c r="Q860" i="3"/>
  <c r="R860" i="3"/>
  <c r="S860" i="3"/>
  <c r="T860" i="3"/>
  <c r="U860" i="3"/>
  <c r="V860" i="3"/>
  <c r="W860" i="3"/>
  <c r="Q861" i="3"/>
  <c r="R861" i="3"/>
  <c r="S861" i="3"/>
  <c r="T861" i="3"/>
  <c r="U861" i="3"/>
  <c r="V861" i="3"/>
  <c r="W861" i="3"/>
  <c r="Q862" i="3"/>
  <c r="R862" i="3"/>
  <c r="S862" i="3"/>
  <c r="T862" i="3"/>
  <c r="U862" i="3"/>
  <c r="V862" i="3"/>
  <c r="W862" i="3"/>
  <c r="Q863" i="3"/>
  <c r="R863" i="3"/>
  <c r="S863" i="3"/>
  <c r="T863" i="3"/>
  <c r="U863" i="3"/>
  <c r="V863" i="3"/>
  <c r="W863" i="3"/>
  <c r="Q864" i="3"/>
  <c r="R864" i="3"/>
  <c r="S864" i="3"/>
  <c r="T864" i="3"/>
  <c r="U864" i="3"/>
  <c r="V864" i="3"/>
  <c r="W864" i="3"/>
  <c r="Q865" i="3"/>
  <c r="R865" i="3"/>
  <c r="S865" i="3"/>
  <c r="T865" i="3"/>
  <c r="U865" i="3"/>
  <c r="V865" i="3"/>
  <c r="W865" i="3"/>
  <c r="Q866" i="3"/>
  <c r="R866" i="3"/>
  <c r="S866" i="3"/>
  <c r="T866" i="3"/>
  <c r="U866" i="3"/>
  <c r="V866" i="3"/>
  <c r="W866" i="3"/>
  <c r="Q867" i="3"/>
  <c r="R867" i="3"/>
  <c r="S867" i="3"/>
  <c r="T867" i="3"/>
  <c r="U867" i="3"/>
  <c r="V867" i="3"/>
  <c r="W867" i="3"/>
  <c r="Q868" i="3"/>
  <c r="R868" i="3"/>
  <c r="S868" i="3"/>
  <c r="T868" i="3"/>
  <c r="U868" i="3"/>
  <c r="V868" i="3"/>
  <c r="W868" i="3"/>
  <c r="Q869" i="3"/>
  <c r="R869" i="3"/>
  <c r="S869" i="3"/>
  <c r="T869" i="3"/>
  <c r="U869" i="3"/>
  <c r="V869" i="3"/>
  <c r="W869" i="3"/>
  <c r="Q870" i="3"/>
  <c r="R870" i="3"/>
  <c r="S870" i="3"/>
  <c r="T870" i="3"/>
  <c r="U870" i="3"/>
  <c r="V870" i="3"/>
  <c r="W870" i="3"/>
  <c r="Q871" i="3"/>
  <c r="R871" i="3"/>
  <c r="S871" i="3"/>
  <c r="T871" i="3"/>
  <c r="U871" i="3"/>
  <c r="V871" i="3"/>
  <c r="W871" i="3"/>
  <c r="Q872" i="3"/>
  <c r="R872" i="3"/>
  <c r="S872" i="3"/>
  <c r="T872" i="3"/>
  <c r="U872" i="3"/>
  <c r="V872" i="3"/>
  <c r="W872" i="3"/>
  <c r="Q873" i="3"/>
  <c r="R873" i="3"/>
  <c r="S873" i="3"/>
  <c r="T873" i="3"/>
  <c r="U873" i="3"/>
  <c r="V873" i="3"/>
  <c r="W873" i="3"/>
  <c r="Q874" i="3"/>
  <c r="R874" i="3"/>
  <c r="S874" i="3"/>
  <c r="T874" i="3"/>
  <c r="U874" i="3"/>
  <c r="V874" i="3"/>
  <c r="W874" i="3"/>
  <c r="Q875" i="3"/>
  <c r="R875" i="3"/>
  <c r="S875" i="3"/>
  <c r="T875" i="3"/>
  <c r="U875" i="3"/>
  <c r="V875" i="3"/>
  <c r="W875" i="3"/>
  <c r="Q876" i="3"/>
  <c r="R876" i="3"/>
  <c r="S876" i="3"/>
  <c r="T876" i="3"/>
  <c r="U876" i="3"/>
  <c r="V876" i="3"/>
  <c r="W876" i="3"/>
  <c r="Q877" i="3"/>
  <c r="R877" i="3"/>
  <c r="S877" i="3"/>
  <c r="T877" i="3"/>
  <c r="U877" i="3"/>
  <c r="V877" i="3"/>
  <c r="W877" i="3"/>
  <c r="Q878" i="3"/>
  <c r="R878" i="3"/>
  <c r="S878" i="3"/>
  <c r="T878" i="3"/>
  <c r="U878" i="3"/>
  <c r="V878" i="3"/>
  <c r="W878" i="3"/>
  <c r="Q879" i="3"/>
  <c r="R879" i="3"/>
  <c r="S879" i="3"/>
  <c r="T879" i="3"/>
  <c r="U879" i="3"/>
  <c r="V879" i="3"/>
  <c r="W879" i="3"/>
  <c r="Q880" i="3"/>
  <c r="R880" i="3"/>
  <c r="S880" i="3"/>
  <c r="T880" i="3"/>
  <c r="U880" i="3"/>
  <c r="V880" i="3"/>
  <c r="W880" i="3"/>
  <c r="Q881" i="3"/>
  <c r="R881" i="3"/>
  <c r="S881" i="3"/>
  <c r="T881" i="3"/>
  <c r="U881" i="3"/>
  <c r="V881" i="3"/>
  <c r="W881" i="3"/>
  <c r="Q882" i="3"/>
  <c r="R882" i="3"/>
  <c r="S882" i="3"/>
  <c r="T882" i="3"/>
  <c r="U882" i="3"/>
  <c r="V882" i="3"/>
  <c r="W882" i="3"/>
  <c r="Q883" i="3"/>
  <c r="R883" i="3"/>
  <c r="S883" i="3"/>
  <c r="T883" i="3"/>
  <c r="U883" i="3"/>
  <c r="V883" i="3"/>
  <c r="W883" i="3"/>
  <c r="Q884" i="3"/>
  <c r="R884" i="3"/>
  <c r="S884" i="3"/>
  <c r="T884" i="3"/>
  <c r="U884" i="3"/>
  <c r="V884" i="3"/>
  <c r="W884" i="3"/>
  <c r="Q885" i="3"/>
  <c r="R885" i="3"/>
  <c r="S885" i="3"/>
  <c r="T885" i="3"/>
  <c r="U885" i="3"/>
  <c r="V885" i="3"/>
  <c r="W885" i="3"/>
  <c r="Q886" i="3"/>
  <c r="R886" i="3"/>
  <c r="S886" i="3"/>
  <c r="T886" i="3"/>
  <c r="U886" i="3"/>
  <c r="V886" i="3"/>
  <c r="W886" i="3"/>
  <c r="Q887" i="3"/>
  <c r="R887" i="3"/>
  <c r="S887" i="3"/>
  <c r="T887" i="3"/>
  <c r="U887" i="3"/>
  <c r="V887" i="3"/>
  <c r="W887" i="3"/>
  <c r="Q888" i="3"/>
  <c r="R888" i="3"/>
  <c r="S888" i="3"/>
  <c r="T888" i="3"/>
  <c r="U888" i="3"/>
  <c r="V888" i="3"/>
  <c r="W888" i="3"/>
  <c r="Q889" i="3"/>
  <c r="R889" i="3"/>
  <c r="S889" i="3"/>
  <c r="T889" i="3"/>
  <c r="U889" i="3"/>
  <c r="V889" i="3"/>
  <c r="W889" i="3"/>
  <c r="Q890" i="3"/>
  <c r="R890" i="3"/>
  <c r="S890" i="3"/>
  <c r="T890" i="3"/>
  <c r="U890" i="3"/>
  <c r="V890" i="3"/>
  <c r="W890" i="3"/>
  <c r="Q891" i="3"/>
  <c r="R891" i="3"/>
  <c r="S891" i="3"/>
  <c r="T891" i="3"/>
  <c r="U891" i="3"/>
  <c r="V891" i="3"/>
  <c r="W891" i="3"/>
  <c r="Q892" i="3"/>
  <c r="R892" i="3"/>
  <c r="S892" i="3"/>
  <c r="T892" i="3"/>
  <c r="U892" i="3"/>
  <c r="V892" i="3"/>
  <c r="W892" i="3"/>
  <c r="Q893" i="3"/>
  <c r="R893" i="3"/>
  <c r="S893" i="3"/>
  <c r="T893" i="3"/>
  <c r="U893" i="3"/>
  <c r="V893" i="3"/>
  <c r="W893" i="3"/>
  <c r="Q894" i="3"/>
  <c r="R894" i="3"/>
  <c r="S894" i="3"/>
  <c r="T894" i="3"/>
  <c r="U894" i="3"/>
  <c r="V894" i="3"/>
  <c r="W894" i="3"/>
  <c r="Q895" i="3"/>
  <c r="R895" i="3"/>
  <c r="S895" i="3"/>
  <c r="T895" i="3"/>
  <c r="U895" i="3"/>
  <c r="V895" i="3"/>
  <c r="W895" i="3"/>
  <c r="Q896" i="3"/>
  <c r="R896" i="3"/>
  <c r="S896" i="3"/>
  <c r="T896" i="3"/>
  <c r="U896" i="3"/>
  <c r="V896" i="3"/>
  <c r="W896" i="3"/>
  <c r="Q897" i="3"/>
  <c r="R897" i="3"/>
  <c r="S897" i="3"/>
  <c r="T897" i="3"/>
  <c r="U897" i="3"/>
  <c r="V897" i="3"/>
  <c r="W897" i="3"/>
  <c r="Q898" i="3"/>
  <c r="R898" i="3"/>
  <c r="S898" i="3"/>
  <c r="T898" i="3"/>
  <c r="U898" i="3"/>
  <c r="V898" i="3"/>
  <c r="W898" i="3"/>
  <c r="Q899" i="3"/>
  <c r="R899" i="3"/>
  <c r="S899" i="3"/>
  <c r="T899" i="3"/>
  <c r="U899" i="3"/>
  <c r="V899" i="3"/>
  <c r="W899" i="3"/>
  <c r="Q900" i="3"/>
  <c r="R900" i="3"/>
  <c r="S900" i="3"/>
  <c r="T900" i="3"/>
  <c r="U900" i="3"/>
  <c r="V900" i="3"/>
  <c r="W900" i="3"/>
  <c r="Q901" i="3"/>
  <c r="R901" i="3"/>
  <c r="S901" i="3"/>
  <c r="T901" i="3"/>
  <c r="U901" i="3"/>
  <c r="V901" i="3"/>
  <c r="W901" i="3"/>
  <c r="Q902" i="3"/>
  <c r="R902" i="3"/>
  <c r="S902" i="3"/>
  <c r="T902" i="3"/>
  <c r="U902" i="3"/>
  <c r="V902" i="3"/>
  <c r="W902" i="3"/>
  <c r="Q903" i="3"/>
  <c r="R903" i="3"/>
  <c r="S903" i="3"/>
  <c r="T903" i="3"/>
  <c r="U903" i="3"/>
  <c r="V903" i="3"/>
  <c r="W903" i="3"/>
  <c r="Q904" i="3"/>
  <c r="R904" i="3"/>
  <c r="S904" i="3"/>
  <c r="T904" i="3"/>
  <c r="U904" i="3"/>
  <c r="V904" i="3"/>
  <c r="W904" i="3"/>
  <c r="Q905" i="3"/>
  <c r="R905" i="3"/>
  <c r="S905" i="3"/>
  <c r="T905" i="3"/>
  <c r="U905" i="3"/>
  <c r="V905" i="3"/>
  <c r="W905" i="3"/>
  <c r="Q906" i="3"/>
  <c r="R906" i="3"/>
  <c r="S906" i="3"/>
  <c r="T906" i="3"/>
  <c r="U906" i="3"/>
  <c r="V906" i="3"/>
  <c r="W906" i="3"/>
  <c r="Q907" i="3"/>
  <c r="R907" i="3"/>
  <c r="S907" i="3"/>
  <c r="T907" i="3"/>
  <c r="U907" i="3"/>
  <c r="V907" i="3"/>
  <c r="W907" i="3"/>
  <c r="Q908" i="3"/>
  <c r="R908" i="3"/>
  <c r="S908" i="3"/>
  <c r="T908" i="3"/>
  <c r="U908" i="3"/>
  <c r="V908" i="3"/>
  <c r="W908" i="3"/>
  <c r="Q909" i="3"/>
  <c r="R909" i="3"/>
  <c r="S909" i="3"/>
  <c r="T909" i="3"/>
  <c r="U909" i="3"/>
  <c r="V909" i="3"/>
  <c r="W909" i="3"/>
  <c r="Q910" i="3"/>
  <c r="R910" i="3"/>
  <c r="S910" i="3"/>
  <c r="T910" i="3"/>
  <c r="U910" i="3"/>
  <c r="V910" i="3"/>
  <c r="W910" i="3"/>
  <c r="Q911" i="3"/>
  <c r="R911" i="3"/>
  <c r="S911" i="3"/>
  <c r="T911" i="3"/>
  <c r="U911" i="3"/>
  <c r="V911" i="3"/>
  <c r="W911" i="3"/>
  <c r="Q912" i="3"/>
  <c r="R912" i="3"/>
  <c r="S912" i="3"/>
  <c r="T912" i="3"/>
  <c r="U912" i="3"/>
  <c r="V912" i="3"/>
  <c r="W912" i="3"/>
  <c r="Q913" i="3"/>
  <c r="R913" i="3"/>
  <c r="S913" i="3"/>
  <c r="T913" i="3"/>
  <c r="U913" i="3"/>
  <c r="V913" i="3"/>
  <c r="W913" i="3"/>
  <c r="Q914" i="3"/>
  <c r="R914" i="3"/>
  <c r="S914" i="3"/>
  <c r="T914" i="3"/>
  <c r="U914" i="3"/>
  <c r="V914" i="3"/>
  <c r="W914" i="3"/>
  <c r="Q915" i="3"/>
  <c r="R915" i="3"/>
  <c r="S915" i="3"/>
  <c r="T915" i="3"/>
  <c r="U915" i="3"/>
  <c r="V915" i="3"/>
  <c r="W915" i="3"/>
  <c r="Q916" i="3"/>
  <c r="R916" i="3"/>
  <c r="S916" i="3"/>
  <c r="T916" i="3"/>
  <c r="U916" i="3"/>
  <c r="V916" i="3"/>
  <c r="W916" i="3"/>
  <c r="Q917" i="3"/>
  <c r="R917" i="3"/>
  <c r="S917" i="3"/>
  <c r="T917" i="3"/>
  <c r="U917" i="3"/>
  <c r="V917" i="3"/>
  <c r="W917" i="3"/>
  <c r="Q918" i="3"/>
  <c r="R918" i="3"/>
  <c r="S918" i="3"/>
  <c r="T918" i="3"/>
  <c r="U918" i="3"/>
  <c r="V918" i="3"/>
  <c r="W918" i="3"/>
  <c r="Q919" i="3"/>
  <c r="R919" i="3"/>
  <c r="S919" i="3"/>
  <c r="T919" i="3"/>
  <c r="U919" i="3"/>
  <c r="V919" i="3"/>
  <c r="W919" i="3"/>
  <c r="Q920" i="3"/>
  <c r="R920" i="3"/>
  <c r="S920" i="3"/>
  <c r="T920" i="3"/>
  <c r="U920" i="3"/>
  <c r="V920" i="3"/>
  <c r="W920" i="3"/>
  <c r="Q921" i="3"/>
  <c r="R921" i="3"/>
  <c r="S921" i="3"/>
  <c r="T921" i="3"/>
  <c r="U921" i="3"/>
  <c r="V921" i="3"/>
  <c r="W921" i="3"/>
  <c r="Q922" i="3"/>
  <c r="R922" i="3"/>
  <c r="S922" i="3"/>
  <c r="T922" i="3"/>
  <c r="U922" i="3"/>
  <c r="V922" i="3"/>
  <c r="W922" i="3"/>
  <c r="Q923" i="3"/>
  <c r="R923" i="3"/>
  <c r="S923" i="3"/>
  <c r="T923" i="3"/>
  <c r="U923" i="3"/>
  <c r="V923" i="3"/>
  <c r="W923" i="3"/>
  <c r="Q924" i="3"/>
  <c r="R924" i="3"/>
  <c r="S924" i="3"/>
  <c r="T924" i="3"/>
  <c r="U924" i="3"/>
  <c r="V924" i="3"/>
  <c r="W924" i="3"/>
  <c r="Q925" i="3"/>
  <c r="R925" i="3"/>
  <c r="S925" i="3"/>
  <c r="T925" i="3"/>
  <c r="U925" i="3"/>
  <c r="V925" i="3"/>
  <c r="W925" i="3"/>
  <c r="Q926" i="3"/>
  <c r="R926" i="3"/>
  <c r="S926" i="3"/>
  <c r="T926" i="3"/>
  <c r="U926" i="3"/>
  <c r="V926" i="3"/>
  <c r="W926" i="3"/>
  <c r="Q927" i="3"/>
  <c r="R927" i="3"/>
  <c r="S927" i="3"/>
  <c r="T927" i="3"/>
  <c r="U927" i="3"/>
  <c r="V927" i="3"/>
  <c r="W927" i="3"/>
  <c r="Q928" i="3"/>
  <c r="R928" i="3"/>
  <c r="S928" i="3"/>
  <c r="T928" i="3"/>
  <c r="U928" i="3"/>
  <c r="V928" i="3"/>
  <c r="W928" i="3"/>
  <c r="Q929" i="3"/>
  <c r="R929" i="3"/>
  <c r="S929" i="3"/>
  <c r="T929" i="3"/>
  <c r="U929" i="3"/>
  <c r="V929" i="3"/>
  <c r="W929" i="3"/>
  <c r="Q930" i="3"/>
  <c r="R930" i="3"/>
  <c r="S930" i="3"/>
  <c r="T930" i="3"/>
  <c r="U930" i="3"/>
  <c r="V930" i="3"/>
  <c r="W930" i="3"/>
  <c r="Q931" i="3"/>
  <c r="R931" i="3"/>
  <c r="S931" i="3"/>
  <c r="T931" i="3"/>
  <c r="U931" i="3"/>
  <c r="V931" i="3"/>
  <c r="W931" i="3"/>
  <c r="Q932" i="3"/>
  <c r="R932" i="3"/>
  <c r="S932" i="3"/>
  <c r="T932" i="3"/>
  <c r="U932" i="3"/>
  <c r="V932" i="3"/>
  <c r="W932" i="3"/>
  <c r="Q933" i="3"/>
  <c r="R933" i="3"/>
  <c r="S933" i="3"/>
  <c r="T933" i="3"/>
  <c r="U933" i="3"/>
  <c r="V933" i="3"/>
  <c r="W933" i="3"/>
  <c r="Q934" i="3"/>
  <c r="R934" i="3"/>
  <c r="S934" i="3"/>
  <c r="T934" i="3"/>
  <c r="U934" i="3"/>
  <c r="V934" i="3"/>
  <c r="W934" i="3"/>
  <c r="Q935" i="3"/>
  <c r="R935" i="3"/>
  <c r="S935" i="3"/>
  <c r="T935" i="3"/>
  <c r="U935" i="3"/>
  <c r="V935" i="3"/>
  <c r="W935" i="3"/>
  <c r="Q936" i="3"/>
  <c r="R936" i="3"/>
  <c r="S936" i="3"/>
  <c r="T936" i="3"/>
  <c r="U936" i="3"/>
  <c r="V936" i="3"/>
  <c r="W936" i="3"/>
  <c r="Q937" i="3"/>
  <c r="R937" i="3"/>
  <c r="S937" i="3"/>
  <c r="T937" i="3"/>
  <c r="U937" i="3"/>
  <c r="V937" i="3"/>
  <c r="W937" i="3"/>
  <c r="Q938" i="3"/>
  <c r="R938" i="3"/>
  <c r="S938" i="3"/>
  <c r="T938" i="3"/>
  <c r="U938" i="3"/>
  <c r="V938" i="3"/>
  <c r="W938" i="3"/>
  <c r="Q939" i="3"/>
  <c r="R939" i="3"/>
  <c r="S939" i="3"/>
  <c r="T939" i="3"/>
  <c r="U939" i="3"/>
  <c r="V939" i="3"/>
  <c r="W939" i="3"/>
  <c r="Q940" i="3"/>
  <c r="R940" i="3"/>
  <c r="S940" i="3"/>
  <c r="T940" i="3"/>
  <c r="U940" i="3"/>
  <c r="V940" i="3"/>
  <c r="W940" i="3"/>
  <c r="Q941" i="3"/>
  <c r="R941" i="3"/>
  <c r="S941" i="3"/>
  <c r="T941" i="3"/>
  <c r="U941" i="3"/>
  <c r="V941" i="3"/>
  <c r="W941" i="3"/>
  <c r="Q942" i="3"/>
  <c r="R942" i="3"/>
  <c r="S942" i="3"/>
  <c r="T942" i="3"/>
  <c r="U942" i="3"/>
  <c r="V942" i="3"/>
  <c r="W942" i="3"/>
  <c r="Q943" i="3"/>
  <c r="R943" i="3"/>
  <c r="S943" i="3"/>
  <c r="T943" i="3"/>
  <c r="U943" i="3"/>
  <c r="V943" i="3"/>
  <c r="W943" i="3"/>
  <c r="Q944" i="3"/>
  <c r="R944" i="3"/>
  <c r="S944" i="3"/>
  <c r="T944" i="3"/>
  <c r="U944" i="3"/>
  <c r="V944" i="3"/>
  <c r="W944" i="3"/>
  <c r="Q945" i="3"/>
  <c r="R945" i="3"/>
  <c r="S945" i="3"/>
  <c r="T945" i="3"/>
  <c r="U945" i="3"/>
  <c r="V945" i="3"/>
  <c r="W945" i="3"/>
  <c r="Q946" i="3"/>
  <c r="R946" i="3"/>
  <c r="S946" i="3"/>
  <c r="T946" i="3"/>
  <c r="U946" i="3"/>
  <c r="V946" i="3"/>
  <c r="W946" i="3"/>
  <c r="Q947" i="3"/>
  <c r="R947" i="3"/>
  <c r="S947" i="3"/>
  <c r="T947" i="3"/>
  <c r="U947" i="3"/>
  <c r="V947" i="3"/>
  <c r="W947" i="3"/>
  <c r="Q948" i="3"/>
  <c r="R948" i="3"/>
  <c r="S948" i="3"/>
  <c r="T948" i="3"/>
  <c r="U948" i="3"/>
  <c r="V948" i="3"/>
  <c r="W948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" i="4"/>
  <c r="G4" i="4"/>
  <c r="G2" i="4"/>
  <c r="S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" i="3"/>
  <c r="AC940" i="3" l="1"/>
  <c r="AA940" i="3"/>
  <c r="Z940" i="3"/>
  <c r="AE940" i="3" s="1"/>
  <c r="Y940" i="3"/>
  <c r="X940" i="3"/>
  <c r="AD940" i="3" s="1"/>
  <c r="AC900" i="3"/>
  <c r="Z900" i="3"/>
  <c r="AE900" i="3" s="1"/>
  <c r="AA900" i="3"/>
  <c r="Y900" i="3"/>
  <c r="X900" i="3"/>
  <c r="AD900" i="3" s="1"/>
  <c r="AC844" i="3"/>
  <c r="Z844" i="3"/>
  <c r="AE844" i="3" s="1"/>
  <c r="Y844" i="3"/>
  <c r="AA844" i="3"/>
  <c r="X844" i="3"/>
  <c r="AD844" i="3" s="1"/>
  <c r="AC772" i="3"/>
  <c r="Z772" i="3"/>
  <c r="AE772" i="3" s="1"/>
  <c r="AA772" i="3"/>
  <c r="X772" i="3"/>
  <c r="AD772" i="3" s="1"/>
  <c r="Y772" i="3"/>
  <c r="AC947" i="3"/>
  <c r="AA947" i="3"/>
  <c r="Z947" i="3"/>
  <c r="AE947" i="3" s="1"/>
  <c r="X947" i="3"/>
  <c r="AD947" i="3" s="1"/>
  <c r="Y947" i="3"/>
  <c r="AC939" i="3"/>
  <c r="Z939" i="3"/>
  <c r="AE939" i="3" s="1"/>
  <c r="Y939" i="3"/>
  <c r="AA939" i="3"/>
  <c r="X939" i="3"/>
  <c r="AD939" i="3" s="1"/>
  <c r="AC931" i="3"/>
  <c r="AA931" i="3"/>
  <c r="Z931" i="3"/>
  <c r="AE931" i="3" s="1"/>
  <c r="X931" i="3"/>
  <c r="AD931" i="3" s="1"/>
  <c r="Y931" i="3"/>
  <c r="AC923" i="3"/>
  <c r="Z923" i="3"/>
  <c r="AE923" i="3" s="1"/>
  <c r="AA923" i="3"/>
  <c r="X923" i="3"/>
  <c r="AD923" i="3" s="1"/>
  <c r="Y923" i="3"/>
  <c r="AC915" i="3"/>
  <c r="Z915" i="3"/>
  <c r="AE915" i="3" s="1"/>
  <c r="Y915" i="3"/>
  <c r="AA915" i="3"/>
  <c r="X915" i="3"/>
  <c r="AD915" i="3" s="1"/>
  <c r="AC907" i="3"/>
  <c r="Y907" i="3"/>
  <c r="Z907" i="3"/>
  <c r="AE907" i="3" s="1"/>
  <c r="X907" i="3"/>
  <c r="AD907" i="3" s="1"/>
  <c r="AA907" i="3"/>
  <c r="AC899" i="3"/>
  <c r="AA899" i="3"/>
  <c r="Z899" i="3"/>
  <c r="AE899" i="3" s="1"/>
  <c r="Y899" i="3"/>
  <c r="X899" i="3"/>
  <c r="AD899" i="3" s="1"/>
  <c r="AC891" i="3"/>
  <c r="AA891" i="3"/>
  <c r="Z891" i="3"/>
  <c r="AE891" i="3" s="1"/>
  <c r="X891" i="3"/>
  <c r="AD891" i="3" s="1"/>
  <c r="Y891" i="3"/>
  <c r="AC883" i="3"/>
  <c r="Z883" i="3"/>
  <c r="AE883" i="3" s="1"/>
  <c r="Y883" i="3"/>
  <c r="AA883" i="3"/>
  <c r="X883" i="3"/>
  <c r="AD883" i="3" s="1"/>
  <c r="AC875" i="3"/>
  <c r="Z875" i="3"/>
  <c r="AE875" i="3" s="1"/>
  <c r="AA875" i="3"/>
  <c r="Y875" i="3"/>
  <c r="X875" i="3"/>
  <c r="AD875" i="3" s="1"/>
  <c r="AC867" i="3"/>
  <c r="AA867" i="3"/>
  <c r="Z867" i="3"/>
  <c r="AE867" i="3" s="1"/>
  <c r="Y867" i="3"/>
  <c r="X867" i="3"/>
  <c r="AD867" i="3" s="1"/>
  <c r="AC859" i="3"/>
  <c r="Z859" i="3"/>
  <c r="AE859" i="3" s="1"/>
  <c r="Y859" i="3"/>
  <c r="AA859" i="3"/>
  <c r="X859" i="3"/>
  <c r="AD859" i="3" s="1"/>
  <c r="AC851" i="3"/>
  <c r="Z851" i="3"/>
  <c r="AE851" i="3" s="1"/>
  <c r="AA851" i="3"/>
  <c r="Y851" i="3"/>
  <c r="X851" i="3"/>
  <c r="AD851" i="3" s="1"/>
  <c r="AC843" i="3"/>
  <c r="Y843" i="3"/>
  <c r="AA843" i="3"/>
  <c r="Z843" i="3"/>
  <c r="AE843" i="3" s="1"/>
  <c r="X843" i="3"/>
  <c r="AD843" i="3" s="1"/>
  <c r="AC835" i="3"/>
  <c r="Y835" i="3"/>
  <c r="AA835" i="3"/>
  <c r="Z835" i="3"/>
  <c r="AE835" i="3" s="1"/>
  <c r="X835" i="3"/>
  <c r="AD835" i="3" s="1"/>
  <c r="AC827" i="3"/>
  <c r="AA827" i="3"/>
  <c r="Z827" i="3"/>
  <c r="AE827" i="3" s="1"/>
  <c r="Y827" i="3"/>
  <c r="X827" i="3"/>
  <c r="AD827" i="3" s="1"/>
  <c r="AC819" i="3"/>
  <c r="Z819" i="3"/>
  <c r="AE819" i="3" s="1"/>
  <c r="AA819" i="3"/>
  <c r="Y819" i="3"/>
  <c r="X819" i="3"/>
  <c r="AD819" i="3" s="1"/>
  <c r="AC811" i="3"/>
  <c r="Z811" i="3"/>
  <c r="AE811" i="3" s="1"/>
  <c r="AA811" i="3"/>
  <c r="Y811" i="3"/>
  <c r="X811" i="3"/>
  <c r="AD811" i="3" s="1"/>
  <c r="AC803" i="3"/>
  <c r="AA803" i="3"/>
  <c r="X803" i="3"/>
  <c r="AD803" i="3" s="1"/>
  <c r="Y803" i="3"/>
  <c r="Z803" i="3"/>
  <c r="AE803" i="3" s="1"/>
  <c r="AC795" i="3"/>
  <c r="Z795" i="3"/>
  <c r="AE795" i="3" s="1"/>
  <c r="AA795" i="3"/>
  <c r="Y795" i="3"/>
  <c r="X795" i="3"/>
  <c r="AD795" i="3" s="1"/>
  <c r="AC787" i="3"/>
  <c r="Z787" i="3"/>
  <c r="AE787" i="3" s="1"/>
  <c r="AA787" i="3"/>
  <c r="Y787" i="3"/>
  <c r="X787" i="3"/>
  <c r="AD787" i="3" s="1"/>
  <c r="AC779" i="3"/>
  <c r="Y779" i="3"/>
  <c r="X779" i="3"/>
  <c r="AD779" i="3" s="1"/>
  <c r="AA779" i="3"/>
  <c r="Z779" i="3"/>
  <c r="AE779" i="3" s="1"/>
  <c r="AC771" i="3"/>
  <c r="Y771" i="3"/>
  <c r="AA771" i="3"/>
  <c r="Z771" i="3"/>
  <c r="AE771" i="3" s="1"/>
  <c r="X771" i="3"/>
  <c r="AD771" i="3" s="1"/>
  <c r="AC763" i="3"/>
  <c r="AA763" i="3"/>
  <c r="Z763" i="3"/>
  <c r="AE763" i="3" s="1"/>
  <c r="Y763" i="3"/>
  <c r="X763" i="3"/>
  <c r="AD763" i="3" s="1"/>
  <c r="AC755" i="3"/>
  <c r="AA755" i="3"/>
  <c r="Z755" i="3"/>
  <c r="AE755" i="3" s="1"/>
  <c r="Y755" i="3"/>
  <c r="X755" i="3"/>
  <c r="AD755" i="3" s="1"/>
  <c r="AC747" i="3"/>
  <c r="Z747" i="3"/>
  <c r="AE747" i="3" s="1"/>
  <c r="AA747" i="3"/>
  <c r="Y747" i="3"/>
  <c r="X747" i="3"/>
  <c r="AD747" i="3" s="1"/>
  <c r="AC739" i="3"/>
  <c r="AA739" i="3"/>
  <c r="Z739" i="3"/>
  <c r="AE739" i="3" s="1"/>
  <c r="Y739" i="3"/>
  <c r="X739" i="3"/>
  <c r="AD739" i="3" s="1"/>
  <c r="AC731" i="3"/>
  <c r="Y731" i="3"/>
  <c r="AA731" i="3"/>
  <c r="Z731" i="3"/>
  <c r="AE731" i="3" s="1"/>
  <c r="X731" i="3"/>
  <c r="AD731" i="3" s="1"/>
  <c r="AC723" i="3"/>
  <c r="Z723" i="3"/>
  <c r="AE723" i="3" s="1"/>
  <c r="Y723" i="3"/>
  <c r="AA723" i="3"/>
  <c r="X723" i="3"/>
  <c r="AD723" i="3" s="1"/>
  <c r="AC715" i="3"/>
  <c r="AA715" i="3"/>
  <c r="Z715" i="3"/>
  <c r="AE715" i="3" s="1"/>
  <c r="Y715" i="3"/>
  <c r="X715" i="3"/>
  <c r="AD715" i="3" s="1"/>
  <c r="AC707" i="3"/>
  <c r="Y707" i="3"/>
  <c r="AA707" i="3"/>
  <c r="X707" i="3"/>
  <c r="AD707" i="3" s="1"/>
  <c r="Z707" i="3"/>
  <c r="AE707" i="3" s="1"/>
  <c r="AC699" i="3"/>
  <c r="AA699" i="3"/>
  <c r="Y699" i="3"/>
  <c r="Z699" i="3"/>
  <c r="AE699" i="3" s="1"/>
  <c r="X699" i="3"/>
  <c r="AD699" i="3" s="1"/>
  <c r="AC691" i="3"/>
  <c r="Z691" i="3"/>
  <c r="AE691" i="3" s="1"/>
  <c r="AA691" i="3"/>
  <c r="Y691" i="3"/>
  <c r="X691" i="3"/>
  <c r="AD691" i="3" s="1"/>
  <c r="AC683" i="3"/>
  <c r="Z683" i="3"/>
  <c r="AE683" i="3" s="1"/>
  <c r="Y683" i="3"/>
  <c r="AA683" i="3"/>
  <c r="X683" i="3"/>
  <c r="AD683" i="3" s="1"/>
  <c r="AC675" i="3"/>
  <c r="AA675" i="3"/>
  <c r="X675" i="3"/>
  <c r="AD675" i="3" s="1"/>
  <c r="Y675" i="3"/>
  <c r="Z675" i="3"/>
  <c r="AE675" i="3" s="1"/>
  <c r="AC667" i="3"/>
  <c r="Z667" i="3"/>
  <c r="AE667" i="3" s="1"/>
  <c r="AA667" i="3"/>
  <c r="Y667" i="3"/>
  <c r="X667" i="3"/>
  <c r="AD667" i="3" s="1"/>
  <c r="AC659" i="3"/>
  <c r="Z659" i="3"/>
  <c r="AE659" i="3" s="1"/>
  <c r="Y659" i="3"/>
  <c r="AA659" i="3"/>
  <c r="X659" i="3"/>
  <c r="AD659" i="3" s="1"/>
  <c r="AC651" i="3"/>
  <c r="Y651" i="3"/>
  <c r="AA651" i="3"/>
  <c r="Z651" i="3"/>
  <c r="AE651" i="3" s="1"/>
  <c r="X651" i="3"/>
  <c r="AD651" i="3" s="1"/>
  <c r="AC643" i="3"/>
  <c r="AA643" i="3"/>
  <c r="Z643" i="3"/>
  <c r="AE643" i="3" s="1"/>
  <c r="Y643" i="3"/>
  <c r="X643" i="3"/>
  <c r="AD643" i="3" s="1"/>
  <c r="AC635" i="3"/>
  <c r="AA635" i="3"/>
  <c r="Z635" i="3"/>
  <c r="AE635" i="3" s="1"/>
  <c r="Y635" i="3"/>
  <c r="X635" i="3"/>
  <c r="AD635" i="3" s="1"/>
  <c r="AC627" i="3"/>
  <c r="Z627" i="3"/>
  <c r="AE627" i="3" s="1"/>
  <c r="Y627" i="3"/>
  <c r="AA627" i="3"/>
  <c r="X627" i="3"/>
  <c r="AD627" i="3" s="1"/>
  <c r="AC619" i="3"/>
  <c r="Z619" i="3"/>
  <c r="AE619" i="3" s="1"/>
  <c r="AA619" i="3"/>
  <c r="X619" i="3"/>
  <c r="AD619" i="3" s="1"/>
  <c r="Y619" i="3"/>
  <c r="AC611" i="3"/>
  <c r="AA611" i="3"/>
  <c r="Y611" i="3"/>
  <c r="Z611" i="3"/>
  <c r="AE611" i="3" s="1"/>
  <c r="X611" i="3"/>
  <c r="AD611" i="3" s="1"/>
  <c r="AC603" i="3"/>
  <c r="Y603" i="3"/>
  <c r="Z603" i="3"/>
  <c r="AE603" i="3" s="1"/>
  <c r="AA603" i="3"/>
  <c r="X603" i="3"/>
  <c r="AD603" i="3" s="1"/>
  <c r="AC595" i="3"/>
  <c r="Z595" i="3"/>
  <c r="AE595" i="3" s="1"/>
  <c r="AA595" i="3"/>
  <c r="X595" i="3"/>
  <c r="AD595" i="3" s="1"/>
  <c r="Y595" i="3"/>
  <c r="AC587" i="3"/>
  <c r="AA587" i="3"/>
  <c r="Z587" i="3"/>
  <c r="AE587" i="3" s="1"/>
  <c r="Y587" i="3"/>
  <c r="X587" i="3"/>
  <c r="AD587" i="3" s="1"/>
  <c r="AC579" i="3"/>
  <c r="AA579" i="3"/>
  <c r="Z579" i="3"/>
  <c r="AE579" i="3" s="1"/>
  <c r="Y579" i="3"/>
  <c r="X579" i="3"/>
  <c r="AD579" i="3" s="1"/>
  <c r="AC571" i="3"/>
  <c r="AA571" i="3"/>
  <c r="Y571" i="3"/>
  <c r="X571" i="3"/>
  <c r="AD571" i="3" s="1"/>
  <c r="Z571" i="3"/>
  <c r="AE571" i="3" s="1"/>
  <c r="AC563" i="3"/>
  <c r="Z563" i="3"/>
  <c r="AE563" i="3" s="1"/>
  <c r="AA563" i="3"/>
  <c r="Y563" i="3"/>
  <c r="X563" i="3"/>
  <c r="AD563" i="3" s="1"/>
  <c r="AC555" i="3"/>
  <c r="Z555" i="3"/>
  <c r="AE555" i="3" s="1"/>
  <c r="AA555" i="3"/>
  <c r="X555" i="3"/>
  <c r="AD555" i="3" s="1"/>
  <c r="Y555" i="3"/>
  <c r="AC547" i="3"/>
  <c r="AA547" i="3"/>
  <c r="Y547" i="3"/>
  <c r="Z547" i="3"/>
  <c r="AE547" i="3" s="1"/>
  <c r="X547" i="3"/>
  <c r="AD547" i="3" s="1"/>
  <c r="AC539" i="3"/>
  <c r="Y539" i="3"/>
  <c r="Z539" i="3"/>
  <c r="AE539" i="3" s="1"/>
  <c r="AA539" i="3"/>
  <c r="X539" i="3"/>
  <c r="AD539" i="3" s="1"/>
  <c r="AC531" i="3"/>
  <c r="Z531" i="3"/>
  <c r="AE531" i="3" s="1"/>
  <c r="AA531" i="3"/>
  <c r="Y531" i="3"/>
  <c r="X531" i="3"/>
  <c r="AD531" i="3" s="1"/>
  <c r="AC523" i="3"/>
  <c r="Y523" i="3"/>
  <c r="X523" i="3"/>
  <c r="AD523" i="3" s="1"/>
  <c r="Z523" i="3"/>
  <c r="AE523" i="3" s="1"/>
  <c r="AA523" i="3"/>
  <c r="AC515" i="3"/>
  <c r="Y515" i="3"/>
  <c r="AA515" i="3"/>
  <c r="Z515" i="3"/>
  <c r="AE515" i="3" s="1"/>
  <c r="X515" i="3"/>
  <c r="AD515" i="3" s="1"/>
  <c r="AC507" i="3"/>
  <c r="AA507" i="3"/>
  <c r="Y507" i="3"/>
  <c r="Z507" i="3"/>
  <c r="AE507" i="3" s="1"/>
  <c r="X507" i="3"/>
  <c r="AD507" i="3" s="1"/>
  <c r="AC499" i="3"/>
  <c r="Z499" i="3"/>
  <c r="AE499" i="3" s="1"/>
  <c r="Y499" i="3"/>
  <c r="AA499" i="3"/>
  <c r="X499" i="3"/>
  <c r="AD499" i="3" s="1"/>
  <c r="AC491" i="3"/>
  <c r="Z491" i="3"/>
  <c r="AE491" i="3" s="1"/>
  <c r="AA491" i="3"/>
  <c r="X491" i="3"/>
  <c r="AD491" i="3" s="1"/>
  <c r="Y491" i="3"/>
  <c r="AC483" i="3"/>
  <c r="AA483" i="3"/>
  <c r="Z483" i="3"/>
  <c r="AE483" i="3" s="1"/>
  <c r="Y483" i="3"/>
  <c r="X483" i="3"/>
  <c r="AD483" i="3" s="1"/>
  <c r="AC475" i="3"/>
  <c r="Y475" i="3"/>
  <c r="X475" i="3"/>
  <c r="AD475" i="3" s="1"/>
  <c r="AA475" i="3"/>
  <c r="Z475" i="3"/>
  <c r="AE475" i="3" s="1"/>
  <c r="AC467" i="3"/>
  <c r="Z467" i="3"/>
  <c r="AE467" i="3" s="1"/>
  <c r="AA467" i="3"/>
  <c r="Y467" i="3"/>
  <c r="X467" i="3"/>
  <c r="AD467" i="3" s="1"/>
  <c r="AC459" i="3"/>
  <c r="AA459" i="3"/>
  <c r="Z459" i="3"/>
  <c r="AE459" i="3" s="1"/>
  <c r="Y459" i="3"/>
  <c r="X459" i="3"/>
  <c r="AD459" i="3" s="1"/>
  <c r="AC451" i="3"/>
  <c r="Y451" i="3"/>
  <c r="AA451" i="3"/>
  <c r="Z451" i="3"/>
  <c r="AE451" i="3" s="1"/>
  <c r="X451" i="3"/>
  <c r="AD451" i="3" s="1"/>
  <c r="AC443" i="3"/>
  <c r="AA443" i="3"/>
  <c r="Y443" i="3"/>
  <c r="X443" i="3"/>
  <c r="AD443" i="3" s="1"/>
  <c r="Z443" i="3"/>
  <c r="AE443" i="3" s="1"/>
  <c r="AC435" i="3"/>
  <c r="Z435" i="3"/>
  <c r="AE435" i="3" s="1"/>
  <c r="AA435" i="3"/>
  <c r="Y435" i="3"/>
  <c r="X435" i="3"/>
  <c r="AD435" i="3" s="1"/>
  <c r="AC427" i="3"/>
  <c r="Z427" i="3"/>
  <c r="AE427" i="3" s="1"/>
  <c r="AA427" i="3"/>
  <c r="X427" i="3"/>
  <c r="AD427" i="3" s="1"/>
  <c r="Y427" i="3"/>
  <c r="AC419" i="3"/>
  <c r="AA419" i="3"/>
  <c r="Y419" i="3"/>
  <c r="Z419" i="3"/>
  <c r="AE419" i="3" s="1"/>
  <c r="X419" i="3"/>
  <c r="AD419" i="3" s="1"/>
  <c r="AC411" i="3"/>
  <c r="Z411" i="3"/>
  <c r="AE411" i="3" s="1"/>
  <c r="Y411" i="3"/>
  <c r="AA411" i="3"/>
  <c r="X411" i="3"/>
  <c r="AD411" i="3" s="1"/>
  <c r="AC403" i="3"/>
  <c r="Z403" i="3"/>
  <c r="AE403" i="3" s="1"/>
  <c r="AA403" i="3"/>
  <c r="Y403" i="3"/>
  <c r="X403" i="3"/>
  <c r="AD403" i="3" s="1"/>
  <c r="AC395" i="3"/>
  <c r="Y395" i="3"/>
  <c r="Z395" i="3"/>
  <c r="AE395" i="3" s="1"/>
  <c r="X395" i="3"/>
  <c r="AD395" i="3" s="1"/>
  <c r="AA395" i="3"/>
  <c r="AC387" i="3"/>
  <c r="AA387" i="3"/>
  <c r="Z387" i="3"/>
  <c r="AE387" i="3" s="1"/>
  <c r="Y387" i="3"/>
  <c r="X387" i="3"/>
  <c r="AD387" i="3" s="1"/>
  <c r="AC379" i="3"/>
  <c r="AA379" i="3"/>
  <c r="Y379" i="3"/>
  <c r="Z379" i="3"/>
  <c r="AE379" i="3" s="1"/>
  <c r="X379" i="3"/>
  <c r="AD379" i="3" s="1"/>
  <c r="AC371" i="3"/>
  <c r="Z371" i="3"/>
  <c r="AE371" i="3" s="1"/>
  <c r="Y371" i="3"/>
  <c r="X371" i="3"/>
  <c r="AD371" i="3" s="1"/>
  <c r="AA371" i="3"/>
  <c r="AC363" i="3"/>
  <c r="Z363" i="3"/>
  <c r="AE363" i="3" s="1"/>
  <c r="AA363" i="3"/>
  <c r="X363" i="3"/>
  <c r="AD363" i="3" s="1"/>
  <c r="Y363" i="3"/>
  <c r="AC355" i="3"/>
  <c r="AA355" i="3"/>
  <c r="Y355" i="3"/>
  <c r="Z355" i="3"/>
  <c r="AE355" i="3" s="1"/>
  <c r="X355" i="3"/>
  <c r="AD355" i="3" s="1"/>
  <c r="AC347" i="3"/>
  <c r="Y347" i="3"/>
  <c r="Z347" i="3"/>
  <c r="AE347" i="3" s="1"/>
  <c r="X347" i="3"/>
  <c r="AD347" i="3" s="1"/>
  <c r="AA347" i="3"/>
  <c r="AC339" i="3"/>
  <c r="Z339" i="3"/>
  <c r="AE339" i="3" s="1"/>
  <c r="AA339" i="3"/>
  <c r="X339" i="3"/>
  <c r="AD339" i="3" s="1"/>
  <c r="Y339" i="3"/>
  <c r="AC331" i="3"/>
  <c r="AA331" i="3"/>
  <c r="Z331" i="3"/>
  <c r="AE331" i="3" s="1"/>
  <c r="Y331" i="3"/>
  <c r="X331" i="3"/>
  <c r="AD331" i="3" s="1"/>
  <c r="AC323" i="3"/>
  <c r="AA323" i="3"/>
  <c r="Z323" i="3"/>
  <c r="AE323" i="3" s="1"/>
  <c r="Y323" i="3"/>
  <c r="X323" i="3"/>
  <c r="AD323" i="3" s="1"/>
  <c r="AC315" i="3"/>
  <c r="AA315" i="3"/>
  <c r="Y315" i="3"/>
  <c r="X315" i="3"/>
  <c r="AD315" i="3" s="1"/>
  <c r="Z315" i="3"/>
  <c r="AE315" i="3" s="1"/>
  <c r="AC307" i="3"/>
  <c r="X307" i="3"/>
  <c r="AD307" i="3" s="1"/>
  <c r="Z307" i="3"/>
  <c r="AE307" i="3" s="1"/>
  <c r="AA307" i="3"/>
  <c r="Y307" i="3"/>
  <c r="AC299" i="3"/>
  <c r="Z299" i="3"/>
  <c r="AE299" i="3" s="1"/>
  <c r="AA299" i="3"/>
  <c r="Y299" i="3"/>
  <c r="X299" i="3"/>
  <c r="AD299" i="3" s="1"/>
  <c r="AC291" i="3"/>
  <c r="AA291" i="3"/>
  <c r="Y291" i="3"/>
  <c r="X291" i="3"/>
  <c r="AD291" i="3" s="1"/>
  <c r="Z291" i="3"/>
  <c r="AE291" i="3" s="1"/>
  <c r="AC283" i="3"/>
  <c r="Y283" i="3"/>
  <c r="Z283" i="3"/>
  <c r="AE283" i="3" s="1"/>
  <c r="AA283" i="3"/>
  <c r="X283" i="3"/>
  <c r="AD283" i="3" s="1"/>
  <c r="AC275" i="3"/>
  <c r="Z275" i="3"/>
  <c r="AE275" i="3" s="1"/>
  <c r="AA275" i="3"/>
  <c r="X275" i="3"/>
  <c r="AD275" i="3" s="1"/>
  <c r="Y275" i="3"/>
  <c r="AC267" i="3"/>
  <c r="AA267" i="3"/>
  <c r="Z267" i="3"/>
  <c r="AE267" i="3" s="1"/>
  <c r="Y267" i="3"/>
  <c r="X267" i="3"/>
  <c r="AD267" i="3" s="1"/>
  <c r="AC642" i="3"/>
  <c r="AA642" i="3"/>
  <c r="Z642" i="3"/>
  <c r="AE642" i="3" s="1"/>
  <c r="Y642" i="3"/>
  <c r="X642" i="3"/>
  <c r="AD642" i="3" s="1"/>
  <c r="AC634" i="3"/>
  <c r="Y634" i="3"/>
  <c r="AA634" i="3"/>
  <c r="X634" i="3"/>
  <c r="AD634" i="3" s="1"/>
  <c r="Z634" i="3"/>
  <c r="AE634" i="3" s="1"/>
  <c r="AC626" i="3"/>
  <c r="AA626" i="3"/>
  <c r="Z626" i="3"/>
  <c r="AE626" i="3" s="1"/>
  <c r="Y626" i="3"/>
  <c r="X626" i="3"/>
  <c r="AD626" i="3" s="1"/>
  <c r="AC618" i="3"/>
  <c r="Z618" i="3"/>
  <c r="AE618" i="3" s="1"/>
  <c r="AA618" i="3"/>
  <c r="Y618" i="3"/>
  <c r="X618" i="3"/>
  <c r="AD618" i="3" s="1"/>
  <c r="AC610" i="3"/>
  <c r="Z610" i="3"/>
  <c r="AE610" i="3" s="1"/>
  <c r="AA610" i="3"/>
  <c r="X610" i="3"/>
  <c r="AD610" i="3" s="1"/>
  <c r="Y610" i="3"/>
  <c r="AC602" i="3"/>
  <c r="AA602" i="3"/>
  <c r="Y602" i="3"/>
  <c r="X602" i="3"/>
  <c r="AD602" i="3" s="1"/>
  <c r="Z602" i="3"/>
  <c r="AE602" i="3" s="1"/>
  <c r="AC594" i="3"/>
  <c r="Z594" i="3"/>
  <c r="AE594" i="3" s="1"/>
  <c r="AA594" i="3"/>
  <c r="X594" i="3"/>
  <c r="AD594" i="3" s="1"/>
  <c r="Y594" i="3"/>
  <c r="AC586" i="3"/>
  <c r="Z586" i="3"/>
  <c r="AE586" i="3" s="1"/>
  <c r="Y586" i="3"/>
  <c r="AA586" i="3"/>
  <c r="X586" i="3"/>
  <c r="AD586" i="3" s="1"/>
  <c r="AC578" i="3"/>
  <c r="Y578" i="3"/>
  <c r="AA578" i="3"/>
  <c r="Z578" i="3"/>
  <c r="AE578" i="3" s="1"/>
  <c r="X578" i="3"/>
  <c r="AD578" i="3" s="1"/>
  <c r="AC570" i="3"/>
  <c r="AA570" i="3"/>
  <c r="Z570" i="3"/>
  <c r="AE570" i="3" s="1"/>
  <c r="Y570" i="3"/>
  <c r="X570" i="3"/>
  <c r="AD570" i="3" s="1"/>
  <c r="AC562" i="3"/>
  <c r="AA562" i="3"/>
  <c r="X562" i="3"/>
  <c r="AD562" i="3" s="1"/>
  <c r="Z562" i="3"/>
  <c r="AE562" i="3" s="1"/>
  <c r="Y562" i="3"/>
  <c r="AC554" i="3"/>
  <c r="X554" i="3"/>
  <c r="AD554" i="3" s="1"/>
  <c r="Z554" i="3"/>
  <c r="AE554" i="3" s="1"/>
  <c r="Y554" i="3"/>
  <c r="AA554" i="3"/>
  <c r="AC546" i="3"/>
  <c r="Z546" i="3"/>
  <c r="AE546" i="3" s="1"/>
  <c r="AA546" i="3"/>
  <c r="X546" i="3"/>
  <c r="AD546" i="3" s="1"/>
  <c r="Y546" i="3"/>
  <c r="AC538" i="3"/>
  <c r="AA538" i="3"/>
  <c r="X538" i="3"/>
  <c r="AD538" i="3" s="1"/>
  <c r="Y538" i="3"/>
  <c r="Z538" i="3"/>
  <c r="AE538" i="3" s="1"/>
  <c r="AC530" i="3"/>
  <c r="X530" i="3"/>
  <c r="AD530" i="3" s="1"/>
  <c r="Z530" i="3"/>
  <c r="AE530" i="3" s="1"/>
  <c r="AA530" i="3"/>
  <c r="Y530" i="3"/>
  <c r="AC522" i="3"/>
  <c r="Z522" i="3"/>
  <c r="AE522" i="3" s="1"/>
  <c r="AA522" i="3"/>
  <c r="X522" i="3"/>
  <c r="AD522" i="3" s="1"/>
  <c r="Y522" i="3"/>
  <c r="AC514" i="3"/>
  <c r="X514" i="3"/>
  <c r="AD514" i="3" s="1"/>
  <c r="AA514" i="3"/>
  <c r="Z514" i="3"/>
  <c r="AE514" i="3" s="1"/>
  <c r="Y514" i="3"/>
  <c r="AC506" i="3"/>
  <c r="X506" i="3"/>
  <c r="AD506" i="3" s="1"/>
  <c r="Y506" i="3"/>
  <c r="AA506" i="3"/>
  <c r="Z506" i="3"/>
  <c r="AE506" i="3" s="1"/>
  <c r="AC498" i="3"/>
  <c r="AA498" i="3"/>
  <c r="X498" i="3"/>
  <c r="AD498" i="3" s="1"/>
  <c r="Z498" i="3"/>
  <c r="AE498" i="3" s="1"/>
  <c r="Y498" i="3"/>
  <c r="AC490" i="3"/>
  <c r="X490" i="3"/>
  <c r="AD490" i="3" s="1"/>
  <c r="Z490" i="3"/>
  <c r="AE490" i="3" s="1"/>
  <c r="AA490" i="3"/>
  <c r="Y490" i="3"/>
  <c r="AC482" i="3"/>
  <c r="Z482" i="3"/>
  <c r="AE482" i="3" s="1"/>
  <c r="X482" i="3"/>
  <c r="AD482" i="3" s="1"/>
  <c r="AA482" i="3"/>
  <c r="Y482" i="3"/>
  <c r="AC474" i="3"/>
  <c r="AA474" i="3"/>
  <c r="X474" i="3"/>
  <c r="AD474" i="3" s="1"/>
  <c r="Y474" i="3"/>
  <c r="Z474" i="3"/>
  <c r="AE474" i="3" s="1"/>
  <c r="AC466" i="3"/>
  <c r="X466" i="3"/>
  <c r="AD466" i="3" s="1"/>
  <c r="Z466" i="3"/>
  <c r="AE466" i="3" s="1"/>
  <c r="AA466" i="3"/>
  <c r="Y466" i="3"/>
  <c r="AC458" i="3"/>
  <c r="Z458" i="3"/>
  <c r="AE458" i="3" s="1"/>
  <c r="X458" i="3"/>
  <c r="AD458" i="3" s="1"/>
  <c r="AA458" i="3"/>
  <c r="Y458" i="3"/>
  <c r="AC450" i="3"/>
  <c r="X450" i="3"/>
  <c r="AD450" i="3" s="1"/>
  <c r="AA450" i="3"/>
  <c r="Y450" i="3"/>
  <c r="Z450" i="3"/>
  <c r="AE450" i="3" s="1"/>
  <c r="AC442" i="3"/>
  <c r="X442" i="3"/>
  <c r="AD442" i="3" s="1"/>
  <c r="Y442" i="3"/>
  <c r="AA442" i="3"/>
  <c r="Z442" i="3"/>
  <c r="AE442" i="3" s="1"/>
  <c r="AC434" i="3"/>
  <c r="AA434" i="3"/>
  <c r="X434" i="3"/>
  <c r="AD434" i="3" s="1"/>
  <c r="Z434" i="3"/>
  <c r="AE434" i="3" s="1"/>
  <c r="Y434" i="3"/>
  <c r="AC426" i="3"/>
  <c r="X426" i="3"/>
  <c r="AD426" i="3" s="1"/>
  <c r="Y426" i="3"/>
  <c r="Z426" i="3"/>
  <c r="AE426" i="3" s="1"/>
  <c r="AA426" i="3"/>
  <c r="AC418" i="3"/>
  <c r="Z418" i="3"/>
  <c r="AE418" i="3" s="1"/>
  <c r="X418" i="3"/>
  <c r="AD418" i="3" s="1"/>
  <c r="AA418" i="3"/>
  <c r="Y418" i="3"/>
  <c r="AC410" i="3"/>
  <c r="AA410" i="3"/>
  <c r="X410" i="3"/>
  <c r="AD410" i="3" s="1"/>
  <c r="Z410" i="3"/>
  <c r="AE410" i="3" s="1"/>
  <c r="Y410" i="3"/>
  <c r="AC402" i="3"/>
  <c r="X402" i="3"/>
  <c r="AD402" i="3" s="1"/>
  <c r="Z402" i="3"/>
  <c r="AE402" i="3" s="1"/>
  <c r="AA402" i="3"/>
  <c r="Y402" i="3"/>
  <c r="AC394" i="3"/>
  <c r="Z394" i="3"/>
  <c r="AE394" i="3" s="1"/>
  <c r="X394" i="3"/>
  <c r="AD394" i="3" s="1"/>
  <c r="AA394" i="3"/>
  <c r="Y394" i="3"/>
  <c r="AC386" i="3"/>
  <c r="X386" i="3"/>
  <c r="AD386" i="3" s="1"/>
  <c r="AA386" i="3"/>
  <c r="Z386" i="3"/>
  <c r="AE386" i="3" s="1"/>
  <c r="Y386" i="3"/>
  <c r="AC378" i="3"/>
  <c r="X378" i="3"/>
  <c r="AD378" i="3" s="1"/>
  <c r="Y378" i="3"/>
  <c r="AA378" i="3"/>
  <c r="Z378" i="3"/>
  <c r="AE378" i="3" s="1"/>
  <c r="AC370" i="3"/>
  <c r="AA370" i="3"/>
  <c r="X370" i="3"/>
  <c r="AD370" i="3" s="1"/>
  <c r="Y370" i="3"/>
  <c r="Z370" i="3"/>
  <c r="AE370" i="3" s="1"/>
  <c r="AC362" i="3"/>
  <c r="Z362" i="3"/>
  <c r="AE362" i="3" s="1"/>
  <c r="X362" i="3"/>
  <c r="AD362" i="3" s="1"/>
  <c r="AA362" i="3"/>
  <c r="Y362" i="3"/>
  <c r="AC354" i="3"/>
  <c r="Z354" i="3"/>
  <c r="AE354" i="3" s="1"/>
  <c r="AA354" i="3"/>
  <c r="X354" i="3"/>
  <c r="AD354" i="3" s="1"/>
  <c r="Y354" i="3"/>
  <c r="AC346" i="3"/>
  <c r="AA346" i="3"/>
  <c r="Y346" i="3"/>
  <c r="X346" i="3"/>
  <c r="AD346" i="3" s="1"/>
  <c r="Z346" i="3"/>
  <c r="AE346" i="3" s="1"/>
  <c r="AC338" i="3"/>
  <c r="Z338" i="3"/>
  <c r="AE338" i="3" s="1"/>
  <c r="AA338" i="3"/>
  <c r="X338" i="3"/>
  <c r="AD338" i="3" s="1"/>
  <c r="Y338" i="3"/>
  <c r="AC330" i="3"/>
  <c r="Z330" i="3"/>
  <c r="AE330" i="3" s="1"/>
  <c r="Y330" i="3"/>
  <c r="AA330" i="3"/>
  <c r="X330" i="3"/>
  <c r="AD330" i="3" s="1"/>
  <c r="AC322" i="3"/>
  <c r="Y322" i="3"/>
  <c r="X322" i="3"/>
  <c r="AD322" i="3" s="1"/>
  <c r="AA322" i="3"/>
  <c r="Z322" i="3"/>
  <c r="AE322" i="3" s="1"/>
  <c r="AC314" i="3"/>
  <c r="AA314" i="3"/>
  <c r="Z314" i="3"/>
  <c r="AE314" i="3" s="1"/>
  <c r="Y314" i="3"/>
  <c r="X314" i="3"/>
  <c r="AD314" i="3" s="1"/>
  <c r="AC306" i="3"/>
  <c r="AA306" i="3"/>
  <c r="X306" i="3"/>
  <c r="AD306" i="3" s="1"/>
  <c r="Z306" i="3"/>
  <c r="AE306" i="3" s="1"/>
  <c r="Y306" i="3"/>
  <c r="AC298" i="3"/>
  <c r="X298" i="3"/>
  <c r="AD298" i="3" s="1"/>
  <c r="Z298" i="3"/>
  <c r="AE298" i="3" s="1"/>
  <c r="Y298" i="3"/>
  <c r="AA298" i="3"/>
  <c r="AC290" i="3"/>
  <c r="Z290" i="3"/>
  <c r="AE290" i="3" s="1"/>
  <c r="AA290" i="3"/>
  <c r="X290" i="3"/>
  <c r="AD290" i="3" s="1"/>
  <c r="Y290" i="3"/>
  <c r="AC282" i="3"/>
  <c r="AA282" i="3"/>
  <c r="Y282" i="3"/>
  <c r="Z282" i="3"/>
  <c r="AE282" i="3" s="1"/>
  <c r="X282" i="3"/>
  <c r="AD282" i="3" s="1"/>
  <c r="AC274" i="3"/>
  <c r="Z274" i="3"/>
  <c r="AE274" i="3" s="1"/>
  <c r="X274" i="3"/>
  <c r="AD274" i="3" s="1"/>
  <c r="Y274" i="3"/>
  <c r="AA274" i="3"/>
  <c r="AC266" i="3"/>
  <c r="Z266" i="3"/>
  <c r="AE266" i="3" s="1"/>
  <c r="AA266" i="3"/>
  <c r="Y266" i="3"/>
  <c r="X266" i="3"/>
  <c r="AD266" i="3" s="1"/>
  <c r="AC812" i="3"/>
  <c r="Z812" i="3"/>
  <c r="AE812" i="3" s="1"/>
  <c r="AA812" i="3"/>
  <c r="Y812" i="3"/>
  <c r="X812" i="3"/>
  <c r="AD812" i="3" s="1"/>
  <c r="AC796" i="3"/>
  <c r="Z796" i="3"/>
  <c r="AE796" i="3" s="1"/>
  <c r="Y796" i="3"/>
  <c r="AA796" i="3"/>
  <c r="X796" i="3"/>
  <c r="AD796" i="3" s="1"/>
  <c r="AC890" i="3"/>
  <c r="Y890" i="3"/>
  <c r="AA890" i="3"/>
  <c r="Z890" i="3"/>
  <c r="AE890" i="3" s="1"/>
  <c r="X890" i="3"/>
  <c r="AD890" i="3" s="1"/>
  <c r="AC882" i="3"/>
  <c r="AA882" i="3"/>
  <c r="Z882" i="3"/>
  <c r="AE882" i="3" s="1"/>
  <c r="Y882" i="3"/>
  <c r="X882" i="3"/>
  <c r="AD882" i="3" s="1"/>
  <c r="AC842" i="3"/>
  <c r="Z842" i="3"/>
  <c r="AE842" i="3" s="1"/>
  <c r="Y842" i="3"/>
  <c r="AA842" i="3"/>
  <c r="X842" i="3"/>
  <c r="AD842" i="3" s="1"/>
  <c r="AC770" i="3"/>
  <c r="Y770" i="3"/>
  <c r="AA770" i="3"/>
  <c r="Z770" i="3"/>
  <c r="AE770" i="3" s="1"/>
  <c r="X770" i="3"/>
  <c r="AD770" i="3" s="1"/>
  <c r="AC754" i="3"/>
  <c r="AA754" i="3"/>
  <c r="Z754" i="3"/>
  <c r="AE754" i="3" s="1"/>
  <c r="Y754" i="3"/>
  <c r="X754" i="3"/>
  <c r="AD754" i="3" s="1"/>
  <c r="AC682" i="3"/>
  <c r="Y682" i="3"/>
  <c r="Z682" i="3"/>
  <c r="AE682" i="3" s="1"/>
  <c r="AA682" i="3"/>
  <c r="X682" i="3"/>
  <c r="AD682" i="3" s="1"/>
  <c r="AC945" i="3"/>
  <c r="Y945" i="3"/>
  <c r="Z945" i="3"/>
  <c r="AE945" i="3" s="1"/>
  <c r="X945" i="3"/>
  <c r="AD945" i="3" s="1"/>
  <c r="AA945" i="3"/>
  <c r="AC937" i="3"/>
  <c r="Y937" i="3"/>
  <c r="AA937" i="3"/>
  <c r="Z937" i="3"/>
  <c r="AE937" i="3" s="1"/>
  <c r="X937" i="3"/>
  <c r="AD937" i="3" s="1"/>
  <c r="AC929" i="3"/>
  <c r="Y929" i="3"/>
  <c r="Z929" i="3"/>
  <c r="AE929" i="3" s="1"/>
  <c r="X929" i="3"/>
  <c r="AD929" i="3" s="1"/>
  <c r="AA929" i="3"/>
  <c r="AC921" i="3"/>
  <c r="Y921" i="3"/>
  <c r="Z921" i="3"/>
  <c r="AE921" i="3" s="1"/>
  <c r="X921" i="3"/>
  <c r="AD921" i="3" s="1"/>
  <c r="AA921" i="3"/>
  <c r="AC913" i="3"/>
  <c r="AA913" i="3"/>
  <c r="Y913" i="3"/>
  <c r="X913" i="3"/>
  <c r="AD913" i="3" s="1"/>
  <c r="Z913" i="3"/>
  <c r="AE913" i="3" s="1"/>
  <c r="AC905" i="3"/>
  <c r="Y905" i="3"/>
  <c r="X905" i="3"/>
  <c r="AD905" i="3" s="1"/>
  <c r="Z905" i="3"/>
  <c r="AE905" i="3" s="1"/>
  <c r="AA905" i="3"/>
  <c r="AC897" i="3"/>
  <c r="Z897" i="3"/>
  <c r="AE897" i="3" s="1"/>
  <c r="Y897" i="3"/>
  <c r="X897" i="3"/>
  <c r="AD897" i="3" s="1"/>
  <c r="AA897" i="3"/>
  <c r="AC889" i="3"/>
  <c r="Y889" i="3"/>
  <c r="X889" i="3"/>
  <c r="AD889" i="3" s="1"/>
  <c r="Z889" i="3"/>
  <c r="AE889" i="3" s="1"/>
  <c r="AA889" i="3"/>
  <c r="AC881" i="3"/>
  <c r="Y881" i="3"/>
  <c r="X881" i="3"/>
  <c r="AD881" i="3" s="1"/>
  <c r="AA881" i="3"/>
  <c r="Z881" i="3"/>
  <c r="AE881" i="3" s="1"/>
  <c r="AC873" i="3"/>
  <c r="Y873" i="3"/>
  <c r="AA873" i="3"/>
  <c r="Z873" i="3"/>
  <c r="AE873" i="3" s="1"/>
  <c r="X873" i="3"/>
  <c r="AD873" i="3" s="1"/>
  <c r="AC865" i="3"/>
  <c r="Y865" i="3"/>
  <c r="X865" i="3"/>
  <c r="AD865" i="3" s="1"/>
  <c r="AA865" i="3"/>
  <c r="Z865" i="3"/>
  <c r="AE865" i="3" s="1"/>
  <c r="AC857" i="3"/>
  <c r="Y857" i="3"/>
  <c r="Z857" i="3"/>
  <c r="AE857" i="3" s="1"/>
  <c r="X857" i="3"/>
  <c r="AD857" i="3" s="1"/>
  <c r="AA857" i="3"/>
  <c r="AC849" i="3"/>
  <c r="AA849" i="3"/>
  <c r="Y849" i="3"/>
  <c r="Z849" i="3"/>
  <c r="AE849" i="3" s="1"/>
  <c r="X849" i="3"/>
  <c r="AD849" i="3" s="1"/>
  <c r="AC841" i="3"/>
  <c r="Y841" i="3"/>
  <c r="X841" i="3"/>
  <c r="AD841" i="3" s="1"/>
  <c r="AA841" i="3"/>
  <c r="Z841" i="3"/>
  <c r="AE841" i="3" s="1"/>
  <c r="AC833" i="3"/>
  <c r="Z833" i="3"/>
  <c r="AE833" i="3" s="1"/>
  <c r="Y833" i="3"/>
  <c r="X833" i="3"/>
  <c r="AD833" i="3" s="1"/>
  <c r="AA833" i="3"/>
  <c r="AC825" i="3"/>
  <c r="Y825" i="3"/>
  <c r="AA825" i="3"/>
  <c r="Z825" i="3"/>
  <c r="AE825" i="3" s="1"/>
  <c r="X825" i="3"/>
  <c r="AD825" i="3" s="1"/>
  <c r="AC817" i="3"/>
  <c r="Y817" i="3"/>
  <c r="X817" i="3"/>
  <c r="AD817" i="3" s="1"/>
  <c r="AA817" i="3"/>
  <c r="Z817" i="3"/>
  <c r="AE817" i="3" s="1"/>
  <c r="AC809" i="3"/>
  <c r="Y809" i="3"/>
  <c r="AA809" i="3"/>
  <c r="X809" i="3"/>
  <c r="AD809" i="3" s="1"/>
  <c r="Z809" i="3"/>
  <c r="AE809" i="3" s="1"/>
  <c r="AC801" i="3"/>
  <c r="Y801" i="3"/>
  <c r="Z801" i="3"/>
  <c r="AE801" i="3" s="1"/>
  <c r="AA801" i="3"/>
  <c r="X801" i="3"/>
  <c r="AD801" i="3" s="1"/>
  <c r="AC793" i="3"/>
  <c r="Y793" i="3"/>
  <c r="Z793" i="3"/>
  <c r="AE793" i="3" s="1"/>
  <c r="X793" i="3"/>
  <c r="AD793" i="3" s="1"/>
  <c r="AA793" i="3"/>
  <c r="AC785" i="3"/>
  <c r="AA785" i="3"/>
  <c r="Y785" i="3"/>
  <c r="X785" i="3"/>
  <c r="AD785" i="3" s="1"/>
  <c r="Z785" i="3"/>
  <c r="AE785" i="3" s="1"/>
  <c r="AC777" i="3"/>
  <c r="Y777" i="3"/>
  <c r="Z777" i="3"/>
  <c r="AE777" i="3" s="1"/>
  <c r="AA777" i="3"/>
  <c r="X777" i="3"/>
  <c r="AD777" i="3" s="1"/>
  <c r="AC769" i="3"/>
  <c r="Z769" i="3"/>
  <c r="AE769" i="3" s="1"/>
  <c r="Y769" i="3"/>
  <c r="X769" i="3"/>
  <c r="AD769" i="3" s="1"/>
  <c r="AA769" i="3"/>
  <c r="AC761" i="3"/>
  <c r="Y761" i="3"/>
  <c r="X761" i="3"/>
  <c r="AD761" i="3" s="1"/>
  <c r="Z761" i="3"/>
  <c r="AE761" i="3" s="1"/>
  <c r="AA761" i="3"/>
  <c r="AC753" i="3"/>
  <c r="Y753" i="3"/>
  <c r="AA753" i="3"/>
  <c r="Z753" i="3"/>
  <c r="AE753" i="3" s="1"/>
  <c r="X753" i="3"/>
  <c r="AD753" i="3" s="1"/>
  <c r="AC745" i="3"/>
  <c r="Y745" i="3"/>
  <c r="AA745" i="3"/>
  <c r="X745" i="3"/>
  <c r="AD745" i="3" s="1"/>
  <c r="Z745" i="3"/>
  <c r="AE745" i="3" s="1"/>
  <c r="AC737" i="3"/>
  <c r="Y737" i="3"/>
  <c r="X737" i="3"/>
  <c r="AD737" i="3" s="1"/>
  <c r="Z737" i="3"/>
  <c r="AE737" i="3" s="1"/>
  <c r="AA737" i="3"/>
  <c r="AC729" i="3"/>
  <c r="Y729" i="3"/>
  <c r="Z729" i="3"/>
  <c r="AE729" i="3" s="1"/>
  <c r="AA729" i="3"/>
  <c r="X729" i="3"/>
  <c r="AD729" i="3" s="1"/>
  <c r="AC721" i="3"/>
  <c r="AA721" i="3"/>
  <c r="Y721" i="3"/>
  <c r="X721" i="3"/>
  <c r="AD721" i="3" s="1"/>
  <c r="Z721" i="3"/>
  <c r="AE721" i="3" s="1"/>
  <c r="AC713" i="3"/>
  <c r="Y713" i="3"/>
  <c r="X713" i="3"/>
  <c r="AD713" i="3" s="1"/>
  <c r="Z713" i="3"/>
  <c r="AE713" i="3" s="1"/>
  <c r="AA713" i="3"/>
  <c r="AC705" i="3"/>
  <c r="Z705" i="3"/>
  <c r="AE705" i="3" s="1"/>
  <c r="Y705" i="3"/>
  <c r="AA705" i="3"/>
  <c r="X705" i="3"/>
  <c r="AD705" i="3" s="1"/>
  <c r="AC697" i="3"/>
  <c r="Y697" i="3"/>
  <c r="X697" i="3"/>
  <c r="AD697" i="3" s="1"/>
  <c r="AA697" i="3"/>
  <c r="Z697" i="3"/>
  <c r="AE697" i="3" s="1"/>
  <c r="AC689" i="3"/>
  <c r="Y689" i="3"/>
  <c r="X689" i="3"/>
  <c r="AD689" i="3" s="1"/>
  <c r="AA689" i="3"/>
  <c r="Z689" i="3"/>
  <c r="AE689" i="3" s="1"/>
  <c r="AC681" i="3"/>
  <c r="Y681" i="3"/>
  <c r="AA681" i="3"/>
  <c r="X681" i="3"/>
  <c r="AD681" i="3" s="1"/>
  <c r="Z681" i="3"/>
  <c r="AE681" i="3" s="1"/>
  <c r="AC673" i="3"/>
  <c r="Y673" i="3"/>
  <c r="X673" i="3"/>
  <c r="AD673" i="3" s="1"/>
  <c r="Z673" i="3"/>
  <c r="AE673" i="3" s="1"/>
  <c r="AA673" i="3"/>
  <c r="AC665" i="3"/>
  <c r="Y665" i="3"/>
  <c r="Z665" i="3"/>
  <c r="AE665" i="3" s="1"/>
  <c r="X665" i="3"/>
  <c r="AD665" i="3" s="1"/>
  <c r="AA665" i="3"/>
  <c r="AC657" i="3"/>
  <c r="AA657" i="3"/>
  <c r="Y657" i="3"/>
  <c r="X657" i="3"/>
  <c r="AD657" i="3" s="1"/>
  <c r="Z657" i="3"/>
  <c r="AE657" i="3" s="1"/>
  <c r="AC649" i="3"/>
  <c r="Y649" i="3"/>
  <c r="X649" i="3"/>
  <c r="AD649" i="3" s="1"/>
  <c r="Z649" i="3"/>
  <c r="AE649" i="3" s="1"/>
  <c r="AA649" i="3"/>
  <c r="AC641" i="3"/>
  <c r="Z641" i="3"/>
  <c r="AE641" i="3" s="1"/>
  <c r="Y641" i="3"/>
  <c r="X641" i="3"/>
  <c r="AD641" i="3" s="1"/>
  <c r="AA641" i="3"/>
  <c r="AC633" i="3"/>
  <c r="Y633" i="3"/>
  <c r="X633" i="3"/>
  <c r="AD633" i="3" s="1"/>
  <c r="Z633" i="3"/>
  <c r="AE633" i="3" s="1"/>
  <c r="AA633" i="3"/>
  <c r="AC625" i="3"/>
  <c r="Y625" i="3"/>
  <c r="X625" i="3"/>
  <c r="AD625" i="3" s="1"/>
  <c r="AA625" i="3"/>
  <c r="Z625" i="3"/>
  <c r="AE625" i="3" s="1"/>
  <c r="AC617" i="3"/>
  <c r="Y617" i="3"/>
  <c r="AA617" i="3"/>
  <c r="Z617" i="3"/>
  <c r="AE617" i="3" s="1"/>
  <c r="X617" i="3"/>
  <c r="AD617" i="3" s="1"/>
  <c r="AC609" i="3"/>
  <c r="Y609" i="3"/>
  <c r="X609" i="3"/>
  <c r="AD609" i="3" s="1"/>
  <c r="AA609" i="3"/>
  <c r="Z609" i="3"/>
  <c r="AE609" i="3" s="1"/>
  <c r="AC601" i="3"/>
  <c r="Y601" i="3"/>
  <c r="Z601" i="3"/>
  <c r="AE601" i="3" s="1"/>
  <c r="X601" i="3"/>
  <c r="AD601" i="3" s="1"/>
  <c r="AA601" i="3"/>
  <c r="AC593" i="3"/>
  <c r="AA593" i="3"/>
  <c r="Y593" i="3"/>
  <c r="Z593" i="3"/>
  <c r="AE593" i="3" s="1"/>
  <c r="X593" i="3"/>
  <c r="AD593" i="3" s="1"/>
  <c r="AC585" i="3"/>
  <c r="Y585" i="3"/>
  <c r="X585" i="3"/>
  <c r="AD585" i="3" s="1"/>
  <c r="Z585" i="3"/>
  <c r="AE585" i="3" s="1"/>
  <c r="AA585" i="3"/>
  <c r="AC577" i="3"/>
  <c r="Z577" i="3"/>
  <c r="AE577" i="3" s="1"/>
  <c r="Y577" i="3"/>
  <c r="X577" i="3"/>
  <c r="AD577" i="3" s="1"/>
  <c r="AA577" i="3"/>
  <c r="AC569" i="3"/>
  <c r="Y569" i="3"/>
  <c r="AA569" i="3"/>
  <c r="Z569" i="3"/>
  <c r="AE569" i="3" s="1"/>
  <c r="X569" i="3"/>
  <c r="AD569" i="3" s="1"/>
  <c r="AC561" i="3"/>
  <c r="Y561" i="3"/>
  <c r="X561" i="3"/>
  <c r="AD561" i="3" s="1"/>
  <c r="AA561" i="3"/>
  <c r="Z561" i="3"/>
  <c r="AE561" i="3" s="1"/>
  <c r="AC553" i="3"/>
  <c r="Y553" i="3"/>
  <c r="AA553" i="3"/>
  <c r="X553" i="3"/>
  <c r="AD553" i="3" s="1"/>
  <c r="Z553" i="3"/>
  <c r="AE553" i="3" s="1"/>
  <c r="AC545" i="3"/>
  <c r="Y545" i="3"/>
  <c r="Z545" i="3"/>
  <c r="AE545" i="3" s="1"/>
  <c r="AA545" i="3"/>
  <c r="X545" i="3"/>
  <c r="AD545" i="3" s="1"/>
  <c r="AC537" i="3"/>
  <c r="Y537" i="3"/>
  <c r="Z537" i="3"/>
  <c r="AE537" i="3" s="1"/>
  <c r="X537" i="3"/>
  <c r="AD537" i="3" s="1"/>
  <c r="AA537" i="3"/>
  <c r="AC529" i="3"/>
  <c r="AA529" i="3"/>
  <c r="Y529" i="3"/>
  <c r="X529" i="3"/>
  <c r="AD529" i="3" s="1"/>
  <c r="Z529" i="3"/>
  <c r="AE529" i="3" s="1"/>
  <c r="AC521" i="3"/>
  <c r="Y521" i="3"/>
  <c r="Z521" i="3"/>
  <c r="AE521" i="3" s="1"/>
  <c r="AA521" i="3"/>
  <c r="X521" i="3"/>
  <c r="AD521" i="3" s="1"/>
  <c r="AC513" i="3"/>
  <c r="Z513" i="3"/>
  <c r="AE513" i="3" s="1"/>
  <c r="Y513" i="3"/>
  <c r="X513" i="3"/>
  <c r="AD513" i="3" s="1"/>
  <c r="AA513" i="3"/>
  <c r="AC505" i="3"/>
  <c r="Y505" i="3"/>
  <c r="X505" i="3"/>
  <c r="AD505" i="3" s="1"/>
  <c r="AA505" i="3"/>
  <c r="Z505" i="3"/>
  <c r="AE505" i="3" s="1"/>
  <c r="AC497" i="3"/>
  <c r="Y497" i="3"/>
  <c r="AA497" i="3"/>
  <c r="Z497" i="3"/>
  <c r="AE497" i="3" s="1"/>
  <c r="X497" i="3"/>
  <c r="AD497" i="3" s="1"/>
  <c r="AC489" i="3"/>
  <c r="Y489" i="3"/>
  <c r="AA489" i="3"/>
  <c r="X489" i="3"/>
  <c r="AD489" i="3" s="1"/>
  <c r="Z489" i="3"/>
  <c r="AE489" i="3" s="1"/>
  <c r="AC481" i="3"/>
  <c r="Y481" i="3"/>
  <c r="X481" i="3"/>
  <c r="AD481" i="3" s="1"/>
  <c r="Z481" i="3"/>
  <c r="AE481" i="3" s="1"/>
  <c r="AA481" i="3"/>
  <c r="AC473" i="3"/>
  <c r="Y473" i="3"/>
  <c r="Z473" i="3"/>
  <c r="AE473" i="3" s="1"/>
  <c r="AA473" i="3"/>
  <c r="X473" i="3"/>
  <c r="AD473" i="3" s="1"/>
  <c r="AC465" i="3"/>
  <c r="AA465" i="3"/>
  <c r="Y465" i="3"/>
  <c r="X465" i="3"/>
  <c r="AD465" i="3" s="1"/>
  <c r="Z465" i="3"/>
  <c r="AE465" i="3" s="1"/>
  <c r="AC457" i="3"/>
  <c r="Y457" i="3"/>
  <c r="X457" i="3"/>
  <c r="AD457" i="3" s="1"/>
  <c r="Z457" i="3"/>
  <c r="AE457" i="3" s="1"/>
  <c r="AA457" i="3"/>
  <c r="AC449" i="3"/>
  <c r="Z449" i="3"/>
  <c r="AE449" i="3" s="1"/>
  <c r="Y449" i="3"/>
  <c r="AA449" i="3"/>
  <c r="X449" i="3"/>
  <c r="AD449" i="3" s="1"/>
  <c r="AC441" i="3"/>
  <c r="Y441" i="3"/>
  <c r="X441" i="3"/>
  <c r="AD441" i="3" s="1"/>
  <c r="AA441" i="3"/>
  <c r="Z441" i="3"/>
  <c r="AE441" i="3" s="1"/>
  <c r="AC433" i="3"/>
  <c r="Y433" i="3"/>
  <c r="X433" i="3"/>
  <c r="AD433" i="3" s="1"/>
  <c r="AA433" i="3"/>
  <c r="Z433" i="3"/>
  <c r="AE433" i="3" s="1"/>
  <c r="AC425" i="3"/>
  <c r="Y425" i="3"/>
  <c r="AA425" i="3"/>
  <c r="X425" i="3"/>
  <c r="AD425" i="3" s="1"/>
  <c r="Z425" i="3"/>
  <c r="AE425" i="3" s="1"/>
  <c r="AC417" i="3"/>
  <c r="Y417" i="3"/>
  <c r="X417" i="3"/>
  <c r="AD417" i="3" s="1"/>
  <c r="Z417" i="3"/>
  <c r="AE417" i="3" s="1"/>
  <c r="AA417" i="3"/>
  <c r="AC409" i="3"/>
  <c r="Y409" i="3"/>
  <c r="Z409" i="3"/>
  <c r="AE409" i="3" s="1"/>
  <c r="X409" i="3"/>
  <c r="AD409" i="3" s="1"/>
  <c r="AA409" i="3"/>
  <c r="AC401" i="3"/>
  <c r="AA401" i="3"/>
  <c r="Y401" i="3"/>
  <c r="X401" i="3"/>
  <c r="AD401" i="3" s="1"/>
  <c r="Z401" i="3"/>
  <c r="AE401" i="3" s="1"/>
  <c r="AC393" i="3"/>
  <c r="Y393" i="3"/>
  <c r="X393" i="3"/>
  <c r="AD393" i="3" s="1"/>
  <c r="Z393" i="3"/>
  <c r="AE393" i="3" s="1"/>
  <c r="AA393" i="3"/>
  <c r="AC385" i="3"/>
  <c r="Z385" i="3"/>
  <c r="AE385" i="3" s="1"/>
  <c r="Y385" i="3"/>
  <c r="X385" i="3"/>
  <c r="AD385" i="3" s="1"/>
  <c r="AA385" i="3"/>
  <c r="AC377" i="3"/>
  <c r="Y377" i="3"/>
  <c r="X377" i="3"/>
  <c r="AD377" i="3" s="1"/>
  <c r="AA377" i="3"/>
  <c r="Z377" i="3"/>
  <c r="AE377" i="3" s="1"/>
  <c r="AC369" i="3"/>
  <c r="Y369" i="3"/>
  <c r="X369" i="3"/>
  <c r="AD369" i="3" s="1"/>
  <c r="AA369" i="3"/>
  <c r="Z369" i="3"/>
  <c r="AE369" i="3" s="1"/>
  <c r="AC361" i="3"/>
  <c r="Y361" i="3"/>
  <c r="AA361" i="3"/>
  <c r="Z361" i="3"/>
  <c r="AE361" i="3" s="1"/>
  <c r="X361" i="3"/>
  <c r="AD361" i="3" s="1"/>
  <c r="AC353" i="3"/>
  <c r="Y353" i="3"/>
  <c r="X353" i="3"/>
  <c r="AD353" i="3" s="1"/>
  <c r="Z353" i="3"/>
  <c r="AE353" i="3" s="1"/>
  <c r="AA353" i="3"/>
  <c r="AC345" i="3"/>
  <c r="Y345" i="3"/>
  <c r="Z345" i="3"/>
  <c r="AE345" i="3" s="1"/>
  <c r="AA345" i="3"/>
  <c r="X345" i="3"/>
  <c r="AD345" i="3" s="1"/>
  <c r="AC337" i="3"/>
  <c r="AA337" i="3"/>
  <c r="Y337" i="3"/>
  <c r="Z337" i="3"/>
  <c r="AE337" i="3" s="1"/>
  <c r="X337" i="3"/>
  <c r="AD337" i="3" s="1"/>
  <c r="AC329" i="3"/>
  <c r="Y329" i="3"/>
  <c r="X329" i="3"/>
  <c r="AD329" i="3" s="1"/>
  <c r="Z329" i="3"/>
  <c r="AE329" i="3" s="1"/>
  <c r="AA329" i="3"/>
  <c r="AC321" i="3"/>
  <c r="Z321" i="3"/>
  <c r="AE321" i="3" s="1"/>
  <c r="Y321" i="3"/>
  <c r="AA321" i="3"/>
  <c r="X321" i="3"/>
  <c r="AD321" i="3" s="1"/>
  <c r="AC313" i="3"/>
  <c r="Y313" i="3"/>
  <c r="AA313" i="3"/>
  <c r="Z313" i="3"/>
  <c r="AE313" i="3" s="1"/>
  <c r="X313" i="3"/>
  <c r="AD313" i="3" s="1"/>
  <c r="AC305" i="3"/>
  <c r="Y305" i="3"/>
  <c r="X305" i="3"/>
  <c r="AD305" i="3" s="1"/>
  <c r="AA305" i="3"/>
  <c r="Z305" i="3"/>
  <c r="AE305" i="3" s="1"/>
  <c r="AC297" i="3"/>
  <c r="Y297" i="3"/>
  <c r="AA297" i="3"/>
  <c r="X297" i="3"/>
  <c r="AD297" i="3" s="1"/>
  <c r="Z297" i="3"/>
  <c r="AE297" i="3" s="1"/>
  <c r="AC289" i="3"/>
  <c r="Y289" i="3"/>
  <c r="Z289" i="3"/>
  <c r="AE289" i="3" s="1"/>
  <c r="X289" i="3"/>
  <c r="AD289" i="3" s="1"/>
  <c r="AA289" i="3"/>
  <c r="AC281" i="3"/>
  <c r="Y281" i="3"/>
  <c r="Z281" i="3"/>
  <c r="AE281" i="3" s="1"/>
  <c r="AA281" i="3"/>
  <c r="X281" i="3"/>
  <c r="AD281" i="3" s="1"/>
  <c r="AC273" i="3"/>
  <c r="AA273" i="3"/>
  <c r="Y273" i="3"/>
  <c r="X273" i="3"/>
  <c r="AD273" i="3" s="1"/>
  <c r="Z273" i="3"/>
  <c r="AE273" i="3" s="1"/>
  <c r="AC932" i="3"/>
  <c r="Z932" i="3"/>
  <c r="AE932" i="3" s="1"/>
  <c r="X932" i="3"/>
  <c r="AD932" i="3" s="1"/>
  <c r="AA932" i="3"/>
  <c r="Y932" i="3"/>
  <c r="AC916" i="3"/>
  <c r="Z916" i="3"/>
  <c r="AE916" i="3" s="1"/>
  <c r="Y916" i="3"/>
  <c r="AA916" i="3"/>
  <c r="X916" i="3"/>
  <c r="AD916" i="3" s="1"/>
  <c r="AC876" i="3"/>
  <c r="Z876" i="3"/>
  <c r="AE876" i="3" s="1"/>
  <c r="AA876" i="3"/>
  <c r="X876" i="3"/>
  <c r="AD876" i="3" s="1"/>
  <c r="Y876" i="3"/>
  <c r="AC820" i="3"/>
  <c r="Z820" i="3"/>
  <c r="AE820" i="3" s="1"/>
  <c r="AA820" i="3"/>
  <c r="Y820" i="3"/>
  <c r="X820" i="3"/>
  <c r="AD820" i="3" s="1"/>
  <c r="AC804" i="3"/>
  <c r="Z804" i="3"/>
  <c r="AE804" i="3" s="1"/>
  <c r="AA804" i="3"/>
  <c r="X804" i="3"/>
  <c r="AD804" i="3" s="1"/>
  <c r="Y804" i="3"/>
  <c r="AC914" i="3"/>
  <c r="X914" i="3"/>
  <c r="AD914" i="3" s="1"/>
  <c r="Z914" i="3"/>
  <c r="AE914" i="3" s="1"/>
  <c r="Y914" i="3"/>
  <c r="AA914" i="3"/>
  <c r="AC906" i="3"/>
  <c r="Z906" i="3"/>
  <c r="AE906" i="3" s="1"/>
  <c r="Y906" i="3"/>
  <c r="AA906" i="3"/>
  <c r="X906" i="3"/>
  <c r="AD906" i="3" s="1"/>
  <c r="AC794" i="3"/>
  <c r="AA794" i="3"/>
  <c r="Z794" i="3"/>
  <c r="AE794" i="3" s="1"/>
  <c r="Y794" i="3"/>
  <c r="X794" i="3"/>
  <c r="AD794" i="3" s="1"/>
  <c r="AC786" i="3"/>
  <c r="Z786" i="3"/>
  <c r="AE786" i="3" s="1"/>
  <c r="AA786" i="3"/>
  <c r="Y786" i="3"/>
  <c r="X786" i="3"/>
  <c r="AD786" i="3" s="1"/>
  <c r="AC762" i="3"/>
  <c r="Y762" i="3"/>
  <c r="AA762" i="3"/>
  <c r="Z762" i="3"/>
  <c r="AE762" i="3" s="1"/>
  <c r="X762" i="3"/>
  <c r="AD762" i="3" s="1"/>
  <c r="AC738" i="3"/>
  <c r="Z738" i="3"/>
  <c r="AE738" i="3" s="1"/>
  <c r="AA738" i="3"/>
  <c r="Y738" i="3"/>
  <c r="X738" i="3"/>
  <c r="AD738" i="3" s="1"/>
  <c r="AC730" i="3"/>
  <c r="AA730" i="3"/>
  <c r="Z730" i="3"/>
  <c r="AE730" i="3" s="1"/>
  <c r="X730" i="3"/>
  <c r="AD730" i="3" s="1"/>
  <c r="Y730" i="3"/>
  <c r="AC674" i="3"/>
  <c r="Z674" i="3"/>
  <c r="AE674" i="3" s="1"/>
  <c r="AA674" i="3"/>
  <c r="Y674" i="3"/>
  <c r="X674" i="3"/>
  <c r="AD674" i="3" s="1"/>
  <c r="AC944" i="3"/>
  <c r="Z944" i="3"/>
  <c r="AE944" i="3" s="1"/>
  <c r="Y944" i="3"/>
  <c r="AA944" i="3"/>
  <c r="X944" i="3"/>
  <c r="AD944" i="3" s="1"/>
  <c r="AC936" i="3"/>
  <c r="AA936" i="3"/>
  <c r="Y936" i="3"/>
  <c r="Z936" i="3"/>
  <c r="AE936" i="3" s="1"/>
  <c r="X936" i="3"/>
  <c r="AD936" i="3" s="1"/>
  <c r="AC928" i="3"/>
  <c r="AA928" i="3"/>
  <c r="Z928" i="3"/>
  <c r="AE928" i="3" s="1"/>
  <c r="X928" i="3"/>
  <c r="AD928" i="3" s="1"/>
  <c r="Y928" i="3"/>
  <c r="AC920" i="3"/>
  <c r="Z920" i="3"/>
  <c r="AE920" i="3" s="1"/>
  <c r="Y920" i="3"/>
  <c r="X920" i="3"/>
  <c r="AD920" i="3" s="1"/>
  <c r="AA920" i="3"/>
  <c r="AC912" i="3"/>
  <c r="Z912" i="3"/>
  <c r="AE912" i="3" s="1"/>
  <c r="AA912" i="3"/>
  <c r="X912" i="3"/>
  <c r="AD912" i="3" s="1"/>
  <c r="Y912" i="3"/>
  <c r="AC904" i="3"/>
  <c r="AA904" i="3"/>
  <c r="Z904" i="3"/>
  <c r="AE904" i="3" s="1"/>
  <c r="X904" i="3"/>
  <c r="AD904" i="3" s="1"/>
  <c r="Y904" i="3"/>
  <c r="AC896" i="3"/>
  <c r="Z896" i="3"/>
  <c r="AE896" i="3" s="1"/>
  <c r="Y896" i="3"/>
  <c r="AA896" i="3"/>
  <c r="X896" i="3"/>
  <c r="AD896" i="3" s="1"/>
  <c r="AC888" i="3"/>
  <c r="Z888" i="3"/>
  <c r="AE888" i="3" s="1"/>
  <c r="AA888" i="3"/>
  <c r="Y888" i="3"/>
  <c r="X888" i="3"/>
  <c r="AD888" i="3" s="1"/>
  <c r="AC880" i="3"/>
  <c r="Y880" i="3"/>
  <c r="AA880" i="3"/>
  <c r="Z880" i="3"/>
  <c r="AE880" i="3" s="1"/>
  <c r="X880" i="3"/>
  <c r="AD880" i="3" s="1"/>
  <c r="AC872" i="3"/>
  <c r="AA872" i="3"/>
  <c r="Z872" i="3"/>
  <c r="AE872" i="3" s="1"/>
  <c r="X872" i="3"/>
  <c r="AD872" i="3" s="1"/>
  <c r="Y872" i="3"/>
  <c r="AC864" i="3"/>
  <c r="AA864" i="3"/>
  <c r="Y864" i="3"/>
  <c r="X864" i="3"/>
  <c r="AD864" i="3" s="1"/>
  <c r="Z864" i="3"/>
  <c r="AE864" i="3" s="1"/>
  <c r="AC856" i="3"/>
  <c r="Z856" i="3"/>
  <c r="AE856" i="3" s="1"/>
  <c r="AA856" i="3"/>
  <c r="Y856" i="3"/>
  <c r="X856" i="3"/>
  <c r="AD856" i="3" s="1"/>
  <c r="AC848" i="3"/>
  <c r="Z848" i="3"/>
  <c r="AE848" i="3" s="1"/>
  <c r="AA848" i="3"/>
  <c r="Y848" i="3"/>
  <c r="X848" i="3"/>
  <c r="AD848" i="3" s="1"/>
  <c r="AC840" i="3"/>
  <c r="AA840" i="3"/>
  <c r="Y840" i="3"/>
  <c r="Z840" i="3"/>
  <c r="AE840" i="3" s="1"/>
  <c r="X840" i="3"/>
  <c r="AD840" i="3" s="1"/>
  <c r="AC832" i="3"/>
  <c r="Y832" i="3"/>
  <c r="Z832" i="3"/>
  <c r="AE832" i="3" s="1"/>
  <c r="AA832" i="3"/>
  <c r="X832" i="3"/>
  <c r="AD832" i="3" s="1"/>
  <c r="AC824" i="3"/>
  <c r="Z824" i="3"/>
  <c r="AE824" i="3" s="1"/>
  <c r="Y824" i="3"/>
  <c r="AA824" i="3"/>
  <c r="X824" i="3"/>
  <c r="AD824" i="3" s="1"/>
  <c r="AC816" i="3"/>
  <c r="Y816" i="3"/>
  <c r="Z816" i="3"/>
  <c r="AE816" i="3" s="1"/>
  <c r="AA816" i="3"/>
  <c r="X816" i="3"/>
  <c r="AD816" i="3" s="1"/>
  <c r="AC808" i="3"/>
  <c r="AA808" i="3"/>
  <c r="Z808" i="3"/>
  <c r="AE808" i="3" s="1"/>
  <c r="Y808" i="3"/>
  <c r="X808" i="3"/>
  <c r="AD808" i="3" s="1"/>
  <c r="AC800" i="3"/>
  <c r="AA800" i="3"/>
  <c r="Z800" i="3"/>
  <c r="AE800" i="3" s="1"/>
  <c r="X800" i="3"/>
  <c r="AD800" i="3" s="1"/>
  <c r="Y800" i="3"/>
  <c r="AC792" i="3"/>
  <c r="Y792" i="3"/>
  <c r="Z792" i="3"/>
  <c r="AE792" i="3" s="1"/>
  <c r="X792" i="3"/>
  <c r="AD792" i="3" s="1"/>
  <c r="AA792" i="3"/>
  <c r="AC784" i="3"/>
  <c r="Z784" i="3"/>
  <c r="AE784" i="3" s="1"/>
  <c r="AA784" i="3"/>
  <c r="Y784" i="3"/>
  <c r="X784" i="3"/>
  <c r="AD784" i="3" s="1"/>
  <c r="AC776" i="3"/>
  <c r="AA776" i="3"/>
  <c r="Z776" i="3"/>
  <c r="AE776" i="3" s="1"/>
  <c r="X776" i="3"/>
  <c r="AD776" i="3" s="1"/>
  <c r="Y776" i="3"/>
  <c r="AC768" i="3"/>
  <c r="Y768" i="3"/>
  <c r="X768" i="3"/>
  <c r="AD768" i="3" s="1"/>
  <c r="AA768" i="3"/>
  <c r="Z768" i="3"/>
  <c r="AE768" i="3" s="1"/>
  <c r="AC760" i="3"/>
  <c r="Z760" i="3"/>
  <c r="AE760" i="3" s="1"/>
  <c r="Y760" i="3"/>
  <c r="AA760" i="3"/>
  <c r="X760" i="3"/>
  <c r="AD760" i="3" s="1"/>
  <c r="AC752" i="3"/>
  <c r="Y752" i="3"/>
  <c r="AA752" i="3"/>
  <c r="Z752" i="3"/>
  <c r="AE752" i="3" s="1"/>
  <c r="X752" i="3"/>
  <c r="AD752" i="3" s="1"/>
  <c r="AC744" i="3"/>
  <c r="AA744" i="3"/>
  <c r="Z744" i="3"/>
  <c r="AE744" i="3" s="1"/>
  <c r="X744" i="3"/>
  <c r="AD744" i="3" s="1"/>
  <c r="Y744" i="3"/>
  <c r="AC736" i="3"/>
  <c r="AA736" i="3"/>
  <c r="Y736" i="3"/>
  <c r="X736" i="3"/>
  <c r="AD736" i="3" s="1"/>
  <c r="Z736" i="3"/>
  <c r="AE736" i="3" s="1"/>
  <c r="AC728" i="3"/>
  <c r="Z728" i="3"/>
  <c r="AE728" i="3" s="1"/>
  <c r="AA728" i="3"/>
  <c r="Y728" i="3"/>
  <c r="X728" i="3"/>
  <c r="AD728" i="3" s="1"/>
  <c r="AC720" i="3"/>
  <c r="Z720" i="3"/>
  <c r="AE720" i="3" s="1"/>
  <c r="AA720" i="3"/>
  <c r="Y720" i="3"/>
  <c r="X720" i="3"/>
  <c r="AD720" i="3" s="1"/>
  <c r="AC712" i="3"/>
  <c r="AA712" i="3"/>
  <c r="Y712" i="3"/>
  <c r="Z712" i="3"/>
  <c r="AE712" i="3" s="1"/>
  <c r="X712" i="3"/>
  <c r="AD712" i="3" s="1"/>
  <c r="AC704" i="3"/>
  <c r="Z704" i="3"/>
  <c r="AE704" i="3" s="1"/>
  <c r="AA704" i="3"/>
  <c r="Y704" i="3"/>
  <c r="X704" i="3"/>
  <c r="AD704" i="3" s="1"/>
  <c r="AC696" i="3"/>
  <c r="Z696" i="3"/>
  <c r="AE696" i="3" s="1"/>
  <c r="Y696" i="3"/>
  <c r="AA696" i="3"/>
  <c r="X696" i="3"/>
  <c r="AD696" i="3" s="1"/>
  <c r="AC688" i="3"/>
  <c r="Y688" i="3"/>
  <c r="Z688" i="3"/>
  <c r="AE688" i="3" s="1"/>
  <c r="AA688" i="3"/>
  <c r="X688" i="3"/>
  <c r="AD688" i="3" s="1"/>
  <c r="AC680" i="3"/>
  <c r="AA680" i="3"/>
  <c r="Z680" i="3"/>
  <c r="AE680" i="3" s="1"/>
  <c r="Y680" i="3"/>
  <c r="X680" i="3"/>
  <c r="AD680" i="3" s="1"/>
  <c r="AC672" i="3"/>
  <c r="AA672" i="3"/>
  <c r="Z672" i="3"/>
  <c r="AE672" i="3" s="1"/>
  <c r="X672" i="3"/>
  <c r="AD672" i="3" s="1"/>
  <c r="Y672" i="3"/>
  <c r="AC664" i="3"/>
  <c r="Z664" i="3"/>
  <c r="AE664" i="3" s="1"/>
  <c r="Y664" i="3"/>
  <c r="X664" i="3"/>
  <c r="AD664" i="3" s="1"/>
  <c r="AA664" i="3"/>
  <c r="AC656" i="3"/>
  <c r="Z656" i="3"/>
  <c r="AE656" i="3" s="1"/>
  <c r="AA656" i="3"/>
  <c r="Y656" i="3"/>
  <c r="X656" i="3"/>
  <c r="AD656" i="3" s="1"/>
  <c r="AC648" i="3"/>
  <c r="AA648" i="3"/>
  <c r="Z648" i="3"/>
  <c r="AE648" i="3" s="1"/>
  <c r="X648" i="3"/>
  <c r="AD648" i="3" s="1"/>
  <c r="Y648" i="3"/>
  <c r="AC640" i="3"/>
  <c r="Z640" i="3"/>
  <c r="AE640" i="3" s="1"/>
  <c r="Y640" i="3"/>
  <c r="AA640" i="3"/>
  <c r="X640" i="3"/>
  <c r="AD640" i="3" s="1"/>
  <c r="AC632" i="3"/>
  <c r="Z632" i="3"/>
  <c r="AE632" i="3" s="1"/>
  <c r="AA632" i="3"/>
  <c r="Y632" i="3"/>
  <c r="X632" i="3"/>
  <c r="AD632" i="3" s="1"/>
  <c r="AC624" i="3"/>
  <c r="Y624" i="3"/>
  <c r="AA624" i="3"/>
  <c r="Z624" i="3"/>
  <c r="AE624" i="3" s="1"/>
  <c r="X624" i="3"/>
  <c r="AD624" i="3" s="1"/>
  <c r="AC616" i="3"/>
  <c r="AA616" i="3"/>
  <c r="Z616" i="3"/>
  <c r="AE616" i="3" s="1"/>
  <c r="X616" i="3"/>
  <c r="AD616" i="3" s="1"/>
  <c r="Y616" i="3"/>
  <c r="AC608" i="3"/>
  <c r="AA608" i="3"/>
  <c r="X608" i="3"/>
  <c r="AD608" i="3" s="1"/>
  <c r="Y608" i="3"/>
  <c r="Z608" i="3"/>
  <c r="AE608" i="3" s="1"/>
  <c r="AC600" i="3"/>
  <c r="Y600" i="3"/>
  <c r="X600" i="3"/>
  <c r="AD600" i="3" s="1"/>
  <c r="Z600" i="3"/>
  <c r="AE600" i="3" s="1"/>
  <c r="AA600" i="3"/>
  <c r="AC592" i="3"/>
  <c r="Z592" i="3"/>
  <c r="AE592" i="3" s="1"/>
  <c r="Y592" i="3"/>
  <c r="AA592" i="3"/>
  <c r="X592" i="3"/>
  <c r="AD592" i="3" s="1"/>
  <c r="AC584" i="3"/>
  <c r="AA584" i="3"/>
  <c r="X584" i="3"/>
  <c r="AD584" i="3" s="1"/>
  <c r="Y584" i="3"/>
  <c r="Z584" i="3"/>
  <c r="AE584" i="3" s="1"/>
  <c r="AC576" i="3"/>
  <c r="X576" i="3"/>
  <c r="AD576" i="3" s="1"/>
  <c r="Z576" i="3"/>
  <c r="AE576" i="3" s="1"/>
  <c r="AA576" i="3"/>
  <c r="Y576" i="3"/>
  <c r="AC568" i="3"/>
  <c r="Z568" i="3"/>
  <c r="AE568" i="3" s="1"/>
  <c r="AA568" i="3"/>
  <c r="Y568" i="3"/>
  <c r="X568" i="3"/>
  <c r="AD568" i="3" s="1"/>
  <c r="AC560" i="3"/>
  <c r="Y560" i="3"/>
  <c r="X560" i="3"/>
  <c r="AD560" i="3" s="1"/>
  <c r="AA560" i="3"/>
  <c r="Z560" i="3"/>
  <c r="AE560" i="3" s="1"/>
  <c r="AC552" i="3"/>
  <c r="X552" i="3"/>
  <c r="AD552" i="3" s="1"/>
  <c r="AA552" i="3"/>
  <c r="Z552" i="3"/>
  <c r="AE552" i="3" s="1"/>
  <c r="Y552" i="3"/>
  <c r="AC544" i="3"/>
  <c r="AA544" i="3"/>
  <c r="Z544" i="3"/>
  <c r="AE544" i="3" s="1"/>
  <c r="X544" i="3"/>
  <c r="AD544" i="3" s="1"/>
  <c r="Y544" i="3"/>
  <c r="AC536" i="3"/>
  <c r="Y536" i="3"/>
  <c r="X536" i="3"/>
  <c r="AD536" i="3" s="1"/>
  <c r="AA536" i="3"/>
  <c r="Z536" i="3"/>
  <c r="AE536" i="3" s="1"/>
  <c r="AC528" i="3"/>
  <c r="Z528" i="3"/>
  <c r="AE528" i="3" s="1"/>
  <c r="Y528" i="3"/>
  <c r="X528" i="3"/>
  <c r="AD528" i="3" s="1"/>
  <c r="AA528" i="3"/>
  <c r="AC520" i="3"/>
  <c r="AA520" i="3"/>
  <c r="Z520" i="3"/>
  <c r="AE520" i="3" s="1"/>
  <c r="X520" i="3"/>
  <c r="AD520" i="3" s="1"/>
  <c r="Y520" i="3"/>
  <c r="AC512" i="3"/>
  <c r="X512" i="3"/>
  <c r="AD512" i="3" s="1"/>
  <c r="AA512" i="3"/>
  <c r="Y512" i="3"/>
  <c r="Z512" i="3"/>
  <c r="AE512" i="3" s="1"/>
  <c r="AC504" i="3"/>
  <c r="Z504" i="3"/>
  <c r="AE504" i="3" s="1"/>
  <c r="Y504" i="3"/>
  <c r="X504" i="3"/>
  <c r="AD504" i="3" s="1"/>
  <c r="AA504" i="3"/>
  <c r="AC496" i="3"/>
  <c r="Y496" i="3"/>
  <c r="AA496" i="3"/>
  <c r="Z496" i="3"/>
  <c r="AE496" i="3" s="1"/>
  <c r="X496" i="3"/>
  <c r="AD496" i="3" s="1"/>
  <c r="AC488" i="3"/>
  <c r="X488" i="3"/>
  <c r="AD488" i="3" s="1"/>
  <c r="AA488" i="3"/>
  <c r="Z488" i="3"/>
  <c r="AE488" i="3" s="1"/>
  <c r="Y488" i="3"/>
  <c r="AC480" i="3"/>
  <c r="AA480" i="3"/>
  <c r="X480" i="3"/>
  <c r="AD480" i="3" s="1"/>
  <c r="Y480" i="3"/>
  <c r="Z480" i="3"/>
  <c r="AE480" i="3" s="1"/>
  <c r="AC472" i="3"/>
  <c r="Z472" i="3"/>
  <c r="AE472" i="3" s="1"/>
  <c r="AA472" i="3"/>
  <c r="Y472" i="3"/>
  <c r="X472" i="3"/>
  <c r="AD472" i="3" s="1"/>
  <c r="AC464" i="3"/>
  <c r="Z464" i="3"/>
  <c r="AE464" i="3" s="1"/>
  <c r="Y464" i="3"/>
  <c r="X464" i="3"/>
  <c r="AD464" i="3" s="1"/>
  <c r="AA464" i="3"/>
  <c r="AC456" i="3"/>
  <c r="AA456" i="3"/>
  <c r="X456" i="3"/>
  <c r="AD456" i="3" s="1"/>
  <c r="Y456" i="3"/>
  <c r="Z456" i="3"/>
  <c r="AE456" i="3" s="1"/>
  <c r="AC448" i="3"/>
  <c r="Z448" i="3"/>
  <c r="AE448" i="3" s="1"/>
  <c r="AA448" i="3"/>
  <c r="X448" i="3"/>
  <c r="AD448" i="3" s="1"/>
  <c r="Y448" i="3"/>
  <c r="AC440" i="3"/>
  <c r="Z440" i="3"/>
  <c r="AE440" i="3" s="1"/>
  <c r="Y440" i="3"/>
  <c r="X440" i="3"/>
  <c r="AD440" i="3" s="1"/>
  <c r="AA440" i="3"/>
  <c r="AC432" i="3"/>
  <c r="Y432" i="3"/>
  <c r="X432" i="3"/>
  <c r="AD432" i="3" s="1"/>
  <c r="Z432" i="3"/>
  <c r="AE432" i="3" s="1"/>
  <c r="AA432" i="3"/>
  <c r="AC424" i="3"/>
  <c r="AA424" i="3"/>
  <c r="Z424" i="3"/>
  <c r="AE424" i="3" s="1"/>
  <c r="X424" i="3"/>
  <c r="AD424" i="3" s="1"/>
  <c r="Y424" i="3"/>
  <c r="AC416" i="3"/>
  <c r="AA416" i="3"/>
  <c r="X416" i="3"/>
  <c r="AD416" i="3" s="1"/>
  <c r="Z416" i="3"/>
  <c r="AE416" i="3" s="1"/>
  <c r="Y416" i="3"/>
  <c r="AC408" i="3"/>
  <c r="Z408" i="3"/>
  <c r="AE408" i="3" s="1"/>
  <c r="Y408" i="3"/>
  <c r="X408" i="3"/>
  <c r="AD408" i="3" s="1"/>
  <c r="AA408" i="3"/>
  <c r="AC400" i="3"/>
  <c r="Z400" i="3"/>
  <c r="AE400" i="3" s="1"/>
  <c r="AA400" i="3"/>
  <c r="Y400" i="3"/>
  <c r="X400" i="3"/>
  <c r="AD400" i="3" s="1"/>
  <c r="AC392" i="3"/>
  <c r="AA392" i="3"/>
  <c r="X392" i="3"/>
  <c r="AD392" i="3" s="1"/>
  <c r="Z392" i="3"/>
  <c r="AE392" i="3" s="1"/>
  <c r="Y392" i="3"/>
  <c r="AC384" i="3"/>
  <c r="Z384" i="3"/>
  <c r="AE384" i="3" s="1"/>
  <c r="X384" i="3"/>
  <c r="AD384" i="3" s="1"/>
  <c r="Y384" i="3"/>
  <c r="AA384" i="3"/>
  <c r="AC376" i="3"/>
  <c r="Z376" i="3"/>
  <c r="AE376" i="3" s="1"/>
  <c r="AA376" i="3"/>
  <c r="Y376" i="3"/>
  <c r="X376" i="3"/>
  <c r="AD376" i="3" s="1"/>
  <c r="AC368" i="3"/>
  <c r="Y368" i="3"/>
  <c r="X368" i="3"/>
  <c r="AD368" i="3" s="1"/>
  <c r="AA368" i="3"/>
  <c r="Z368" i="3"/>
  <c r="AE368" i="3" s="1"/>
  <c r="AC360" i="3"/>
  <c r="AA360" i="3"/>
  <c r="Z360" i="3"/>
  <c r="AE360" i="3" s="1"/>
  <c r="X360" i="3"/>
  <c r="AD360" i="3" s="1"/>
  <c r="Y360" i="3"/>
  <c r="AC352" i="3"/>
  <c r="AA352" i="3"/>
  <c r="X352" i="3"/>
  <c r="AD352" i="3" s="1"/>
  <c r="Y352" i="3"/>
  <c r="Z352" i="3"/>
  <c r="AE352" i="3" s="1"/>
  <c r="AC344" i="3"/>
  <c r="X344" i="3"/>
  <c r="AD344" i="3" s="1"/>
  <c r="Y344" i="3"/>
  <c r="Z344" i="3"/>
  <c r="AE344" i="3" s="1"/>
  <c r="AA344" i="3"/>
  <c r="AC336" i="3"/>
  <c r="Z336" i="3"/>
  <c r="AE336" i="3" s="1"/>
  <c r="Y336" i="3"/>
  <c r="AA336" i="3"/>
  <c r="X336" i="3"/>
  <c r="AD336" i="3" s="1"/>
  <c r="AC328" i="3"/>
  <c r="AA328" i="3"/>
  <c r="Y328" i="3"/>
  <c r="X328" i="3"/>
  <c r="AD328" i="3" s="1"/>
  <c r="Z328" i="3"/>
  <c r="AE328" i="3" s="1"/>
  <c r="AC320" i="3"/>
  <c r="Z320" i="3"/>
  <c r="AE320" i="3" s="1"/>
  <c r="AA320" i="3"/>
  <c r="X320" i="3"/>
  <c r="AD320" i="3" s="1"/>
  <c r="Y320" i="3"/>
  <c r="AC312" i="3"/>
  <c r="Z312" i="3"/>
  <c r="AE312" i="3" s="1"/>
  <c r="AA312" i="3"/>
  <c r="Y312" i="3"/>
  <c r="X312" i="3"/>
  <c r="AD312" i="3" s="1"/>
  <c r="AC304" i="3"/>
  <c r="Y304" i="3"/>
  <c r="AA304" i="3"/>
  <c r="Z304" i="3"/>
  <c r="AE304" i="3" s="1"/>
  <c r="X304" i="3"/>
  <c r="AD304" i="3" s="1"/>
  <c r="AC296" i="3"/>
  <c r="X296" i="3"/>
  <c r="AD296" i="3" s="1"/>
  <c r="AA296" i="3"/>
  <c r="Z296" i="3"/>
  <c r="AE296" i="3" s="1"/>
  <c r="Y296" i="3"/>
  <c r="AC288" i="3"/>
  <c r="AA288" i="3"/>
  <c r="Z288" i="3"/>
  <c r="AE288" i="3" s="1"/>
  <c r="X288" i="3"/>
  <c r="AD288" i="3" s="1"/>
  <c r="Y288" i="3"/>
  <c r="AC280" i="3"/>
  <c r="X280" i="3"/>
  <c r="AD280" i="3" s="1"/>
  <c r="Y280" i="3"/>
  <c r="Z280" i="3"/>
  <c r="AE280" i="3" s="1"/>
  <c r="AA280" i="3"/>
  <c r="AC272" i="3"/>
  <c r="Z272" i="3"/>
  <c r="AE272" i="3" s="1"/>
  <c r="Y272" i="3"/>
  <c r="AA272" i="3"/>
  <c r="X272" i="3"/>
  <c r="AD272" i="3" s="1"/>
  <c r="AC948" i="3"/>
  <c r="Z948" i="3"/>
  <c r="AE948" i="3" s="1"/>
  <c r="AA948" i="3"/>
  <c r="Y948" i="3"/>
  <c r="X948" i="3"/>
  <c r="AD948" i="3" s="1"/>
  <c r="AC852" i="3"/>
  <c r="Z852" i="3"/>
  <c r="AE852" i="3" s="1"/>
  <c r="Y852" i="3"/>
  <c r="AA852" i="3"/>
  <c r="X852" i="3"/>
  <c r="AD852" i="3" s="1"/>
  <c r="AC828" i="3"/>
  <c r="Z828" i="3"/>
  <c r="AE828" i="3" s="1"/>
  <c r="Y828" i="3"/>
  <c r="AA828" i="3"/>
  <c r="X828" i="3"/>
  <c r="AD828" i="3" s="1"/>
  <c r="AC938" i="3"/>
  <c r="Z938" i="3"/>
  <c r="AE938" i="3" s="1"/>
  <c r="Y938" i="3"/>
  <c r="AA938" i="3"/>
  <c r="X938" i="3"/>
  <c r="AD938" i="3" s="1"/>
  <c r="AC898" i="3"/>
  <c r="AA898" i="3"/>
  <c r="Z898" i="3"/>
  <c r="AE898" i="3" s="1"/>
  <c r="Y898" i="3"/>
  <c r="X898" i="3"/>
  <c r="AD898" i="3" s="1"/>
  <c r="AC858" i="3"/>
  <c r="AA858" i="3"/>
  <c r="Z858" i="3"/>
  <c r="AE858" i="3" s="1"/>
  <c r="X858" i="3"/>
  <c r="AD858" i="3" s="1"/>
  <c r="Y858" i="3"/>
  <c r="AC818" i="3"/>
  <c r="AA818" i="3"/>
  <c r="Z818" i="3"/>
  <c r="AE818" i="3" s="1"/>
  <c r="Y818" i="3"/>
  <c r="X818" i="3"/>
  <c r="AD818" i="3" s="1"/>
  <c r="AC778" i="3"/>
  <c r="Z778" i="3"/>
  <c r="AE778" i="3" s="1"/>
  <c r="AA778" i="3"/>
  <c r="Y778" i="3"/>
  <c r="X778" i="3"/>
  <c r="AD778" i="3" s="1"/>
  <c r="AC746" i="3"/>
  <c r="Z746" i="3"/>
  <c r="AE746" i="3" s="1"/>
  <c r="AA746" i="3"/>
  <c r="X746" i="3"/>
  <c r="AD746" i="3" s="1"/>
  <c r="Y746" i="3"/>
  <c r="AC722" i="3"/>
  <c r="Z722" i="3"/>
  <c r="AE722" i="3" s="1"/>
  <c r="AA722" i="3"/>
  <c r="X722" i="3"/>
  <c r="AD722" i="3" s="1"/>
  <c r="Y722" i="3"/>
  <c r="AC698" i="3"/>
  <c r="Y698" i="3"/>
  <c r="AA698" i="3"/>
  <c r="Z698" i="3"/>
  <c r="AE698" i="3" s="1"/>
  <c r="X698" i="3"/>
  <c r="AD698" i="3" s="1"/>
  <c r="AC658" i="3"/>
  <c r="AA658" i="3"/>
  <c r="Z658" i="3"/>
  <c r="AE658" i="3" s="1"/>
  <c r="Y658" i="3"/>
  <c r="X658" i="3"/>
  <c r="AD658" i="3" s="1"/>
  <c r="AC935" i="3"/>
  <c r="AA935" i="3"/>
  <c r="Y935" i="3"/>
  <c r="Z935" i="3"/>
  <c r="AE935" i="3" s="1"/>
  <c r="X935" i="3"/>
  <c r="AD935" i="3" s="1"/>
  <c r="AC927" i="3"/>
  <c r="AA927" i="3"/>
  <c r="Z927" i="3"/>
  <c r="AE927" i="3" s="1"/>
  <c r="X927" i="3"/>
  <c r="AD927" i="3" s="1"/>
  <c r="Y927" i="3"/>
  <c r="AC919" i="3"/>
  <c r="AA919" i="3"/>
  <c r="Z919" i="3"/>
  <c r="AE919" i="3" s="1"/>
  <c r="Y919" i="3"/>
  <c r="X919" i="3"/>
  <c r="AD919" i="3" s="1"/>
  <c r="AC911" i="3"/>
  <c r="AA911" i="3"/>
  <c r="Z911" i="3"/>
  <c r="AE911" i="3" s="1"/>
  <c r="Y911" i="3"/>
  <c r="X911" i="3"/>
  <c r="AD911" i="3" s="1"/>
  <c r="AC903" i="3"/>
  <c r="AA903" i="3"/>
  <c r="Z903" i="3"/>
  <c r="AE903" i="3" s="1"/>
  <c r="Y903" i="3"/>
  <c r="X903" i="3"/>
  <c r="AD903" i="3" s="1"/>
  <c r="AC895" i="3"/>
  <c r="AA895" i="3"/>
  <c r="X895" i="3"/>
  <c r="AD895" i="3" s="1"/>
  <c r="Y895" i="3"/>
  <c r="Z895" i="3"/>
  <c r="AE895" i="3" s="1"/>
  <c r="AC887" i="3"/>
  <c r="AA887" i="3"/>
  <c r="Z887" i="3"/>
  <c r="AE887" i="3" s="1"/>
  <c r="Y887" i="3"/>
  <c r="X887" i="3"/>
  <c r="AD887" i="3" s="1"/>
  <c r="AC879" i="3"/>
  <c r="AA879" i="3"/>
  <c r="Z879" i="3"/>
  <c r="AE879" i="3" s="1"/>
  <c r="Y879" i="3"/>
  <c r="X879" i="3"/>
  <c r="AD879" i="3" s="1"/>
  <c r="AC871" i="3"/>
  <c r="AA871" i="3"/>
  <c r="Y871" i="3"/>
  <c r="Z871" i="3"/>
  <c r="AE871" i="3" s="1"/>
  <c r="X871" i="3"/>
  <c r="AD871" i="3" s="1"/>
  <c r="AC863" i="3"/>
  <c r="AA863" i="3"/>
  <c r="Z863" i="3"/>
  <c r="AE863" i="3" s="1"/>
  <c r="Y863" i="3"/>
  <c r="X863" i="3"/>
  <c r="AD863" i="3" s="1"/>
  <c r="AC855" i="3"/>
  <c r="AA855" i="3"/>
  <c r="Z855" i="3"/>
  <c r="AE855" i="3" s="1"/>
  <c r="X855" i="3"/>
  <c r="AD855" i="3" s="1"/>
  <c r="Y855" i="3"/>
  <c r="AC847" i="3"/>
  <c r="AA847" i="3"/>
  <c r="Z847" i="3"/>
  <c r="AE847" i="3" s="1"/>
  <c r="Y847" i="3"/>
  <c r="X847" i="3"/>
  <c r="AD847" i="3" s="1"/>
  <c r="AC839" i="3"/>
  <c r="AA839" i="3"/>
  <c r="Z839" i="3"/>
  <c r="AE839" i="3" s="1"/>
  <c r="Y839" i="3"/>
  <c r="X839" i="3"/>
  <c r="AD839" i="3" s="1"/>
  <c r="AC831" i="3"/>
  <c r="AA831" i="3"/>
  <c r="Z831" i="3"/>
  <c r="AE831" i="3" s="1"/>
  <c r="X831" i="3"/>
  <c r="AD831" i="3" s="1"/>
  <c r="Y831" i="3"/>
  <c r="AC823" i="3"/>
  <c r="AA823" i="3"/>
  <c r="Z823" i="3"/>
  <c r="AE823" i="3" s="1"/>
  <c r="Y823" i="3"/>
  <c r="X823" i="3"/>
  <c r="AD823" i="3" s="1"/>
  <c r="AC815" i="3"/>
  <c r="AA815" i="3"/>
  <c r="Z815" i="3"/>
  <c r="AE815" i="3" s="1"/>
  <c r="Y815" i="3"/>
  <c r="X815" i="3"/>
  <c r="AD815" i="3" s="1"/>
  <c r="AC807" i="3"/>
  <c r="AA807" i="3"/>
  <c r="Y807" i="3"/>
  <c r="Z807" i="3"/>
  <c r="AE807" i="3" s="1"/>
  <c r="X807" i="3"/>
  <c r="AD807" i="3" s="1"/>
  <c r="AC799" i="3"/>
  <c r="AA799" i="3"/>
  <c r="Z799" i="3"/>
  <c r="AE799" i="3" s="1"/>
  <c r="X799" i="3"/>
  <c r="AD799" i="3" s="1"/>
  <c r="Y799" i="3"/>
  <c r="AC791" i="3"/>
  <c r="AA791" i="3"/>
  <c r="Z791" i="3"/>
  <c r="AE791" i="3" s="1"/>
  <c r="Y791" i="3"/>
  <c r="X791" i="3"/>
  <c r="AD791" i="3" s="1"/>
  <c r="AC783" i="3"/>
  <c r="AA783" i="3"/>
  <c r="Z783" i="3"/>
  <c r="AE783" i="3" s="1"/>
  <c r="Y783" i="3"/>
  <c r="X783" i="3"/>
  <c r="AD783" i="3" s="1"/>
  <c r="AC775" i="3"/>
  <c r="AA775" i="3"/>
  <c r="Z775" i="3"/>
  <c r="AE775" i="3" s="1"/>
  <c r="Y775" i="3"/>
  <c r="X775" i="3"/>
  <c r="AD775" i="3" s="1"/>
  <c r="AC767" i="3"/>
  <c r="AA767" i="3"/>
  <c r="Y767" i="3"/>
  <c r="X767" i="3"/>
  <c r="AD767" i="3" s="1"/>
  <c r="Z767" i="3"/>
  <c r="AE767" i="3" s="1"/>
  <c r="AC759" i="3"/>
  <c r="AA759" i="3"/>
  <c r="Y759" i="3"/>
  <c r="Z759" i="3"/>
  <c r="AE759" i="3" s="1"/>
  <c r="X759" i="3"/>
  <c r="AD759" i="3" s="1"/>
  <c r="AC751" i="3"/>
  <c r="AA751" i="3"/>
  <c r="Z751" i="3"/>
  <c r="AE751" i="3" s="1"/>
  <c r="Y751" i="3"/>
  <c r="X751" i="3"/>
  <c r="AD751" i="3" s="1"/>
  <c r="AC743" i="3"/>
  <c r="AA743" i="3"/>
  <c r="Y743" i="3"/>
  <c r="Z743" i="3"/>
  <c r="AE743" i="3" s="1"/>
  <c r="X743" i="3"/>
  <c r="AD743" i="3" s="1"/>
  <c r="AC735" i="3"/>
  <c r="AA735" i="3"/>
  <c r="Z735" i="3"/>
  <c r="AE735" i="3" s="1"/>
  <c r="Y735" i="3"/>
  <c r="X735" i="3"/>
  <c r="AD735" i="3" s="1"/>
  <c r="AC727" i="3"/>
  <c r="AA727" i="3"/>
  <c r="Z727" i="3"/>
  <c r="AE727" i="3" s="1"/>
  <c r="X727" i="3"/>
  <c r="AD727" i="3" s="1"/>
  <c r="Y727" i="3"/>
  <c r="AC719" i="3"/>
  <c r="AA719" i="3"/>
  <c r="Y719" i="3"/>
  <c r="X719" i="3"/>
  <c r="AD719" i="3" s="1"/>
  <c r="Z719" i="3"/>
  <c r="AE719" i="3" s="1"/>
  <c r="AC711" i="3"/>
  <c r="AA711" i="3"/>
  <c r="Z711" i="3"/>
  <c r="AE711" i="3" s="1"/>
  <c r="Y711" i="3"/>
  <c r="X711" i="3"/>
  <c r="AD711" i="3" s="1"/>
  <c r="AC703" i="3"/>
  <c r="AA703" i="3"/>
  <c r="Z703" i="3"/>
  <c r="AE703" i="3" s="1"/>
  <c r="X703" i="3"/>
  <c r="AD703" i="3" s="1"/>
  <c r="Y703" i="3"/>
  <c r="AC695" i="3"/>
  <c r="AA695" i="3"/>
  <c r="Y695" i="3"/>
  <c r="Z695" i="3"/>
  <c r="AE695" i="3" s="1"/>
  <c r="X695" i="3"/>
  <c r="AD695" i="3" s="1"/>
  <c r="AC687" i="3"/>
  <c r="AA687" i="3"/>
  <c r="Z687" i="3"/>
  <c r="AE687" i="3" s="1"/>
  <c r="Y687" i="3"/>
  <c r="X687" i="3"/>
  <c r="AD687" i="3" s="1"/>
  <c r="AC679" i="3"/>
  <c r="AA679" i="3"/>
  <c r="Y679" i="3"/>
  <c r="Z679" i="3"/>
  <c r="AE679" i="3" s="1"/>
  <c r="X679" i="3"/>
  <c r="AD679" i="3" s="1"/>
  <c r="AC671" i="3"/>
  <c r="AA671" i="3"/>
  <c r="X671" i="3"/>
  <c r="AD671" i="3" s="1"/>
  <c r="Z671" i="3"/>
  <c r="AE671" i="3" s="1"/>
  <c r="Y671" i="3"/>
  <c r="AC663" i="3"/>
  <c r="AA663" i="3"/>
  <c r="Z663" i="3"/>
  <c r="AE663" i="3" s="1"/>
  <c r="Y663" i="3"/>
  <c r="X663" i="3"/>
  <c r="AD663" i="3" s="1"/>
  <c r="AC655" i="3"/>
  <c r="AA655" i="3"/>
  <c r="Z655" i="3"/>
  <c r="AE655" i="3" s="1"/>
  <c r="Y655" i="3"/>
  <c r="X655" i="3"/>
  <c r="AD655" i="3" s="1"/>
  <c r="AC647" i="3"/>
  <c r="AA647" i="3"/>
  <c r="Z647" i="3"/>
  <c r="AE647" i="3" s="1"/>
  <c r="Y647" i="3"/>
  <c r="X647" i="3"/>
  <c r="AD647" i="3" s="1"/>
  <c r="AC639" i="3"/>
  <c r="AA639" i="3"/>
  <c r="Y639" i="3"/>
  <c r="X639" i="3"/>
  <c r="AD639" i="3" s="1"/>
  <c r="Z639" i="3"/>
  <c r="AE639" i="3" s="1"/>
  <c r="AC631" i="3"/>
  <c r="AA631" i="3"/>
  <c r="Z631" i="3"/>
  <c r="AE631" i="3" s="1"/>
  <c r="Y631" i="3"/>
  <c r="X631" i="3"/>
  <c r="AD631" i="3" s="1"/>
  <c r="AC623" i="3"/>
  <c r="AA623" i="3"/>
  <c r="Z623" i="3"/>
  <c r="AE623" i="3" s="1"/>
  <c r="Y623" i="3"/>
  <c r="X623" i="3"/>
  <c r="AD623" i="3" s="1"/>
  <c r="AC615" i="3"/>
  <c r="AA615" i="3"/>
  <c r="Z615" i="3"/>
  <c r="AE615" i="3" s="1"/>
  <c r="X615" i="3"/>
  <c r="AD615" i="3" s="1"/>
  <c r="Y615" i="3"/>
  <c r="AC607" i="3"/>
  <c r="AA607" i="3"/>
  <c r="Z607" i="3"/>
  <c r="AE607" i="3" s="1"/>
  <c r="Y607" i="3"/>
  <c r="X607" i="3"/>
  <c r="AD607" i="3" s="1"/>
  <c r="AC599" i="3"/>
  <c r="AA599" i="3"/>
  <c r="Z599" i="3"/>
  <c r="AE599" i="3" s="1"/>
  <c r="Y599" i="3"/>
  <c r="X599" i="3"/>
  <c r="AD599" i="3" s="1"/>
  <c r="AC591" i="3"/>
  <c r="AA591" i="3"/>
  <c r="Y591" i="3"/>
  <c r="Z591" i="3"/>
  <c r="AE591" i="3" s="1"/>
  <c r="X591" i="3"/>
  <c r="AD591" i="3" s="1"/>
  <c r="AC583" i="3"/>
  <c r="AA583" i="3"/>
  <c r="Z583" i="3"/>
  <c r="AE583" i="3" s="1"/>
  <c r="X583" i="3"/>
  <c r="AD583" i="3" s="1"/>
  <c r="Y583" i="3"/>
  <c r="AC575" i="3"/>
  <c r="AA575" i="3"/>
  <c r="Z575" i="3"/>
  <c r="AE575" i="3" s="1"/>
  <c r="Y575" i="3"/>
  <c r="X575" i="3"/>
  <c r="AD575" i="3" s="1"/>
  <c r="AC567" i="3"/>
  <c r="AA567" i="3"/>
  <c r="Z567" i="3"/>
  <c r="AE567" i="3" s="1"/>
  <c r="X567" i="3"/>
  <c r="AD567" i="3" s="1"/>
  <c r="Y567" i="3"/>
  <c r="AC559" i="3"/>
  <c r="AA559" i="3"/>
  <c r="Z559" i="3"/>
  <c r="AE559" i="3" s="1"/>
  <c r="Y559" i="3"/>
  <c r="X559" i="3"/>
  <c r="AD559" i="3" s="1"/>
  <c r="AC551" i="3"/>
  <c r="AA551" i="3"/>
  <c r="Z551" i="3"/>
  <c r="AE551" i="3" s="1"/>
  <c r="X551" i="3"/>
  <c r="AD551" i="3" s="1"/>
  <c r="Y551" i="3"/>
  <c r="AC543" i="3"/>
  <c r="AA543" i="3"/>
  <c r="Z543" i="3"/>
  <c r="AE543" i="3" s="1"/>
  <c r="Y543" i="3"/>
  <c r="X543" i="3"/>
  <c r="AD543" i="3" s="1"/>
  <c r="AC535" i="3"/>
  <c r="AA535" i="3"/>
  <c r="Z535" i="3"/>
  <c r="AE535" i="3" s="1"/>
  <c r="Y535" i="3"/>
  <c r="X535" i="3"/>
  <c r="AD535" i="3" s="1"/>
  <c r="AC527" i="3"/>
  <c r="AA527" i="3"/>
  <c r="Y527" i="3"/>
  <c r="Z527" i="3"/>
  <c r="AE527" i="3" s="1"/>
  <c r="X527" i="3"/>
  <c r="AD527" i="3" s="1"/>
  <c r="AC519" i="3"/>
  <c r="AA519" i="3"/>
  <c r="Z519" i="3"/>
  <c r="AE519" i="3" s="1"/>
  <c r="Y519" i="3"/>
  <c r="X519" i="3"/>
  <c r="AD519" i="3" s="1"/>
  <c r="AC511" i="3"/>
  <c r="AA511" i="3"/>
  <c r="Y511" i="3"/>
  <c r="Z511" i="3"/>
  <c r="AE511" i="3" s="1"/>
  <c r="X511" i="3"/>
  <c r="AD511" i="3" s="1"/>
  <c r="AC503" i="3"/>
  <c r="AA503" i="3"/>
  <c r="Z503" i="3"/>
  <c r="AE503" i="3" s="1"/>
  <c r="X503" i="3"/>
  <c r="AD503" i="3" s="1"/>
  <c r="Y503" i="3"/>
  <c r="AC495" i="3"/>
  <c r="AA495" i="3"/>
  <c r="Z495" i="3"/>
  <c r="AE495" i="3" s="1"/>
  <c r="Y495" i="3"/>
  <c r="X495" i="3"/>
  <c r="AD495" i="3" s="1"/>
  <c r="AC487" i="3"/>
  <c r="AA487" i="3"/>
  <c r="X487" i="3"/>
  <c r="AD487" i="3" s="1"/>
  <c r="Z487" i="3"/>
  <c r="AE487" i="3" s="1"/>
  <c r="Y487" i="3"/>
  <c r="AC479" i="3"/>
  <c r="AA479" i="3"/>
  <c r="Z479" i="3"/>
  <c r="AE479" i="3" s="1"/>
  <c r="Y479" i="3"/>
  <c r="X479" i="3"/>
  <c r="AD479" i="3" s="1"/>
  <c r="AC471" i="3"/>
  <c r="AA471" i="3"/>
  <c r="Z471" i="3"/>
  <c r="AE471" i="3" s="1"/>
  <c r="Y471" i="3"/>
  <c r="X471" i="3"/>
  <c r="AD471" i="3" s="1"/>
  <c r="AC463" i="3"/>
  <c r="AA463" i="3"/>
  <c r="Y463" i="3"/>
  <c r="Z463" i="3"/>
  <c r="AE463" i="3" s="1"/>
  <c r="X463" i="3"/>
  <c r="AD463" i="3" s="1"/>
  <c r="AC455" i="3"/>
  <c r="AA455" i="3"/>
  <c r="Z455" i="3"/>
  <c r="AE455" i="3" s="1"/>
  <c r="Y455" i="3"/>
  <c r="X455" i="3"/>
  <c r="AD455" i="3" s="1"/>
  <c r="AC447" i="3"/>
  <c r="AA447" i="3"/>
  <c r="Z447" i="3"/>
  <c r="AE447" i="3" s="1"/>
  <c r="Y447" i="3"/>
  <c r="X447" i="3"/>
  <c r="AD447" i="3" s="1"/>
  <c r="AC439" i="3"/>
  <c r="AA439" i="3"/>
  <c r="X439" i="3"/>
  <c r="AD439" i="3" s="1"/>
  <c r="Z439" i="3"/>
  <c r="AE439" i="3" s="1"/>
  <c r="Y439" i="3"/>
  <c r="AC431" i="3"/>
  <c r="AA431" i="3"/>
  <c r="Z431" i="3"/>
  <c r="AE431" i="3" s="1"/>
  <c r="Y431" i="3"/>
  <c r="X431" i="3"/>
  <c r="AD431" i="3" s="1"/>
  <c r="AC423" i="3"/>
  <c r="AA423" i="3"/>
  <c r="Z423" i="3"/>
  <c r="AE423" i="3" s="1"/>
  <c r="X423" i="3"/>
  <c r="AD423" i="3" s="1"/>
  <c r="Y423" i="3"/>
  <c r="AC415" i="3"/>
  <c r="AA415" i="3"/>
  <c r="Y415" i="3"/>
  <c r="Z415" i="3"/>
  <c r="AE415" i="3" s="1"/>
  <c r="X415" i="3"/>
  <c r="AD415" i="3" s="1"/>
  <c r="AC407" i="3"/>
  <c r="AA407" i="3"/>
  <c r="Y407" i="3"/>
  <c r="X407" i="3"/>
  <c r="AD407" i="3" s="1"/>
  <c r="Z407" i="3"/>
  <c r="AE407" i="3" s="1"/>
  <c r="AC399" i="3"/>
  <c r="AA399" i="3"/>
  <c r="Z399" i="3"/>
  <c r="AE399" i="3" s="1"/>
  <c r="Y399" i="3"/>
  <c r="X399" i="3"/>
  <c r="AD399" i="3" s="1"/>
  <c r="AC391" i="3"/>
  <c r="AA391" i="3"/>
  <c r="Z391" i="3"/>
  <c r="AE391" i="3" s="1"/>
  <c r="Y391" i="3"/>
  <c r="X391" i="3"/>
  <c r="AD391" i="3" s="1"/>
  <c r="AC383" i="3"/>
  <c r="AA383" i="3"/>
  <c r="Y383" i="3"/>
  <c r="Z383" i="3"/>
  <c r="AE383" i="3" s="1"/>
  <c r="X383" i="3"/>
  <c r="AD383" i="3" s="1"/>
  <c r="AC375" i="3"/>
  <c r="AA375" i="3"/>
  <c r="Z375" i="3"/>
  <c r="AE375" i="3" s="1"/>
  <c r="X375" i="3"/>
  <c r="AD375" i="3" s="1"/>
  <c r="Y375" i="3"/>
  <c r="AC367" i="3"/>
  <c r="AA367" i="3"/>
  <c r="Z367" i="3"/>
  <c r="AE367" i="3" s="1"/>
  <c r="Y367" i="3"/>
  <c r="X367" i="3"/>
  <c r="AD367" i="3" s="1"/>
  <c r="AC359" i="3"/>
  <c r="AA359" i="3"/>
  <c r="Z359" i="3"/>
  <c r="AE359" i="3" s="1"/>
  <c r="X359" i="3"/>
  <c r="AD359" i="3" s="1"/>
  <c r="Y359" i="3"/>
  <c r="AC351" i="3"/>
  <c r="AA351" i="3"/>
  <c r="Z351" i="3"/>
  <c r="AE351" i="3" s="1"/>
  <c r="X351" i="3"/>
  <c r="AD351" i="3" s="1"/>
  <c r="Y351" i="3"/>
  <c r="AC343" i="3"/>
  <c r="AA343" i="3"/>
  <c r="X343" i="3"/>
  <c r="AD343" i="3" s="1"/>
  <c r="Z343" i="3"/>
  <c r="AE343" i="3" s="1"/>
  <c r="Y343" i="3"/>
  <c r="AC335" i="3"/>
  <c r="AA335" i="3"/>
  <c r="X335" i="3"/>
  <c r="AD335" i="3" s="1"/>
  <c r="Y335" i="3"/>
  <c r="Z335" i="3"/>
  <c r="AE335" i="3" s="1"/>
  <c r="AC327" i="3"/>
  <c r="AA327" i="3"/>
  <c r="Z327" i="3"/>
  <c r="AE327" i="3" s="1"/>
  <c r="Y327" i="3"/>
  <c r="X327" i="3"/>
  <c r="AD327" i="3" s="1"/>
  <c r="AC319" i="3"/>
  <c r="AA319" i="3"/>
  <c r="Z319" i="3"/>
  <c r="AE319" i="3" s="1"/>
  <c r="Y319" i="3"/>
  <c r="X319" i="3"/>
  <c r="AD319" i="3" s="1"/>
  <c r="AC311" i="3"/>
  <c r="AA311" i="3"/>
  <c r="Z311" i="3"/>
  <c r="AE311" i="3" s="1"/>
  <c r="X311" i="3"/>
  <c r="AD311" i="3" s="1"/>
  <c r="Y311" i="3"/>
  <c r="AC303" i="3"/>
  <c r="AA303" i="3"/>
  <c r="Z303" i="3"/>
  <c r="AE303" i="3" s="1"/>
  <c r="Y303" i="3"/>
  <c r="X303" i="3"/>
  <c r="AD303" i="3" s="1"/>
  <c r="AC295" i="3"/>
  <c r="AA295" i="3"/>
  <c r="Z295" i="3"/>
  <c r="AE295" i="3" s="1"/>
  <c r="Y295" i="3"/>
  <c r="X295" i="3"/>
  <c r="AD295" i="3" s="1"/>
  <c r="AC287" i="3"/>
  <c r="AA287" i="3"/>
  <c r="Z287" i="3"/>
  <c r="AE287" i="3" s="1"/>
  <c r="X287" i="3"/>
  <c r="AD287" i="3" s="1"/>
  <c r="Y287" i="3"/>
  <c r="AC279" i="3"/>
  <c r="AA279" i="3"/>
  <c r="X279" i="3"/>
  <c r="AD279" i="3" s="1"/>
  <c r="Y279" i="3"/>
  <c r="Z279" i="3"/>
  <c r="AE279" i="3" s="1"/>
  <c r="AC271" i="3"/>
  <c r="AA271" i="3"/>
  <c r="X271" i="3"/>
  <c r="AD271" i="3" s="1"/>
  <c r="Y271" i="3"/>
  <c r="Z271" i="3"/>
  <c r="AE271" i="3" s="1"/>
  <c r="AC860" i="3"/>
  <c r="Z860" i="3"/>
  <c r="AE860" i="3" s="1"/>
  <c r="AA860" i="3"/>
  <c r="Y860" i="3"/>
  <c r="X860" i="3"/>
  <c r="AD860" i="3" s="1"/>
  <c r="AC946" i="3"/>
  <c r="AA946" i="3"/>
  <c r="Z946" i="3"/>
  <c r="AE946" i="3" s="1"/>
  <c r="X946" i="3"/>
  <c r="AD946" i="3" s="1"/>
  <c r="Y946" i="3"/>
  <c r="AC874" i="3"/>
  <c r="Z874" i="3"/>
  <c r="AE874" i="3" s="1"/>
  <c r="AA874" i="3"/>
  <c r="X874" i="3"/>
  <c r="AD874" i="3" s="1"/>
  <c r="Y874" i="3"/>
  <c r="AC866" i="3"/>
  <c r="Z866" i="3"/>
  <c r="AE866" i="3" s="1"/>
  <c r="Y866" i="3"/>
  <c r="AA866" i="3"/>
  <c r="X866" i="3"/>
  <c r="AD866" i="3" s="1"/>
  <c r="AC834" i="3"/>
  <c r="Y834" i="3"/>
  <c r="X834" i="3"/>
  <c r="AD834" i="3" s="1"/>
  <c r="AA834" i="3"/>
  <c r="Z834" i="3"/>
  <c r="AE834" i="3" s="1"/>
  <c r="AC826" i="3"/>
  <c r="AA826" i="3"/>
  <c r="Z826" i="3"/>
  <c r="AE826" i="3" s="1"/>
  <c r="Y826" i="3"/>
  <c r="X826" i="3"/>
  <c r="AD826" i="3" s="1"/>
  <c r="AC706" i="3"/>
  <c r="Y706" i="3"/>
  <c r="AA706" i="3"/>
  <c r="X706" i="3"/>
  <c r="AD706" i="3" s="1"/>
  <c r="Z706" i="3"/>
  <c r="AE706" i="3" s="1"/>
  <c r="AC666" i="3"/>
  <c r="AA666" i="3"/>
  <c r="Z666" i="3"/>
  <c r="AE666" i="3" s="1"/>
  <c r="Y666" i="3"/>
  <c r="X666" i="3"/>
  <c r="AD666" i="3" s="1"/>
  <c r="AC650" i="3"/>
  <c r="Z650" i="3"/>
  <c r="AE650" i="3" s="1"/>
  <c r="Y650" i="3"/>
  <c r="AA650" i="3"/>
  <c r="X650" i="3"/>
  <c r="AD650" i="3" s="1"/>
  <c r="AC943" i="3"/>
  <c r="AA943" i="3"/>
  <c r="Z943" i="3"/>
  <c r="AE943" i="3" s="1"/>
  <c r="Y943" i="3"/>
  <c r="X943" i="3"/>
  <c r="AD943" i="3" s="1"/>
  <c r="AC942" i="3"/>
  <c r="Z942" i="3"/>
  <c r="AE942" i="3" s="1"/>
  <c r="Y942" i="3"/>
  <c r="AA942" i="3"/>
  <c r="X942" i="3"/>
  <c r="AD942" i="3" s="1"/>
  <c r="AC934" i="3"/>
  <c r="Z934" i="3"/>
  <c r="AE934" i="3" s="1"/>
  <c r="AA934" i="3"/>
  <c r="Y934" i="3"/>
  <c r="X934" i="3"/>
  <c r="AD934" i="3" s="1"/>
  <c r="AC926" i="3"/>
  <c r="Y926" i="3"/>
  <c r="AA926" i="3"/>
  <c r="X926" i="3"/>
  <c r="AD926" i="3" s="1"/>
  <c r="Z926" i="3"/>
  <c r="AE926" i="3" s="1"/>
  <c r="AC918" i="3"/>
  <c r="AA918" i="3"/>
  <c r="Z918" i="3"/>
  <c r="AE918" i="3" s="1"/>
  <c r="Y918" i="3"/>
  <c r="X918" i="3"/>
  <c r="AD918" i="3" s="1"/>
  <c r="AC910" i="3"/>
  <c r="AA910" i="3"/>
  <c r="Z910" i="3"/>
  <c r="AE910" i="3" s="1"/>
  <c r="X910" i="3"/>
  <c r="AD910" i="3" s="1"/>
  <c r="Y910" i="3"/>
  <c r="AC902" i="3"/>
  <c r="Y902" i="3"/>
  <c r="AA902" i="3"/>
  <c r="X902" i="3"/>
  <c r="AD902" i="3" s="1"/>
  <c r="Z902" i="3"/>
  <c r="AE902" i="3" s="1"/>
  <c r="AC894" i="3"/>
  <c r="AA894" i="3"/>
  <c r="Z894" i="3"/>
  <c r="AE894" i="3" s="1"/>
  <c r="X894" i="3"/>
  <c r="AD894" i="3" s="1"/>
  <c r="Y894" i="3"/>
  <c r="AC886" i="3"/>
  <c r="AA886" i="3"/>
  <c r="Z886" i="3"/>
  <c r="AE886" i="3" s="1"/>
  <c r="X886" i="3"/>
  <c r="AD886" i="3" s="1"/>
  <c r="Y886" i="3"/>
  <c r="AC878" i="3"/>
  <c r="Y878" i="3"/>
  <c r="AA878" i="3"/>
  <c r="Z878" i="3"/>
  <c r="AE878" i="3" s="1"/>
  <c r="X878" i="3"/>
  <c r="AD878" i="3" s="1"/>
  <c r="AC870" i="3"/>
  <c r="Z870" i="3"/>
  <c r="AE870" i="3" s="1"/>
  <c r="Y870" i="3"/>
  <c r="AA870" i="3"/>
  <c r="X870" i="3"/>
  <c r="AD870" i="3" s="1"/>
  <c r="AC862" i="3"/>
  <c r="AA862" i="3"/>
  <c r="Y862" i="3"/>
  <c r="Z862" i="3"/>
  <c r="AE862" i="3" s="1"/>
  <c r="X862" i="3"/>
  <c r="AD862" i="3" s="1"/>
  <c r="AC854" i="3"/>
  <c r="AA854" i="3"/>
  <c r="Z854" i="3"/>
  <c r="AE854" i="3" s="1"/>
  <c r="X854" i="3"/>
  <c r="AD854" i="3" s="1"/>
  <c r="Y854" i="3"/>
  <c r="AC846" i="3"/>
  <c r="AA846" i="3"/>
  <c r="Y846" i="3"/>
  <c r="X846" i="3"/>
  <c r="AD846" i="3" s="1"/>
  <c r="Z846" i="3"/>
  <c r="AE846" i="3" s="1"/>
  <c r="AC838" i="3"/>
  <c r="AA838" i="3"/>
  <c r="Z838" i="3"/>
  <c r="AE838" i="3" s="1"/>
  <c r="Y838" i="3"/>
  <c r="X838" i="3"/>
  <c r="AD838" i="3" s="1"/>
  <c r="AC830" i="3"/>
  <c r="AA830" i="3"/>
  <c r="Z830" i="3"/>
  <c r="AE830" i="3" s="1"/>
  <c r="Y830" i="3"/>
  <c r="X830" i="3"/>
  <c r="AD830" i="3" s="1"/>
  <c r="AC822" i="3"/>
  <c r="Z822" i="3"/>
  <c r="AE822" i="3" s="1"/>
  <c r="Y822" i="3"/>
  <c r="X822" i="3"/>
  <c r="AD822" i="3" s="1"/>
  <c r="AA822" i="3"/>
  <c r="AC814" i="3"/>
  <c r="AA814" i="3"/>
  <c r="Z814" i="3"/>
  <c r="AE814" i="3" s="1"/>
  <c r="Y814" i="3"/>
  <c r="X814" i="3"/>
  <c r="AD814" i="3" s="1"/>
  <c r="AC806" i="3"/>
  <c r="Z806" i="3"/>
  <c r="AE806" i="3" s="1"/>
  <c r="Y806" i="3"/>
  <c r="AA806" i="3"/>
  <c r="X806" i="3"/>
  <c r="AD806" i="3" s="1"/>
  <c r="AC798" i="3"/>
  <c r="Y798" i="3"/>
  <c r="AA798" i="3"/>
  <c r="X798" i="3"/>
  <c r="AD798" i="3" s="1"/>
  <c r="Z798" i="3"/>
  <c r="AE798" i="3" s="1"/>
  <c r="AC790" i="3"/>
  <c r="AA790" i="3"/>
  <c r="Z790" i="3"/>
  <c r="AE790" i="3" s="1"/>
  <c r="Y790" i="3"/>
  <c r="X790" i="3"/>
  <c r="AD790" i="3" s="1"/>
  <c r="AC782" i="3"/>
  <c r="AA782" i="3"/>
  <c r="Z782" i="3"/>
  <c r="AE782" i="3" s="1"/>
  <c r="X782" i="3"/>
  <c r="AD782" i="3" s="1"/>
  <c r="Y782" i="3"/>
  <c r="AC774" i="3"/>
  <c r="AA774" i="3"/>
  <c r="Z774" i="3"/>
  <c r="AE774" i="3" s="1"/>
  <c r="Y774" i="3"/>
  <c r="X774" i="3"/>
  <c r="AD774" i="3" s="1"/>
  <c r="AC766" i="3"/>
  <c r="AA766" i="3"/>
  <c r="Z766" i="3"/>
  <c r="AE766" i="3" s="1"/>
  <c r="Y766" i="3"/>
  <c r="X766" i="3"/>
  <c r="AD766" i="3" s="1"/>
  <c r="AC758" i="3"/>
  <c r="AA758" i="3"/>
  <c r="Z758" i="3"/>
  <c r="AE758" i="3" s="1"/>
  <c r="X758" i="3"/>
  <c r="AD758" i="3" s="1"/>
  <c r="Y758" i="3"/>
  <c r="AC750" i="3"/>
  <c r="AA750" i="3"/>
  <c r="Z750" i="3"/>
  <c r="AE750" i="3" s="1"/>
  <c r="Y750" i="3"/>
  <c r="X750" i="3"/>
  <c r="AD750" i="3" s="1"/>
  <c r="AC742" i="3"/>
  <c r="Z742" i="3"/>
  <c r="AE742" i="3" s="1"/>
  <c r="Y742" i="3"/>
  <c r="AA742" i="3"/>
  <c r="X742" i="3"/>
  <c r="AD742" i="3" s="1"/>
  <c r="AC734" i="3"/>
  <c r="Y734" i="3"/>
  <c r="AA734" i="3"/>
  <c r="Z734" i="3"/>
  <c r="AE734" i="3" s="1"/>
  <c r="X734" i="3"/>
  <c r="AD734" i="3" s="1"/>
  <c r="AC726" i="3"/>
  <c r="AA726" i="3"/>
  <c r="Z726" i="3"/>
  <c r="AE726" i="3" s="1"/>
  <c r="X726" i="3"/>
  <c r="AD726" i="3" s="1"/>
  <c r="Y726" i="3"/>
  <c r="AC718" i="3"/>
  <c r="Y718" i="3"/>
  <c r="X718" i="3"/>
  <c r="AD718" i="3" s="1"/>
  <c r="Z718" i="3"/>
  <c r="AE718" i="3" s="1"/>
  <c r="AA718" i="3"/>
  <c r="AC710" i="3"/>
  <c r="AA710" i="3"/>
  <c r="Z710" i="3"/>
  <c r="AE710" i="3" s="1"/>
  <c r="Y710" i="3"/>
  <c r="X710" i="3"/>
  <c r="AD710" i="3" s="1"/>
  <c r="AC702" i="3"/>
  <c r="AA702" i="3"/>
  <c r="Z702" i="3"/>
  <c r="AE702" i="3" s="1"/>
  <c r="Y702" i="3"/>
  <c r="X702" i="3"/>
  <c r="AD702" i="3" s="1"/>
  <c r="AC694" i="3"/>
  <c r="Z694" i="3"/>
  <c r="AE694" i="3" s="1"/>
  <c r="AA694" i="3"/>
  <c r="Y694" i="3"/>
  <c r="X694" i="3"/>
  <c r="AD694" i="3" s="1"/>
  <c r="AC686" i="3"/>
  <c r="Y686" i="3"/>
  <c r="AA686" i="3"/>
  <c r="Z686" i="3"/>
  <c r="AE686" i="3" s="1"/>
  <c r="X686" i="3"/>
  <c r="AD686" i="3" s="1"/>
  <c r="AC678" i="3"/>
  <c r="Z678" i="3"/>
  <c r="AE678" i="3" s="1"/>
  <c r="AA678" i="3"/>
  <c r="Y678" i="3"/>
  <c r="X678" i="3"/>
  <c r="AD678" i="3" s="1"/>
  <c r="AC670" i="3"/>
  <c r="Y670" i="3"/>
  <c r="AA670" i="3"/>
  <c r="X670" i="3"/>
  <c r="AD670" i="3" s="1"/>
  <c r="Z670" i="3"/>
  <c r="AE670" i="3" s="1"/>
  <c r="AC662" i="3"/>
  <c r="AA662" i="3"/>
  <c r="Z662" i="3"/>
  <c r="AE662" i="3" s="1"/>
  <c r="Y662" i="3"/>
  <c r="X662" i="3"/>
  <c r="AD662" i="3" s="1"/>
  <c r="AC654" i="3"/>
  <c r="AA654" i="3"/>
  <c r="Z654" i="3"/>
  <c r="AE654" i="3" s="1"/>
  <c r="X654" i="3"/>
  <c r="AD654" i="3" s="1"/>
  <c r="Y654" i="3"/>
  <c r="AC646" i="3"/>
  <c r="Y646" i="3"/>
  <c r="AA646" i="3"/>
  <c r="Z646" i="3"/>
  <c r="AE646" i="3" s="1"/>
  <c r="X646" i="3"/>
  <c r="AD646" i="3" s="1"/>
  <c r="AC638" i="3"/>
  <c r="AA638" i="3"/>
  <c r="Z638" i="3"/>
  <c r="AE638" i="3" s="1"/>
  <c r="Y638" i="3"/>
  <c r="X638" i="3"/>
  <c r="AD638" i="3" s="1"/>
  <c r="AC630" i="3"/>
  <c r="AA630" i="3"/>
  <c r="Z630" i="3"/>
  <c r="AE630" i="3" s="1"/>
  <c r="X630" i="3"/>
  <c r="AD630" i="3" s="1"/>
  <c r="Y630" i="3"/>
  <c r="AC622" i="3"/>
  <c r="Y622" i="3"/>
  <c r="AA622" i="3"/>
  <c r="X622" i="3"/>
  <c r="AD622" i="3" s="1"/>
  <c r="Z622" i="3"/>
  <c r="AE622" i="3" s="1"/>
  <c r="AC614" i="3"/>
  <c r="Z614" i="3"/>
  <c r="AE614" i="3" s="1"/>
  <c r="Y614" i="3"/>
  <c r="X614" i="3"/>
  <c r="AD614" i="3" s="1"/>
  <c r="AA614" i="3"/>
  <c r="AC606" i="3"/>
  <c r="Y606" i="3"/>
  <c r="AA606" i="3"/>
  <c r="Z606" i="3"/>
  <c r="AE606" i="3" s="1"/>
  <c r="X606" i="3"/>
  <c r="AD606" i="3" s="1"/>
  <c r="AC598" i="3"/>
  <c r="AA598" i="3"/>
  <c r="Y598" i="3"/>
  <c r="Z598" i="3"/>
  <c r="AE598" i="3" s="1"/>
  <c r="X598" i="3"/>
  <c r="AD598" i="3" s="1"/>
  <c r="AC590" i="3"/>
  <c r="Y590" i="3"/>
  <c r="Z590" i="3"/>
  <c r="AE590" i="3" s="1"/>
  <c r="AA590" i="3"/>
  <c r="X590" i="3"/>
  <c r="AD590" i="3" s="1"/>
  <c r="AC582" i="3"/>
  <c r="Y582" i="3"/>
  <c r="AA582" i="3"/>
  <c r="Z582" i="3"/>
  <c r="AE582" i="3" s="1"/>
  <c r="X582" i="3"/>
  <c r="AD582" i="3" s="1"/>
  <c r="AC574" i="3"/>
  <c r="AA574" i="3"/>
  <c r="Z574" i="3"/>
  <c r="AE574" i="3" s="1"/>
  <c r="Y574" i="3"/>
  <c r="X574" i="3"/>
  <c r="AD574" i="3" s="1"/>
  <c r="AC566" i="3"/>
  <c r="Y566" i="3"/>
  <c r="Z566" i="3"/>
  <c r="AE566" i="3" s="1"/>
  <c r="X566" i="3"/>
  <c r="AD566" i="3" s="1"/>
  <c r="AA566" i="3"/>
  <c r="AC558" i="3"/>
  <c r="Y558" i="3"/>
  <c r="AA558" i="3"/>
  <c r="Z558" i="3"/>
  <c r="AE558" i="3" s="1"/>
  <c r="X558" i="3"/>
  <c r="AD558" i="3" s="1"/>
  <c r="AC550" i="3"/>
  <c r="Z550" i="3"/>
  <c r="AE550" i="3" s="1"/>
  <c r="Y550" i="3"/>
  <c r="AA550" i="3"/>
  <c r="X550" i="3"/>
  <c r="AD550" i="3" s="1"/>
  <c r="AC542" i="3"/>
  <c r="Y542" i="3"/>
  <c r="AA542" i="3"/>
  <c r="X542" i="3"/>
  <c r="AD542" i="3" s="1"/>
  <c r="Z542" i="3"/>
  <c r="AE542" i="3" s="1"/>
  <c r="AC534" i="3"/>
  <c r="AA534" i="3"/>
  <c r="Y534" i="3"/>
  <c r="Z534" i="3"/>
  <c r="AE534" i="3" s="1"/>
  <c r="X534" i="3"/>
  <c r="AD534" i="3" s="1"/>
  <c r="AC526" i="3"/>
  <c r="Y526" i="3"/>
  <c r="AA526" i="3"/>
  <c r="Z526" i="3"/>
  <c r="AE526" i="3" s="1"/>
  <c r="X526" i="3"/>
  <c r="AD526" i="3" s="1"/>
  <c r="AC518" i="3"/>
  <c r="Y518" i="3"/>
  <c r="AA518" i="3"/>
  <c r="Z518" i="3"/>
  <c r="AE518" i="3" s="1"/>
  <c r="X518" i="3"/>
  <c r="AD518" i="3" s="1"/>
  <c r="AC510" i="3"/>
  <c r="AA510" i="3"/>
  <c r="Z510" i="3"/>
  <c r="AE510" i="3" s="1"/>
  <c r="Y510" i="3"/>
  <c r="X510" i="3"/>
  <c r="AD510" i="3" s="1"/>
  <c r="AC502" i="3"/>
  <c r="Y502" i="3"/>
  <c r="AA502" i="3"/>
  <c r="Z502" i="3"/>
  <c r="AE502" i="3" s="1"/>
  <c r="X502" i="3"/>
  <c r="AD502" i="3" s="1"/>
  <c r="AC494" i="3"/>
  <c r="Y494" i="3"/>
  <c r="AA494" i="3"/>
  <c r="Z494" i="3"/>
  <c r="AE494" i="3" s="1"/>
  <c r="X494" i="3"/>
  <c r="AD494" i="3" s="1"/>
  <c r="AC486" i="3"/>
  <c r="Z486" i="3"/>
  <c r="AE486" i="3" s="1"/>
  <c r="Y486" i="3"/>
  <c r="AA486" i="3"/>
  <c r="X486" i="3"/>
  <c r="AD486" i="3" s="1"/>
  <c r="AC478" i="3"/>
  <c r="Y478" i="3"/>
  <c r="AA478" i="3"/>
  <c r="Z478" i="3"/>
  <c r="AE478" i="3" s="1"/>
  <c r="X478" i="3"/>
  <c r="AD478" i="3" s="1"/>
  <c r="AC470" i="3"/>
  <c r="AA470" i="3"/>
  <c r="Y470" i="3"/>
  <c r="Z470" i="3"/>
  <c r="AE470" i="3" s="1"/>
  <c r="X470" i="3"/>
  <c r="AD470" i="3" s="1"/>
  <c r="AC462" i="3"/>
  <c r="Y462" i="3"/>
  <c r="AA462" i="3"/>
  <c r="X462" i="3"/>
  <c r="AD462" i="3" s="1"/>
  <c r="Z462" i="3"/>
  <c r="AE462" i="3" s="1"/>
  <c r="AC454" i="3"/>
  <c r="Y454" i="3"/>
  <c r="AA454" i="3"/>
  <c r="Z454" i="3"/>
  <c r="AE454" i="3" s="1"/>
  <c r="X454" i="3"/>
  <c r="AD454" i="3" s="1"/>
  <c r="AC446" i="3"/>
  <c r="AA446" i="3"/>
  <c r="Z446" i="3"/>
  <c r="AE446" i="3" s="1"/>
  <c r="Y446" i="3"/>
  <c r="X446" i="3"/>
  <c r="AD446" i="3" s="1"/>
  <c r="AC438" i="3"/>
  <c r="Y438" i="3"/>
  <c r="Z438" i="3"/>
  <c r="AE438" i="3" s="1"/>
  <c r="AA438" i="3"/>
  <c r="X438" i="3"/>
  <c r="AD438" i="3" s="1"/>
  <c r="AC430" i="3"/>
  <c r="Y430" i="3"/>
  <c r="AA430" i="3"/>
  <c r="Z430" i="3"/>
  <c r="AE430" i="3" s="1"/>
  <c r="X430" i="3"/>
  <c r="AD430" i="3" s="1"/>
  <c r="AC422" i="3"/>
  <c r="Z422" i="3"/>
  <c r="AE422" i="3" s="1"/>
  <c r="Y422" i="3"/>
  <c r="AA422" i="3"/>
  <c r="X422" i="3"/>
  <c r="AD422" i="3" s="1"/>
  <c r="AC414" i="3"/>
  <c r="Y414" i="3"/>
  <c r="AA414" i="3"/>
  <c r="X414" i="3"/>
  <c r="AD414" i="3" s="1"/>
  <c r="Z414" i="3"/>
  <c r="AE414" i="3" s="1"/>
  <c r="AC406" i="3"/>
  <c r="AA406" i="3"/>
  <c r="Y406" i="3"/>
  <c r="Z406" i="3"/>
  <c r="AE406" i="3" s="1"/>
  <c r="X406" i="3"/>
  <c r="AD406" i="3" s="1"/>
  <c r="AC398" i="3"/>
  <c r="Y398" i="3"/>
  <c r="AA398" i="3"/>
  <c r="Z398" i="3"/>
  <c r="AE398" i="3" s="1"/>
  <c r="X398" i="3"/>
  <c r="AD398" i="3" s="1"/>
  <c r="AC390" i="3"/>
  <c r="Y390" i="3"/>
  <c r="AA390" i="3"/>
  <c r="Z390" i="3"/>
  <c r="AE390" i="3" s="1"/>
  <c r="X390" i="3"/>
  <c r="AD390" i="3" s="1"/>
  <c r="AC382" i="3"/>
  <c r="AA382" i="3"/>
  <c r="Z382" i="3"/>
  <c r="AE382" i="3" s="1"/>
  <c r="Y382" i="3"/>
  <c r="X382" i="3"/>
  <c r="AD382" i="3" s="1"/>
  <c r="AC374" i="3"/>
  <c r="Y374" i="3"/>
  <c r="AA374" i="3"/>
  <c r="Z374" i="3"/>
  <c r="AE374" i="3" s="1"/>
  <c r="X374" i="3"/>
  <c r="AD374" i="3" s="1"/>
  <c r="AC366" i="3"/>
  <c r="Y366" i="3"/>
  <c r="AA366" i="3"/>
  <c r="Z366" i="3"/>
  <c r="AE366" i="3" s="1"/>
  <c r="X366" i="3"/>
  <c r="AD366" i="3" s="1"/>
  <c r="AC358" i="3"/>
  <c r="Z358" i="3"/>
  <c r="AE358" i="3" s="1"/>
  <c r="X358" i="3"/>
  <c r="AD358" i="3" s="1"/>
  <c r="Y358" i="3"/>
  <c r="AA358" i="3"/>
  <c r="AC350" i="3"/>
  <c r="X350" i="3"/>
  <c r="AD350" i="3" s="1"/>
  <c r="Y350" i="3"/>
  <c r="AA350" i="3"/>
  <c r="Z350" i="3"/>
  <c r="AE350" i="3" s="1"/>
  <c r="AC342" i="3"/>
  <c r="X342" i="3"/>
  <c r="AD342" i="3" s="1"/>
  <c r="AA342" i="3"/>
  <c r="Y342" i="3"/>
  <c r="Z342" i="3"/>
  <c r="AE342" i="3" s="1"/>
  <c r="AC334" i="3"/>
  <c r="X334" i="3"/>
  <c r="AD334" i="3" s="1"/>
  <c r="Y334" i="3"/>
  <c r="AA334" i="3"/>
  <c r="Z334" i="3"/>
  <c r="AE334" i="3" s="1"/>
  <c r="AC326" i="3"/>
  <c r="X326" i="3"/>
  <c r="AD326" i="3" s="1"/>
  <c r="Y326" i="3"/>
  <c r="AA326" i="3"/>
  <c r="Z326" i="3"/>
  <c r="AE326" i="3" s="1"/>
  <c r="AC318" i="3"/>
  <c r="AA318" i="3"/>
  <c r="X318" i="3"/>
  <c r="AD318" i="3" s="1"/>
  <c r="Z318" i="3"/>
  <c r="AE318" i="3" s="1"/>
  <c r="Y318" i="3"/>
  <c r="AC310" i="3"/>
  <c r="X310" i="3"/>
  <c r="AD310" i="3" s="1"/>
  <c r="Y310" i="3"/>
  <c r="AA310" i="3"/>
  <c r="Z310" i="3"/>
  <c r="AE310" i="3" s="1"/>
  <c r="AC302" i="3"/>
  <c r="X302" i="3"/>
  <c r="AD302" i="3" s="1"/>
  <c r="Y302" i="3"/>
  <c r="AA302" i="3"/>
  <c r="Z302" i="3"/>
  <c r="AE302" i="3" s="1"/>
  <c r="AC294" i="3"/>
  <c r="Z294" i="3"/>
  <c r="AE294" i="3" s="1"/>
  <c r="X294" i="3"/>
  <c r="AD294" i="3" s="1"/>
  <c r="Y294" i="3"/>
  <c r="AA294" i="3"/>
  <c r="AC286" i="3"/>
  <c r="X286" i="3"/>
  <c r="AD286" i="3" s="1"/>
  <c r="Y286" i="3"/>
  <c r="AA286" i="3"/>
  <c r="Z286" i="3"/>
  <c r="AE286" i="3" s="1"/>
  <c r="AC278" i="3"/>
  <c r="X278" i="3"/>
  <c r="AD278" i="3" s="1"/>
  <c r="AA278" i="3"/>
  <c r="Y278" i="3"/>
  <c r="Z278" i="3"/>
  <c r="AE278" i="3" s="1"/>
  <c r="AC270" i="3"/>
  <c r="X270" i="3"/>
  <c r="AD270" i="3" s="1"/>
  <c r="Y270" i="3"/>
  <c r="AA270" i="3"/>
  <c r="Z270" i="3"/>
  <c r="AE270" i="3" s="1"/>
  <c r="AC924" i="3"/>
  <c r="Z924" i="3"/>
  <c r="AE924" i="3" s="1"/>
  <c r="AA924" i="3"/>
  <c r="Y924" i="3"/>
  <c r="X924" i="3"/>
  <c r="AD924" i="3" s="1"/>
  <c r="AC884" i="3"/>
  <c r="Z884" i="3"/>
  <c r="AE884" i="3" s="1"/>
  <c r="AA884" i="3"/>
  <c r="Y884" i="3"/>
  <c r="X884" i="3"/>
  <c r="AD884" i="3" s="1"/>
  <c r="AC868" i="3"/>
  <c r="Z868" i="3"/>
  <c r="AE868" i="3" s="1"/>
  <c r="AA868" i="3"/>
  <c r="X868" i="3"/>
  <c r="AD868" i="3" s="1"/>
  <c r="Y868" i="3"/>
  <c r="AC930" i="3"/>
  <c r="AA930" i="3"/>
  <c r="Y930" i="3"/>
  <c r="X930" i="3"/>
  <c r="AD930" i="3" s="1"/>
  <c r="Z930" i="3"/>
  <c r="AE930" i="3" s="1"/>
  <c r="AC922" i="3"/>
  <c r="AA922" i="3"/>
  <c r="Z922" i="3"/>
  <c r="AE922" i="3" s="1"/>
  <c r="Y922" i="3"/>
  <c r="X922" i="3"/>
  <c r="AD922" i="3" s="1"/>
  <c r="AC850" i="3"/>
  <c r="Z850" i="3"/>
  <c r="AE850" i="3" s="1"/>
  <c r="AA850" i="3"/>
  <c r="X850" i="3"/>
  <c r="AD850" i="3" s="1"/>
  <c r="Y850" i="3"/>
  <c r="AC810" i="3"/>
  <c r="Z810" i="3"/>
  <c r="AE810" i="3" s="1"/>
  <c r="Y810" i="3"/>
  <c r="X810" i="3"/>
  <c r="AD810" i="3" s="1"/>
  <c r="AA810" i="3"/>
  <c r="AC802" i="3"/>
  <c r="Z802" i="3"/>
  <c r="AE802" i="3" s="1"/>
  <c r="AA802" i="3"/>
  <c r="Y802" i="3"/>
  <c r="X802" i="3"/>
  <c r="AD802" i="3" s="1"/>
  <c r="AC714" i="3"/>
  <c r="Z714" i="3"/>
  <c r="AE714" i="3" s="1"/>
  <c r="AA714" i="3"/>
  <c r="Y714" i="3"/>
  <c r="X714" i="3"/>
  <c r="AD714" i="3" s="1"/>
  <c r="AC690" i="3"/>
  <c r="AA690" i="3"/>
  <c r="Z690" i="3"/>
  <c r="AE690" i="3" s="1"/>
  <c r="Y690" i="3"/>
  <c r="X690" i="3"/>
  <c r="AD690" i="3" s="1"/>
  <c r="AC941" i="3"/>
  <c r="AA941" i="3"/>
  <c r="X941" i="3"/>
  <c r="AD941" i="3" s="1"/>
  <c r="Z941" i="3"/>
  <c r="AE941" i="3" s="1"/>
  <c r="Y941" i="3"/>
  <c r="AC933" i="3"/>
  <c r="Z933" i="3"/>
  <c r="AE933" i="3" s="1"/>
  <c r="AA933" i="3"/>
  <c r="Y933" i="3"/>
  <c r="X933" i="3"/>
  <c r="AD933" i="3" s="1"/>
  <c r="AC925" i="3"/>
  <c r="Y925" i="3"/>
  <c r="Z925" i="3"/>
  <c r="AE925" i="3" s="1"/>
  <c r="AA925" i="3"/>
  <c r="X925" i="3"/>
  <c r="AD925" i="3" s="1"/>
  <c r="AC917" i="3"/>
  <c r="Y917" i="3"/>
  <c r="AA917" i="3"/>
  <c r="Z917" i="3"/>
  <c r="AE917" i="3" s="1"/>
  <c r="X917" i="3"/>
  <c r="AD917" i="3" s="1"/>
  <c r="AC909" i="3"/>
  <c r="AA909" i="3"/>
  <c r="Z909" i="3"/>
  <c r="AE909" i="3" s="1"/>
  <c r="X909" i="3"/>
  <c r="AD909" i="3" s="1"/>
  <c r="Y909" i="3"/>
  <c r="AC901" i="3"/>
  <c r="AA901" i="3"/>
  <c r="Y901" i="3"/>
  <c r="X901" i="3"/>
  <c r="AD901" i="3" s="1"/>
  <c r="Z901" i="3"/>
  <c r="AE901" i="3" s="1"/>
  <c r="AC893" i="3"/>
  <c r="AA893" i="3"/>
  <c r="Z893" i="3"/>
  <c r="AE893" i="3" s="1"/>
  <c r="Y893" i="3"/>
  <c r="X893" i="3"/>
  <c r="AD893" i="3" s="1"/>
  <c r="AC885" i="3"/>
  <c r="AA885" i="3"/>
  <c r="Z885" i="3"/>
  <c r="AE885" i="3" s="1"/>
  <c r="Y885" i="3"/>
  <c r="X885" i="3"/>
  <c r="AD885" i="3" s="1"/>
  <c r="AC877" i="3"/>
  <c r="X877" i="3"/>
  <c r="AD877" i="3" s="1"/>
  <c r="Y877" i="3"/>
  <c r="AA877" i="3"/>
  <c r="Z877" i="3"/>
  <c r="AE877" i="3" s="1"/>
  <c r="AC869" i="3"/>
  <c r="Y869" i="3"/>
  <c r="AA869" i="3"/>
  <c r="Z869" i="3"/>
  <c r="AE869" i="3" s="1"/>
  <c r="X869" i="3"/>
  <c r="AD869" i="3" s="1"/>
  <c r="AC861" i="3"/>
  <c r="Z861" i="3"/>
  <c r="AE861" i="3" s="1"/>
  <c r="AA861" i="3"/>
  <c r="Y861" i="3"/>
  <c r="X861" i="3"/>
  <c r="AD861" i="3" s="1"/>
  <c r="AC853" i="3"/>
  <c r="Y853" i="3"/>
  <c r="X853" i="3"/>
  <c r="AD853" i="3" s="1"/>
  <c r="AA853" i="3"/>
  <c r="Z853" i="3"/>
  <c r="AE853" i="3" s="1"/>
  <c r="AC845" i="3"/>
  <c r="AA845" i="3"/>
  <c r="Z845" i="3"/>
  <c r="AE845" i="3" s="1"/>
  <c r="X845" i="3"/>
  <c r="AD845" i="3" s="1"/>
  <c r="Y845" i="3"/>
  <c r="AC837" i="3"/>
  <c r="AA837" i="3"/>
  <c r="Z837" i="3"/>
  <c r="AE837" i="3" s="1"/>
  <c r="X837" i="3"/>
  <c r="AD837" i="3" s="1"/>
  <c r="Y837" i="3"/>
  <c r="AC829" i="3"/>
  <c r="Y829" i="3"/>
  <c r="X829" i="3"/>
  <c r="AD829" i="3" s="1"/>
  <c r="AA829" i="3"/>
  <c r="Z829" i="3"/>
  <c r="AE829" i="3" s="1"/>
  <c r="AC821" i="3"/>
  <c r="AA821" i="3"/>
  <c r="Z821" i="3"/>
  <c r="AE821" i="3" s="1"/>
  <c r="X821" i="3"/>
  <c r="AD821" i="3" s="1"/>
  <c r="Y821" i="3"/>
  <c r="AC813" i="3"/>
  <c r="AA813" i="3"/>
  <c r="Z813" i="3"/>
  <c r="AE813" i="3" s="1"/>
  <c r="X813" i="3"/>
  <c r="AD813" i="3" s="1"/>
  <c r="Y813" i="3"/>
  <c r="AC805" i="3"/>
  <c r="Y805" i="3"/>
  <c r="X805" i="3"/>
  <c r="AD805" i="3" s="1"/>
  <c r="AA805" i="3"/>
  <c r="Z805" i="3"/>
  <c r="AE805" i="3" s="1"/>
  <c r="AC797" i="3"/>
  <c r="Z797" i="3"/>
  <c r="AE797" i="3" s="1"/>
  <c r="Y797" i="3"/>
  <c r="X797" i="3"/>
  <c r="AD797" i="3" s="1"/>
  <c r="AA797" i="3"/>
  <c r="AC789" i="3"/>
  <c r="AA789" i="3"/>
  <c r="Y789" i="3"/>
  <c r="Z789" i="3"/>
  <c r="AE789" i="3" s="1"/>
  <c r="X789" i="3"/>
  <c r="AD789" i="3" s="1"/>
  <c r="AC781" i="3"/>
  <c r="AA781" i="3"/>
  <c r="X781" i="3"/>
  <c r="AD781" i="3" s="1"/>
  <c r="Z781" i="3"/>
  <c r="AE781" i="3" s="1"/>
  <c r="Y781" i="3"/>
  <c r="AC773" i="3"/>
  <c r="X773" i="3"/>
  <c r="AD773" i="3" s="1"/>
  <c r="Y773" i="3"/>
  <c r="AA773" i="3"/>
  <c r="Z773" i="3"/>
  <c r="AE773" i="3" s="1"/>
  <c r="AC765" i="3"/>
  <c r="AA765" i="3"/>
  <c r="Z765" i="3"/>
  <c r="AE765" i="3" s="1"/>
  <c r="Y765" i="3"/>
  <c r="X765" i="3"/>
  <c r="AD765" i="3" s="1"/>
  <c r="AC757" i="3"/>
  <c r="AA757" i="3"/>
  <c r="Z757" i="3"/>
  <c r="AE757" i="3" s="1"/>
  <c r="X757" i="3"/>
  <c r="AD757" i="3" s="1"/>
  <c r="Y757" i="3"/>
  <c r="AC749" i="3"/>
  <c r="X749" i="3"/>
  <c r="AD749" i="3" s="1"/>
  <c r="AA749" i="3"/>
  <c r="Z749" i="3"/>
  <c r="AE749" i="3" s="1"/>
  <c r="Y749" i="3"/>
  <c r="AC741" i="3"/>
  <c r="AA741" i="3"/>
  <c r="Z741" i="3"/>
  <c r="AE741" i="3" s="1"/>
  <c r="Y741" i="3"/>
  <c r="X741" i="3"/>
  <c r="AD741" i="3" s="1"/>
  <c r="AC733" i="3"/>
  <c r="Z733" i="3"/>
  <c r="AE733" i="3" s="1"/>
  <c r="Y733" i="3"/>
  <c r="AA733" i="3"/>
  <c r="X733" i="3"/>
  <c r="AD733" i="3" s="1"/>
  <c r="AC725" i="3"/>
  <c r="Y725" i="3"/>
  <c r="AA725" i="3"/>
  <c r="X725" i="3"/>
  <c r="AD725" i="3" s="1"/>
  <c r="Z725" i="3"/>
  <c r="AE725" i="3" s="1"/>
  <c r="AC717" i="3"/>
  <c r="AA717" i="3"/>
  <c r="Z717" i="3"/>
  <c r="AE717" i="3" s="1"/>
  <c r="X717" i="3"/>
  <c r="AD717" i="3" s="1"/>
  <c r="Y717" i="3"/>
  <c r="AC709" i="3"/>
  <c r="AA709" i="3"/>
  <c r="Z709" i="3"/>
  <c r="AE709" i="3" s="1"/>
  <c r="X709" i="3"/>
  <c r="AD709" i="3" s="1"/>
  <c r="Y709" i="3"/>
  <c r="AC701" i="3"/>
  <c r="AA701" i="3"/>
  <c r="Z701" i="3"/>
  <c r="AE701" i="3" s="1"/>
  <c r="Y701" i="3"/>
  <c r="X701" i="3"/>
  <c r="AD701" i="3" s="1"/>
  <c r="AC693" i="3"/>
  <c r="AA693" i="3"/>
  <c r="Z693" i="3"/>
  <c r="AE693" i="3" s="1"/>
  <c r="X693" i="3"/>
  <c r="AD693" i="3" s="1"/>
  <c r="Y693" i="3"/>
  <c r="AC685" i="3"/>
  <c r="AA685" i="3"/>
  <c r="Z685" i="3"/>
  <c r="AE685" i="3" s="1"/>
  <c r="X685" i="3"/>
  <c r="AD685" i="3" s="1"/>
  <c r="Y685" i="3"/>
  <c r="AC677" i="3"/>
  <c r="AA677" i="3"/>
  <c r="Z677" i="3"/>
  <c r="AE677" i="3" s="1"/>
  <c r="Y677" i="3"/>
  <c r="X677" i="3"/>
  <c r="AD677" i="3" s="1"/>
  <c r="AC669" i="3"/>
  <c r="Z669" i="3"/>
  <c r="AE669" i="3" s="1"/>
  <c r="Y669" i="3"/>
  <c r="X669" i="3"/>
  <c r="AD669" i="3" s="1"/>
  <c r="AA669" i="3"/>
  <c r="AC661" i="3"/>
  <c r="Y661" i="3"/>
  <c r="AA661" i="3"/>
  <c r="Z661" i="3"/>
  <c r="AE661" i="3" s="1"/>
  <c r="X661" i="3"/>
  <c r="AD661" i="3" s="1"/>
  <c r="AC653" i="3"/>
  <c r="AA653" i="3"/>
  <c r="Z653" i="3"/>
  <c r="AE653" i="3" s="1"/>
  <c r="X653" i="3"/>
  <c r="AD653" i="3" s="1"/>
  <c r="Y653" i="3"/>
  <c r="AC645" i="3"/>
  <c r="X645" i="3"/>
  <c r="AD645" i="3" s="1"/>
  <c r="Y645" i="3"/>
  <c r="AA645" i="3"/>
  <c r="Z645" i="3"/>
  <c r="AE645" i="3" s="1"/>
  <c r="AC637" i="3"/>
  <c r="AA637" i="3"/>
  <c r="Z637" i="3"/>
  <c r="AE637" i="3" s="1"/>
  <c r="Y637" i="3"/>
  <c r="X637" i="3"/>
  <c r="AD637" i="3" s="1"/>
  <c r="AC629" i="3"/>
  <c r="AA629" i="3"/>
  <c r="Z629" i="3"/>
  <c r="AE629" i="3" s="1"/>
  <c r="X629" i="3"/>
  <c r="AD629" i="3" s="1"/>
  <c r="Y629" i="3"/>
  <c r="AC621" i="3"/>
  <c r="Y621" i="3"/>
  <c r="X621" i="3"/>
  <c r="AD621" i="3" s="1"/>
  <c r="Z621" i="3"/>
  <c r="AE621" i="3" s="1"/>
  <c r="AA621" i="3"/>
  <c r="AC613" i="3"/>
  <c r="Y613" i="3"/>
  <c r="AA613" i="3"/>
  <c r="Z613" i="3"/>
  <c r="AE613" i="3" s="1"/>
  <c r="X613" i="3"/>
  <c r="AD613" i="3" s="1"/>
  <c r="AC605" i="3"/>
  <c r="Z605" i="3"/>
  <c r="AE605" i="3" s="1"/>
  <c r="AA605" i="3"/>
  <c r="X605" i="3"/>
  <c r="AD605" i="3" s="1"/>
  <c r="Y605" i="3"/>
  <c r="AC597" i="3"/>
  <c r="X597" i="3"/>
  <c r="AD597" i="3" s="1"/>
  <c r="AA597" i="3"/>
  <c r="Z597" i="3"/>
  <c r="AE597" i="3" s="1"/>
  <c r="Y597" i="3"/>
  <c r="AC589" i="3"/>
  <c r="AA589" i="3"/>
  <c r="Y589" i="3"/>
  <c r="Z589" i="3"/>
  <c r="AE589" i="3" s="1"/>
  <c r="X589" i="3"/>
  <c r="AD589" i="3" s="1"/>
  <c r="AC581" i="3"/>
  <c r="Y581" i="3"/>
  <c r="AA581" i="3"/>
  <c r="Z581" i="3"/>
  <c r="AE581" i="3" s="1"/>
  <c r="X581" i="3"/>
  <c r="AD581" i="3" s="1"/>
  <c r="AC573" i="3"/>
  <c r="X573" i="3"/>
  <c r="AD573" i="3" s="1"/>
  <c r="AA573" i="3"/>
  <c r="Y573" i="3"/>
  <c r="Z573" i="3"/>
  <c r="AE573" i="3" s="1"/>
  <c r="AC565" i="3"/>
  <c r="AA565" i="3"/>
  <c r="Z565" i="3"/>
  <c r="AE565" i="3" s="1"/>
  <c r="X565" i="3"/>
  <c r="AD565" i="3" s="1"/>
  <c r="Y565" i="3"/>
  <c r="AC557" i="3"/>
  <c r="AA557" i="3"/>
  <c r="Z557" i="3"/>
  <c r="AE557" i="3" s="1"/>
  <c r="Y557" i="3"/>
  <c r="X557" i="3"/>
  <c r="AD557" i="3" s="1"/>
  <c r="AC549" i="3"/>
  <c r="Y549" i="3"/>
  <c r="X549" i="3"/>
  <c r="AD549" i="3" s="1"/>
  <c r="AA549" i="3"/>
  <c r="Z549" i="3"/>
  <c r="AE549" i="3" s="1"/>
  <c r="AC541" i="3"/>
  <c r="Z541" i="3"/>
  <c r="AE541" i="3" s="1"/>
  <c r="X541" i="3"/>
  <c r="AD541" i="3" s="1"/>
  <c r="Y541" i="3"/>
  <c r="AA541" i="3"/>
  <c r="AC533" i="3"/>
  <c r="AA533" i="3"/>
  <c r="Z533" i="3"/>
  <c r="AE533" i="3" s="1"/>
  <c r="X533" i="3"/>
  <c r="AD533" i="3" s="1"/>
  <c r="Y533" i="3"/>
  <c r="AC525" i="3"/>
  <c r="AA525" i="3"/>
  <c r="Y525" i="3"/>
  <c r="X525" i="3"/>
  <c r="AD525" i="3" s="1"/>
  <c r="Z525" i="3"/>
  <c r="AE525" i="3" s="1"/>
  <c r="AC517" i="3"/>
  <c r="Y517" i="3"/>
  <c r="X517" i="3"/>
  <c r="AD517" i="3" s="1"/>
  <c r="Z517" i="3"/>
  <c r="AE517" i="3" s="1"/>
  <c r="AA517" i="3"/>
  <c r="AC509" i="3"/>
  <c r="AA509" i="3"/>
  <c r="Z509" i="3"/>
  <c r="AE509" i="3" s="1"/>
  <c r="X509" i="3"/>
  <c r="AD509" i="3" s="1"/>
  <c r="Y509" i="3"/>
  <c r="AC501" i="3"/>
  <c r="AA501" i="3"/>
  <c r="Z501" i="3"/>
  <c r="AE501" i="3" s="1"/>
  <c r="X501" i="3"/>
  <c r="AD501" i="3" s="1"/>
  <c r="Y501" i="3"/>
  <c r="AC493" i="3"/>
  <c r="Y493" i="3"/>
  <c r="X493" i="3"/>
  <c r="AD493" i="3" s="1"/>
  <c r="Z493" i="3"/>
  <c r="AE493" i="3" s="1"/>
  <c r="AA493" i="3"/>
  <c r="AC485" i="3"/>
  <c r="AA485" i="3"/>
  <c r="Z485" i="3"/>
  <c r="AE485" i="3" s="1"/>
  <c r="Y485" i="3"/>
  <c r="X485" i="3"/>
  <c r="AD485" i="3" s="1"/>
  <c r="AC477" i="3"/>
  <c r="Z477" i="3"/>
  <c r="AE477" i="3" s="1"/>
  <c r="AA477" i="3"/>
  <c r="X477" i="3"/>
  <c r="AD477" i="3" s="1"/>
  <c r="Y477" i="3"/>
  <c r="AC469" i="3"/>
  <c r="AA469" i="3"/>
  <c r="X469" i="3"/>
  <c r="AD469" i="3" s="1"/>
  <c r="Z469" i="3"/>
  <c r="AE469" i="3" s="1"/>
  <c r="Y469" i="3"/>
  <c r="AC461" i="3"/>
  <c r="AA461" i="3"/>
  <c r="Z461" i="3"/>
  <c r="AE461" i="3" s="1"/>
  <c r="Y461" i="3"/>
  <c r="X461" i="3"/>
  <c r="AD461" i="3" s="1"/>
  <c r="AC453" i="3"/>
  <c r="Y453" i="3"/>
  <c r="AA453" i="3"/>
  <c r="Z453" i="3"/>
  <c r="AE453" i="3" s="1"/>
  <c r="X453" i="3"/>
  <c r="AD453" i="3" s="1"/>
  <c r="AC445" i="3"/>
  <c r="AA445" i="3"/>
  <c r="Z445" i="3"/>
  <c r="AE445" i="3" s="1"/>
  <c r="X445" i="3"/>
  <c r="AD445" i="3" s="1"/>
  <c r="Y445" i="3"/>
  <c r="AC437" i="3"/>
  <c r="AA437" i="3"/>
  <c r="Z437" i="3"/>
  <c r="AE437" i="3" s="1"/>
  <c r="X437" i="3"/>
  <c r="AD437" i="3" s="1"/>
  <c r="Y437" i="3"/>
  <c r="AC429" i="3"/>
  <c r="Y429" i="3"/>
  <c r="AA429" i="3"/>
  <c r="Z429" i="3"/>
  <c r="AE429" i="3" s="1"/>
  <c r="X429" i="3"/>
  <c r="AD429" i="3" s="1"/>
  <c r="AC421" i="3"/>
  <c r="Y421" i="3"/>
  <c r="AA421" i="3"/>
  <c r="Z421" i="3"/>
  <c r="AE421" i="3" s="1"/>
  <c r="X421" i="3"/>
  <c r="AD421" i="3" s="1"/>
  <c r="AC413" i="3"/>
  <c r="Z413" i="3"/>
  <c r="AE413" i="3" s="1"/>
  <c r="X413" i="3"/>
  <c r="AD413" i="3" s="1"/>
  <c r="AA413" i="3"/>
  <c r="Y413" i="3"/>
  <c r="AC405" i="3"/>
  <c r="AA405" i="3"/>
  <c r="Z405" i="3"/>
  <c r="AE405" i="3" s="1"/>
  <c r="X405" i="3"/>
  <c r="AD405" i="3" s="1"/>
  <c r="Y405" i="3"/>
  <c r="AC397" i="3"/>
  <c r="AA397" i="3"/>
  <c r="Z397" i="3"/>
  <c r="AE397" i="3" s="1"/>
  <c r="Y397" i="3"/>
  <c r="X397" i="3"/>
  <c r="AD397" i="3" s="1"/>
  <c r="AC389" i="3"/>
  <c r="Y389" i="3"/>
  <c r="X389" i="3"/>
  <c r="AD389" i="3" s="1"/>
  <c r="AA389" i="3"/>
  <c r="Z389" i="3"/>
  <c r="AE389" i="3" s="1"/>
  <c r="AC381" i="3"/>
  <c r="AA381" i="3"/>
  <c r="Z381" i="3"/>
  <c r="AE381" i="3" s="1"/>
  <c r="X381" i="3"/>
  <c r="AD381" i="3" s="1"/>
  <c r="Y381" i="3"/>
  <c r="AC373" i="3"/>
  <c r="AA373" i="3"/>
  <c r="Z373" i="3"/>
  <c r="AE373" i="3" s="1"/>
  <c r="X373" i="3"/>
  <c r="AD373" i="3" s="1"/>
  <c r="Y373" i="3"/>
  <c r="AC365" i="3"/>
  <c r="Y365" i="3"/>
  <c r="X365" i="3"/>
  <c r="AD365" i="3" s="1"/>
  <c r="AA365" i="3"/>
  <c r="Z365" i="3"/>
  <c r="AE365" i="3" s="1"/>
  <c r="AC357" i="3"/>
  <c r="Y357" i="3"/>
  <c r="AA357" i="3"/>
  <c r="Z357" i="3"/>
  <c r="AE357" i="3" s="1"/>
  <c r="X357" i="3"/>
  <c r="AD357" i="3" s="1"/>
  <c r="AC349" i="3"/>
  <c r="Z349" i="3"/>
  <c r="AE349" i="3" s="1"/>
  <c r="AA349" i="3"/>
  <c r="Y349" i="3"/>
  <c r="X349" i="3"/>
  <c r="AD349" i="3" s="1"/>
  <c r="AC341" i="3"/>
  <c r="X341" i="3"/>
  <c r="AD341" i="3" s="1"/>
  <c r="AA341" i="3"/>
  <c r="Z341" i="3"/>
  <c r="AE341" i="3" s="1"/>
  <c r="Y341" i="3"/>
  <c r="AC333" i="3"/>
  <c r="AA333" i="3"/>
  <c r="X333" i="3"/>
  <c r="AD333" i="3" s="1"/>
  <c r="Y333" i="3"/>
  <c r="Z333" i="3"/>
  <c r="AE333" i="3" s="1"/>
  <c r="AC325" i="3"/>
  <c r="Y325" i="3"/>
  <c r="X325" i="3"/>
  <c r="AD325" i="3" s="1"/>
  <c r="AA325" i="3"/>
  <c r="Z325" i="3"/>
  <c r="AE325" i="3" s="1"/>
  <c r="AC317" i="3"/>
  <c r="AA317" i="3"/>
  <c r="Z317" i="3"/>
  <c r="AE317" i="3" s="1"/>
  <c r="Y317" i="3"/>
  <c r="X317" i="3"/>
  <c r="AD317" i="3" s="1"/>
  <c r="AC309" i="3"/>
  <c r="AA309" i="3"/>
  <c r="Z309" i="3"/>
  <c r="AE309" i="3" s="1"/>
  <c r="Y309" i="3"/>
  <c r="X309" i="3"/>
  <c r="AD309" i="3" s="1"/>
  <c r="AC301" i="3"/>
  <c r="AA301" i="3"/>
  <c r="Z301" i="3"/>
  <c r="AE301" i="3" s="1"/>
  <c r="Y301" i="3"/>
  <c r="X301" i="3"/>
  <c r="AD301" i="3" s="1"/>
  <c r="AC293" i="3"/>
  <c r="Y293" i="3"/>
  <c r="AA293" i="3"/>
  <c r="Z293" i="3"/>
  <c r="AE293" i="3" s="1"/>
  <c r="X293" i="3"/>
  <c r="AD293" i="3" s="1"/>
  <c r="AC285" i="3"/>
  <c r="Z285" i="3"/>
  <c r="AE285" i="3" s="1"/>
  <c r="Y285" i="3"/>
  <c r="X285" i="3"/>
  <c r="AD285" i="3" s="1"/>
  <c r="AA285" i="3"/>
  <c r="AC277" i="3"/>
  <c r="AA277" i="3"/>
  <c r="Z277" i="3"/>
  <c r="AE277" i="3" s="1"/>
  <c r="X277" i="3"/>
  <c r="AD277" i="3" s="1"/>
  <c r="Y277" i="3"/>
  <c r="AC269" i="3"/>
  <c r="AA269" i="3"/>
  <c r="X269" i="3"/>
  <c r="AD269" i="3" s="1"/>
  <c r="Y269" i="3"/>
  <c r="Z269" i="3"/>
  <c r="AE269" i="3" s="1"/>
  <c r="AC908" i="3"/>
  <c r="Z908" i="3"/>
  <c r="AE908" i="3" s="1"/>
  <c r="Y908" i="3"/>
  <c r="AA908" i="3"/>
  <c r="X908" i="3"/>
  <c r="AD908" i="3" s="1"/>
  <c r="AC892" i="3"/>
  <c r="Z892" i="3"/>
  <c r="AE892" i="3" s="1"/>
  <c r="AA892" i="3"/>
  <c r="X892" i="3"/>
  <c r="AD892" i="3" s="1"/>
  <c r="Y892" i="3"/>
  <c r="AC836" i="3"/>
  <c r="Z836" i="3"/>
  <c r="AE836" i="3" s="1"/>
  <c r="AA836" i="3"/>
  <c r="X836" i="3"/>
  <c r="AD836" i="3" s="1"/>
  <c r="Y836" i="3"/>
  <c r="AC788" i="3"/>
  <c r="Z788" i="3"/>
  <c r="AE788" i="3" s="1"/>
  <c r="AA788" i="3"/>
  <c r="Y788" i="3"/>
  <c r="X788" i="3"/>
  <c r="AD788" i="3" s="1"/>
  <c r="AC780" i="3"/>
  <c r="Z780" i="3"/>
  <c r="AE780" i="3" s="1"/>
  <c r="Y780" i="3"/>
  <c r="AA780" i="3"/>
  <c r="X780" i="3"/>
  <c r="AD780" i="3" s="1"/>
  <c r="AC764" i="3"/>
  <c r="Z764" i="3"/>
  <c r="AE764" i="3" s="1"/>
  <c r="AA764" i="3"/>
  <c r="Y764" i="3"/>
  <c r="X764" i="3"/>
  <c r="AD764" i="3" s="1"/>
  <c r="AC756" i="3"/>
  <c r="Z756" i="3"/>
  <c r="AE756" i="3" s="1"/>
  <c r="Y756" i="3"/>
  <c r="AA756" i="3"/>
  <c r="X756" i="3"/>
  <c r="AD756" i="3" s="1"/>
  <c r="AC748" i="3"/>
  <c r="Z748" i="3"/>
  <c r="AE748" i="3" s="1"/>
  <c r="AA748" i="3"/>
  <c r="X748" i="3"/>
  <c r="AD748" i="3" s="1"/>
  <c r="Y748" i="3"/>
  <c r="AC740" i="3"/>
  <c r="Z740" i="3"/>
  <c r="AE740" i="3" s="1"/>
  <c r="AA740" i="3"/>
  <c r="X740" i="3"/>
  <c r="AD740" i="3" s="1"/>
  <c r="Y740" i="3"/>
  <c r="AC732" i="3"/>
  <c r="Z732" i="3"/>
  <c r="AE732" i="3" s="1"/>
  <c r="Y732" i="3"/>
  <c r="AA732" i="3"/>
  <c r="X732" i="3"/>
  <c r="AD732" i="3" s="1"/>
  <c r="AC724" i="3"/>
  <c r="Z724" i="3"/>
  <c r="AE724" i="3" s="1"/>
  <c r="Y724" i="3"/>
  <c r="X724" i="3"/>
  <c r="AD724" i="3" s="1"/>
  <c r="AA724" i="3"/>
  <c r="AC716" i="3"/>
  <c r="Z716" i="3"/>
  <c r="AE716" i="3" s="1"/>
  <c r="AA716" i="3"/>
  <c r="Y716" i="3"/>
  <c r="X716" i="3"/>
  <c r="AD716" i="3" s="1"/>
  <c r="AC708" i="3"/>
  <c r="Z708" i="3"/>
  <c r="AE708" i="3" s="1"/>
  <c r="AA708" i="3"/>
  <c r="X708" i="3"/>
  <c r="AD708" i="3" s="1"/>
  <c r="Y708" i="3"/>
  <c r="AC700" i="3"/>
  <c r="Z700" i="3"/>
  <c r="AE700" i="3" s="1"/>
  <c r="AA700" i="3"/>
  <c r="Y700" i="3"/>
  <c r="X700" i="3"/>
  <c r="AD700" i="3" s="1"/>
  <c r="AC692" i="3"/>
  <c r="Z692" i="3"/>
  <c r="AE692" i="3" s="1"/>
  <c r="AA692" i="3"/>
  <c r="Y692" i="3"/>
  <c r="X692" i="3"/>
  <c r="AD692" i="3" s="1"/>
  <c r="AC684" i="3"/>
  <c r="Z684" i="3"/>
  <c r="AE684" i="3" s="1"/>
  <c r="AA684" i="3"/>
  <c r="Y684" i="3"/>
  <c r="X684" i="3"/>
  <c r="AD684" i="3" s="1"/>
  <c r="AC676" i="3"/>
  <c r="Z676" i="3"/>
  <c r="AE676" i="3" s="1"/>
  <c r="X676" i="3"/>
  <c r="AD676" i="3" s="1"/>
  <c r="Y676" i="3"/>
  <c r="AA676" i="3"/>
  <c r="AC668" i="3"/>
  <c r="Z668" i="3"/>
  <c r="AE668" i="3" s="1"/>
  <c r="AA668" i="3"/>
  <c r="Y668" i="3"/>
  <c r="X668" i="3"/>
  <c r="AD668" i="3" s="1"/>
  <c r="AC660" i="3"/>
  <c r="Z660" i="3"/>
  <c r="AE660" i="3" s="1"/>
  <c r="Y660" i="3"/>
  <c r="AA660" i="3"/>
  <c r="X660" i="3"/>
  <c r="AD660" i="3" s="1"/>
  <c r="AC652" i="3"/>
  <c r="Z652" i="3"/>
  <c r="AE652" i="3" s="1"/>
  <c r="Y652" i="3"/>
  <c r="AA652" i="3"/>
  <c r="X652" i="3"/>
  <c r="AD652" i="3" s="1"/>
  <c r="AC644" i="3"/>
  <c r="Z644" i="3"/>
  <c r="AE644" i="3" s="1"/>
  <c r="AA644" i="3"/>
  <c r="X644" i="3"/>
  <c r="AD644" i="3" s="1"/>
  <c r="Y644" i="3"/>
  <c r="AC636" i="3"/>
  <c r="Z636" i="3"/>
  <c r="AE636" i="3" s="1"/>
  <c r="AA636" i="3"/>
  <c r="Y636" i="3"/>
  <c r="X636" i="3"/>
  <c r="AD636" i="3" s="1"/>
  <c r="AC628" i="3"/>
  <c r="Z628" i="3"/>
  <c r="AE628" i="3" s="1"/>
  <c r="AA628" i="3"/>
  <c r="Y628" i="3"/>
  <c r="X628" i="3"/>
  <c r="AD628" i="3" s="1"/>
  <c r="AC620" i="3"/>
  <c r="Z620" i="3"/>
  <c r="AE620" i="3" s="1"/>
  <c r="AA620" i="3"/>
  <c r="X620" i="3"/>
  <c r="AD620" i="3" s="1"/>
  <c r="Y620" i="3"/>
  <c r="AC612" i="3"/>
  <c r="Z612" i="3"/>
  <c r="AE612" i="3" s="1"/>
  <c r="Y612" i="3"/>
  <c r="AA612" i="3"/>
  <c r="X612" i="3"/>
  <c r="AD612" i="3" s="1"/>
  <c r="AC604" i="3"/>
  <c r="Z604" i="3"/>
  <c r="AE604" i="3" s="1"/>
  <c r="AA604" i="3"/>
  <c r="Y604" i="3"/>
  <c r="X604" i="3"/>
  <c r="AD604" i="3" s="1"/>
  <c r="AC596" i="3"/>
  <c r="Z596" i="3"/>
  <c r="AE596" i="3" s="1"/>
  <c r="Y596" i="3"/>
  <c r="X596" i="3"/>
  <c r="AD596" i="3" s="1"/>
  <c r="AA596" i="3"/>
  <c r="AC588" i="3"/>
  <c r="Z588" i="3"/>
  <c r="AE588" i="3" s="1"/>
  <c r="AA588" i="3"/>
  <c r="X588" i="3"/>
  <c r="AD588" i="3" s="1"/>
  <c r="Y588" i="3"/>
  <c r="AC580" i="3"/>
  <c r="Z580" i="3"/>
  <c r="AE580" i="3" s="1"/>
  <c r="AA580" i="3"/>
  <c r="Y580" i="3"/>
  <c r="X580" i="3"/>
  <c r="AD580" i="3" s="1"/>
  <c r="AC572" i="3"/>
  <c r="Z572" i="3"/>
  <c r="AE572" i="3" s="1"/>
  <c r="X572" i="3"/>
  <c r="AD572" i="3" s="1"/>
  <c r="AA572" i="3"/>
  <c r="Y572" i="3"/>
  <c r="AC564" i="3"/>
  <c r="Z564" i="3"/>
  <c r="AE564" i="3" s="1"/>
  <c r="AA564" i="3"/>
  <c r="Y564" i="3"/>
  <c r="X564" i="3"/>
  <c r="AD564" i="3" s="1"/>
  <c r="AC556" i="3"/>
  <c r="Z556" i="3"/>
  <c r="AE556" i="3" s="1"/>
  <c r="AA556" i="3"/>
  <c r="X556" i="3"/>
  <c r="AD556" i="3" s="1"/>
  <c r="Y556" i="3"/>
  <c r="AC548" i="3"/>
  <c r="Z548" i="3"/>
  <c r="AE548" i="3" s="1"/>
  <c r="Y548" i="3"/>
  <c r="AA548" i="3"/>
  <c r="X548" i="3"/>
  <c r="AD548" i="3" s="1"/>
  <c r="AC540" i="3"/>
  <c r="Z540" i="3"/>
  <c r="AE540" i="3" s="1"/>
  <c r="AA540" i="3"/>
  <c r="X540" i="3"/>
  <c r="AD540" i="3" s="1"/>
  <c r="Y540" i="3"/>
  <c r="AC532" i="3"/>
  <c r="Z532" i="3"/>
  <c r="AE532" i="3" s="1"/>
  <c r="AA532" i="3"/>
  <c r="Y532" i="3"/>
  <c r="X532" i="3"/>
  <c r="AD532" i="3" s="1"/>
  <c r="AC524" i="3"/>
  <c r="Z524" i="3"/>
  <c r="AE524" i="3" s="1"/>
  <c r="AA524" i="3"/>
  <c r="X524" i="3"/>
  <c r="AD524" i="3" s="1"/>
  <c r="Y524" i="3"/>
  <c r="AC516" i="3"/>
  <c r="Z516" i="3"/>
  <c r="AE516" i="3" s="1"/>
  <c r="AA516" i="3"/>
  <c r="Y516" i="3"/>
  <c r="X516" i="3"/>
  <c r="AD516" i="3" s="1"/>
  <c r="AC508" i="3"/>
  <c r="Z508" i="3"/>
  <c r="AE508" i="3" s="1"/>
  <c r="AA508" i="3"/>
  <c r="X508" i="3"/>
  <c r="AD508" i="3" s="1"/>
  <c r="Y508" i="3"/>
  <c r="AC500" i="3"/>
  <c r="Z500" i="3"/>
  <c r="AE500" i="3" s="1"/>
  <c r="Y500" i="3"/>
  <c r="AA500" i="3"/>
  <c r="X500" i="3"/>
  <c r="AD500" i="3" s="1"/>
  <c r="AC492" i="3"/>
  <c r="Z492" i="3"/>
  <c r="AE492" i="3" s="1"/>
  <c r="AA492" i="3"/>
  <c r="X492" i="3"/>
  <c r="AD492" i="3" s="1"/>
  <c r="Y492" i="3"/>
  <c r="AC484" i="3"/>
  <c r="Z484" i="3"/>
  <c r="AE484" i="3" s="1"/>
  <c r="AA484" i="3"/>
  <c r="Y484" i="3"/>
  <c r="X484" i="3"/>
  <c r="AD484" i="3" s="1"/>
  <c r="AC476" i="3"/>
  <c r="Z476" i="3"/>
  <c r="AE476" i="3" s="1"/>
  <c r="AA476" i="3"/>
  <c r="X476" i="3"/>
  <c r="AD476" i="3" s="1"/>
  <c r="Y476" i="3"/>
  <c r="AC468" i="3"/>
  <c r="Z468" i="3"/>
  <c r="AE468" i="3" s="1"/>
  <c r="Y468" i="3"/>
  <c r="X468" i="3"/>
  <c r="AD468" i="3" s="1"/>
  <c r="AA468" i="3"/>
  <c r="AC460" i="3"/>
  <c r="Z460" i="3"/>
  <c r="AE460" i="3" s="1"/>
  <c r="AA460" i="3"/>
  <c r="X460" i="3"/>
  <c r="AD460" i="3" s="1"/>
  <c r="Y460" i="3"/>
  <c r="AC452" i="3"/>
  <c r="Z452" i="3"/>
  <c r="AE452" i="3" s="1"/>
  <c r="AA452" i="3"/>
  <c r="Y452" i="3"/>
  <c r="X452" i="3"/>
  <c r="AD452" i="3" s="1"/>
  <c r="AC444" i="3"/>
  <c r="Z444" i="3"/>
  <c r="AE444" i="3" s="1"/>
  <c r="X444" i="3"/>
  <c r="AD444" i="3" s="1"/>
  <c r="AA444" i="3"/>
  <c r="Y444" i="3"/>
  <c r="AC436" i="3"/>
  <c r="Z436" i="3"/>
  <c r="AE436" i="3" s="1"/>
  <c r="AA436" i="3"/>
  <c r="Y436" i="3"/>
  <c r="X436" i="3"/>
  <c r="AD436" i="3" s="1"/>
  <c r="AC428" i="3"/>
  <c r="Z428" i="3"/>
  <c r="AE428" i="3" s="1"/>
  <c r="AA428" i="3"/>
  <c r="X428" i="3"/>
  <c r="AD428" i="3" s="1"/>
  <c r="Y428" i="3"/>
  <c r="AC420" i="3"/>
  <c r="Z420" i="3"/>
  <c r="AE420" i="3" s="1"/>
  <c r="Y420" i="3"/>
  <c r="X420" i="3"/>
  <c r="AD420" i="3" s="1"/>
  <c r="AA420" i="3"/>
  <c r="AC412" i="3"/>
  <c r="Z412" i="3"/>
  <c r="AE412" i="3" s="1"/>
  <c r="AA412" i="3"/>
  <c r="X412" i="3"/>
  <c r="AD412" i="3" s="1"/>
  <c r="Y412" i="3"/>
  <c r="AC404" i="3"/>
  <c r="Z404" i="3"/>
  <c r="AE404" i="3" s="1"/>
  <c r="AA404" i="3"/>
  <c r="Y404" i="3"/>
  <c r="X404" i="3"/>
  <c r="AD404" i="3" s="1"/>
  <c r="AC396" i="3"/>
  <c r="Z396" i="3"/>
  <c r="AE396" i="3" s="1"/>
  <c r="AA396" i="3"/>
  <c r="X396" i="3"/>
  <c r="AD396" i="3" s="1"/>
  <c r="Y396" i="3"/>
  <c r="AC388" i="3"/>
  <c r="Z388" i="3"/>
  <c r="AE388" i="3" s="1"/>
  <c r="AA388" i="3"/>
  <c r="Y388" i="3"/>
  <c r="X388" i="3"/>
  <c r="AD388" i="3" s="1"/>
  <c r="AC380" i="3"/>
  <c r="Z380" i="3"/>
  <c r="AE380" i="3" s="1"/>
  <c r="AA380" i="3"/>
  <c r="X380" i="3"/>
  <c r="AD380" i="3" s="1"/>
  <c r="Y380" i="3"/>
  <c r="AC372" i="3"/>
  <c r="Z372" i="3"/>
  <c r="AE372" i="3" s="1"/>
  <c r="AA372" i="3"/>
  <c r="Y372" i="3"/>
  <c r="X372" i="3"/>
  <c r="AD372" i="3" s="1"/>
  <c r="AC364" i="3"/>
  <c r="Z364" i="3"/>
  <c r="AE364" i="3" s="1"/>
  <c r="AA364" i="3"/>
  <c r="X364" i="3"/>
  <c r="AD364" i="3" s="1"/>
  <c r="Y364" i="3"/>
  <c r="AC356" i="3"/>
  <c r="Z356" i="3"/>
  <c r="AE356" i="3" s="1"/>
  <c r="Y356" i="3"/>
  <c r="AA356" i="3"/>
  <c r="X356" i="3"/>
  <c r="AD356" i="3" s="1"/>
  <c r="AC348" i="3"/>
  <c r="Z348" i="3"/>
  <c r="AE348" i="3" s="1"/>
  <c r="AA348" i="3"/>
  <c r="X348" i="3"/>
  <c r="AD348" i="3" s="1"/>
  <c r="Y348" i="3"/>
  <c r="AC340" i="3"/>
  <c r="Z340" i="3"/>
  <c r="AE340" i="3" s="1"/>
  <c r="Y340" i="3"/>
  <c r="X340" i="3"/>
  <c r="AD340" i="3" s="1"/>
  <c r="AA340" i="3"/>
  <c r="AC332" i="3"/>
  <c r="Z332" i="3"/>
  <c r="AE332" i="3" s="1"/>
  <c r="X332" i="3"/>
  <c r="AD332" i="3" s="1"/>
  <c r="AA332" i="3"/>
  <c r="Y332" i="3"/>
  <c r="AC324" i="3"/>
  <c r="Z324" i="3"/>
  <c r="AE324" i="3" s="1"/>
  <c r="AA324" i="3"/>
  <c r="Y324" i="3"/>
  <c r="X324" i="3"/>
  <c r="AD324" i="3" s="1"/>
  <c r="AC316" i="3"/>
  <c r="Z316" i="3"/>
  <c r="AE316" i="3" s="1"/>
  <c r="X316" i="3"/>
  <c r="AD316" i="3" s="1"/>
  <c r="AA316" i="3"/>
  <c r="Y316" i="3"/>
  <c r="AC308" i="3"/>
  <c r="Z308" i="3"/>
  <c r="AE308" i="3" s="1"/>
  <c r="AA308" i="3"/>
  <c r="Y308" i="3"/>
  <c r="X308" i="3"/>
  <c r="AD308" i="3" s="1"/>
  <c r="AC300" i="3"/>
  <c r="Z300" i="3"/>
  <c r="AE300" i="3" s="1"/>
  <c r="AA300" i="3"/>
  <c r="Y300" i="3"/>
  <c r="X300" i="3"/>
  <c r="AD300" i="3" s="1"/>
  <c r="AC292" i="3"/>
  <c r="Z292" i="3"/>
  <c r="AE292" i="3" s="1"/>
  <c r="Y292" i="3"/>
  <c r="X292" i="3"/>
  <c r="AD292" i="3" s="1"/>
  <c r="AA292" i="3"/>
  <c r="AC284" i="3"/>
  <c r="Z284" i="3"/>
  <c r="AE284" i="3" s="1"/>
  <c r="AA284" i="3"/>
  <c r="Y284" i="3"/>
  <c r="X284" i="3"/>
  <c r="AD284" i="3" s="1"/>
  <c r="AC276" i="3"/>
  <c r="Z276" i="3"/>
  <c r="AE276" i="3" s="1"/>
  <c r="AA276" i="3"/>
  <c r="Y276" i="3"/>
  <c r="X276" i="3"/>
  <c r="AD276" i="3" s="1"/>
  <c r="AC268" i="3"/>
  <c r="Z268" i="3"/>
  <c r="AE268" i="3" s="1"/>
  <c r="X268" i="3"/>
  <c r="AD268" i="3" s="1"/>
  <c r="AA268" i="3"/>
  <c r="Y268" i="3"/>
  <c r="A406" i="4"/>
  <c r="A283" i="4"/>
  <c r="A959" i="4"/>
  <c r="A396" i="4"/>
  <c r="A946" i="4"/>
  <c r="A239" i="4"/>
  <c r="A333" i="4"/>
  <c r="A1092" i="4"/>
  <c r="A271" i="4"/>
  <c r="A389" i="4"/>
  <c r="A956" i="4"/>
  <c r="A232" i="4"/>
  <c r="A298" i="4"/>
  <c r="A1040" i="4"/>
  <c r="A374" i="4"/>
  <c r="A1086" i="4"/>
  <c r="A259" i="4"/>
  <c r="A431" i="4"/>
  <c r="A358" i="4"/>
  <c r="A277" i="4"/>
  <c r="A1101" i="4"/>
  <c r="A1043" i="4"/>
  <c r="A306" i="4"/>
  <c r="A1052" i="4"/>
  <c r="A305" i="4"/>
  <c r="A1036" i="4"/>
  <c r="A296" i="4"/>
  <c r="A732" i="4"/>
  <c r="A787" i="4"/>
  <c r="A746" i="4"/>
  <c r="A770" i="4"/>
  <c r="A874" i="4"/>
  <c r="A145" i="4"/>
  <c r="A681" i="4"/>
  <c r="A958" i="4"/>
  <c r="A405" i="4"/>
  <c r="A276" i="4"/>
  <c r="A940" i="4"/>
  <c r="A368" i="4"/>
  <c r="A167" i="4"/>
  <c r="A269" i="4"/>
  <c r="A370" i="4"/>
  <c r="A1095" i="4"/>
  <c r="A301" i="4"/>
  <c r="A1041" i="4"/>
  <c r="A237" i="4"/>
  <c r="A340" i="4"/>
  <c r="A1099" i="4"/>
  <c r="A300" i="4"/>
  <c r="A1044" i="4"/>
  <c r="A278" i="4"/>
  <c r="A330" i="4"/>
  <c r="A1088" i="4"/>
  <c r="A605" i="4"/>
  <c r="A1084" i="4"/>
  <c r="A587" i="4"/>
  <c r="A250" i="4"/>
  <c r="A713" i="4"/>
  <c r="A678" i="4"/>
  <c r="A204" i="4"/>
  <c r="A868" i="4"/>
  <c r="A755" i="4"/>
  <c r="A763" i="4"/>
  <c r="A818" i="4"/>
  <c r="A719" i="4"/>
  <c r="A310" i="4"/>
  <c r="A1053" i="4"/>
  <c r="A134" i="4"/>
  <c r="A669" i="4"/>
  <c r="A717" i="4"/>
  <c r="A740" i="4"/>
  <c r="A875" i="4"/>
  <c r="A761" i="4"/>
  <c r="A816" i="4"/>
  <c r="A355" i="4"/>
  <c r="A225" i="4"/>
  <c r="A433" i="4"/>
  <c r="A1087" i="4"/>
  <c r="A268" i="4"/>
  <c r="A404" i="4"/>
  <c r="A955" i="4"/>
  <c r="A238" i="4"/>
  <c r="A947" i="4"/>
  <c r="A393" i="4"/>
  <c r="A270" i="4"/>
  <c r="A373" i="4"/>
  <c r="A1093" i="4"/>
  <c r="A240" i="4"/>
  <c r="A344" i="4"/>
  <c r="A1112" i="4"/>
  <c r="A229" i="4"/>
  <c r="A386" i="4"/>
  <c r="A960" i="4"/>
  <c r="A949" i="4"/>
  <c r="A227" i="4"/>
  <c r="A385" i="4"/>
  <c r="A1042" i="4"/>
  <c r="A303" i="4"/>
  <c r="A293" i="4"/>
  <c r="A1045" i="4"/>
  <c r="A1091" i="4"/>
  <c r="A281" i="4"/>
  <c r="A327" i="4"/>
  <c r="A1107" i="4"/>
  <c r="A328" i="4"/>
  <c r="A247" i="4"/>
  <c r="A774" i="4"/>
  <c r="A869" i="4"/>
  <c r="A724" i="4"/>
  <c r="A756" i="4"/>
  <c r="A203" i="4"/>
  <c r="A675" i="4"/>
  <c r="A807" i="4"/>
  <c r="A670" i="4"/>
  <c r="A157" i="4"/>
  <c r="A773" i="4"/>
  <c r="A723" i="4"/>
  <c r="A866" i="4"/>
  <c r="A737" i="4"/>
  <c r="A809" i="4"/>
  <c r="A402" i="4"/>
  <c r="A954" i="4"/>
  <c r="A273" i="4"/>
  <c r="A236" i="4"/>
  <c r="A948" i="4"/>
  <c r="A392" i="4"/>
  <c r="A950" i="4"/>
  <c r="A224" i="4"/>
  <c r="A384" i="4"/>
  <c r="A1100" i="4"/>
  <c r="A267" i="4"/>
  <c r="A351" i="4"/>
  <c r="A1109" i="4"/>
  <c r="A251" i="4"/>
  <c r="A377" i="4"/>
  <c r="A363" i="4"/>
  <c r="A169" i="4"/>
  <c r="A999" i="4"/>
  <c r="A292" i="4"/>
  <c r="A1048" i="4"/>
  <c r="A798" i="4"/>
  <c r="A757" i="4"/>
  <c r="A684" i="4"/>
  <c r="A779" i="4"/>
  <c r="A834" i="4"/>
  <c r="A858" i="4"/>
  <c r="A201" i="4"/>
  <c r="A729" i="4"/>
  <c r="A1090" i="4"/>
  <c r="A337" i="4"/>
  <c r="A231" i="4"/>
  <c r="A334" i="4"/>
  <c r="A252" i="4"/>
  <c r="A1106" i="4"/>
  <c r="A676" i="4"/>
  <c r="A812" i="4"/>
  <c r="A202" i="4"/>
  <c r="A730" i="4"/>
  <c r="A738" i="4"/>
  <c r="A776" i="4"/>
  <c r="A871" i="4"/>
  <c r="A765" i="4"/>
  <c r="A748" i="4"/>
  <c r="A139" i="4"/>
  <c r="A802" i="4"/>
  <c r="A873" i="4"/>
  <c r="A680" i="4"/>
  <c r="A735" i="4"/>
  <c r="A258" i="4"/>
  <c r="A1098" i="4"/>
  <c r="A423" i="4"/>
  <c r="A282" i="4"/>
  <c r="A401" i="4"/>
  <c r="A943" i="4"/>
  <c r="A366" i="4"/>
  <c r="A941" i="4"/>
  <c r="A168" i="4"/>
  <c r="A285" i="4"/>
  <c r="A338" i="4"/>
  <c r="A1089" i="4"/>
  <c r="A325" i="4"/>
  <c r="A248" i="4"/>
  <c r="A951" i="4"/>
  <c r="A1094" i="4"/>
  <c r="A284" i="4"/>
  <c r="A361" i="4"/>
  <c r="A430" i="4"/>
  <c r="A1085" i="4"/>
  <c r="A263" i="4"/>
  <c r="A367" i="4"/>
  <c r="A1110" i="4"/>
  <c r="A253" i="4"/>
  <c r="A335" i="4"/>
  <c r="A291" i="4"/>
  <c r="A1047" i="4"/>
  <c r="A348" i="4"/>
  <c r="A234" i="4"/>
  <c r="A1097" i="4"/>
  <c r="A718" i="4"/>
  <c r="A742" i="4"/>
  <c r="A197" i="4"/>
  <c r="A666" i="4"/>
  <c r="A785" i="4"/>
  <c r="A864" i="4"/>
  <c r="A759" i="4"/>
  <c r="A726" i="4"/>
  <c r="A141" i="4"/>
  <c r="A826" i="4"/>
  <c r="A753" i="4"/>
  <c r="A865" i="4"/>
  <c r="A671" i="4"/>
  <c r="A767" i="4"/>
  <c r="A953" i="4"/>
  <c r="A400" i="4"/>
  <c r="A279" i="4"/>
  <c r="A1046" i="4"/>
  <c r="A289" i="4"/>
  <c r="A1114" i="4"/>
  <c r="A256" i="4"/>
  <c r="A376" i="4"/>
  <c r="A418" i="4"/>
  <c r="A257" i="4"/>
  <c r="A1096" i="4"/>
  <c r="A878" i="4"/>
  <c r="A821" i="4"/>
  <c r="A667" i="4"/>
  <c r="A762" i="4"/>
  <c r="A200" i="4"/>
  <c r="A728" i="4"/>
  <c r="A752" i="4"/>
  <c r="A862" i="4"/>
  <c r="A733" i="4"/>
  <c r="A195" i="4"/>
  <c r="A803" i="4"/>
  <c r="A665" i="4"/>
  <c r="A745" i="4"/>
  <c r="A775" i="4"/>
  <c r="A1102" i="4"/>
  <c r="A332" i="4"/>
  <c r="A249" i="4"/>
  <c r="A243" i="4"/>
  <c r="A944" i="4"/>
  <c r="A399" i="4"/>
  <c r="A957" i="4"/>
  <c r="A233" i="4"/>
  <c r="A391" i="4"/>
  <c r="A1115" i="4"/>
  <c r="A416" i="4"/>
  <c r="A255" i="4"/>
  <c r="A254" i="4"/>
  <c r="A701" i="4"/>
  <c r="A619" i="4"/>
  <c r="A1073" i="4"/>
  <c r="A591" i="4"/>
  <c r="A734" i="4"/>
  <c r="A782" i="4"/>
  <c r="A747" i="4"/>
  <c r="A859" i="4"/>
  <c r="A194" i="4"/>
  <c r="A664" i="4"/>
  <c r="A760" i="4"/>
  <c r="A1032" i="4"/>
  <c r="A295" i="4"/>
  <c r="A725" i="4"/>
  <c r="A764" i="4"/>
  <c r="A147" i="4"/>
  <c r="A682" i="4"/>
  <c r="A824" i="4"/>
  <c r="A872" i="4"/>
  <c r="A743" i="4"/>
  <c r="A806" i="4"/>
  <c r="A205" i="4"/>
  <c r="A677" i="4"/>
  <c r="A741" i="4"/>
  <c r="A861" i="4"/>
  <c r="A722" i="4"/>
  <c r="A768" i="4"/>
  <c r="A398" i="4"/>
  <c r="A242" i="4"/>
  <c r="A945" i="4"/>
  <c r="A165" i="4"/>
  <c r="A371" i="4"/>
  <c r="A939" i="4"/>
  <c r="A294" i="4"/>
  <c r="A1039" i="4"/>
  <c r="A262" i="4"/>
  <c r="A621" i="4"/>
  <c r="A1082" i="4"/>
  <c r="A593" i="4"/>
  <c r="A711" i="4"/>
  <c r="A149" i="4"/>
  <c r="A716" i="4"/>
  <c r="A772" i="4"/>
  <c r="A739" i="4"/>
  <c r="A817" i="4"/>
  <c r="A679" i="4"/>
  <c r="A863" i="4"/>
  <c r="A870" i="4"/>
  <c r="A668" i="4"/>
  <c r="A771" i="4"/>
  <c r="A825" i="4"/>
  <c r="A744" i="4"/>
  <c r="A191" i="4"/>
  <c r="A727" i="4"/>
  <c r="A190" i="4"/>
  <c r="A805" i="4"/>
  <c r="A860" i="4"/>
  <c r="A683" i="4"/>
  <c r="A731" i="4"/>
  <c r="A769" i="4"/>
  <c r="A751" i="4"/>
  <c r="H1202" i="4"/>
  <c r="H1122" i="4"/>
  <c r="H1050" i="4"/>
  <c r="H602" i="4"/>
  <c r="H42" i="4"/>
  <c r="H1138" i="4"/>
  <c r="H1058" i="4"/>
  <c r="H738" i="4"/>
  <c r="H67" i="4"/>
  <c r="H1146" i="4"/>
  <c r="H1074" i="4"/>
  <c r="H770" i="4"/>
  <c r="H1154" i="4"/>
  <c r="H1082" i="4"/>
  <c r="H922" i="4"/>
  <c r="H930" i="4"/>
  <c r="H962" i="4"/>
  <c r="H794" i="4"/>
  <c r="H610" i="4"/>
  <c r="H418" i="4"/>
  <c r="H162" i="4"/>
  <c r="H802" i="4"/>
  <c r="H642" i="4"/>
  <c r="H474" i="4"/>
  <c r="H218" i="4"/>
  <c r="H834" i="4"/>
  <c r="H666" i="4"/>
  <c r="H482" i="4"/>
  <c r="H226" i="4"/>
  <c r="H1010" i="4"/>
  <c r="H858" i="4"/>
  <c r="H674" i="4"/>
  <c r="H514" i="4"/>
  <c r="H282" i="4"/>
  <c r="H866" i="4"/>
  <c r="H706" i="4"/>
  <c r="H538" i="4"/>
  <c r="H290" i="4"/>
  <c r="H898" i="4"/>
  <c r="H730" i="4"/>
  <c r="H546" i="4"/>
  <c r="H346" i="4"/>
  <c r="H578" i="4"/>
  <c r="H354" i="4"/>
  <c r="H1194" i="4"/>
  <c r="H1130" i="4"/>
  <c r="H1066" i="4"/>
  <c r="H1002" i="4"/>
  <c r="H938" i="4"/>
  <c r="H874" i="4"/>
  <c r="H810" i="4"/>
  <c r="H746" i="4"/>
  <c r="H682" i="4"/>
  <c r="H618" i="4"/>
  <c r="H554" i="4"/>
  <c r="H490" i="4"/>
  <c r="H426" i="4"/>
  <c r="H362" i="4"/>
  <c r="H298" i="4"/>
  <c r="H234" i="4"/>
  <c r="H170" i="4"/>
  <c r="H105" i="4"/>
  <c r="H946" i="4"/>
  <c r="H882" i="4"/>
  <c r="H818" i="4"/>
  <c r="H754" i="4"/>
  <c r="H690" i="4"/>
  <c r="H626" i="4"/>
  <c r="H562" i="4"/>
  <c r="H498" i="4"/>
  <c r="H434" i="4"/>
  <c r="H370" i="4"/>
  <c r="H306" i="4"/>
  <c r="H242" i="4"/>
  <c r="H178" i="4"/>
  <c r="H114" i="4"/>
  <c r="H1018" i="4"/>
  <c r="H954" i="4"/>
  <c r="H890" i="4"/>
  <c r="H826" i="4"/>
  <c r="H762" i="4"/>
  <c r="H698" i="4"/>
  <c r="H634" i="4"/>
  <c r="H570" i="4"/>
  <c r="H506" i="4"/>
  <c r="H442" i="4"/>
  <c r="H378" i="4"/>
  <c r="H314" i="4"/>
  <c r="H250" i="4"/>
  <c r="H186" i="4"/>
  <c r="H122" i="4"/>
  <c r="H9" i="4"/>
  <c r="H450" i="4"/>
  <c r="H386" i="4"/>
  <c r="H322" i="4"/>
  <c r="H258" i="4"/>
  <c r="H194" i="4"/>
  <c r="H130" i="4"/>
  <c r="H50" i="4"/>
  <c r="H1034" i="4"/>
  <c r="H970" i="4"/>
  <c r="H906" i="4"/>
  <c r="H842" i="4"/>
  <c r="H778" i="4"/>
  <c r="H714" i="4"/>
  <c r="H650" i="4"/>
  <c r="H586" i="4"/>
  <c r="H522" i="4"/>
  <c r="H458" i="4"/>
  <c r="H394" i="4"/>
  <c r="H330" i="4"/>
  <c r="H266" i="4"/>
  <c r="H202" i="4"/>
  <c r="H138" i="4"/>
  <c r="H68" i="4"/>
  <c r="H1042" i="4"/>
  <c r="H978" i="4"/>
  <c r="H914" i="4"/>
  <c r="H850" i="4"/>
  <c r="H786" i="4"/>
  <c r="H722" i="4"/>
  <c r="H658" i="4"/>
  <c r="H594" i="4"/>
  <c r="H530" i="4"/>
  <c r="H466" i="4"/>
  <c r="H402" i="4"/>
  <c r="H338" i="4"/>
  <c r="H274" i="4"/>
  <c r="H210" i="4"/>
  <c r="H146" i="4"/>
  <c r="H77" i="4"/>
  <c r="H154" i="4"/>
  <c r="H87" i="4"/>
  <c r="AA2" i="3"/>
  <c r="Z2" i="3"/>
  <c r="AE2" i="3" s="1"/>
  <c r="AC2" i="3"/>
  <c r="X2" i="3"/>
  <c r="AD2" i="3" s="1"/>
  <c r="Y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" i="3"/>
  <c r="A766" i="4" l="1"/>
  <c r="A1054" i="4"/>
  <c r="A691" i="4"/>
  <c r="A312" i="4"/>
  <c r="A1120" i="4"/>
  <c r="A749" i="4"/>
  <c r="A867" i="4"/>
  <c r="A154" i="4"/>
  <c r="A810" i="4"/>
  <c r="A673" i="4"/>
  <c r="A777" i="4"/>
  <c r="A736" i="4"/>
  <c r="A1018" i="4"/>
  <c r="A288" i="4"/>
  <c r="A814" i="4"/>
  <c r="A828" i="4"/>
  <c r="A1075" i="4"/>
  <c r="A577" i="4"/>
  <c r="A697" i="4"/>
  <c r="A1118" i="4"/>
  <c r="A313" i="4"/>
  <c r="A881" i="4"/>
  <c r="A780" i="4"/>
  <c r="A707" i="4"/>
  <c r="A594" i="4"/>
  <c r="A850" i="4"/>
  <c r="A1065" i="4"/>
  <c r="A597" i="4"/>
  <c r="A705" i="4"/>
  <c r="A848" i="4"/>
  <c r="A791" i="4"/>
  <c r="A1055" i="4"/>
  <c r="A829" i="4"/>
  <c r="A699" i="4"/>
  <c r="A1058" i="4"/>
  <c r="A808" i="4"/>
  <c r="A567" i="4"/>
  <c r="A246" i="4"/>
  <c r="A324" i="4"/>
  <c r="A1108" i="4"/>
  <c r="A797" i="4"/>
  <c r="A853" i="4"/>
  <c r="A700" i="4"/>
  <c r="A586" i="4"/>
  <c r="A1071" i="4"/>
  <c r="A750" i="4"/>
  <c r="A876" i="4"/>
  <c r="A674" i="4"/>
  <c r="A778" i="4"/>
  <c r="A721" i="4"/>
  <c r="A151" i="4"/>
  <c r="A815" i="4"/>
  <c r="A230" i="4"/>
  <c r="A596" i="4"/>
  <c r="A715" i="4"/>
  <c r="A1083" i="4"/>
  <c r="A623" i="4"/>
  <c r="A382" i="4"/>
  <c r="A244" i="4"/>
  <c r="A1104" i="4"/>
  <c r="A381" i="4"/>
  <c r="A266" i="4"/>
  <c r="A1113" i="4"/>
  <c r="A686" i="4"/>
  <c r="A846" i="4"/>
  <c r="A796" i="4"/>
  <c r="A585" i="4"/>
  <c r="A1064" i="4"/>
  <c r="A308" i="4"/>
  <c r="A880" i="4"/>
  <c r="A1119" i="4"/>
  <c r="A790" i="4"/>
  <c r="A827" i="4"/>
  <c r="A570" i="4"/>
  <c r="A688" i="4"/>
  <c r="A1080" i="4"/>
  <c r="A786" i="4"/>
  <c r="A689" i="4"/>
  <c r="A833" i="4"/>
  <c r="A560" i="4"/>
  <c r="A1056" i="4"/>
  <c r="A845" i="4"/>
  <c r="A1060" i="4"/>
  <c r="A795" i="4"/>
  <c r="A554" i="4"/>
  <c r="A703" i="4"/>
  <c r="A261" i="4"/>
  <c r="A427" i="4"/>
  <c r="A1105" i="4"/>
  <c r="A1021" i="4"/>
  <c r="A320" i="4"/>
  <c r="A380" i="4"/>
  <c r="A264" i="4"/>
  <c r="A1103" i="4"/>
  <c r="A1051" i="4"/>
  <c r="A410" i="4"/>
  <c r="A144" i="4"/>
  <c r="A590" i="4"/>
  <c r="A1077" i="4"/>
  <c r="A851" i="4"/>
  <c r="A704" i="4"/>
  <c r="A792" i="4"/>
  <c r="A566" i="4"/>
  <c r="A813" i="4"/>
  <c r="A836" i="4"/>
  <c r="A1076" i="4"/>
  <c r="A698" i="4"/>
  <c r="A556" i="4"/>
  <c r="A844" i="4"/>
  <c r="A1067" i="4"/>
  <c r="A714" i="4"/>
  <c r="A784" i="4"/>
  <c r="A581" i="4"/>
  <c r="A781" i="4"/>
  <c r="A837" i="4"/>
  <c r="A692" i="4"/>
  <c r="A1072" i="4"/>
  <c r="A702" i="4"/>
  <c r="A830" i="4"/>
  <c r="A571" i="4"/>
  <c r="A793" i="4"/>
  <c r="A1063" i="4"/>
  <c r="A709" i="4"/>
  <c r="A788" i="4"/>
  <c r="A595" i="4"/>
  <c r="A1059" i="4"/>
  <c r="A849" i="4"/>
  <c r="A564" i="4"/>
  <c r="A1057" i="4"/>
  <c r="A840" i="4"/>
  <c r="A695" i="4"/>
  <c r="A823" i="4"/>
  <c r="A1062" i="4"/>
  <c r="A589" i="4"/>
  <c r="A804" i="4"/>
  <c r="A706" i="4"/>
  <c r="A847" i="4"/>
  <c r="A573" i="4"/>
  <c r="A685" i="4"/>
  <c r="A842" i="4"/>
  <c r="A1066" i="4"/>
  <c r="A801" i="4"/>
  <c r="A693" i="4"/>
  <c r="A1061" i="4"/>
  <c r="A820" i="4"/>
  <c r="A562" i="4"/>
  <c r="A831" i="4"/>
  <c r="A1070" i="4"/>
  <c r="A565" i="4"/>
  <c r="A819" i="4"/>
  <c r="A696" i="4"/>
  <c r="A839" i="4"/>
  <c r="A710" i="4"/>
  <c r="A588" i="4"/>
  <c r="A852" i="4"/>
  <c r="A1068" i="4"/>
  <c r="A800" i="4"/>
  <c r="A1078" i="4"/>
  <c r="A557" i="4"/>
  <c r="A789" i="4"/>
  <c r="A708" i="4"/>
  <c r="A843" i="4"/>
  <c r="A1020" i="4"/>
  <c r="A321" i="4"/>
  <c r="A558" i="4"/>
  <c r="A835" i="4"/>
  <c r="A794" i="4"/>
  <c r="A1074" i="4"/>
  <c r="A712" i="4"/>
  <c r="A1117" i="4"/>
  <c r="A314" i="4"/>
  <c r="A882" i="4"/>
  <c r="A758" i="4"/>
  <c r="A822" i="4"/>
  <c r="A877" i="4"/>
  <c r="A146" i="4"/>
  <c r="A754" i="4"/>
  <c r="A672" i="4"/>
  <c r="A720" i="4"/>
  <c r="A223" i="4"/>
  <c r="A383" i="4"/>
  <c r="A1111" i="4"/>
  <c r="A315" i="4"/>
  <c r="A1019" i="4"/>
  <c r="A574" i="4"/>
  <c r="A690" i="4"/>
  <c r="A832" i="4"/>
  <c r="A783" i="4"/>
  <c r="A1079" i="4"/>
  <c r="A694" i="4"/>
  <c r="A838" i="4"/>
  <c r="A811" i="4"/>
  <c r="A569" i="4"/>
  <c r="A1081" i="4"/>
  <c r="A1069" i="4"/>
  <c r="A841" i="4"/>
  <c r="A559" i="4"/>
  <c r="A687" i="4"/>
  <c r="A799" i="4"/>
  <c r="AA264" i="3"/>
  <c r="Z264" i="3"/>
  <c r="AE264" i="3" s="1"/>
  <c r="AC264" i="3"/>
  <c r="AA256" i="3"/>
  <c r="Z256" i="3"/>
  <c r="AE256" i="3" s="1"/>
  <c r="AC256" i="3"/>
  <c r="AA248" i="3"/>
  <c r="Z248" i="3"/>
  <c r="AE248" i="3" s="1"/>
  <c r="AC248" i="3"/>
  <c r="AA240" i="3"/>
  <c r="Z240" i="3"/>
  <c r="AE240" i="3" s="1"/>
  <c r="AC240" i="3"/>
  <c r="AA232" i="3"/>
  <c r="Z232" i="3"/>
  <c r="AE232" i="3" s="1"/>
  <c r="AC232" i="3"/>
  <c r="AA224" i="3"/>
  <c r="Z224" i="3"/>
  <c r="AE224" i="3" s="1"/>
  <c r="AC224" i="3"/>
  <c r="AA216" i="3"/>
  <c r="Z216" i="3"/>
  <c r="AE216" i="3" s="1"/>
  <c r="AC216" i="3"/>
  <c r="AA208" i="3"/>
  <c r="Z208" i="3"/>
  <c r="AE208" i="3" s="1"/>
  <c r="AC208" i="3"/>
  <c r="AA200" i="3"/>
  <c r="Z200" i="3"/>
  <c r="AE200" i="3" s="1"/>
  <c r="AC200" i="3"/>
  <c r="AA192" i="3"/>
  <c r="Z192" i="3"/>
  <c r="AE192" i="3" s="1"/>
  <c r="AC192" i="3"/>
  <c r="AA184" i="3"/>
  <c r="Z184" i="3"/>
  <c r="AE184" i="3" s="1"/>
  <c r="AC184" i="3"/>
  <c r="AA176" i="3"/>
  <c r="Z176" i="3"/>
  <c r="AE176" i="3" s="1"/>
  <c r="AC176" i="3"/>
  <c r="AA168" i="3"/>
  <c r="Z168" i="3"/>
  <c r="AE168" i="3" s="1"/>
  <c r="AC168" i="3"/>
  <c r="AA160" i="3"/>
  <c r="Z160" i="3"/>
  <c r="AE160" i="3" s="1"/>
  <c r="AC160" i="3"/>
  <c r="AA152" i="3"/>
  <c r="Z152" i="3"/>
  <c r="AE152" i="3" s="1"/>
  <c r="AC152" i="3"/>
  <c r="AA144" i="3"/>
  <c r="Z144" i="3"/>
  <c r="AE144" i="3" s="1"/>
  <c r="AC144" i="3"/>
  <c r="AA136" i="3"/>
  <c r="Z136" i="3"/>
  <c r="AE136" i="3" s="1"/>
  <c r="AC136" i="3"/>
  <c r="AA128" i="3"/>
  <c r="Z128" i="3"/>
  <c r="AE128" i="3" s="1"/>
  <c r="AC128" i="3"/>
  <c r="AA120" i="3"/>
  <c r="Z120" i="3"/>
  <c r="AE120" i="3" s="1"/>
  <c r="AC120" i="3"/>
  <c r="AA112" i="3"/>
  <c r="Z112" i="3"/>
  <c r="AE112" i="3" s="1"/>
  <c r="AC112" i="3"/>
  <c r="AA104" i="3"/>
  <c r="Z104" i="3"/>
  <c r="AE104" i="3" s="1"/>
  <c r="AC104" i="3"/>
  <c r="AA96" i="3"/>
  <c r="Z96" i="3"/>
  <c r="AE96" i="3" s="1"/>
  <c r="AC96" i="3"/>
  <c r="AA88" i="3"/>
  <c r="Z88" i="3"/>
  <c r="AE88" i="3" s="1"/>
  <c r="AC88" i="3"/>
  <c r="AA80" i="3"/>
  <c r="Z80" i="3"/>
  <c r="AE80" i="3" s="1"/>
  <c r="AC80" i="3"/>
  <c r="AA72" i="3"/>
  <c r="Z72" i="3"/>
  <c r="AE72" i="3" s="1"/>
  <c r="AC72" i="3"/>
  <c r="AA64" i="3"/>
  <c r="Z64" i="3"/>
  <c r="AE64" i="3" s="1"/>
  <c r="AC64" i="3"/>
  <c r="AA56" i="3"/>
  <c r="Z56" i="3"/>
  <c r="AE56" i="3" s="1"/>
  <c r="AC56" i="3"/>
  <c r="AA48" i="3"/>
  <c r="Z48" i="3"/>
  <c r="AE48" i="3" s="1"/>
  <c r="AC48" i="3"/>
  <c r="AA40" i="3"/>
  <c r="Z40" i="3"/>
  <c r="AE40" i="3" s="1"/>
  <c r="AC40" i="3"/>
  <c r="AA32" i="3"/>
  <c r="Z32" i="3"/>
  <c r="AE32" i="3" s="1"/>
  <c r="AC32" i="3"/>
  <c r="AA24" i="3"/>
  <c r="Z24" i="3"/>
  <c r="AE24" i="3" s="1"/>
  <c r="AC24" i="3"/>
  <c r="AA16" i="3"/>
  <c r="Z16" i="3"/>
  <c r="AE16" i="3" s="1"/>
  <c r="AC16" i="3"/>
  <c r="AA8" i="3"/>
  <c r="Z8" i="3"/>
  <c r="AE8" i="3" s="1"/>
  <c r="AC8" i="3"/>
  <c r="R11" i="1"/>
  <c r="R8" i="1"/>
  <c r="R12" i="1" s="1"/>
  <c r="R13" i="1" s="1"/>
  <c r="Q11" i="1"/>
  <c r="Q8" i="1"/>
  <c r="Q12" i="1" s="1"/>
  <c r="Q13" i="1" s="1"/>
  <c r="O11" i="1"/>
  <c r="O8" i="1"/>
  <c r="O12" i="1" s="1"/>
  <c r="O13" i="1" s="1"/>
  <c r="L11" i="1"/>
  <c r="L8" i="1"/>
  <c r="L12" i="1" s="1"/>
  <c r="L13" i="1" s="1"/>
  <c r="K11" i="1"/>
  <c r="K8" i="1"/>
  <c r="K12" i="1" s="1"/>
  <c r="K13" i="1" s="1"/>
  <c r="G11" i="1"/>
  <c r="G8" i="1"/>
  <c r="G12" i="1" s="1"/>
  <c r="G13" i="1" s="1"/>
  <c r="F11" i="1"/>
  <c r="F8" i="1"/>
  <c r="F12" i="1" s="1"/>
  <c r="F13" i="1" s="1"/>
  <c r="AA265" i="3"/>
  <c r="Z265" i="3"/>
  <c r="AE265" i="3" s="1"/>
  <c r="AC265" i="3"/>
  <c r="AA257" i="3"/>
  <c r="Z257" i="3"/>
  <c r="AE257" i="3" s="1"/>
  <c r="AC257" i="3"/>
  <c r="AA249" i="3"/>
  <c r="Z249" i="3"/>
  <c r="AE249" i="3" s="1"/>
  <c r="AC249" i="3"/>
  <c r="AA241" i="3"/>
  <c r="Z241" i="3"/>
  <c r="AE241" i="3" s="1"/>
  <c r="AC241" i="3"/>
  <c r="AA233" i="3"/>
  <c r="Z233" i="3"/>
  <c r="AE233" i="3" s="1"/>
  <c r="AC233" i="3"/>
  <c r="AA225" i="3"/>
  <c r="Z225" i="3"/>
  <c r="AE225" i="3" s="1"/>
  <c r="AC225" i="3"/>
  <c r="AA217" i="3"/>
  <c r="Z217" i="3"/>
  <c r="AE217" i="3" s="1"/>
  <c r="AC217" i="3"/>
  <c r="AA209" i="3"/>
  <c r="Z209" i="3"/>
  <c r="AE209" i="3" s="1"/>
  <c r="AC209" i="3"/>
  <c r="AA201" i="3"/>
  <c r="Z201" i="3"/>
  <c r="AE201" i="3" s="1"/>
  <c r="AC201" i="3"/>
  <c r="AA193" i="3"/>
  <c r="Z193" i="3"/>
  <c r="AE193" i="3" s="1"/>
  <c r="AC193" i="3"/>
  <c r="AA185" i="3"/>
  <c r="Z185" i="3"/>
  <c r="AE185" i="3" s="1"/>
  <c r="AC185" i="3"/>
  <c r="AA177" i="3"/>
  <c r="Z177" i="3"/>
  <c r="AE177" i="3" s="1"/>
  <c r="AC177" i="3"/>
  <c r="AA169" i="3"/>
  <c r="Z169" i="3"/>
  <c r="AE169" i="3" s="1"/>
  <c r="AC169" i="3"/>
  <c r="AA161" i="3"/>
  <c r="Z161" i="3"/>
  <c r="AE161" i="3" s="1"/>
  <c r="AC161" i="3"/>
  <c r="AA153" i="3"/>
  <c r="Z153" i="3"/>
  <c r="AE153" i="3" s="1"/>
  <c r="AC153" i="3"/>
  <c r="AA145" i="3"/>
  <c r="Z145" i="3"/>
  <c r="AE145" i="3" s="1"/>
  <c r="AC145" i="3"/>
  <c r="AA137" i="3"/>
  <c r="Z137" i="3"/>
  <c r="AE137" i="3" s="1"/>
  <c r="AC137" i="3"/>
  <c r="AA129" i="3"/>
  <c r="Z129" i="3"/>
  <c r="AE129" i="3" s="1"/>
  <c r="AC129" i="3"/>
  <c r="AA121" i="3"/>
  <c r="Z121" i="3"/>
  <c r="AE121" i="3" s="1"/>
  <c r="AC121" i="3"/>
  <c r="AA113" i="3"/>
  <c r="Z113" i="3"/>
  <c r="AE113" i="3" s="1"/>
  <c r="AC113" i="3"/>
  <c r="AA105" i="3"/>
  <c r="Z105" i="3"/>
  <c r="AE105" i="3" s="1"/>
  <c r="AC105" i="3"/>
  <c r="AA97" i="3"/>
  <c r="Z97" i="3"/>
  <c r="AE97" i="3" s="1"/>
  <c r="AC97" i="3"/>
  <c r="AA89" i="3"/>
  <c r="Z89" i="3"/>
  <c r="AE89" i="3" s="1"/>
  <c r="AC89" i="3"/>
  <c r="AA81" i="3"/>
  <c r="Z81" i="3"/>
  <c r="AE81" i="3" s="1"/>
  <c r="AC81" i="3"/>
  <c r="AA73" i="3"/>
  <c r="Z73" i="3"/>
  <c r="AE73" i="3" s="1"/>
  <c r="AC73" i="3"/>
  <c r="AA65" i="3"/>
  <c r="Z65" i="3"/>
  <c r="AE65" i="3" s="1"/>
  <c r="AC65" i="3"/>
  <c r="AA57" i="3"/>
  <c r="Z57" i="3"/>
  <c r="AE57" i="3" s="1"/>
  <c r="AC57" i="3"/>
  <c r="AA49" i="3"/>
  <c r="Z49" i="3"/>
  <c r="AE49" i="3" s="1"/>
  <c r="AC49" i="3"/>
  <c r="AA41" i="3"/>
  <c r="Z41" i="3"/>
  <c r="AE41" i="3" s="1"/>
  <c r="AC41" i="3"/>
  <c r="AA33" i="3"/>
  <c r="Z33" i="3"/>
  <c r="AE33" i="3" s="1"/>
  <c r="AC33" i="3"/>
  <c r="AA25" i="3"/>
  <c r="Z25" i="3"/>
  <c r="AE25" i="3" s="1"/>
  <c r="AC25" i="3"/>
  <c r="AA17" i="3"/>
  <c r="Z17" i="3"/>
  <c r="AE17" i="3" s="1"/>
  <c r="AC17" i="3"/>
  <c r="AA9" i="3"/>
  <c r="Z9" i="3"/>
  <c r="AE9" i="3" s="1"/>
  <c r="AC9" i="3"/>
  <c r="AA258" i="3"/>
  <c r="Z258" i="3"/>
  <c r="AE258" i="3" s="1"/>
  <c r="AC258" i="3"/>
  <c r="AA250" i="3"/>
  <c r="Z250" i="3"/>
  <c r="AE250" i="3" s="1"/>
  <c r="AC250" i="3"/>
  <c r="AA242" i="3"/>
  <c r="Z242" i="3"/>
  <c r="AE242" i="3" s="1"/>
  <c r="AC242" i="3"/>
  <c r="AA234" i="3"/>
  <c r="Z234" i="3"/>
  <c r="AE234" i="3" s="1"/>
  <c r="AC234" i="3"/>
  <c r="AA226" i="3"/>
  <c r="Z226" i="3"/>
  <c r="AE226" i="3" s="1"/>
  <c r="AC226" i="3"/>
  <c r="AA218" i="3"/>
  <c r="Z218" i="3"/>
  <c r="AE218" i="3" s="1"/>
  <c r="AC218" i="3"/>
  <c r="AA210" i="3"/>
  <c r="Z210" i="3"/>
  <c r="AE210" i="3" s="1"/>
  <c r="AC210" i="3"/>
  <c r="AA202" i="3"/>
  <c r="Z202" i="3"/>
  <c r="AE202" i="3" s="1"/>
  <c r="AC202" i="3"/>
  <c r="AA194" i="3"/>
  <c r="Z194" i="3"/>
  <c r="AE194" i="3" s="1"/>
  <c r="AC194" i="3"/>
  <c r="AA186" i="3"/>
  <c r="Z186" i="3"/>
  <c r="AE186" i="3" s="1"/>
  <c r="AC186" i="3"/>
  <c r="AA178" i="3"/>
  <c r="Z178" i="3"/>
  <c r="AE178" i="3" s="1"/>
  <c r="AC178" i="3"/>
  <c r="AA170" i="3"/>
  <c r="Z170" i="3"/>
  <c r="AE170" i="3" s="1"/>
  <c r="AC170" i="3"/>
  <c r="AA162" i="3"/>
  <c r="Z162" i="3"/>
  <c r="AE162" i="3" s="1"/>
  <c r="AC162" i="3"/>
  <c r="AA154" i="3"/>
  <c r="Z154" i="3"/>
  <c r="AE154" i="3" s="1"/>
  <c r="AC154" i="3"/>
  <c r="AA146" i="3"/>
  <c r="Z146" i="3"/>
  <c r="AE146" i="3" s="1"/>
  <c r="AC146" i="3"/>
  <c r="AA138" i="3"/>
  <c r="Z138" i="3"/>
  <c r="AE138" i="3" s="1"/>
  <c r="AC138" i="3"/>
  <c r="AA130" i="3"/>
  <c r="Z130" i="3"/>
  <c r="AE130" i="3" s="1"/>
  <c r="AC130" i="3"/>
  <c r="AA122" i="3"/>
  <c r="Z122" i="3"/>
  <c r="AE122" i="3" s="1"/>
  <c r="AC122" i="3"/>
  <c r="AA114" i="3"/>
  <c r="Z114" i="3"/>
  <c r="AE114" i="3" s="1"/>
  <c r="AC114" i="3"/>
  <c r="AA106" i="3"/>
  <c r="Z106" i="3"/>
  <c r="AE106" i="3" s="1"/>
  <c r="AC106" i="3"/>
  <c r="AA98" i="3"/>
  <c r="Z98" i="3"/>
  <c r="AE98" i="3" s="1"/>
  <c r="AC98" i="3"/>
  <c r="AA90" i="3"/>
  <c r="Z90" i="3"/>
  <c r="AE90" i="3" s="1"/>
  <c r="AC90" i="3"/>
  <c r="AA82" i="3"/>
  <c r="Z82" i="3"/>
  <c r="AE82" i="3" s="1"/>
  <c r="P11" i="1" s="1"/>
  <c r="AC82" i="3"/>
  <c r="P5" i="1" s="1"/>
  <c r="P9" i="1" s="1"/>
  <c r="P10" i="1" s="1"/>
  <c r="AA74" i="3"/>
  <c r="Z74" i="3"/>
  <c r="AE74" i="3" s="1"/>
  <c r="AC74" i="3"/>
  <c r="AA66" i="3"/>
  <c r="Z66" i="3"/>
  <c r="AE66" i="3" s="1"/>
  <c r="AC66" i="3"/>
  <c r="AA58" i="3"/>
  <c r="Z58" i="3"/>
  <c r="AE58" i="3" s="1"/>
  <c r="AC58" i="3"/>
  <c r="AA50" i="3"/>
  <c r="Z50" i="3"/>
  <c r="AE50" i="3" s="1"/>
  <c r="AC50" i="3"/>
  <c r="AA42" i="3"/>
  <c r="Z42" i="3"/>
  <c r="AE42" i="3" s="1"/>
  <c r="AC42" i="3"/>
  <c r="AA34" i="3"/>
  <c r="Z34" i="3"/>
  <c r="AE34" i="3" s="1"/>
  <c r="AC34" i="3"/>
  <c r="AA26" i="3"/>
  <c r="Z26" i="3"/>
  <c r="AE26" i="3" s="1"/>
  <c r="AC26" i="3"/>
  <c r="AA18" i="3"/>
  <c r="Z18" i="3"/>
  <c r="AE18" i="3" s="1"/>
  <c r="AC18" i="3"/>
  <c r="AA10" i="3"/>
  <c r="Z10" i="3"/>
  <c r="AE10" i="3" s="1"/>
  <c r="AC10" i="3"/>
  <c r="AA259" i="3"/>
  <c r="Z259" i="3"/>
  <c r="AE259" i="3" s="1"/>
  <c r="AC259" i="3"/>
  <c r="AA251" i="3"/>
  <c r="Z251" i="3"/>
  <c r="AE251" i="3" s="1"/>
  <c r="AC251" i="3"/>
  <c r="AA243" i="3"/>
  <c r="Z243" i="3"/>
  <c r="AE243" i="3" s="1"/>
  <c r="AC243" i="3"/>
  <c r="AA235" i="3"/>
  <c r="Z235" i="3"/>
  <c r="AE235" i="3" s="1"/>
  <c r="AC235" i="3"/>
  <c r="AA227" i="3"/>
  <c r="Z227" i="3"/>
  <c r="AE227" i="3" s="1"/>
  <c r="AC227" i="3"/>
  <c r="AA219" i="3"/>
  <c r="Z219" i="3"/>
  <c r="AE219" i="3" s="1"/>
  <c r="AC219" i="3"/>
  <c r="AA211" i="3"/>
  <c r="Z211" i="3"/>
  <c r="AE211" i="3" s="1"/>
  <c r="AC211" i="3"/>
  <c r="AA203" i="3"/>
  <c r="Z203" i="3"/>
  <c r="AE203" i="3" s="1"/>
  <c r="AC203" i="3"/>
  <c r="AA195" i="3"/>
  <c r="Z195" i="3"/>
  <c r="AE195" i="3" s="1"/>
  <c r="AC195" i="3"/>
  <c r="AA187" i="3"/>
  <c r="Z187" i="3"/>
  <c r="AE187" i="3" s="1"/>
  <c r="AC187" i="3"/>
  <c r="AA179" i="3"/>
  <c r="Z179" i="3"/>
  <c r="AE179" i="3" s="1"/>
  <c r="AC179" i="3"/>
  <c r="AA171" i="3"/>
  <c r="Z171" i="3"/>
  <c r="AE171" i="3" s="1"/>
  <c r="AC171" i="3"/>
  <c r="AA163" i="3"/>
  <c r="Z163" i="3"/>
  <c r="AE163" i="3" s="1"/>
  <c r="AC163" i="3"/>
  <c r="AA155" i="3"/>
  <c r="Z155" i="3"/>
  <c r="AE155" i="3" s="1"/>
  <c r="AC155" i="3"/>
  <c r="AA147" i="3"/>
  <c r="Z147" i="3"/>
  <c r="AE147" i="3" s="1"/>
  <c r="AC147" i="3"/>
  <c r="AA139" i="3"/>
  <c r="Z139" i="3"/>
  <c r="AE139" i="3" s="1"/>
  <c r="AC139" i="3"/>
  <c r="AA131" i="3"/>
  <c r="Z131" i="3"/>
  <c r="AE131" i="3" s="1"/>
  <c r="AC131" i="3"/>
  <c r="AA123" i="3"/>
  <c r="Z123" i="3"/>
  <c r="AE123" i="3" s="1"/>
  <c r="AC123" i="3"/>
  <c r="AA115" i="3"/>
  <c r="Z115" i="3"/>
  <c r="AE115" i="3" s="1"/>
  <c r="AC115" i="3"/>
  <c r="AA107" i="3"/>
  <c r="Z107" i="3"/>
  <c r="AE107" i="3" s="1"/>
  <c r="AC107" i="3"/>
  <c r="AA99" i="3"/>
  <c r="Z99" i="3"/>
  <c r="AE99" i="3" s="1"/>
  <c r="AC99" i="3"/>
  <c r="AA91" i="3"/>
  <c r="Z91" i="3"/>
  <c r="AE91" i="3" s="1"/>
  <c r="AC91" i="3"/>
  <c r="AA83" i="3"/>
  <c r="Z83" i="3"/>
  <c r="AE83" i="3" s="1"/>
  <c r="AC83" i="3"/>
  <c r="AA75" i="3"/>
  <c r="Z75" i="3"/>
  <c r="AE75" i="3" s="1"/>
  <c r="AC75" i="3"/>
  <c r="AA67" i="3"/>
  <c r="Z67" i="3"/>
  <c r="AE67" i="3" s="1"/>
  <c r="AC67" i="3"/>
  <c r="AA59" i="3"/>
  <c r="Z59" i="3"/>
  <c r="AE59" i="3" s="1"/>
  <c r="AC59" i="3"/>
  <c r="AA51" i="3"/>
  <c r="Z51" i="3"/>
  <c r="AE51" i="3" s="1"/>
  <c r="AC51" i="3"/>
  <c r="AA43" i="3"/>
  <c r="Z43" i="3"/>
  <c r="AE43" i="3" s="1"/>
  <c r="AC43" i="3"/>
  <c r="AA35" i="3"/>
  <c r="Z35" i="3"/>
  <c r="AE35" i="3" s="1"/>
  <c r="AC35" i="3"/>
  <c r="AA27" i="3"/>
  <c r="Z27" i="3"/>
  <c r="AE27" i="3" s="1"/>
  <c r="AC27" i="3"/>
  <c r="AA19" i="3"/>
  <c r="Z19" i="3"/>
  <c r="AE19" i="3" s="1"/>
  <c r="AC19" i="3"/>
  <c r="AA11" i="3"/>
  <c r="Z11" i="3"/>
  <c r="AE11" i="3" s="1"/>
  <c r="AC11" i="3"/>
  <c r="AA3" i="3"/>
  <c r="Z3" i="3"/>
  <c r="AE3" i="3" s="1"/>
  <c r="AC3" i="3"/>
  <c r="AA260" i="3"/>
  <c r="Z260" i="3"/>
  <c r="AE260" i="3" s="1"/>
  <c r="AC260" i="3"/>
  <c r="AA252" i="3"/>
  <c r="Z252" i="3"/>
  <c r="AE252" i="3" s="1"/>
  <c r="AC252" i="3"/>
  <c r="AA244" i="3"/>
  <c r="Z244" i="3"/>
  <c r="AE244" i="3" s="1"/>
  <c r="AC244" i="3"/>
  <c r="AA236" i="3"/>
  <c r="Z236" i="3"/>
  <c r="AE236" i="3" s="1"/>
  <c r="AC236" i="3"/>
  <c r="AA228" i="3"/>
  <c r="Z228" i="3"/>
  <c r="AE228" i="3" s="1"/>
  <c r="AC228" i="3"/>
  <c r="AA220" i="3"/>
  <c r="Z220" i="3"/>
  <c r="AE220" i="3" s="1"/>
  <c r="AC220" i="3"/>
  <c r="AA212" i="3"/>
  <c r="Z212" i="3"/>
  <c r="AE212" i="3" s="1"/>
  <c r="AC212" i="3"/>
  <c r="AA204" i="3"/>
  <c r="Z204" i="3"/>
  <c r="AE204" i="3" s="1"/>
  <c r="AC204" i="3"/>
  <c r="AA196" i="3"/>
  <c r="Z196" i="3"/>
  <c r="AE196" i="3" s="1"/>
  <c r="AC196" i="3"/>
  <c r="AA188" i="3"/>
  <c r="Z188" i="3"/>
  <c r="AE188" i="3" s="1"/>
  <c r="AC188" i="3"/>
  <c r="AA180" i="3"/>
  <c r="Z180" i="3"/>
  <c r="AE180" i="3" s="1"/>
  <c r="AC180" i="3"/>
  <c r="AA172" i="3"/>
  <c r="Z172" i="3"/>
  <c r="AE172" i="3" s="1"/>
  <c r="AC172" i="3"/>
  <c r="AA164" i="3"/>
  <c r="Z164" i="3"/>
  <c r="AE164" i="3" s="1"/>
  <c r="AC164" i="3"/>
  <c r="AA156" i="3"/>
  <c r="Z156" i="3"/>
  <c r="AE156" i="3" s="1"/>
  <c r="AC156" i="3"/>
  <c r="AA148" i="3"/>
  <c r="Z148" i="3"/>
  <c r="AE148" i="3" s="1"/>
  <c r="AC148" i="3"/>
  <c r="AA140" i="3"/>
  <c r="Z140" i="3"/>
  <c r="AE140" i="3" s="1"/>
  <c r="AC140" i="3"/>
  <c r="AA132" i="3"/>
  <c r="Z132" i="3"/>
  <c r="AE132" i="3" s="1"/>
  <c r="AC132" i="3"/>
  <c r="AA124" i="3"/>
  <c r="Z124" i="3"/>
  <c r="AE124" i="3" s="1"/>
  <c r="AC124" i="3"/>
  <c r="AA116" i="3"/>
  <c r="Z116" i="3"/>
  <c r="AE116" i="3" s="1"/>
  <c r="AC116" i="3"/>
  <c r="AA108" i="3"/>
  <c r="Z108" i="3"/>
  <c r="AE108" i="3" s="1"/>
  <c r="AC108" i="3"/>
  <c r="AA100" i="3"/>
  <c r="Z100" i="3"/>
  <c r="AE100" i="3" s="1"/>
  <c r="AC100" i="3"/>
  <c r="AA92" i="3"/>
  <c r="Z92" i="3"/>
  <c r="AE92" i="3" s="1"/>
  <c r="AC92" i="3"/>
  <c r="AA84" i="3"/>
  <c r="Z84" i="3"/>
  <c r="AE84" i="3" s="1"/>
  <c r="AC84" i="3"/>
  <c r="AA76" i="3"/>
  <c r="Z76" i="3"/>
  <c r="AE76" i="3" s="1"/>
  <c r="AC76" i="3"/>
  <c r="AA68" i="3"/>
  <c r="Z68" i="3"/>
  <c r="AE68" i="3" s="1"/>
  <c r="AC68" i="3"/>
  <c r="AA60" i="3"/>
  <c r="Z60" i="3"/>
  <c r="AE60" i="3" s="1"/>
  <c r="AC60" i="3"/>
  <c r="AA52" i="3"/>
  <c r="Z52" i="3"/>
  <c r="AE52" i="3" s="1"/>
  <c r="AC52" i="3"/>
  <c r="AA44" i="3"/>
  <c r="Z44" i="3"/>
  <c r="AE44" i="3" s="1"/>
  <c r="AC44" i="3"/>
  <c r="AA36" i="3"/>
  <c r="Z36" i="3"/>
  <c r="AE36" i="3" s="1"/>
  <c r="AC36" i="3"/>
  <c r="AA28" i="3"/>
  <c r="Z28" i="3"/>
  <c r="AE28" i="3" s="1"/>
  <c r="AC28" i="3"/>
  <c r="AA20" i="3"/>
  <c r="Z20" i="3"/>
  <c r="AE20" i="3" s="1"/>
  <c r="AC20" i="3"/>
  <c r="AA12" i="3"/>
  <c r="Z12" i="3"/>
  <c r="AE12" i="3" s="1"/>
  <c r="AC12" i="3"/>
  <c r="AA4" i="3"/>
  <c r="Z4" i="3"/>
  <c r="AE4" i="3" s="1"/>
  <c r="AC4" i="3"/>
  <c r="AA261" i="3"/>
  <c r="Z261" i="3"/>
  <c r="AE261" i="3" s="1"/>
  <c r="AC261" i="3"/>
  <c r="AA253" i="3"/>
  <c r="Z253" i="3"/>
  <c r="AE253" i="3" s="1"/>
  <c r="AC253" i="3"/>
  <c r="AA245" i="3"/>
  <c r="Z245" i="3"/>
  <c r="AE245" i="3" s="1"/>
  <c r="AC245" i="3"/>
  <c r="AA237" i="3"/>
  <c r="Z237" i="3"/>
  <c r="AE237" i="3" s="1"/>
  <c r="AC237" i="3"/>
  <c r="AA229" i="3"/>
  <c r="Z229" i="3"/>
  <c r="AE229" i="3" s="1"/>
  <c r="AC229" i="3"/>
  <c r="AA221" i="3"/>
  <c r="Z221" i="3"/>
  <c r="AE221" i="3" s="1"/>
  <c r="AC221" i="3"/>
  <c r="AA213" i="3"/>
  <c r="Z213" i="3"/>
  <c r="AE213" i="3" s="1"/>
  <c r="AC213" i="3"/>
  <c r="AA205" i="3"/>
  <c r="Z205" i="3"/>
  <c r="AE205" i="3" s="1"/>
  <c r="AC205" i="3"/>
  <c r="AA197" i="3"/>
  <c r="Z197" i="3"/>
  <c r="AE197" i="3" s="1"/>
  <c r="AC197" i="3"/>
  <c r="AA189" i="3"/>
  <c r="Z189" i="3"/>
  <c r="AE189" i="3" s="1"/>
  <c r="AC189" i="3"/>
  <c r="AA181" i="3"/>
  <c r="Z181" i="3"/>
  <c r="AE181" i="3" s="1"/>
  <c r="AC181" i="3"/>
  <c r="AA173" i="3"/>
  <c r="Z173" i="3"/>
  <c r="AE173" i="3" s="1"/>
  <c r="AC173" i="3"/>
  <c r="AA165" i="3"/>
  <c r="Z165" i="3"/>
  <c r="AE165" i="3" s="1"/>
  <c r="AC165" i="3"/>
  <c r="AA157" i="3"/>
  <c r="Z157" i="3"/>
  <c r="AE157" i="3" s="1"/>
  <c r="AC157" i="3"/>
  <c r="AA149" i="3"/>
  <c r="Z149" i="3"/>
  <c r="AE149" i="3" s="1"/>
  <c r="AC149" i="3"/>
  <c r="AA141" i="3"/>
  <c r="Z141" i="3"/>
  <c r="AE141" i="3" s="1"/>
  <c r="AC141" i="3"/>
  <c r="AA133" i="3"/>
  <c r="Z133" i="3"/>
  <c r="AE133" i="3" s="1"/>
  <c r="AC133" i="3"/>
  <c r="AA125" i="3"/>
  <c r="Z125" i="3"/>
  <c r="AE125" i="3" s="1"/>
  <c r="AC125" i="3"/>
  <c r="AA117" i="3"/>
  <c r="Z117" i="3"/>
  <c r="AE117" i="3" s="1"/>
  <c r="AC117" i="3"/>
  <c r="AA109" i="3"/>
  <c r="Z109" i="3"/>
  <c r="AE109" i="3" s="1"/>
  <c r="AC109" i="3"/>
  <c r="AA101" i="3"/>
  <c r="Z101" i="3"/>
  <c r="AE101" i="3" s="1"/>
  <c r="AC101" i="3"/>
  <c r="AA93" i="3"/>
  <c r="Z93" i="3"/>
  <c r="AE93" i="3" s="1"/>
  <c r="AC93" i="3"/>
  <c r="AA85" i="3"/>
  <c r="Z85" i="3"/>
  <c r="AE85" i="3" s="1"/>
  <c r="AC85" i="3"/>
  <c r="AA77" i="3"/>
  <c r="Z77" i="3"/>
  <c r="AE77" i="3" s="1"/>
  <c r="AC77" i="3"/>
  <c r="AA69" i="3"/>
  <c r="Z69" i="3"/>
  <c r="AE69" i="3" s="1"/>
  <c r="AC69" i="3"/>
  <c r="AA61" i="3"/>
  <c r="Z61" i="3"/>
  <c r="AE61" i="3" s="1"/>
  <c r="AC61" i="3"/>
  <c r="AA53" i="3"/>
  <c r="Z53" i="3"/>
  <c r="AE53" i="3" s="1"/>
  <c r="AC53" i="3"/>
  <c r="AA45" i="3"/>
  <c r="Z45" i="3"/>
  <c r="AE45" i="3" s="1"/>
  <c r="AC45" i="3"/>
  <c r="AA37" i="3"/>
  <c r="Z37" i="3"/>
  <c r="AE37" i="3" s="1"/>
  <c r="AC37" i="3"/>
  <c r="AA29" i="3"/>
  <c r="Z29" i="3"/>
  <c r="AE29" i="3" s="1"/>
  <c r="AC29" i="3"/>
  <c r="AA21" i="3"/>
  <c r="Z21" i="3"/>
  <c r="AE21" i="3" s="1"/>
  <c r="AC21" i="3"/>
  <c r="AA13" i="3"/>
  <c r="Z13" i="3"/>
  <c r="AE13" i="3" s="1"/>
  <c r="AC13" i="3"/>
  <c r="AA5" i="3"/>
  <c r="Z5" i="3"/>
  <c r="AE5" i="3" s="1"/>
  <c r="AC5" i="3"/>
  <c r="AA262" i="3"/>
  <c r="Z262" i="3"/>
  <c r="AE262" i="3" s="1"/>
  <c r="AC262" i="3"/>
  <c r="AA254" i="3"/>
  <c r="Z254" i="3"/>
  <c r="AE254" i="3" s="1"/>
  <c r="AC254" i="3"/>
  <c r="AA246" i="3"/>
  <c r="Z246" i="3"/>
  <c r="AE246" i="3" s="1"/>
  <c r="AC246" i="3"/>
  <c r="AA238" i="3"/>
  <c r="Z238" i="3"/>
  <c r="AE238" i="3" s="1"/>
  <c r="AC238" i="3"/>
  <c r="AA230" i="3"/>
  <c r="Z230" i="3"/>
  <c r="AE230" i="3" s="1"/>
  <c r="AC230" i="3"/>
  <c r="AA222" i="3"/>
  <c r="Z222" i="3"/>
  <c r="AE222" i="3" s="1"/>
  <c r="AC222" i="3"/>
  <c r="AA214" i="3"/>
  <c r="Z214" i="3"/>
  <c r="AE214" i="3" s="1"/>
  <c r="AC214" i="3"/>
  <c r="AA206" i="3"/>
  <c r="Z206" i="3"/>
  <c r="AE206" i="3" s="1"/>
  <c r="AC206" i="3"/>
  <c r="AA198" i="3"/>
  <c r="Z198" i="3"/>
  <c r="AE198" i="3" s="1"/>
  <c r="AC198" i="3"/>
  <c r="AA190" i="3"/>
  <c r="Z190" i="3"/>
  <c r="AE190" i="3" s="1"/>
  <c r="AC190" i="3"/>
  <c r="AA182" i="3"/>
  <c r="Z182" i="3"/>
  <c r="AE182" i="3" s="1"/>
  <c r="AC182" i="3"/>
  <c r="AA174" i="3"/>
  <c r="Z174" i="3"/>
  <c r="AE174" i="3" s="1"/>
  <c r="AC174" i="3"/>
  <c r="AA166" i="3"/>
  <c r="Z166" i="3"/>
  <c r="AE166" i="3" s="1"/>
  <c r="AC166" i="3"/>
  <c r="AA158" i="3"/>
  <c r="Z158" i="3"/>
  <c r="AE158" i="3" s="1"/>
  <c r="AC158" i="3"/>
  <c r="AA150" i="3"/>
  <c r="Z150" i="3"/>
  <c r="AE150" i="3" s="1"/>
  <c r="AC150" i="3"/>
  <c r="AA142" i="3"/>
  <c r="Z142" i="3"/>
  <c r="AE142" i="3" s="1"/>
  <c r="AC142" i="3"/>
  <c r="AA134" i="3"/>
  <c r="Z134" i="3"/>
  <c r="AE134" i="3" s="1"/>
  <c r="AC134" i="3"/>
  <c r="AA126" i="3"/>
  <c r="Z126" i="3"/>
  <c r="AE126" i="3" s="1"/>
  <c r="AC126" i="3"/>
  <c r="AA118" i="3"/>
  <c r="Z118" i="3"/>
  <c r="AE118" i="3" s="1"/>
  <c r="AC118" i="3"/>
  <c r="AA110" i="3"/>
  <c r="Z110" i="3"/>
  <c r="AE110" i="3" s="1"/>
  <c r="AC110" i="3"/>
  <c r="AA102" i="3"/>
  <c r="Z102" i="3"/>
  <c r="AE102" i="3" s="1"/>
  <c r="AC102" i="3"/>
  <c r="AA94" i="3"/>
  <c r="Z94" i="3"/>
  <c r="AE94" i="3" s="1"/>
  <c r="AC94" i="3"/>
  <c r="AA86" i="3"/>
  <c r="Z86" i="3"/>
  <c r="AE86" i="3" s="1"/>
  <c r="AC86" i="3"/>
  <c r="AA78" i="3"/>
  <c r="Z78" i="3"/>
  <c r="AE78" i="3" s="1"/>
  <c r="AC78" i="3"/>
  <c r="AA70" i="3"/>
  <c r="Z70" i="3"/>
  <c r="AE70" i="3" s="1"/>
  <c r="AC70" i="3"/>
  <c r="AA62" i="3"/>
  <c r="Z62" i="3"/>
  <c r="AE62" i="3" s="1"/>
  <c r="AC62" i="3"/>
  <c r="AA54" i="3"/>
  <c r="Z54" i="3"/>
  <c r="AE54" i="3" s="1"/>
  <c r="AC54" i="3"/>
  <c r="AA46" i="3"/>
  <c r="Z46" i="3"/>
  <c r="AE46" i="3" s="1"/>
  <c r="AC46" i="3"/>
  <c r="AA38" i="3"/>
  <c r="Z38" i="3"/>
  <c r="AE38" i="3" s="1"/>
  <c r="AC38" i="3"/>
  <c r="AA30" i="3"/>
  <c r="Z30" i="3"/>
  <c r="AE30" i="3" s="1"/>
  <c r="AC30" i="3"/>
  <c r="AA22" i="3"/>
  <c r="Z22" i="3"/>
  <c r="AE22" i="3" s="1"/>
  <c r="AC22" i="3"/>
  <c r="AA14" i="3"/>
  <c r="Z14" i="3"/>
  <c r="AE14" i="3" s="1"/>
  <c r="AC14" i="3"/>
  <c r="AA6" i="3"/>
  <c r="Z6" i="3"/>
  <c r="AE6" i="3" s="1"/>
  <c r="AC6" i="3"/>
  <c r="AA263" i="3"/>
  <c r="Z263" i="3"/>
  <c r="AE263" i="3" s="1"/>
  <c r="AC263" i="3"/>
  <c r="AA255" i="3"/>
  <c r="Z255" i="3"/>
  <c r="AE255" i="3" s="1"/>
  <c r="AC255" i="3"/>
  <c r="AA247" i="3"/>
  <c r="Z247" i="3"/>
  <c r="AE247" i="3" s="1"/>
  <c r="AC247" i="3"/>
  <c r="AA239" i="3"/>
  <c r="Z239" i="3"/>
  <c r="AE239" i="3" s="1"/>
  <c r="AC239" i="3"/>
  <c r="AA231" i="3"/>
  <c r="Z231" i="3"/>
  <c r="AE231" i="3" s="1"/>
  <c r="AC231" i="3"/>
  <c r="AA223" i="3"/>
  <c r="Z223" i="3"/>
  <c r="AE223" i="3" s="1"/>
  <c r="AC223" i="3"/>
  <c r="AA215" i="3"/>
  <c r="Z215" i="3"/>
  <c r="AE215" i="3" s="1"/>
  <c r="AC215" i="3"/>
  <c r="AA207" i="3"/>
  <c r="Z207" i="3"/>
  <c r="AE207" i="3" s="1"/>
  <c r="AC207" i="3"/>
  <c r="AA199" i="3"/>
  <c r="Z199" i="3"/>
  <c r="AE199" i="3" s="1"/>
  <c r="AC199" i="3"/>
  <c r="AA191" i="3"/>
  <c r="Z191" i="3"/>
  <c r="AE191" i="3" s="1"/>
  <c r="AC191" i="3"/>
  <c r="AA183" i="3"/>
  <c r="Z183" i="3"/>
  <c r="AE183" i="3" s="1"/>
  <c r="AC183" i="3"/>
  <c r="AA175" i="3"/>
  <c r="Z175" i="3"/>
  <c r="AE175" i="3" s="1"/>
  <c r="AC175" i="3"/>
  <c r="AA167" i="3"/>
  <c r="Z167" i="3"/>
  <c r="AE167" i="3" s="1"/>
  <c r="AC167" i="3"/>
  <c r="AA159" i="3"/>
  <c r="Z159" i="3"/>
  <c r="AE159" i="3" s="1"/>
  <c r="AC159" i="3"/>
  <c r="AA151" i="3"/>
  <c r="Z151" i="3"/>
  <c r="AE151" i="3" s="1"/>
  <c r="AC151" i="3"/>
  <c r="AA143" i="3"/>
  <c r="Z143" i="3"/>
  <c r="AE143" i="3" s="1"/>
  <c r="AC143" i="3"/>
  <c r="AA135" i="3"/>
  <c r="Z135" i="3"/>
  <c r="AE135" i="3" s="1"/>
  <c r="AC135" i="3"/>
  <c r="AA127" i="3"/>
  <c r="Z127" i="3"/>
  <c r="AE127" i="3" s="1"/>
  <c r="AC127" i="3"/>
  <c r="AA119" i="3"/>
  <c r="Z119" i="3"/>
  <c r="AE119" i="3" s="1"/>
  <c r="AC119" i="3"/>
  <c r="AA111" i="3"/>
  <c r="Z111" i="3"/>
  <c r="AE111" i="3" s="1"/>
  <c r="AC111" i="3"/>
  <c r="AA103" i="3"/>
  <c r="Z103" i="3"/>
  <c r="AE103" i="3" s="1"/>
  <c r="AC103" i="3"/>
  <c r="AA95" i="3"/>
  <c r="Z95" i="3"/>
  <c r="AE95" i="3" s="1"/>
  <c r="AC95" i="3"/>
  <c r="AA87" i="3"/>
  <c r="Z87" i="3"/>
  <c r="AE87" i="3" s="1"/>
  <c r="AC87" i="3"/>
  <c r="AA79" i="3"/>
  <c r="Z79" i="3"/>
  <c r="AE79" i="3" s="1"/>
  <c r="AC79" i="3"/>
  <c r="AA71" i="3"/>
  <c r="Z71" i="3"/>
  <c r="AE71" i="3" s="1"/>
  <c r="AC71" i="3"/>
  <c r="AA63" i="3"/>
  <c r="Z63" i="3"/>
  <c r="AE63" i="3" s="1"/>
  <c r="AC63" i="3"/>
  <c r="AA55" i="3"/>
  <c r="Z55" i="3"/>
  <c r="AE55" i="3" s="1"/>
  <c r="AC55" i="3"/>
  <c r="AA47" i="3"/>
  <c r="Z47" i="3"/>
  <c r="AE47" i="3" s="1"/>
  <c r="AC47" i="3"/>
  <c r="AA39" i="3"/>
  <c r="Z39" i="3"/>
  <c r="AE39" i="3" s="1"/>
  <c r="AC39" i="3"/>
  <c r="AA31" i="3"/>
  <c r="Z31" i="3"/>
  <c r="AE31" i="3" s="1"/>
  <c r="AC31" i="3"/>
  <c r="AA23" i="3"/>
  <c r="Z23" i="3"/>
  <c r="AE23" i="3" s="1"/>
  <c r="AC23" i="3"/>
  <c r="AA15" i="3"/>
  <c r="Z15" i="3"/>
  <c r="AE15" i="3" s="1"/>
  <c r="AC15" i="3"/>
  <c r="AA7" i="3"/>
  <c r="Z7" i="3"/>
  <c r="AE7" i="3" s="1"/>
  <c r="AC7" i="3"/>
  <c r="C4" i="1"/>
  <c r="L5" i="1"/>
  <c r="L9" i="1" s="1"/>
  <c r="L10" i="1" s="1"/>
  <c r="Q4" i="1"/>
  <c r="Q6" i="1" s="1"/>
  <c r="Q7" i="1" s="1"/>
  <c r="K5" i="1"/>
  <c r="K9" i="1" s="1"/>
  <c r="K10" i="1" s="1"/>
  <c r="R4" i="1"/>
  <c r="R6" i="1" s="1"/>
  <c r="R7" i="1" s="1"/>
  <c r="R5" i="1"/>
  <c r="R9" i="1" s="1"/>
  <c r="R10" i="1" s="1"/>
  <c r="K4" i="1"/>
  <c r="K6" i="1" s="1"/>
  <c r="K7" i="1" s="1"/>
  <c r="F4" i="1"/>
  <c r="F6" i="1" s="1"/>
  <c r="F7" i="1" s="1"/>
  <c r="Q5" i="1"/>
  <c r="Q9" i="1" s="1"/>
  <c r="Q10" i="1" s="1"/>
  <c r="L4" i="1"/>
  <c r="L6" i="1" s="1"/>
  <c r="L7" i="1" s="1"/>
  <c r="D4" i="1"/>
  <c r="M4" i="1"/>
  <c r="E4" i="1"/>
  <c r="I4" i="1"/>
  <c r="I6" i="1" s="1"/>
  <c r="I7" i="1" s="1"/>
  <c r="G5" i="1"/>
  <c r="G9" i="1" s="1"/>
  <c r="G10" i="1" s="1"/>
  <c r="O5" i="1"/>
  <c r="O9" i="1" s="1"/>
  <c r="O10" i="1" s="1"/>
  <c r="N4" i="1"/>
  <c r="J4" i="1"/>
  <c r="F5" i="1"/>
  <c r="F9" i="1" s="1"/>
  <c r="F10" i="1" s="1"/>
  <c r="O4" i="1"/>
  <c r="O6" i="1" s="1"/>
  <c r="O7" i="1" s="1"/>
  <c r="G4" i="1"/>
  <c r="G6" i="1" s="1"/>
  <c r="G7" i="1" s="1"/>
  <c r="P4" i="1"/>
  <c r="H4" i="1"/>
  <c r="H6" i="1" s="1"/>
  <c r="H7" i="1" s="1"/>
  <c r="X234" i="3"/>
  <c r="AD234" i="3" s="1"/>
  <c r="Y234" i="3"/>
  <c r="X218" i="3"/>
  <c r="AD218" i="3" s="1"/>
  <c r="Y218" i="3"/>
  <c r="X210" i="3"/>
  <c r="AD210" i="3" s="1"/>
  <c r="Y210" i="3"/>
  <c r="X202" i="3"/>
  <c r="AD202" i="3" s="1"/>
  <c r="Y202" i="3"/>
  <c r="X194" i="3"/>
  <c r="AD194" i="3" s="1"/>
  <c r="Y194" i="3"/>
  <c r="X186" i="3"/>
  <c r="AD186" i="3" s="1"/>
  <c r="Y186" i="3"/>
  <c r="X178" i="3"/>
  <c r="AD178" i="3" s="1"/>
  <c r="Y178" i="3"/>
  <c r="X170" i="3"/>
  <c r="AD170" i="3" s="1"/>
  <c r="Y170" i="3"/>
  <c r="X162" i="3"/>
  <c r="AD162" i="3" s="1"/>
  <c r="Y162" i="3"/>
  <c r="X154" i="3"/>
  <c r="AD154" i="3" s="1"/>
  <c r="Y154" i="3"/>
  <c r="X146" i="3"/>
  <c r="AD146" i="3" s="1"/>
  <c r="Y146" i="3"/>
  <c r="X138" i="3"/>
  <c r="AD138" i="3" s="1"/>
  <c r="Y138" i="3"/>
  <c r="X130" i="3"/>
  <c r="AD130" i="3" s="1"/>
  <c r="Y130" i="3"/>
  <c r="X122" i="3"/>
  <c r="AD122" i="3" s="1"/>
  <c r="Y122" i="3"/>
  <c r="X114" i="3"/>
  <c r="AD114" i="3" s="1"/>
  <c r="Y114" i="3"/>
  <c r="X106" i="3"/>
  <c r="AD106" i="3" s="1"/>
  <c r="Y106" i="3"/>
  <c r="X98" i="3"/>
  <c r="AD98" i="3" s="1"/>
  <c r="Y98" i="3"/>
  <c r="X90" i="3"/>
  <c r="AD90" i="3" s="1"/>
  <c r="Y90" i="3"/>
  <c r="X82" i="3"/>
  <c r="AD82" i="3" s="1"/>
  <c r="P8" i="1" s="1"/>
  <c r="P12" i="1" s="1"/>
  <c r="P13" i="1" s="1"/>
  <c r="Y82" i="3"/>
  <c r="X74" i="3"/>
  <c r="AD74" i="3" s="1"/>
  <c r="Y74" i="3"/>
  <c r="X66" i="3"/>
  <c r="AD66" i="3" s="1"/>
  <c r="Y66" i="3"/>
  <c r="X58" i="3"/>
  <c r="AD58" i="3" s="1"/>
  <c r="Y58" i="3"/>
  <c r="X50" i="3"/>
  <c r="AD50" i="3" s="1"/>
  <c r="Y50" i="3"/>
  <c r="X42" i="3"/>
  <c r="AD42" i="3" s="1"/>
  <c r="Y42" i="3"/>
  <c r="X34" i="3"/>
  <c r="AD34" i="3" s="1"/>
  <c r="Y34" i="3"/>
  <c r="X26" i="3"/>
  <c r="AD26" i="3" s="1"/>
  <c r="Y26" i="3"/>
  <c r="X18" i="3"/>
  <c r="AD18" i="3" s="1"/>
  <c r="Y18" i="3"/>
  <c r="X10" i="3"/>
  <c r="AD10" i="3" s="1"/>
  <c r="Y10" i="3"/>
  <c r="X226" i="3"/>
  <c r="AD226" i="3" s="1"/>
  <c r="Y226" i="3"/>
  <c r="X259" i="3"/>
  <c r="AD259" i="3" s="1"/>
  <c r="Y259" i="3"/>
  <c r="X251" i="3"/>
  <c r="AD251" i="3" s="1"/>
  <c r="Y251" i="3"/>
  <c r="X243" i="3"/>
  <c r="AD243" i="3" s="1"/>
  <c r="Y243" i="3"/>
  <c r="X235" i="3"/>
  <c r="AD235" i="3" s="1"/>
  <c r="Y235" i="3"/>
  <c r="X227" i="3"/>
  <c r="AD227" i="3" s="1"/>
  <c r="Y227" i="3"/>
  <c r="X219" i="3"/>
  <c r="AD219" i="3" s="1"/>
  <c r="Y219" i="3"/>
  <c r="X211" i="3"/>
  <c r="AD211" i="3" s="1"/>
  <c r="Y211" i="3"/>
  <c r="X203" i="3"/>
  <c r="AD203" i="3" s="1"/>
  <c r="Y203" i="3"/>
  <c r="X195" i="3"/>
  <c r="AD195" i="3" s="1"/>
  <c r="Y195" i="3"/>
  <c r="X187" i="3"/>
  <c r="AD187" i="3" s="1"/>
  <c r="Y187" i="3"/>
  <c r="X179" i="3"/>
  <c r="AD179" i="3" s="1"/>
  <c r="Y179" i="3"/>
  <c r="X171" i="3"/>
  <c r="AD171" i="3" s="1"/>
  <c r="Y171" i="3"/>
  <c r="X163" i="3"/>
  <c r="AD163" i="3" s="1"/>
  <c r="Y163" i="3"/>
  <c r="X155" i="3"/>
  <c r="AD155" i="3" s="1"/>
  <c r="Y155" i="3"/>
  <c r="X147" i="3"/>
  <c r="AD147" i="3" s="1"/>
  <c r="Y147" i="3"/>
  <c r="X139" i="3"/>
  <c r="AD139" i="3" s="1"/>
  <c r="Y139" i="3"/>
  <c r="X131" i="3"/>
  <c r="AD131" i="3" s="1"/>
  <c r="Y131" i="3"/>
  <c r="X123" i="3"/>
  <c r="AD123" i="3" s="1"/>
  <c r="Y123" i="3"/>
  <c r="X115" i="3"/>
  <c r="AD115" i="3" s="1"/>
  <c r="Y115" i="3"/>
  <c r="X107" i="3"/>
  <c r="AD107" i="3" s="1"/>
  <c r="Y107" i="3"/>
  <c r="X99" i="3"/>
  <c r="AD99" i="3" s="1"/>
  <c r="Y99" i="3"/>
  <c r="X91" i="3"/>
  <c r="AD91" i="3" s="1"/>
  <c r="Y91" i="3"/>
  <c r="X83" i="3"/>
  <c r="AD83" i="3" s="1"/>
  <c r="Y83" i="3"/>
  <c r="X75" i="3"/>
  <c r="AD75" i="3" s="1"/>
  <c r="Y75" i="3"/>
  <c r="X67" i="3"/>
  <c r="AD67" i="3" s="1"/>
  <c r="Y67" i="3"/>
  <c r="X59" i="3"/>
  <c r="AD59" i="3" s="1"/>
  <c r="Y59" i="3"/>
  <c r="X51" i="3"/>
  <c r="AD51" i="3" s="1"/>
  <c r="Y51" i="3"/>
  <c r="X43" i="3"/>
  <c r="AD43" i="3" s="1"/>
  <c r="Y43" i="3"/>
  <c r="X35" i="3"/>
  <c r="AD35" i="3" s="1"/>
  <c r="Y35" i="3"/>
  <c r="X27" i="3"/>
  <c r="AD27" i="3" s="1"/>
  <c r="Y27" i="3"/>
  <c r="X19" i="3"/>
  <c r="AD19" i="3" s="1"/>
  <c r="Y19" i="3"/>
  <c r="X11" i="3"/>
  <c r="AD11" i="3" s="1"/>
  <c r="Y11" i="3"/>
  <c r="X3" i="3"/>
  <c r="AD3" i="3" s="1"/>
  <c r="Y3" i="3"/>
  <c r="X250" i="3"/>
  <c r="AD250" i="3" s="1"/>
  <c r="Y250" i="3"/>
  <c r="X260" i="3"/>
  <c r="AD260" i="3" s="1"/>
  <c r="Y260" i="3"/>
  <c r="X252" i="3"/>
  <c r="AD252" i="3" s="1"/>
  <c r="Y252" i="3"/>
  <c r="X244" i="3"/>
  <c r="AD244" i="3" s="1"/>
  <c r="Y244" i="3"/>
  <c r="X236" i="3"/>
  <c r="AD236" i="3" s="1"/>
  <c r="Y236" i="3"/>
  <c r="X228" i="3"/>
  <c r="AD228" i="3" s="1"/>
  <c r="Y228" i="3"/>
  <c r="X220" i="3"/>
  <c r="AD220" i="3" s="1"/>
  <c r="Y220" i="3"/>
  <c r="X212" i="3"/>
  <c r="AD212" i="3" s="1"/>
  <c r="Y212" i="3"/>
  <c r="X204" i="3"/>
  <c r="AD204" i="3" s="1"/>
  <c r="Y204" i="3"/>
  <c r="X196" i="3"/>
  <c r="AD196" i="3" s="1"/>
  <c r="Y196" i="3"/>
  <c r="X188" i="3"/>
  <c r="AD188" i="3" s="1"/>
  <c r="Y188" i="3"/>
  <c r="X180" i="3"/>
  <c r="AD180" i="3" s="1"/>
  <c r="Y180" i="3"/>
  <c r="X172" i="3"/>
  <c r="AD172" i="3" s="1"/>
  <c r="Y172" i="3"/>
  <c r="X164" i="3"/>
  <c r="AD164" i="3" s="1"/>
  <c r="Y164" i="3"/>
  <c r="X156" i="3"/>
  <c r="AD156" i="3" s="1"/>
  <c r="Y156" i="3"/>
  <c r="X148" i="3"/>
  <c r="AD148" i="3" s="1"/>
  <c r="Y148" i="3"/>
  <c r="X140" i="3"/>
  <c r="AD140" i="3" s="1"/>
  <c r="Y140" i="3"/>
  <c r="X132" i="3"/>
  <c r="AD132" i="3" s="1"/>
  <c r="Y132" i="3"/>
  <c r="X124" i="3"/>
  <c r="AD124" i="3" s="1"/>
  <c r="Y124" i="3"/>
  <c r="X116" i="3"/>
  <c r="AD116" i="3" s="1"/>
  <c r="Y116" i="3"/>
  <c r="X108" i="3"/>
  <c r="AD108" i="3" s="1"/>
  <c r="Y108" i="3"/>
  <c r="X100" i="3"/>
  <c r="AD100" i="3" s="1"/>
  <c r="Y100" i="3"/>
  <c r="X92" i="3"/>
  <c r="AD92" i="3" s="1"/>
  <c r="Y92" i="3"/>
  <c r="X84" i="3"/>
  <c r="AD84" i="3" s="1"/>
  <c r="Y84" i="3"/>
  <c r="X76" i="3"/>
  <c r="AD76" i="3" s="1"/>
  <c r="Y76" i="3"/>
  <c r="X68" i="3"/>
  <c r="AD68" i="3" s="1"/>
  <c r="Y68" i="3"/>
  <c r="X60" i="3"/>
  <c r="AD60" i="3" s="1"/>
  <c r="Y60" i="3"/>
  <c r="X52" i="3"/>
  <c r="AD52" i="3" s="1"/>
  <c r="Y52" i="3"/>
  <c r="X44" i="3"/>
  <c r="AD44" i="3" s="1"/>
  <c r="Y44" i="3"/>
  <c r="X36" i="3"/>
  <c r="AD36" i="3" s="1"/>
  <c r="Y36" i="3"/>
  <c r="X28" i="3"/>
  <c r="AD28" i="3" s="1"/>
  <c r="Y28" i="3"/>
  <c r="X20" i="3"/>
  <c r="AD20" i="3" s="1"/>
  <c r="Y20" i="3"/>
  <c r="X12" i="3"/>
  <c r="AD12" i="3" s="1"/>
  <c r="Y12" i="3"/>
  <c r="X4" i="3"/>
  <c r="AD4" i="3" s="1"/>
  <c r="Y4" i="3"/>
  <c r="Y237" i="3"/>
  <c r="X237" i="3"/>
  <c r="AD237" i="3" s="1"/>
  <c r="Y229" i="3"/>
  <c r="X229" i="3"/>
  <c r="AD229" i="3" s="1"/>
  <c r="Y221" i="3"/>
  <c r="X221" i="3"/>
  <c r="AD221" i="3" s="1"/>
  <c r="Y213" i="3"/>
  <c r="X213" i="3"/>
  <c r="AD213" i="3" s="1"/>
  <c r="Y205" i="3"/>
  <c r="X205" i="3"/>
  <c r="AD205" i="3" s="1"/>
  <c r="Y197" i="3"/>
  <c r="X197" i="3"/>
  <c r="AD197" i="3" s="1"/>
  <c r="Y189" i="3"/>
  <c r="X189" i="3"/>
  <c r="AD189" i="3" s="1"/>
  <c r="Y181" i="3"/>
  <c r="X181" i="3"/>
  <c r="AD181" i="3" s="1"/>
  <c r="Y173" i="3"/>
  <c r="X173" i="3"/>
  <c r="AD173" i="3" s="1"/>
  <c r="Y165" i="3"/>
  <c r="X165" i="3"/>
  <c r="AD165" i="3" s="1"/>
  <c r="Y157" i="3"/>
  <c r="X157" i="3"/>
  <c r="AD157" i="3" s="1"/>
  <c r="Y149" i="3"/>
  <c r="X149" i="3"/>
  <c r="AD149" i="3" s="1"/>
  <c r="Y141" i="3"/>
  <c r="X141" i="3"/>
  <c r="AD141" i="3" s="1"/>
  <c r="Y133" i="3"/>
  <c r="X133" i="3"/>
  <c r="AD133" i="3" s="1"/>
  <c r="Y125" i="3"/>
  <c r="X125" i="3"/>
  <c r="AD125" i="3" s="1"/>
  <c r="Y117" i="3"/>
  <c r="X117" i="3"/>
  <c r="AD117" i="3" s="1"/>
  <c r="Y109" i="3"/>
  <c r="X109" i="3"/>
  <c r="AD109" i="3" s="1"/>
  <c r="Y101" i="3"/>
  <c r="X101" i="3"/>
  <c r="AD101" i="3" s="1"/>
  <c r="Y93" i="3"/>
  <c r="X93" i="3"/>
  <c r="AD93" i="3" s="1"/>
  <c r="Y85" i="3"/>
  <c r="X85" i="3"/>
  <c r="AD85" i="3" s="1"/>
  <c r="Y77" i="3"/>
  <c r="X77" i="3"/>
  <c r="AD77" i="3" s="1"/>
  <c r="Y69" i="3"/>
  <c r="X69" i="3"/>
  <c r="AD69" i="3" s="1"/>
  <c r="Y61" i="3"/>
  <c r="X61" i="3"/>
  <c r="AD61" i="3" s="1"/>
  <c r="Y53" i="3"/>
  <c r="X53" i="3"/>
  <c r="AD53" i="3" s="1"/>
  <c r="Y45" i="3"/>
  <c r="X45" i="3"/>
  <c r="AD45" i="3" s="1"/>
  <c r="Y37" i="3"/>
  <c r="X37" i="3"/>
  <c r="AD37" i="3" s="1"/>
  <c r="Y29" i="3"/>
  <c r="X29" i="3"/>
  <c r="AD29" i="3" s="1"/>
  <c r="Y21" i="3"/>
  <c r="X21" i="3"/>
  <c r="AD21" i="3" s="1"/>
  <c r="Y13" i="3"/>
  <c r="X13" i="3"/>
  <c r="AD13" i="3" s="1"/>
  <c r="Y5" i="3"/>
  <c r="X5" i="3"/>
  <c r="AD5" i="3" s="1"/>
  <c r="X242" i="3"/>
  <c r="AD242" i="3" s="1"/>
  <c r="Y242" i="3"/>
  <c r="Y245" i="3"/>
  <c r="X245" i="3"/>
  <c r="AD245" i="3" s="1"/>
  <c r="X262" i="3"/>
  <c r="AD262" i="3" s="1"/>
  <c r="Y262" i="3"/>
  <c r="X254" i="3"/>
  <c r="AD254" i="3" s="1"/>
  <c r="Y254" i="3"/>
  <c r="X246" i="3"/>
  <c r="AD246" i="3" s="1"/>
  <c r="Y246" i="3"/>
  <c r="X238" i="3"/>
  <c r="AD238" i="3" s="1"/>
  <c r="Y238" i="3"/>
  <c r="X230" i="3"/>
  <c r="AD230" i="3" s="1"/>
  <c r="Y230" i="3"/>
  <c r="X222" i="3"/>
  <c r="AD222" i="3" s="1"/>
  <c r="Y222" i="3"/>
  <c r="X214" i="3"/>
  <c r="AD214" i="3" s="1"/>
  <c r="Y214" i="3"/>
  <c r="X206" i="3"/>
  <c r="AD206" i="3" s="1"/>
  <c r="Y206" i="3"/>
  <c r="X198" i="3"/>
  <c r="AD198" i="3" s="1"/>
  <c r="Y198" i="3"/>
  <c r="X190" i="3"/>
  <c r="AD190" i="3" s="1"/>
  <c r="Y190" i="3"/>
  <c r="X182" i="3"/>
  <c r="AD182" i="3" s="1"/>
  <c r="Y182" i="3"/>
  <c r="X174" i="3"/>
  <c r="AD174" i="3" s="1"/>
  <c r="Y174" i="3"/>
  <c r="X166" i="3"/>
  <c r="AD166" i="3" s="1"/>
  <c r="Y166" i="3"/>
  <c r="X158" i="3"/>
  <c r="AD158" i="3" s="1"/>
  <c r="Y158" i="3"/>
  <c r="X150" i="3"/>
  <c r="AD150" i="3" s="1"/>
  <c r="Y150" i="3"/>
  <c r="X142" i="3"/>
  <c r="AD142" i="3" s="1"/>
  <c r="Y142" i="3"/>
  <c r="X134" i="3"/>
  <c r="AD134" i="3" s="1"/>
  <c r="Y134" i="3"/>
  <c r="X126" i="3"/>
  <c r="AD126" i="3" s="1"/>
  <c r="Y126" i="3"/>
  <c r="X118" i="3"/>
  <c r="AD118" i="3" s="1"/>
  <c r="Y118" i="3"/>
  <c r="X110" i="3"/>
  <c r="AD110" i="3" s="1"/>
  <c r="Y110" i="3"/>
  <c r="X102" i="3"/>
  <c r="AD102" i="3" s="1"/>
  <c r="Y102" i="3"/>
  <c r="X94" i="3"/>
  <c r="AD94" i="3" s="1"/>
  <c r="Y94" i="3"/>
  <c r="X86" i="3"/>
  <c r="AD86" i="3" s="1"/>
  <c r="Y86" i="3"/>
  <c r="X78" i="3"/>
  <c r="AD78" i="3" s="1"/>
  <c r="Y78" i="3"/>
  <c r="X70" i="3"/>
  <c r="AD70" i="3" s="1"/>
  <c r="Y70" i="3"/>
  <c r="X62" i="3"/>
  <c r="AD62" i="3" s="1"/>
  <c r="Y62" i="3"/>
  <c r="X54" i="3"/>
  <c r="AD54" i="3" s="1"/>
  <c r="Y54" i="3"/>
  <c r="X46" i="3"/>
  <c r="AD46" i="3" s="1"/>
  <c r="Y46" i="3"/>
  <c r="X38" i="3"/>
  <c r="AD38" i="3" s="1"/>
  <c r="Y38" i="3"/>
  <c r="X30" i="3"/>
  <c r="AD30" i="3" s="1"/>
  <c r="Y30" i="3"/>
  <c r="X22" i="3"/>
  <c r="AD22" i="3" s="1"/>
  <c r="Y22" i="3"/>
  <c r="X14" i="3"/>
  <c r="AD14" i="3" s="1"/>
  <c r="Y14" i="3"/>
  <c r="X6" i="3"/>
  <c r="AD6" i="3" s="1"/>
  <c r="Y6" i="3"/>
  <c r="X258" i="3"/>
  <c r="AD258" i="3" s="1"/>
  <c r="Y258" i="3"/>
  <c r="X263" i="3"/>
  <c r="AD263" i="3" s="1"/>
  <c r="Y263" i="3"/>
  <c r="X255" i="3"/>
  <c r="AD255" i="3" s="1"/>
  <c r="Y255" i="3"/>
  <c r="X247" i="3"/>
  <c r="AD247" i="3" s="1"/>
  <c r="Y247" i="3"/>
  <c r="X239" i="3"/>
  <c r="AD239" i="3" s="1"/>
  <c r="Y239" i="3"/>
  <c r="X231" i="3"/>
  <c r="AD231" i="3" s="1"/>
  <c r="Y231" i="3"/>
  <c r="X223" i="3"/>
  <c r="AD223" i="3" s="1"/>
  <c r="Y223" i="3"/>
  <c r="X215" i="3"/>
  <c r="AD215" i="3" s="1"/>
  <c r="Y215" i="3"/>
  <c r="X207" i="3"/>
  <c r="AD207" i="3" s="1"/>
  <c r="Y207" i="3"/>
  <c r="X199" i="3"/>
  <c r="AD199" i="3" s="1"/>
  <c r="Y199" i="3"/>
  <c r="X191" i="3"/>
  <c r="AD191" i="3" s="1"/>
  <c r="Y191" i="3"/>
  <c r="X183" i="3"/>
  <c r="AD183" i="3" s="1"/>
  <c r="Y183" i="3"/>
  <c r="X175" i="3"/>
  <c r="AD175" i="3" s="1"/>
  <c r="Y175" i="3"/>
  <c r="X167" i="3"/>
  <c r="AD167" i="3" s="1"/>
  <c r="Y167" i="3"/>
  <c r="X159" i="3"/>
  <c r="AD159" i="3" s="1"/>
  <c r="Y159" i="3"/>
  <c r="X151" i="3"/>
  <c r="AD151" i="3" s="1"/>
  <c r="Y151" i="3"/>
  <c r="X143" i="3"/>
  <c r="AD143" i="3" s="1"/>
  <c r="Y143" i="3"/>
  <c r="X135" i="3"/>
  <c r="AD135" i="3" s="1"/>
  <c r="Y135" i="3"/>
  <c r="X127" i="3"/>
  <c r="AD127" i="3" s="1"/>
  <c r="Y127" i="3"/>
  <c r="X119" i="3"/>
  <c r="AD119" i="3" s="1"/>
  <c r="Y119" i="3"/>
  <c r="X111" i="3"/>
  <c r="AD111" i="3" s="1"/>
  <c r="Y111" i="3"/>
  <c r="X103" i="3"/>
  <c r="AD103" i="3" s="1"/>
  <c r="Y103" i="3"/>
  <c r="X95" i="3"/>
  <c r="AD95" i="3" s="1"/>
  <c r="Y95" i="3"/>
  <c r="X87" i="3"/>
  <c r="AD87" i="3" s="1"/>
  <c r="Y87" i="3"/>
  <c r="X79" i="3"/>
  <c r="AD79" i="3" s="1"/>
  <c r="Y79" i="3"/>
  <c r="X71" i="3"/>
  <c r="AD71" i="3" s="1"/>
  <c r="Y71" i="3"/>
  <c r="X63" i="3"/>
  <c r="AD63" i="3" s="1"/>
  <c r="Y63" i="3"/>
  <c r="X55" i="3"/>
  <c r="AD55" i="3" s="1"/>
  <c r="Y55" i="3"/>
  <c r="X47" i="3"/>
  <c r="AD47" i="3" s="1"/>
  <c r="Y47" i="3"/>
  <c r="X39" i="3"/>
  <c r="AD39" i="3" s="1"/>
  <c r="Y39" i="3"/>
  <c r="X31" i="3"/>
  <c r="AD31" i="3" s="1"/>
  <c r="Y31" i="3"/>
  <c r="X23" i="3"/>
  <c r="AD23" i="3" s="1"/>
  <c r="Y23" i="3"/>
  <c r="X15" i="3"/>
  <c r="AD15" i="3" s="1"/>
  <c r="Y15" i="3"/>
  <c r="X7" i="3"/>
  <c r="AD7" i="3" s="1"/>
  <c r="Y7" i="3"/>
  <c r="Y253" i="3"/>
  <c r="X253" i="3"/>
  <c r="AD253" i="3" s="1"/>
  <c r="X256" i="3"/>
  <c r="AD256" i="3" s="1"/>
  <c r="Y256" i="3"/>
  <c r="X248" i="3"/>
  <c r="AD248" i="3" s="1"/>
  <c r="Y248" i="3"/>
  <c r="X240" i="3"/>
  <c r="AD240" i="3" s="1"/>
  <c r="Y240" i="3"/>
  <c r="X232" i="3"/>
  <c r="AD232" i="3" s="1"/>
  <c r="Y232" i="3"/>
  <c r="X224" i="3"/>
  <c r="AD224" i="3" s="1"/>
  <c r="Y224" i="3"/>
  <c r="X216" i="3"/>
  <c r="AD216" i="3" s="1"/>
  <c r="Y216" i="3"/>
  <c r="X208" i="3"/>
  <c r="AD208" i="3" s="1"/>
  <c r="Y208" i="3"/>
  <c r="X200" i="3"/>
  <c r="AD200" i="3" s="1"/>
  <c r="Y200" i="3"/>
  <c r="X192" i="3"/>
  <c r="AD192" i="3" s="1"/>
  <c r="Y192" i="3"/>
  <c r="X184" i="3"/>
  <c r="AD184" i="3" s="1"/>
  <c r="Y184" i="3"/>
  <c r="X176" i="3"/>
  <c r="AD176" i="3" s="1"/>
  <c r="Y176" i="3"/>
  <c r="X168" i="3"/>
  <c r="AD168" i="3" s="1"/>
  <c r="Y168" i="3"/>
  <c r="X160" i="3"/>
  <c r="AD160" i="3" s="1"/>
  <c r="Y160" i="3"/>
  <c r="X152" i="3"/>
  <c r="AD152" i="3" s="1"/>
  <c r="Y152" i="3"/>
  <c r="X144" i="3"/>
  <c r="AD144" i="3" s="1"/>
  <c r="Y144" i="3"/>
  <c r="X136" i="3"/>
  <c r="AD136" i="3" s="1"/>
  <c r="Y136" i="3"/>
  <c r="X128" i="3"/>
  <c r="AD128" i="3" s="1"/>
  <c r="Y128" i="3"/>
  <c r="X120" i="3"/>
  <c r="AD120" i="3" s="1"/>
  <c r="Y120" i="3"/>
  <c r="X112" i="3"/>
  <c r="AD112" i="3" s="1"/>
  <c r="Y112" i="3"/>
  <c r="X104" i="3"/>
  <c r="AD104" i="3" s="1"/>
  <c r="Y104" i="3"/>
  <c r="X96" i="3"/>
  <c r="AD96" i="3" s="1"/>
  <c r="Y96" i="3"/>
  <c r="X88" i="3"/>
  <c r="AD88" i="3" s="1"/>
  <c r="Y88" i="3"/>
  <c r="X80" i="3"/>
  <c r="AD80" i="3" s="1"/>
  <c r="Y80" i="3"/>
  <c r="X72" i="3"/>
  <c r="AD72" i="3" s="1"/>
  <c r="Y72" i="3"/>
  <c r="X64" i="3"/>
  <c r="AD64" i="3" s="1"/>
  <c r="Y64" i="3"/>
  <c r="X56" i="3"/>
  <c r="AD56" i="3" s="1"/>
  <c r="Y56" i="3"/>
  <c r="X48" i="3"/>
  <c r="AD48" i="3" s="1"/>
  <c r="Y48" i="3"/>
  <c r="X40" i="3"/>
  <c r="AD40" i="3" s="1"/>
  <c r="Y40" i="3"/>
  <c r="X32" i="3"/>
  <c r="AD32" i="3" s="1"/>
  <c r="Y32" i="3"/>
  <c r="X24" i="3"/>
  <c r="AD24" i="3" s="1"/>
  <c r="Y24" i="3"/>
  <c r="X16" i="3"/>
  <c r="AD16" i="3" s="1"/>
  <c r="Y16" i="3"/>
  <c r="X8" i="3"/>
  <c r="AD8" i="3" s="1"/>
  <c r="Y8" i="3"/>
  <c r="Y261" i="3"/>
  <c r="X261" i="3"/>
  <c r="AD261" i="3" s="1"/>
  <c r="X264" i="3"/>
  <c r="AD264" i="3" s="1"/>
  <c r="Y264" i="3"/>
  <c r="X265" i="3"/>
  <c r="AD265" i="3" s="1"/>
  <c r="Y265" i="3"/>
  <c r="X257" i="3"/>
  <c r="AD257" i="3" s="1"/>
  <c r="Y257" i="3"/>
  <c r="X249" i="3"/>
  <c r="AD249" i="3" s="1"/>
  <c r="Y249" i="3"/>
  <c r="X241" i="3"/>
  <c r="AD241" i="3" s="1"/>
  <c r="Y241" i="3"/>
  <c r="X233" i="3"/>
  <c r="AD233" i="3" s="1"/>
  <c r="Y233" i="3"/>
  <c r="X225" i="3"/>
  <c r="AD225" i="3" s="1"/>
  <c r="Y225" i="3"/>
  <c r="X217" i="3"/>
  <c r="AD217" i="3" s="1"/>
  <c r="Y217" i="3"/>
  <c r="X209" i="3"/>
  <c r="AD209" i="3" s="1"/>
  <c r="Y209" i="3"/>
  <c r="X201" i="3"/>
  <c r="AD201" i="3" s="1"/>
  <c r="Y201" i="3"/>
  <c r="X193" i="3"/>
  <c r="AD193" i="3" s="1"/>
  <c r="Y193" i="3"/>
  <c r="X185" i="3"/>
  <c r="AD185" i="3" s="1"/>
  <c r="Y185" i="3"/>
  <c r="X177" i="3"/>
  <c r="AD177" i="3" s="1"/>
  <c r="Y177" i="3"/>
  <c r="X169" i="3"/>
  <c r="AD169" i="3" s="1"/>
  <c r="Y169" i="3"/>
  <c r="X161" i="3"/>
  <c r="AD161" i="3" s="1"/>
  <c r="Y161" i="3"/>
  <c r="X153" i="3"/>
  <c r="AD153" i="3" s="1"/>
  <c r="Y153" i="3"/>
  <c r="X145" i="3"/>
  <c r="AD145" i="3" s="1"/>
  <c r="Y145" i="3"/>
  <c r="X137" i="3"/>
  <c r="AD137" i="3" s="1"/>
  <c r="Y137" i="3"/>
  <c r="X129" i="3"/>
  <c r="AD129" i="3" s="1"/>
  <c r="Y129" i="3"/>
  <c r="X121" i="3"/>
  <c r="AD121" i="3" s="1"/>
  <c r="Y121" i="3"/>
  <c r="X113" i="3"/>
  <c r="AD113" i="3" s="1"/>
  <c r="Y113" i="3"/>
  <c r="X105" i="3"/>
  <c r="AD105" i="3" s="1"/>
  <c r="Y105" i="3"/>
  <c r="X97" i="3"/>
  <c r="AD97" i="3" s="1"/>
  <c r="Y97" i="3"/>
  <c r="X89" i="3"/>
  <c r="AD89" i="3" s="1"/>
  <c r="Y89" i="3"/>
  <c r="X81" i="3"/>
  <c r="AD81" i="3" s="1"/>
  <c r="Y81" i="3"/>
  <c r="X73" i="3"/>
  <c r="AD73" i="3" s="1"/>
  <c r="Y73" i="3"/>
  <c r="X65" i="3"/>
  <c r="AD65" i="3" s="1"/>
  <c r="Y65" i="3"/>
  <c r="X57" i="3"/>
  <c r="AD57" i="3" s="1"/>
  <c r="Y57" i="3"/>
  <c r="X49" i="3"/>
  <c r="AD49" i="3" s="1"/>
  <c r="Y49" i="3"/>
  <c r="X41" i="3"/>
  <c r="AD41" i="3" s="1"/>
  <c r="Y41" i="3"/>
  <c r="X33" i="3"/>
  <c r="AD33" i="3" s="1"/>
  <c r="Y33" i="3"/>
  <c r="X25" i="3"/>
  <c r="AD25" i="3" s="1"/>
  <c r="Y25" i="3"/>
  <c r="X17" i="3"/>
  <c r="AD17" i="3" s="1"/>
  <c r="Y17" i="3"/>
  <c r="X9" i="3"/>
  <c r="AD9" i="3" s="1"/>
  <c r="Y9" i="3"/>
  <c r="C23" i="1" l="1"/>
  <c r="M5" i="1"/>
  <c r="M6" i="1" s="1"/>
  <c r="M7" i="1" s="1"/>
  <c r="N5" i="1"/>
  <c r="N6" i="1" s="1"/>
  <c r="N7" i="1" s="1"/>
  <c r="E5" i="1"/>
  <c r="E9" i="1" s="1"/>
  <c r="E10" i="1" s="1"/>
  <c r="I5" i="1"/>
  <c r="I9" i="1" s="1"/>
  <c r="I10" i="1" s="1"/>
  <c r="C5" i="1"/>
  <c r="D5" i="1"/>
  <c r="D6" i="1" s="1"/>
  <c r="D7" i="1" s="1"/>
  <c r="E11" i="1"/>
  <c r="H5" i="1"/>
  <c r="H9" i="1" s="1"/>
  <c r="H10" i="1" s="1"/>
  <c r="N11" i="1"/>
  <c r="J11" i="1"/>
  <c r="J5" i="1"/>
  <c r="J6" i="1" s="1"/>
  <c r="J7" i="1" s="1"/>
  <c r="D11" i="1"/>
  <c r="C11" i="1"/>
  <c r="I11" i="1"/>
  <c r="M11" i="1"/>
  <c r="P6" i="1"/>
  <c r="P7" i="1" s="1"/>
  <c r="H11" i="1"/>
  <c r="N8" i="1"/>
  <c r="M8" i="1"/>
  <c r="E8" i="1"/>
  <c r="E12" i="1" s="1"/>
  <c r="E13" i="1" s="1"/>
  <c r="I8" i="1"/>
  <c r="I12" i="1" s="1"/>
  <c r="I13" i="1" s="1"/>
  <c r="J8" i="1"/>
  <c r="C8" i="1"/>
  <c r="D8" i="1"/>
  <c r="H8" i="1"/>
  <c r="H12" i="1" s="1"/>
  <c r="H13" i="1" s="1"/>
  <c r="E6" i="1" l="1"/>
  <c r="E7" i="1" s="1"/>
  <c r="G23" i="1"/>
  <c r="C6" i="1"/>
  <c r="C7" i="1" s="1"/>
  <c r="O23" i="1"/>
  <c r="M12" i="1"/>
  <c r="M13" i="1" s="1"/>
  <c r="M9" i="1"/>
  <c r="M10" i="1" s="1"/>
  <c r="J9" i="1"/>
  <c r="J10" i="1" s="1"/>
  <c r="J12" i="1"/>
  <c r="J13" i="1" s="1"/>
  <c r="C12" i="1"/>
  <c r="C13" i="1" s="1"/>
  <c r="C9" i="1"/>
  <c r="C10" i="1" s="1"/>
  <c r="K23" i="1"/>
  <c r="D9" i="1"/>
  <c r="D10" i="1" s="1"/>
  <c r="D12" i="1"/>
  <c r="D13" i="1" s="1"/>
  <c r="N9" i="1"/>
  <c r="N10" i="1" s="1"/>
  <c r="N12" i="1"/>
  <c r="N13" i="1" s="1"/>
</calcChain>
</file>

<file path=xl/sharedStrings.xml><?xml version="1.0" encoding="utf-8"?>
<sst xmlns="http://schemas.openxmlformats.org/spreadsheetml/2006/main" count="19997" uniqueCount="1533">
  <si>
    <t>20200302</t>
  </si>
  <si>
    <t>X</t>
  </si>
  <si>
    <t>10020SUM0286A5</t>
  </si>
  <si>
    <t>GTM1</t>
  </si>
  <si>
    <t>SIMG</t>
  </si>
  <si>
    <t>SFMG</t>
  </si>
  <si>
    <t>20200303</t>
  </si>
  <si>
    <t>10020G9E0024A2</t>
  </si>
  <si>
    <t>S1MG</t>
  </si>
  <si>
    <t>10020CG00052C1</t>
  </si>
  <si>
    <t>C-RS 105 700Cx58M G-773CA</t>
  </si>
  <si>
    <t>10021TKE0005A7</t>
  </si>
  <si>
    <t>CHECKPOINT ALR 4 700CX58M TK407-M</t>
  </si>
  <si>
    <t>10021TKE0009A6</t>
  </si>
  <si>
    <t>CHECKPOINT ALR 5 700CX54M GD-DS004(M)</t>
  </si>
  <si>
    <t>10021TKE0010A7</t>
  </si>
  <si>
    <t>CHECKPOINT ALR 5 700CX56M GD-DS004(M)</t>
  </si>
  <si>
    <t>10021TKU0018A1</t>
  </si>
  <si>
    <t>10021TKU0018C8</t>
  </si>
  <si>
    <t>SGMG</t>
  </si>
  <si>
    <t>10020G9K0819A5</t>
  </si>
  <si>
    <t>10020G9Q0813A3</t>
  </si>
  <si>
    <t>10020G9K0813A1</t>
  </si>
  <si>
    <t>Defy ADV 1 700CX48M(M) YS-7905/GD-DS004</t>
  </si>
  <si>
    <t>10020G9Q0814A0</t>
  </si>
  <si>
    <t>10020G9U0807A1</t>
  </si>
  <si>
    <t>10020G9U0808A9</t>
  </si>
  <si>
    <t>Defy ADV 2 700CX48M(M) GD-DM355/CE16-16</t>
  </si>
  <si>
    <t>10020G9K0808A1</t>
  </si>
  <si>
    <t>10020G9U0809A6</t>
  </si>
  <si>
    <t>10020G9K0809A9</t>
  </si>
  <si>
    <t>10020G9K0811A7</t>
  </si>
  <si>
    <t>10021TKC0031B8</t>
  </si>
  <si>
    <t>10021TKC0032B5</t>
  </si>
  <si>
    <t>10021TKC0033B2</t>
  </si>
  <si>
    <t>10021TKC0034B1</t>
  </si>
  <si>
    <t>10021TKC0035B7</t>
  </si>
  <si>
    <t>10021TKC0036B4</t>
  </si>
  <si>
    <t>10021TKC0037B1</t>
  </si>
  <si>
    <t>10021TKC0047B8</t>
  </si>
  <si>
    <t>10021TKC0048B5</t>
  </si>
  <si>
    <t>10021TKC0049B2</t>
  </si>
  <si>
    <t>10021TKC0050B3</t>
  </si>
  <si>
    <t>10021TKC0051B0</t>
  </si>
  <si>
    <t>10021TKC0052B8</t>
  </si>
  <si>
    <t>10021TKC0053B5</t>
  </si>
  <si>
    <t>10021TKC0055B1</t>
  </si>
  <si>
    <t>10021TKC0056B7</t>
  </si>
  <si>
    <t>10021TKC0057B4</t>
  </si>
  <si>
    <t>10021TKC0058B1</t>
  </si>
  <si>
    <t>10021TKC0059B9</t>
  </si>
  <si>
    <t>10021TKC0060B1</t>
  </si>
  <si>
    <t>10021TKC0073A1</t>
  </si>
  <si>
    <t>S2MG</t>
  </si>
  <si>
    <t>A0020G9E0314A2</t>
  </si>
  <si>
    <t>A0020G9AN074A2</t>
  </si>
  <si>
    <t>Embolden E+ 2 27.5X16L(S) G-880E/G-880E</t>
  </si>
  <si>
    <t>A0020G9AN075A1</t>
  </si>
  <si>
    <t>Embolden E+ 2 27.5X18L(M) G-880E/G-880E</t>
  </si>
  <si>
    <t>A0020G9E0082A6</t>
  </si>
  <si>
    <t>A0020G9EW083A0</t>
  </si>
  <si>
    <t>70C19TK0227A1</t>
  </si>
  <si>
    <t>FUEL EX 8 29 29" C.STAY GD-DM354A(M)</t>
  </si>
  <si>
    <t>P1MG</t>
  </si>
  <si>
    <t>70C19TK0227B1</t>
  </si>
  <si>
    <t>FUEL EX 8 29 29" C.STAY TK410-S</t>
  </si>
  <si>
    <t>70C16TK0480A7</t>
  </si>
  <si>
    <t>FUEL EX 8 29 C.STAY GD-DS004(M)</t>
  </si>
  <si>
    <t>10020SU00145A2</t>
  </si>
  <si>
    <t>10020SU00155A9</t>
  </si>
  <si>
    <t>10020SUU0096A0</t>
  </si>
  <si>
    <t>10020SUM0096A0</t>
  </si>
  <si>
    <t>10020SUM0097A8</t>
  </si>
  <si>
    <t>10020SUU0098A5</t>
  </si>
  <si>
    <t>10020SUU0099A2</t>
  </si>
  <si>
    <t>70R20G900143A1</t>
  </si>
  <si>
    <t>INTRIGUE 1 27.5" R.FRAME GD-DS004</t>
  </si>
  <si>
    <t>10020G9U0151A1</t>
  </si>
  <si>
    <t>10020G9U0294A4</t>
  </si>
  <si>
    <t>A0020G9E0282A7</t>
  </si>
  <si>
    <t>A0020G9E0285A9</t>
  </si>
  <si>
    <t>A0020G9E0286A6</t>
  </si>
  <si>
    <t>A0020G9E0287A3</t>
  </si>
  <si>
    <t>70S19TK0460A9</t>
  </si>
  <si>
    <t>REMEDY 7 27.5 27.5 S.STAY GD-MM392C(M)</t>
  </si>
  <si>
    <t>70C17TK0148A0</t>
  </si>
  <si>
    <t>REMEDY 7 27.5 C.STAY GD-DM354A(M)</t>
  </si>
  <si>
    <t>10020G9A0674A2</t>
  </si>
  <si>
    <t>10020TKU238A3</t>
  </si>
  <si>
    <t>10020TKU240A1</t>
  </si>
  <si>
    <t>10020TKU241A9</t>
  </si>
  <si>
    <t>10020SU00066A7</t>
  </si>
  <si>
    <t>70R20G9E0150A4</t>
  </si>
  <si>
    <t>STANCE E+ 1 PRO 29 29" R.FRAME YS 9051-8</t>
  </si>
  <si>
    <t>P2MG</t>
  </si>
  <si>
    <t>10020TKU225B3</t>
  </si>
  <si>
    <t>10020TKU226B0</t>
  </si>
  <si>
    <t>10020TK0227B1</t>
  </si>
  <si>
    <t>10020TK0228B7</t>
  </si>
  <si>
    <t>10020TK0229B4</t>
  </si>
  <si>
    <t>10020TK0219B8</t>
  </si>
  <si>
    <t>10020TKJ219B2</t>
  </si>
  <si>
    <t>10020TK0220B9</t>
  </si>
  <si>
    <t>10020TKU223B9</t>
  </si>
  <si>
    <t>10020TKU233B5</t>
  </si>
  <si>
    <t>10020TKU235B1</t>
  </si>
  <si>
    <t>A0020G9E0156A1</t>
  </si>
  <si>
    <t>SIM1</t>
  </si>
  <si>
    <t>10021G9T0045A1</t>
  </si>
  <si>
    <t>TCR ADV 1D K 700CX47M(M) GD-DM355(M)</t>
  </si>
  <si>
    <t>10021G9C0045B1</t>
  </si>
  <si>
    <t>TCR ADV 1D K 700CX47M(M) P-2331C</t>
  </si>
  <si>
    <t>10021G9K0031B0</t>
  </si>
  <si>
    <t>10021G9E0034B3</t>
  </si>
  <si>
    <t>10021G9E0034A5</t>
  </si>
  <si>
    <t>TCR ADV 2D PC 700CX50M(ML) G-773CA</t>
  </si>
  <si>
    <t>10021G9E0035B0</t>
  </si>
  <si>
    <t>10021G9T0025A9</t>
  </si>
  <si>
    <t>TCR ADV 3D 700CX42.5M(XS) YS-8966A</t>
  </si>
  <si>
    <t>10021G9T0026A6</t>
  </si>
  <si>
    <t>TCR ADV 3D 700CX44.5M(S) YS-8966A</t>
  </si>
  <si>
    <t>10021G9T0027A3</t>
  </si>
  <si>
    <t>TCR ADV 3D 700CX47M(M) YS-8966A</t>
  </si>
  <si>
    <t>10021G9T0028A0</t>
  </si>
  <si>
    <t>TCR ADV 3D 700CX50M(ML) YS-8966A</t>
  </si>
  <si>
    <t>10021G9K0030A5</t>
  </si>
  <si>
    <t>TCR ADV 3D 700CX56M(XL) YS-8966A</t>
  </si>
  <si>
    <t>10020G9E0303A9</t>
  </si>
  <si>
    <t>TCX SLR 2 700x52.5M(M) YS 9051-8/P-427C</t>
  </si>
  <si>
    <t>10020G9E0304A6</t>
  </si>
  <si>
    <t>TCX SLR 2 700x54.5M(ML) YS 9051-8/P-427C</t>
  </si>
  <si>
    <t>70C18TK0304A4</t>
  </si>
  <si>
    <t>TOP FUEL 8 29 C.STAY GD-DS004(M)</t>
  </si>
  <si>
    <t>70S20TK0078A1</t>
  </si>
  <si>
    <t>A0020ELU003B5</t>
  </si>
  <si>
    <t>TOWNIEGO7DSTEPOVER 27.5x20M YS-728 (M)</t>
  </si>
  <si>
    <t>SSMG</t>
  </si>
  <si>
    <t>A0020G9E0190A3</t>
  </si>
  <si>
    <t>訂單</t>
  </si>
  <si>
    <t>投單日期</t>
  </si>
  <si>
    <t>工廠</t>
  </si>
  <si>
    <t>生產版本</t>
  </si>
  <si>
    <t>己除帳印單</t>
    <phoneticPr fontId="0" type="noConversion"/>
  </si>
  <si>
    <t>參考</t>
  </si>
  <si>
    <t>重工IA線</t>
  </si>
  <si>
    <t>Z3I</t>
  </si>
  <si>
    <t>委外高級輪組</t>
  </si>
  <si>
    <t>SWP</t>
  </si>
  <si>
    <t>高級輪組</t>
  </si>
  <si>
    <t>SWM</t>
  </si>
  <si>
    <t>裝二線AGV</t>
  </si>
  <si>
    <t>SV</t>
  </si>
  <si>
    <t>SCB線</t>
  </si>
  <si>
    <t>SS</t>
  </si>
  <si>
    <t>售服預組(1280xx)</t>
  </si>
  <si>
    <t>SR</t>
  </si>
  <si>
    <t>Power meter線</t>
  </si>
  <si>
    <t>SP</t>
  </si>
  <si>
    <t>IA線</t>
  </si>
  <si>
    <t>SI</t>
  </si>
  <si>
    <t>FM_IA預組</t>
  </si>
  <si>
    <t>SG</t>
  </si>
  <si>
    <t>FM線</t>
  </si>
  <si>
    <t>SF</t>
  </si>
  <si>
    <t>IC線</t>
  </si>
  <si>
    <t>SC</t>
  </si>
  <si>
    <t>樣品車線</t>
  </si>
  <si>
    <t>A+線</t>
  </si>
  <si>
    <t>SA</t>
  </si>
  <si>
    <t>裝二線</t>
  </si>
  <si>
    <t>S2</t>
  </si>
  <si>
    <t>裝一線</t>
  </si>
  <si>
    <t>S1</t>
  </si>
  <si>
    <t>FK線(輪圈+前叉)</t>
  </si>
  <si>
    <t>PR</t>
  </si>
  <si>
    <t>塗裝座桿束桿</t>
  </si>
  <si>
    <t>PP</t>
  </si>
  <si>
    <t>塗裝搖避連桿側蓋另件</t>
  </si>
  <si>
    <t>PL</t>
  </si>
  <si>
    <t>委外廣志</t>
  </si>
  <si>
    <t>PK</t>
  </si>
  <si>
    <t>塗裝IA線</t>
  </si>
  <si>
    <t>PI</t>
  </si>
  <si>
    <t>委外金瑩達</t>
  </si>
  <si>
    <t>PHP</t>
  </si>
  <si>
    <t>委外怡成</t>
  </si>
  <si>
    <t>PF</t>
  </si>
  <si>
    <t>精實塗裝</t>
  </si>
  <si>
    <t>PD</t>
  </si>
  <si>
    <t>塗裝CF線</t>
  </si>
  <si>
    <t>PC</t>
  </si>
  <si>
    <t>塗裝A+線</t>
  </si>
  <si>
    <t>PA</t>
  </si>
  <si>
    <t>塗三組</t>
  </si>
  <si>
    <t>P3</t>
  </si>
  <si>
    <t>塗二組</t>
  </si>
  <si>
    <t>P2</t>
  </si>
  <si>
    <t>塗一組</t>
  </si>
  <si>
    <t>P1</t>
  </si>
  <si>
    <t>T線成型-自製研磨</t>
  </si>
  <si>
    <t>CT</t>
  </si>
  <si>
    <t>S線成型</t>
  </si>
  <si>
    <t>CS</t>
  </si>
  <si>
    <t>SMC碳布含浸</t>
  </si>
  <si>
    <t>CQ</t>
  </si>
  <si>
    <t>碳布含浸</t>
  </si>
  <si>
    <t>CP</t>
  </si>
  <si>
    <t>K線成型</t>
  </si>
  <si>
    <t>CK</t>
  </si>
  <si>
    <t>C線成型-自製研磨</t>
  </si>
  <si>
    <t>CC</t>
  </si>
  <si>
    <t>B線成型-自製研磨</t>
  </si>
  <si>
    <t>CB</t>
  </si>
  <si>
    <t>A線成型-自製研磨</t>
  </si>
  <si>
    <t>CA</t>
  </si>
  <si>
    <t>焊接委外線</t>
  </si>
  <si>
    <t>A5</t>
  </si>
  <si>
    <t>焊接IC線</t>
  </si>
  <si>
    <t>A4</t>
  </si>
  <si>
    <t>焊接HM線</t>
  </si>
  <si>
    <t>A3</t>
  </si>
  <si>
    <t>焊接AW線</t>
  </si>
  <si>
    <t>A2</t>
  </si>
  <si>
    <t>焊接A線</t>
  </si>
  <si>
    <t>A1</t>
  </si>
  <si>
    <t>管件成型</t>
  </si>
  <si>
    <t>A0</t>
  </si>
  <si>
    <t>線別短文</t>
    <phoneticPr fontId="5" type="noConversion"/>
  </si>
  <si>
    <t>線別</t>
    <phoneticPr fontId="5" type="noConversion"/>
  </si>
  <si>
    <t>線別中文</t>
    <phoneticPr fontId="0" type="noConversion"/>
  </si>
  <si>
    <t>SAMS</t>
    <phoneticPr fontId="3" type="noConversion"/>
  </si>
  <si>
    <t>產生撿料單</t>
    <phoneticPr fontId="0" type="noConversion"/>
  </si>
  <si>
    <t>撿料日期</t>
    <phoneticPr fontId="7" type="noConversion"/>
  </si>
  <si>
    <t>撿料時間</t>
    <phoneticPr fontId="7" type="noConversion"/>
  </si>
  <si>
    <t>撿料條碼資訊</t>
    <phoneticPr fontId="7" type="noConversion"/>
  </si>
  <si>
    <t>己到廠條碼資訊</t>
    <phoneticPr fontId="3" type="noConversion"/>
  </si>
  <si>
    <t>己到廠日期</t>
    <phoneticPr fontId="3" type="noConversion"/>
  </si>
  <si>
    <t>己到廠時間</t>
    <phoneticPr fontId="3" type="noConversion"/>
  </si>
  <si>
    <t>輸入日期</t>
  </si>
  <si>
    <t>輸入時間</t>
  </si>
  <si>
    <t>點上線日期</t>
    <phoneticPr fontId="0" type="noConversion"/>
  </si>
  <si>
    <t>點上線時間</t>
    <phoneticPr fontId="0" type="noConversion"/>
  </si>
  <si>
    <t>印單日期</t>
    <phoneticPr fontId="0" type="noConversion"/>
  </si>
  <si>
    <t>印單時間</t>
    <phoneticPr fontId="0" type="noConversion"/>
  </si>
  <si>
    <t>己撿料日期</t>
    <phoneticPr fontId="0" type="noConversion"/>
  </si>
  <si>
    <t>己撿料時間</t>
    <phoneticPr fontId="0" type="noConversion"/>
  </si>
  <si>
    <t>己到廠日期</t>
    <phoneticPr fontId="0" type="noConversion"/>
  </si>
  <si>
    <t>己到廠時間</t>
    <phoneticPr fontId="0" type="noConversion"/>
  </si>
  <si>
    <t>GI-1000009783</t>
  </si>
  <si>
    <t>GI-1000009784</t>
  </si>
  <si>
    <t>GI-1000009836</t>
  </si>
  <si>
    <t>A0020TKU005B1</t>
  </si>
  <si>
    <t>VERVE+ 2 MENS US 700x55M(L) TK 524-M</t>
  </si>
  <si>
    <t>A0020ELU002B8</t>
  </si>
  <si>
    <t>TOWNIEGO7DSTEPTHRU 26x18L TA-3527</t>
  </si>
  <si>
    <t>10020TKN366A8</t>
  </si>
  <si>
    <t>10020TKU366A3</t>
  </si>
  <si>
    <t>10020TKA365A2</t>
  </si>
  <si>
    <t>10020TKE365A0</t>
  </si>
  <si>
    <t>10020TKE364A3</t>
  </si>
  <si>
    <t>10020TKU364A9</t>
  </si>
  <si>
    <t>10020TKA363A8</t>
  </si>
  <si>
    <t>10020TKU363A1</t>
  </si>
  <si>
    <t>10020TKJ362A0</t>
  </si>
  <si>
    <t>10020TKU362A4</t>
  </si>
  <si>
    <t>10020TKU361A7</t>
  </si>
  <si>
    <t>10020TKE365B9</t>
  </si>
  <si>
    <t>10020TK0361B7</t>
  </si>
  <si>
    <t>A0020G9E0037A0</t>
  </si>
  <si>
    <t>Fathom E+ 2 29 29x535M(XL) P-430C</t>
  </si>
  <si>
    <t>A0020G9E0035A6</t>
  </si>
  <si>
    <t>Fathom E+ 2 29 29x468M(M) P-430C</t>
  </si>
  <si>
    <t>A0020G9E0157A9</t>
  </si>
  <si>
    <t>A0020G9E0147A2</t>
  </si>
  <si>
    <t>A0020G9E0132A1</t>
  </si>
  <si>
    <t>A0020G9E0131A2</t>
  </si>
  <si>
    <t>A0020G9U0127A6</t>
  </si>
  <si>
    <t>A0020G9E0127A1</t>
  </si>
  <si>
    <t>A0020G9E0084A0</t>
  </si>
  <si>
    <t>A0020G9E0083A3</t>
  </si>
  <si>
    <t>A0020G9E0075A1</t>
  </si>
  <si>
    <t>A0020G9E0313A5</t>
  </si>
  <si>
    <t>A0020G9U0023A1</t>
  </si>
  <si>
    <t>SVMG</t>
  </si>
  <si>
    <t>A0020G9U0022A4</t>
  </si>
  <si>
    <t>A0020G9U0026A3</t>
  </si>
  <si>
    <t>A0020G9EW079A8</t>
  </si>
  <si>
    <t>70R20G9E0077A2</t>
  </si>
  <si>
    <t>EMBOLDEN E+ 1 27.5" R.FRAME GD-DS004</t>
  </si>
  <si>
    <t>70R20G9E0081A5</t>
  </si>
  <si>
    <t>10020G9E0126A2</t>
  </si>
  <si>
    <t>Glory 1 27.5X17M(L) G-730/GD-DS004</t>
  </si>
  <si>
    <t>10020G9E0130A5</t>
  </si>
  <si>
    <t>Hail 27.5x20L(L) GD-DS004/YS-18004F</t>
  </si>
  <si>
    <t>10020TKJ239B5</t>
  </si>
  <si>
    <t>70C16TK0631A3</t>
  </si>
  <si>
    <t>SLASH 7 27.5 C.STAY GD-RM053B</t>
  </si>
  <si>
    <t>70C16TKE238A1</t>
  </si>
  <si>
    <t>SLASH 9 650B FUSE C.STAY GD-DM354A(M)</t>
  </si>
  <si>
    <t>10020TKU184A0</t>
  </si>
  <si>
    <t>10020TKU183A3</t>
  </si>
  <si>
    <t>20200304</t>
  </si>
  <si>
    <t>10020G9E0747A5</t>
  </si>
  <si>
    <t>80115GT0018A8</t>
  </si>
  <si>
    <t>P1M1</t>
  </si>
  <si>
    <t>80115GT0018B6</t>
  </si>
  <si>
    <t>10015GT0018A8</t>
  </si>
  <si>
    <t>S1M1</t>
  </si>
  <si>
    <t>A0020G9E0308A5</t>
  </si>
  <si>
    <t>EXPL E+0PROS STA 700CX535L(L) YS-9051-8</t>
  </si>
  <si>
    <t>A0020G9E0307A8</t>
  </si>
  <si>
    <t>EXPL E+0PROS STA 700CX485L(M) YS-9051-8</t>
  </si>
  <si>
    <t>A0020G9E0306A0</t>
  </si>
  <si>
    <t>EXPL E+0PROS STA 700CX435L(S) YS-9051-8</t>
  </si>
  <si>
    <t>A0020G9E0162A9</t>
  </si>
  <si>
    <t>Stance E+ 2 P 27.5X20M(L) YS9018/YS9018</t>
  </si>
  <si>
    <t>A0020G9E0161A1</t>
  </si>
  <si>
    <t>Stance E+ 2 P 27.5X18M(M) YS9018/YS9018</t>
  </si>
  <si>
    <t>70R19G9E021A1</t>
  </si>
  <si>
    <t>Stance E+ 0 27.5" R.FRAME GD-GS673(SM)</t>
  </si>
  <si>
    <t>70R19G9E036A1</t>
  </si>
  <si>
    <t>Stance E+2 POWER 27.5" R.FRAME TH7-114</t>
  </si>
  <si>
    <t>A0020G9K0286A5</t>
  </si>
  <si>
    <t>A0020G9EW082A3</t>
  </si>
  <si>
    <t>90R20G900192A6</t>
  </si>
  <si>
    <t>90R19GT0036A1</t>
  </si>
  <si>
    <t>A0020GT00023A8</t>
  </si>
  <si>
    <t>S2M1</t>
  </si>
  <si>
    <t>90R19G9E061A1</t>
  </si>
  <si>
    <t>A0020G9EW190A0</t>
  </si>
  <si>
    <t>A0020G9E0297A1</t>
  </si>
  <si>
    <t>A0020G9E0296A2</t>
  </si>
  <si>
    <t>A0020G9E0295A5</t>
  </si>
  <si>
    <t>A0020G9E0305A3</t>
  </si>
  <si>
    <t>A0020G9E0304A6</t>
  </si>
  <si>
    <t>A0020G9E0303A9</t>
  </si>
  <si>
    <t>10020SUU0349A7</t>
  </si>
  <si>
    <t>10020G9E0139A0</t>
  </si>
  <si>
    <t>A0020G9AN233A0</t>
  </si>
  <si>
    <t>SAMG</t>
  </si>
  <si>
    <t>A0020G9AN232A3</t>
  </si>
  <si>
    <t>A0020G9A0231A3</t>
  </si>
  <si>
    <t>A0020G9A0230A6</t>
  </si>
  <si>
    <t>A0020G9E0124A8</t>
  </si>
  <si>
    <t>A0020G9K0059A7</t>
  </si>
  <si>
    <t>Amiti E+ 1 700CX470(M) YS 8229 (M)</t>
  </si>
  <si>
    <t>A0020G9K0058A1</t>
  </si>
  <si>
    <t>Amiti E+ 1 700CX420(S) YS 8229 (M)</t>
  </si>
  <si>
    <t>A0020G9K0057A2</t>
  </si>
  <si>
    <t>Amiti E+ 1 700CX375(XS) YS 8229 (M)</t>
  </si>
  <si>
    <t>A0020G9E0003A2</t>
  </si>
  <si>
    <t>Explore E+ 1 GTS 700Cx53.5M(L) DP-DM355</t>
  </si>
  <si>
    <t>A0020G9E0011A4</t>
  </si>
  <si>
    <t>A0020G9E0008A9</t>
  </si>
  <si>
    <t>10020SUM0089A6</t>
  </si>
  <si>
    <t>10020SU00091A1</t>
  </si>
  <si>
    <t>10020SU00090A2</t>
  </si>
  <si>
    <t>10020SU00088A4</t>
  </si>
  <si>
    <t>90120EMB178A2</t>
  </si>
  <si>
    <t>90120TKE147A6</t>
  </si>
  <si>
    <t>TICKET DJ F/S 26x15M(L) TK626-M (M)</t>
  </si>
  <si>
    <t>90120EMB102B2</t>
  </si>
  <si>
    <t>90120EMB103B1</t>
  </si>
  <si>
    <t>90F20TKQ005A1</t>
  </si>
  <si>
    <t>FUELEX CB29 FR P1 29X18.5M(ML) UV</t>
  </si>
  <si>
    <t>90F20TKQ017A2</t>
  </si>
  <si>
    <t>SUPERCAL CB29FR P1 29X21.5M(XL) UV</t>
  </si>
  <si>
    <t>90120TKQ391A9</t>
  </si>
  <si>
    <t>90120EMB097A2</t>
  </si>
  <si>
    <t>STANCE 1-FR 27.5X18M(M) P-430C/P-430C</t>
  </si>
  <si>
    <t>90120EV00016A5</t>
  </si>
  <si>
    <t>90120TK0032A5</t>
  </si>
  <si>
    <t>90121TKE0147A2</t>
  </si>
  <si>
    <t>90121TKE0151B3</t>
  </si>
  <si>
    <t>90121TKE0152A2</t>
  </si>
  <si>
    <t>90120EMB242A5</t>
  </si>
  <si>
    <t>90120EMB241A8</t>
  </si>
  <si>
    <t>90120TKU024A1</t>
  </si>
  <si>
    <t>90120TKE061A1</t>
  </si>
  <si>
    <t>90120TKE060A2</t>
  </si>
  <si>
    <t>90120TKE055B0</t>
  </si>
  <si>
    <t>90F19TK0303A4</t>
  </si>
  <si>
    <t>TOP FUEL 9.9 SL 29 29X21.5M TK004-S (M)</t>
  </si>
  <si>
    <t>90120TKU302A0</t>
  </si>
  <si>
    <t>90120TKE274B7</t>
  </si>
  <si>
    <t>90120TKE265B8</t>
  </si>
  <si>
    <t>90120TKE142A1</t>
  </si>
  <si>
    <t>90120TKE143A7</t>
  </si>
  <si>
    <t>90120TKE144A4</t>
  </si>
  <si>
    <t>90120TKU144A1</t>
  </si>
  <si>
    <t>90120TKA144A6</t>
  </si>
  <si>
    <t>90120TKA146A0</t>
  </si>
  <si>
    <t>90F19SUS144A6</t>
  </si>
  <si>
    <t>RANSOM 910 29X20M(XL) YS2234/YS2234(M28)</t>
  </si>
  <si>
    <t>90F17SUS182A1</t>
  </si>
  <si>
    <t>GI-1000009935</t>
  </si>
  <si>
    <t>GI-1000009972</t>
  </si>
  <si>
    <t>GI-1000009923</t>
  </si>
  <si>
    <t>GI-1000009997</t>
  </si>
  <si>
    <t>GI-1000009998</t>
  </si>
  <si>
    <t>GI-1000009999</t>
  </si>
  <si>
    <t>GI-1000009916</t>
  </si>
  <si>
    <t>GI-1000009955</t>
  </si>
  <si>
    <t>GI-1000009929</t>
  </si>
  <si>
    <t>GI-1000009918</t>
  </si>
  <si>
    <t>GI-1000009954</t>
  </si>
  <si>
    <t>GI-1000009919</t>
  </si>
  <si>
    <t>GI-1000009939</t>
  </si>
  <si>
    <t>GI-1000009985</t>
  </si>
  <si>
    <t>GI-1000009917</t>
  </si>
  <si>
    <t>GI-1000009932</t>
  </si>
  <si>
    <t>GI-1000009952</t>
  </si>
  <si>
    <t>GI-1000009927</t>
  </si>
  <si>
    <t>GI-1000009930</t>
  </si>
  <si>
    <t>GI-1000010003</t>
  </si>
  <si>
    <t>GI-1000009957</t>
  </si>
  <si>
    <t>GI-1000009938</t>
  </si>
  <si>
    <t>GI-1000009914</t>
  </si>
  <si>
    <t>GI-1000009953</t>
  </si>
  <si>
    <t>GI-1000009974</t>
  </si>
  <si>
    <t>GI-1000009973</t>
  </si>
  <si>
    <t>GI-1000009951</t>
  </si>
  <si>
    <t>GI-1000009934</t>
  </si>
  <si>
    <t>GI-1000009950</t>
  </si>
  <si>
    <t>GI-1000010002</t>
  </si>
  <si>
    <t>GI-1000009922</t>
  </si>
  <si>
    <t>GI-1000009991</t>
  </si>
  <si>
    <t>GI-1000009990</t>
  </si>
  <si>
    <t>GI-1000009943</t>
  </si>
  <si>
    <t>GI-1000009977</t>
  </si>
  <si>
    <t>GI-1000009942</t>
  </si>
  <si>
    <t>GI-1000009964</t>
  </si>
  <si>
    <t>GI-1000009968</t>
  </si>
  <si>
    <t>GI-1000009996</t>
  </si>
  <si>
    <t>GI-1000009936</t>
  </si>
  <si>
    <t>GI-1000009975</t>
  </si>
  <si>
    <t>GI-1000009976</t>
  </si>
  <si>
    <t>GI-1000009940</t>
  </si>
  <si>
    <t>GI-1000009941</t>
  </si>
  <si>
    <t>GI-1000009965</t>
  </si>
  <si>
    <t>GI-1000009969</t>
  </si>
  <si>
    <t>GI-1000009937</t>
  </si>
  <si>
    <t>GI-1000010028</t>
  </si>
  <si>
    <t>GI-1000010041</t>
  </si>
  <si>
    <t>GI-1000010035</t>
  </si>
  <si>
    <t>GI-1000010031</t>
  </si>
  <si>
    <t>GI-1000010036</t>
  </si>
  <si>
    <t>GI-1000010040</t>
  </si>
  <si>
    <t>GI-1000010037</t>
  </si>
  <si>
    <t>GI-1000010027</t>
  </si>
  <si>
    <t>GI-1000010039</t>
  </si>
  <si>
    <t>GI-1000010030</t>
  </si>
  <si>
    <t>GI-1000010033</t>
  </si>
  <si>
    <t>GI-1000010025</t>
  </si>
  <si>
    <t>GI-1000010026</t>
  </si>
  <si>
    <t>工單號碼</t>
  </si>
  <si>
    <t>塗裝點</t>
  </si>
  <si>
    <t>料號</t>
  </si>
  <si>
    <t>物料短文</t>
  </si>
  <si>
    <t>投單數量</t>
  </si>
  <si>
    <t>單位</t>
  </si>
  <si>
    <t>ST</t>
  </si>
  <si>
    <t>EXPL E+0PROS GTS 700Cx585M(XL) YS-9051-8</t>
  </si>
  <si>
    <t>EMONDA SL 5 DISC 700CX50M TK506-S /TK539</t>
  </si>
  <si>
    <t>EMONDA SL 5 DISC 700CX54M TK506-S /TK539</t>
  </si>
  <si>
    <t>EMONDA SL 6 D PRO 700CX47M TK001-S /TK00</t>
  </si>
  <si>
    <t>EMONDA SL 6 D PRO 700CX56M TK001-S /TK00</t>
  </si>
  <si>
    <t>EMONDA SL 5 DISC 700CX60M TK506-S /TK539</t>
  </si>
  <si>
    <t>EMONDA SL 5 DISC 700CX58M TK506-S /TK539</t>
  </si>
  <si>
    <t>EMONDA SL 5 DISC 700CX56M TK506-S /TK539</t>
  </si>
  <si>
    <t>EMONDA SL 7 DISC 700CX47M TK004-S / TK30</t>
  </si>
  <si>
    <t>EMONDA SL 5 DISC 700CX47M TK506-S /TK539</t>
  </si>
  <si>
    <t>EMONDA SL 6 D PRO 700CX58M TK001-S /TK00</t>
  </si>
  <si>
    <t>EMONDA SL 7 DISC 700CX50M TK004-S / TK30</t>
  </si>
  <si>
    <t>EMONDA SL 5 DISC 700CX52M TK506-S /TK539</t>
  </si>
  <si>
    <t>EMONDA SL 6 D PRO 700CX50M TK001-S /TK00</t>
  </si>
  <si>
    <t>EMONDA SL 6 D PRO 700CX60M TK001-S /TK00</t>
  </si>
  <si>
    <t>EMONDA SL 7 DISC 700CX52M TK004-S / TK30</t>
  </si>
  <si>
    <t>EMONDA SL 7 DISC 700CX58M TK004-S / TK30</t>
  </si>
  <si>
    <t>EMONDA SL 6 D PRO 700CX52M TK001-S /TK00</t>
  </si>
  <si>
    <t>EMONDA SL 6 D PRO 700CX54M TK001-S /TK00</t>
  </si>
  <si>
    <t>EMONDA SL 7 DISC 700CX54M TK004-S / TK30</t>
  </si>
  <si>
    <t>EMONDA SL 7 DISC 700CX56M TK004-S / TK30</t>
  </si>
  <si>
    <t>10020SUK0130A7</t>
  </si>
  <si>
    <t>RANSOM 900 TUNED 29X19M(L) YS-7884</t>
  </si>
  <si>
    <t>Intrigue 2 27.5X15L(XS) GD-BM506/GD-BM50</t>
  </si>
  <si>
    <t>U BIKE N.TP 24/26x16L P-1585A(新北市),流水號格式</t>
  </si>
  <si>
    <t>EXPL E+0PROS GTS 700Cx485M(M) YS-9051-8</t>
  </si>
  <si>
    <t>EXPL E+0PROS GTS 700Cx535M(L) YS-9051-8</t>
  </si>
  <si>
    <t>71BA20EMD072A1</t>
  </si>
  <si>
    <t>STRIKE ER 930-FR 29X21M(XL) GD-DS004(M28</t>
  </si>
  <si>
    <t>SYMG</t>
  </si>
  <si>
    <t>EMONDA SLR 7 DISC 700CX52M TK407-M / TK0</t>
  </si>
  <si>
    <t>10020G9E0245A3</t>
  </si>
  <si>
    <t>PIQUEADPRO29 2 29X16L(S) CARBON SMOKE/G-</t>
  </si>
  <si>
    <t>Explore E+ 4 GTS 700Cx48.5M(M) GD-DS001(</t>
  </si>
  <si>
    <t>Explore E+ 4 STA 700Cx43.5L(S) GD-DS001(</t>
  </si>
  <si>
    <t>Explore E+ 4 GTS 700Cx43.5M(S) GD-DS001(</t>
  </si>
  <si>
    <t>Embolden E+ 2 P 27.5X16L(S) RAL 620-M(M)</t>
  </si>
  <si>
    <t>10020TKU318B4</t>
  </si>
  <si>
    <t>FUELEX9.7NXGX 29 29x19.5M(L) TK623-S/YS-</t>
  </si>
  <si>
    <t>SPARK 960 29X19M(L) YS-9115-1(M28)/YS-79</t>
  </si>
  <si>
    <t>FUEL EX 5 DEORE 29 29X19.5M(L) TK008-S/G</t>
  </si>
  <si>
    <t>FUEL EX 5 DEORE 29 29X18.5M(ML) TK008-S/</t>
  </si>
  <si>
    <t>Explore E+ 2 GTS 700Cx43.5M(S) GD-DS001(</t>
  </si>
  <si>
    <t>Explore E+ 2 GTS 700Cx58.5M(XL) GD-DS001</t>
  </si>
  <si>
    <t>FUEL EX 5 DEORE 29 29X17.5M(M) TK008-S/G</t>
  </si>
  <si>
    <t>SPARK 960 29X16M(S) YS-9115-1(M28)/YS-79</t>
  </si>
  <si>
    <t>CON SPARK 930 29X16M(S) YS-9051-2/YS-762</t>
  </si>
  <si>
    <t>Embolden E+ 2 P 27.5X20L(L) RAL 620-M(M)</t>
  </si>
  <si>
    <t>Embolden E+ 2 P 27.5X18L(M) RAL 620-M(M)</t>
  </si>
  <si>
    <t>Stance E+ 0 Pro 29 29X18M(M) GD-DM355(M)</t>
  </si>
  <si>
    <t>Stance E+ 1 27.5X20M(L) YS 2431-1A/YS 24</t>
  </si>
  <si>
    <t>Stance E+ 1 27.5X18M(M) YS 2431-1A/YS 24</t>
  </si>
  <si>
    <t>Trance E+ 2 Pro 27.5X20M(L) GD-DS004/YS</t>
  </si>
  <si>
    <t>Embolden E+ 1 27.5X18L(M) GD-DS004/GD-DS</t>
  </si>
  <si>
    <t>EXPL E+1PROS STA 700Cx435L(S) GD-DM355(S</t>
  </si>
  <si>
    <t>EXPL E+1PROS STA 700Cx485L(M) GD-DM355(S</t>
  </si>
  <si>
    <t>SPARK 960 29X17M(M) YS-9115-1(M28)/YS-79</t>
  </si>
  <si>
    <t>SPARK 960 29X21M(XL) YS-9115-1(M28)/YS-7</t>
  </si>
  <si>
    <t>10020TK0226B2</t>
  </si>
  <si>
    <t>SUPERCALIBER 9.8GX 29x17.5M(M) TK621-S/T</t>
  </si>
  <si>
    <t>10020TKU322B7</t>
  </si>
  <si>
    <t>FUELEX 9.8 GX 29 29x15.5M(S) TK623-S/YS-</t>
  </si>
  <si>
    <t>10020TKU332A5</t>
  </si>
  <si>
    <t>FUELEX9.9 XO1 29 29x19.5M(L) TK 407-M/RA</t>
  </si>
  <si>
    <t>10020TKU318A6</t>
  </si>
  <si>
    <t>FUELEX9.7NXGX 29 29x19.5M(L) GD-DS004/RA</t>
  </si>
  <si>
    <t>FUEL EX 5 DEORE 29 29X21.5M(XL) TK008-S/</t>
  </si>
  <si>
    <t>FUEL EX 5 DEORE 27 27.5X15.5M(S) TK008-S</t>
  </si>
  <si>
    <t>TRANCE E+ 3 PRO 27.5X16M(S) GD-DS004/YS-</t>
  </si>
  <si>
    <t>ADDICT 20 DISC 700Cx49M(XS) IS07-7022(M2</t>
  </si>
  <si>
    <t>TRANCE E+ 1 PROS 27.5X22M(XL) GD-YM542/Y</t>
  </si>
  <si>
    <t>TRANCE E+ 1 PROS 27.5X18M(M) GD-YM542/YS</t>
  </si>
  <si>
    <t>REIGN E+ 1 PROS 27.5X20M(L) YS-9018/YS-7</t>
  </si>
  <si>
    <t>REIGN E+ 1 PROS 27.5X18M(M) YS-9018/YS-7</t>
  </si>
  <si>
    <t>Revolt ADV 0 700Cx51M(L) GD-DS137/TH7-03</t>
  </si>
  <si>
    <t>TRANCE E+ 1 PROS 27.5X20M(L) GD-YM542/YS</t>
  </si>
  <si>
    <t>A0020G9U0081A5</t>
  </si>
  <si>
    <t>Embolden E+ 2 P 27.5X14.5L(XS) RAL 620-M</t>
  </si>
  <si>
    <t>A0020G9U0082A2</t>
  </si>
  <si>
    <t>10020TKU325A0</t>
  </si>
  <si>
    <t>FUELEX 9.8 GX 29 29x19.5M(L) TK 407-M/RA</t>
  </si>
  <si>
    <t>10020TKU228B5</t>
  </si>
  <si>
    <t>SUPERCALIBER 9.8GX 29x19.5M(L) TK621-S/T</t>
  </si>
  <si>
    <t>10020TKU219B6</t>
  </si>
  <si>
    <t>SUPERCALIBER9.7 NX 29x15.5M(S) TK621-S/T</t>
  </si>
  <si>
    <t>10020TKU199A3</t>
  </si>
  <si>
    <t>REMEDY 9.9 27.5X01 27.5X18.5M(ML) TK626-</t>
  </si>
  <si>
    <t>10020TKA196A8</t>
  </si>
  <si>
    <t>REMEDY 9.8 27.5 GX 27.5X21.5M(XL) TK525-</t>
  </si>
  <si>
    <t>10020TK0231B2</t>
  </si>
  <si>
    <t>SUPERCALIBER9.9XX1 29x15.5M(S) TK621-S/T</t>
  </si>
  <si>
    <t>10020G9U0153A6</t>
  </si>
  <si>
    <t>Intrigue ADV 1 27.5X17.5L(M) GD-DS004(M)</t>
  </si>
  <si>
    <t>10020G9U0152A9</t>
  </si>
  <si>
    <t>Intrigue ADV 1 27.5X16L(S) GD-DS004(M)/Y</t>
  </si>
  <si>
    <t>Intrigue ADV 1 27.5X15L(XS) GD-DS004(M)/</t>
  </si>
  <si>
    <t>Intrigue E+ 1 Pro 27.5X16L(S) G-H13/G-H1</t>
  </si>
  <si>
    <t>Intrigue E+ 2 Pro 27.5X16L(S) GD-DS004/G</t>
  </si>
  <si>
    <t>Intrigue E+ 2 Pro 27.5X18M(M) GD-DS004/G</t>
  </si>
  <si>
    <t>REIGN E+ 0 PROS 27.5X18M(M) GD-DS004/G-7</t>
  </si>
  <si>
    <t>REIGN E+ 1 PROS 27.5X16M(S) YS-9018/YS-7</t>
  </si>
  <si>
    <t>FUEL EX 5 DEORE 29 29X15.5M(S) TK008-S/G</t>
  </si>
  <si>
    <t>DEFY ADPRO 3 700CX44.5M(S) YS 9215-1/GD-</t>
  </si>
  <si>
    <t>Defy ADV 2 700CX56.5M(XL) GD-DM355/CE16-</t>
  </si>
  <si>
    <t>Defy ADV 2 700CX51.5M(ML) GD-DM355/CE16-</t>
  </si>
  <si>
    <t>Defy ADV 1 700CX44.5M(S) YS-7905/GD-DS00</t>
  </si>
  <si>
    <t>FUEL EX 5 DEORE 27 27.5X15.5M(S) GD-RM05</t>
  </si>
  <si>
    <t>FUEL EX 5 DEORE 29 29X19.5M(L) GD-RM053B</t>
  </si>
  <si>
    <t>SUPERCALIBER9.7 NX 29x17.5M(M) TK621-S/T</t>
  </si>
  <si>
    <t>10020TKU221B4</t>
  </si>
  <si>
    <t>SUPERCALIBER9.7 NX 29x18.5M(ML) TK621-S/</t>
  </si>
  <si>
    <t>10020TK0225B5</t>
  </si>
  <si>
    <t>SUPERCALIBER 9.8GX 29x15.5M(S) TK621-S/T</t>
  </si>
  <si>
    <t>Defy ADV 2 700CX44.5M(S) GD-DM355/CE16-1</t>
  </si>
  <si>
    <t>10020TK0316B1</t>
  </si>
  <si>
    <t>FUELEX9.7NXGX 29 29x17.5M(M) TK623-S/YS-</t>
  </si>
  <si>
    <t>10020TKU122B6</t>
  </si>
  <si>
    <t>TOP FUEL 9.7 NX 29x18.5M(ML)TK623-S/GD-D</t>
  </si>
  <si>
    <t>10020TKU128A1</t>
  </si>
  <si>
    <t>TOP FUEL 9.8 GX 29x18.5M(ML)RAW CARBON(M</t>
  </si>
  <si>
    <t>10020TKU121B9</t>
  </si>
  <si>
    <t>TOP FUEL 9.7 NX 29x17.5M(M)TK623-S/GD-DS</t>
  </si>
  <si>
    <t>10020TKU121A0</t>
  </si>
  <si>
    <t>TOP FUEL 9.7 NX 29x17.5M(M)TK202-M/GD-DM</t>
  </si>
  <si>
    <t>10020TKN213A9</t>
  </si>
  <si>
    <t>SLASH 9.8 29 GX 29X19.5M(L) RAW CARBON(M</t>
  </si>
  <si>
    <t>EMBOLDEN E+ 2 P 27.5" R.FRAME RAL 620-M(</t>
  </si>
  <si>
    <t>U BIKE N.TP 24/26x16L P-1585A(新+北市)(沒流水號</t>
  </si>
  <si>
    <t>TOP FUEL 8 NX 29 S.STAY GD-DS004(M)/G-16</t>
  </si>
  <si>
    <t>GI-1000010066</t>
  </si>
  <si>
    <t>GI-1000010142</t>
  </si>
  <si>
    <t>GI-1000010140</t>
  </si>
  <si>
    <t>GI-1000010141</t>
  </si>
  <si>
    <t>備註</t>
    <phoneticPr fontId="3" type="noConversion"/>
  </si>
  <si>
    <t>PK過帳碼</t>
  </si>
  <si>
    <t>PK年度</t>
  </si>
  <si>
    <t>PK彙總撿料單號</t>
  </si>
  <si>
    <t>PR過帳碼</t>
  </si>
  <si>
    <t>PR年度</t>
  </si>
  <si>
    <t>PR彙總撿料單號</t>
  </si>
  <si>
    <t/>
  </si>
  <si>
    <t>0</t>
  </si>
  <si>
    <t>90R20G9E0150A4</t>
  </si>
  <si>
    <t>C</t>
  </si>
  <si>
    <t>94220G91F030B1</t>
  </si>
  <si>
    <t>TCR ADSL-FF 700x74M(M) YS 2431-1</t>
  </si>
  <si>
    <t>2020</t>
  </si>
  <si>
    <t>GI-1000009578</t>
  </si>
  <si>
    <t>94220G911050A1</t>
  </si>
  <si>
    <t>TCR ADSL 0 D 700x79M(L) CARBON SMOKE</t>
  </si>
  <si>
    <t>90220G910032A4</t>
  </si>
  <si>
    <t>AnthemADPRO290E 29x18M(M) GD-DS004/GD-DS</t>
  </si>
  <si>
    <t>GI-1000009870</t>
  </si>
  <si>
    <t>90120EMB044A9</t>
  </si>
  <si>
    <t>PROPEL ADP 1D-FR 700CX50M(S) YS 9051-8</t>
  </si>
  <si>
    <t>10020G9U0108B9</t>
  </si>
  <si>
    <t>Fathom 2 27.5x18M(M) GD-YS319(M)/GD-DS00</t>
  </si>
  <si>
    <t>GI-1000009837</t>
  </si>
  <si>
    <t>94120SU00020A2</t>
  </si>
  <si>
    <t>ADDICT RC ULT-FF 700X58M(XL) CARBON/CARB</t>
  </si>
  <si>
    <t>GI-1000009756</t>
  </si>
  <si>
    <t>GAMBLER 900 TUNED 29X14.5M(M) YS-7884/YS</t>
  </si>
  <si>
    <t>GI-1000010051</t>
  </si>
  <si>
    <t>GAMBLER 910 29x15.5M(XL) YS-7889(M28)/YS</t>
  </si>
  <si>
    <t>GI-1000010052</t>
  </si>
  <si>
    <t>SPARK 910 29X19M(L) YS-2774(M28)/YS-9188</t>
  </si>
  <si>
    <t>GI-1000010054</t>
  </si>
  <si>
    <t>10020G9E0236A4</t>
  </si>
  <si>
    <t>Pique 29 2 29x15L(XS) HP(YS 7475)/HP(YS</t>
  </si>
  <si>
    <t>10020G9E0237A1</t>
  </si>
  <si>
    <t>Pique 29 2 29x16L(S) HP(YS 7475)/HP(YS 7</t>
  </si>
  <si>
    <t>A0020G9IZ152A8</t>
  </si>
  <si>
    <t>Stance E+ 1 Pro 29 29X20M(L) YS 9051-8/Y</t>
  </si>
  <si>
    <t>94120SU00065A4</t>
  </si>
  <si>
    <t>FOIL 20-FF 700x56M(L)CARBON NUDE/CARBON(</t>
  </si>
  <si>
    <t>GI-1000009537</t>
  </si>
  <si>
    <t>10021TKA0048A1</t>
  </si>
  <si>
    <t>EMONDA SL 6 D PRO 700CX50M EMONDA SL 6 D</t>
  </si>
  <si>
    <t>10021TKA0049A7</t>
  </si>
  <si>
    <t>EMONDA SL 6 D PRO 700CX52M EMONDA SL 6 D</t>
  </si>
  <si>
    <t>94120SU00064A7</t>
  </si>
  <si>
    <t>FOIL 20-FF 700x54M(M)CARBON NUDE/CARBON(</t>
  </si>
  <si>
    <t>10020G9E0238A9</t>
  </si>
  <si>
    <t>Pique 29 2 29x17.5L(M) HP(YS 7475)/HP(YS</t>
  </si>
  <si>
    <t>10020G9V0236A4</t>
  </si>
  <si>
    <t>10020G9V0238A9</t>
  </si>
  <si>
    <t>10020G9V0237A1</t>
  </si>
  <si>
    <t>10021TKA0059B1</t>
  </si>
  <si>
    <t>10021TKC0077A9</t>
  </si>
  <si>
    <t>EMONDA SLR 7 DISC 700CX60M TK407-M / TK0</t>
  </si>
  <si>
    <t>10021TKC0071A5</t>
  </si>
  <si>
    <t>EMONDA SLR 7 DISC 700CX47M TK407-M / TK0</t>
  </si>
  <si>
    <t>10021TKC0076A1</t>
  </si>
  <si>
    <t>EMONDA SLR 7 DISC 700CX58M TK407-M / TK0</t>
  </si>
  <si>
    <t>10021TKC0078A6</t>
  </si>
  <si>
    <t>EMONDA SLR 7 DISC 700CX62M TK407-M / TK0</t>
  </si>
  <si>
    <t>10021TKC0075A4</t>
  </si>
  <si>
    <t>EMONDA SLR 7 DISC 700CX56M TK407-M / TK0</t>
  </si>
  <si>
    <t>GI-1000010105</t>
  </si>
  <si>
    <t>10021G9U0122A6</t>
  </si>
  <si>
    <t>TCR ADSL 0 D 700CX71M(S) Raw Carbon(M)</t>
  </si>
  <si>
    <t>GI-1000009857</t>
  </si>
  <si>
    <t>Trance Jr 26 26x15.7M GD-LS197 (M)/GD-LS</t>
  </si>
  <si>
    <t>GI-1000010078</t>
  </si>
  <si>
    <t>10020SU00126A7</t>
  </si>
  <si>
    <t>GENIUS 960 29x19M(L) YS-7871/YS-7912/YS-</t>
  </si>
  <si>
    <t>GI-1000009896</t>
  </si>
  <si>
    <t>GI-1000010104</t>
  </si>
  <si>
    <t>90120TKE375A1</t>
  </si>
  <si>
    <t>RAIL 7 FUSE 29X21.5M(XL) TK 407-M/GD-DM3</t>
  </si>
  <si>
    <t>GI-1000009541</t>
  </si>
  <si>
    <t>90121TKE0173A2</t>
  </si>
  <si>
    <t>RAIL 9 FUSE 29X15.5M(S) TK013-M / TK307-</t>
  </si>
  <si>
    <t>90121TKE0176A4</t>
  </si>
  <si>
    <t>RAIL 9 FUSE 29X21.5M(XL) TK013-M / TK307</t>
  </si>
  <si>
    <t>10020SU00094A1</t>
  </si>
  <si>
    <t>SPARK 970 29X19M(L) YS 9432/GD-DS004</t>
  </si>
  <si>
    <t>FastRoad E+EX Pro 700Cx50M(ML) GD-DS004(</t>
  </si>
  <si>
    <t>GI-1000010102</t>
  </si>
  <si>
    <t>FastRoad E+EX Pro 700Cx47.5M(M) GD-DS004</t>
  </si>
  <si>
    <t>FastRoad E+EX Pro 700Cx55M(XL) GD-DS004(</t>
  </si>
  <si>
    <t>10020G9U0290A5</t>
  </si>
  <si>
    <t>Reign ADPRO29 1 29X18M(L) YS 8229/GD-DS0</t>
  </si>
  <si>
    <t>10020TKE130A4</t>
  </si>
  <si>
    <t>TOP FUEL 9.8 GX 29x21.5M(XL)RAW CARBON(M</t>
  </si>
  <si>
    <t>AnthemADPRO29 2 29x18M(M) YS 2430-1/YS 2</t>
  </si>
  <si>
    <t>GI-1000010055</t>
  </si>
  <si>
    <t>FastRoad E+EX Pro 700Cx52.5M(L) GD-DS004</t>
  </si>
  <si>
    <t>A0020G9E0130A5</t>
  </si>
  <si>
    <t>Intrigue E+ 2 Pro 27.5X14.5L(XS) GD-DS00</t>
  </si>
  <si>
    <t>GI-1000009891</t>
  </si>
  <si>
    <t>A0020G9E0151A5</t>
  </si>
  <si>
    <t>Stance E+ 1 Pro 29 29X18M(M) YS 9051-8/Y</t>
  </si>
  <si>
    <t>10021G9T0123A1</t>
  </si>
  <si>
    <t>TCR ADSL 0 D 700CX74M(M) Raw Carbon(M)</t>
  </si>
  <si>
    <t>10020TKE324A8</t>
  </si>
  <si>
    <t>FUELEX 9.8 GX 29 29x18.5M(ML) TK 407-M/R</t>
  </si>
  <si>
    <t>10020TKU210B0</t>
  </si>
  <si>
    <t>SLASH 9.7 29 NXGX 29X21.5M(XL) TK419-S/T</t>
  </si>
  <si>
    <t>10020TKU324A3</t>
  </si>
  <si>
    <t>90120TKE388A1</t>
  </si>
  <si>
    <t>POWERFLYFS2018 F/S 27.5X21.5M(XL) TK202-</t>
  </si>
  <si>
    <t>90120TKE387A2</t>
  </si>
  <si>
    <t>POWERFLYFS2018 F/S 27.5X19.5M(L) TK202-M</t>
  </si>
  <si>
    <t>90120TKE385A8</t>
  </si>
  <si>
    <t>POWERFLYFS2018 F/S 27.5X17.5M(M) TK202-M</t>
  </si>
  <si>
    <t>90120TKU388A5</t>
  </si>
  <si>
    <t>GI-1000010067</t>
  </si>
  <si>
    <t>10020TKU237A6</t>
  </si>
  <si>
    <t>SLASH 8 29 GX 29X15.5M(S) GD-DS004(M)/GD</t>
  </si>
  <si>
    <t>10020G9A0081A4</t>
  </si>
  <si>
    <t>Avow ADPRO 1 700Cx51D(S) G-860B</t>
  </si>
  <si>
    <t>GI-1000009555</t>
  </si>
  <si>
    <t>10020G9K0750A1</t>
  </si>
  <si>
    <t>TRI ADV 700x51.5M(M) GD-MM479</t>
  </si>
  <si>
    <t>10020G9K0075A0</t>
  </si>
  <si>
    <t>Avow ADV 700Cx51D(S) G-773H(SM)</t>
  </si>
  <si>
    <t>GI-1000009553</t>
  </si>
  <si>
    <t>10020G9K0074A3</t>
  </si>
  <si>
    <t>Avow ADV 700Cx48D(XS) G-773H(SM)</t>
  </si>
  <si>
    <t>10020G9K0077A5</t>
  </si>
  <si>
    <t>Avow ADPRO 2 700Cx48D(XS) YS 9435</t>
  </si>
  <si>
    <t>GI-1000009554</t>
  </si>
  <si>
    <t>90120TKE374B2</t>
  </si>
  <si>
    <t>RAIL 7 FUSE 29x19.5M(L) TK623-S/TK621-S/</t>
  </si>
  <si>
    <t>10020G9K0079A1</t>
  </si>
  <si>
    <t>Avow ADPRO 2 700Cx53D(M) YS 9435</t>
  </si>
  <si>
    <t>GI-1000010072</t>
  </si>
  <si>
    <t>GI-1000010070</t>
  </si>
  <si>
    <t>CHECKPOINT SL 5 700CX61M TK-307-M / CARB</t>
  </si>
  <si>
    <t>GI-1000010071</t>
  </si>
  <si>
    <t>10021G9Q0112A4</t>
  </si>
  <si>
    <t>TCR ADSL1 D K 700CX77M(ML) G-860B/IS08-8</t>
  </si>
  <si>
    <t>GI-1000009858</t>
  </si>
  <si>
    <t>10021TKK0050B1</t>
  </si>
  <si>
    <t>10021TKN0048B2</t>
  </si>
  <si>
    <t>10020G9E0096A1</t>
  </si>
  <si>
    <t>EnviLiv ADPRO 2 D 700CX50L(S) DP-DM407A</t>
  </si>
  <si>
    <t>GI-1000009796</t>
  </si>
  <si>
    <t>10020G9K0099A2</t>
  </si>
  <si>
    <t>EnviLiv ADPRO 1 D 700CX46.5L(XS) CARBON</t>
  </si>
  <si>
    <t>GI-1000009797</t>
  </si>
  <si>
    <t>10020G9Q0903A2</t>
  </si>
  <si>
    <t>Propel ADSL 1 D 700Cx71M(S) GD-DM355/G-7</t>
  </si>
  <si>
    <t>GI-1000009852</t>
  </si>
  <si>
    <t>90120TKE374A4</t>
  </si>
  <si>
    <t>RAIL 7 FUSE 29X19.5M(L) TK 407-M/GD-DM35</t>
  </si>
  <si>
    <t>10020SU00093A4</t>
  </si>
  <si>
    <t>SPARK 970 29X17M(M) YS 9432/GD-DS004</t>
  </si>
  <si>
    <t>10020SU00137A0</t>
  </si>
  <si>
    <t>RANSOM 920 29X17M(M) RAW</t>
  </si>
  <si>
    <t>GI-1000009787</t>
  </si>
  <si>
    <t>10020G9U0758A5</t>
  </si>
  <si>
    <t>TRI ADPRO 1 700x51.5M(M) YS 9443</t>
  </si>
  <si>
    <t>GI-1000009557</t>
  </si>
  <si>
    <t>GENIUS 900 TUNED 29x17M(M) YS-7884/YS-78</t>
  </si>
  <si>
    <t>GI-1000010053</t>
  </si>
  <si>
    <t>GENIUS 900 TUNED 29x21M(XL) YS-7884/YS-7</t>
  </si>
  <si>
    <t>GENIUS 900 TUNED 29x16M(S) YS-7884/YS-78</t>
  </si>
  <si>
    <t>GENIUS 900 TUNED 29x19M(L) YS-7884/YS-78</t>
  </si>
  <si>
    <t>GI-1000010042</t>
  </si>
  <si>
    <t>10020TKA127B9</t>
  </si>
  <si>
    <t>TOP FUEL 9.8 GX 29x17.5M(M)TK623-S/GD-DS</t>
  </si>
  <si>
    <t>10020TKU124B0</t>
  </si>
  <si>
    <t>TOP FUEL 9.7 NX 29x21.5M(XL)TK623-S/GD-D</t>
  </si>
  <si>
    <t>SUPERCALIBER9.7 NX 29x21.5M(XL) TK621-S/</t>
  </si>
  <si>
    <t>GI-1000010049</t>
  </si>
  <si>
    <t>10020TKU123B3</t>
  </si>
  <si>
    <t>TOP FUEL 9.7 NX 29x19.5M(L)TK623-S/GD-DS</t>
  </si>
  <si>
    <t>90120TKE025A3</t>
  </si>
  <si>
    <t>TOP FUEL C F/S 29x23M(XXL)RAW CARBON(M)/</t>
  </si>
  <si>
    <t>GI-1000009563</t>
  </si>
  <si>
    <t>90120TKE097B0</t>
  </si>
  <si>
    <t>SUPERCAL 9.7 FUSE 29X21.5M(XL) TK621-S/T</t>
  </si>
  <si>
    <t>GI-1000009571</t>
  </si>
  <si>
    <t>90120TKE066B4</t>
  </si>
  <si>
    <t>TOPFUEL 9.9 FUSE 29x18.5M(ML)TK623-S/GD-</t>
  </si>
  <si>
    <t>90120TKE061B8</t>
  </si>
  <si>
    <t>TOP FUEL 9.7 FUSE 29x19.5M(L)TK623-S/GD-</t>
  </si>
  <si>
    <t>90120TKE106B1</t>
  </si>
  <si>
    <t>SUPERCAL 9.9 FUSE 29X17.5M(M) TK621-S/TK</t>
  </si>
  <si>
    <t>90120TKE093B1</t>
  </si>
  <si>
    <t>SUPERCAL 9.7 FUSE 29X15.5M(S) TK621-S/TK</t>
  </si>
  <si>
    <t>90120TKE095B6</t>
  </si>
  <si>
    <t>SUPERCAL 9.7 FUSE 29X18.5M(ML) TK621-S/T</t>
  </si>
  <si>
    <t>90120TKE056B8</t>
  </si>
  <si>
    <t>TOP FUEL 9.8 FUSE 29x21.5M(XL)TK623-S/GD</t>
  </si>
  <si>
    <t>10020TKE127A9</t>
  </si>
  <si>
    <t>TOP FUEL 9.8 GX 29x17.5M(M)RAW CARBON(M)</t>
  </si>
  <si>
    <t>90120TKU314A1</t>
  </si>
  <si>
    <t>POWERFLY 2020F/S29 29X19.5(L) GD-DM354A/</t>
  </si>
  <si>
    <t>GI-1000009764</t>
  </si>
  <si>
    <t>90120TKU313A4</t>
  </si>
  <si>
    <t>POWERFLY 2020F/S29 29X17.5(M) GD-DM354A/</t>
  </si>
  <si>
    <t>10020TK0080B6</t>
  </si>
  <si>
    <t>TOP FUEL 8 NX 29x18.5M(ML)TK523-M/GD-DS0</t>
  </si>
  <si>
    <t>GI-1000009786</t>
  </si>
  <si>
    <t>10020TK0080A8</t>
  </si>
  <si>
    <t>TOP FUEL 8 NX 29x18.5M(ML)GD-DS004(M)/G-</t>
  </si>
  <si>
    <t>10020G9E0281A1</t>
  </si>
  <si>
    <t>Reign 29 1 29X17M(M) G-H01/GD-DS004</t>
  </si>
  <si>
    <t>10020G9E0282A7</t>
  </si>
  <si>
    <t>Reign 29 1 29X18M(L) G-H01/GD-DS004</t>
  </si>
  <si>
    <t>10020G9E0876A2</t>
  </si>
  <si>
    <t>Propel ADV 1 D 700CX57.5M(L) DUPONT DM 3</t>
  </si>
  <si>
    <t>GI-1000009854</t>
  </si>
  <si>
    <t>90121TKE0175A7</t>
  </si>
  <si>
    <t>RAIL 9 FUSE 29X19.5M(L) TK013-M / TK307-</t>
  </si>
  <si>
    <t>GI-1000009540</t>
  </si>
  <si>
    <t>10020SU00125A1</t>
  </si>
  <si>
    <t>GENIUS 960 29x17M(M) YS-7871/YS-7912/YS-</t>
  </si>
  <si>
    <t>10020TKU079B3</t>
  </si>
  <si>
    <t>TOP FUEL 8 NX 29x17.5M(M)TK523-M/GD-DS00</t>
  </si>
  <si>
    <t>GI-1000010058</t>
  </si>
  <si>
    <t>A0020G9U0128A3</t>
  </si>
  <si>
    <t>Intrigue E+ 1 Pro 27.5X18L(M) G-H13/G-H1</t>
  </si>
  <si>
    <t>GI-1000009894</t>
  </si>
  <si>
    <t>A0020G9U0132A6</t>
  </si>
  <si>
    <t>90120TKE271A7</t>
  </si>
  <si>
    <t>SLASH 9.7 29 FUSE 29X19.5M(L) RAW CARBON</t>
  </si>
  <si>
    <t>GI-1000009570</t>
  </si>
  <si>
    <t>SUPERCALIBER 9.8GX 29x18.5M(ML) TK621-S/</t>
  </si>
  <si>
    <t>10020TKU209A1</t>
  </si>
  <si>
    <t>SLASH 9.7 29 NXGX 29X19.5M(L) RAW CARBON</t>
  </si>
  <si>
    <t>10020TKU213B2</t>
  </si>
  <si>
    <t>SLASH 9.8 29 GX 29X19.5M(L) TK419-S/TK 4</t>
  </si>
  <si>
    <t>SUPERCALIBER9.9XX1 29x21.5M(XL) TK621-S/</t>
  </si>
  <si>
    <t>GI-1000010050</t>
  </si>
  <si>
    <t>SUPERCALIBER9.9XX1 29x18.5M(ML) TK621-S/</t>
  </si>
  <si>
    <t>90120TKE276B1</t>
  </si>
  <si>
    <t>SLASH 9.8 29 FUSE 29X21.5M(XL) TK419-S/T</t>
  </si>
  <si>
    <t>90120TKE275B4</t>
  </si>
  <si>
    <t>SLASH 9.8 29 FUSE 29X19.5M(L) TK419-S/TK</t>
  </si>
  <si>
    <t>90120TKE272B2</t>
  </si>
  <si>
    <t>SLASH 9.7 29 FUSE 29X21.5M(XL) TK419-S/T</t>
  </si>
  <si>
    <t>90120TKE273B1</t>
  </si>
  <si>
    <t>SLASH 9.8 29 FUSE 29X15.5M(S) TK419-S/TK</t>
  </si>
  <si>
    <t>10020G9A0286A1</t>
  </si>
  <si>
    <t>Reign ADPRO29 2 29X18M(L) YS-9429A/YS 90</t>
  </si>
  <si>
    <t>10020G9E0294A8</t>
  </si>
  <si>
    <t>Reign ADPRO29 0 29X18M(L) G-730/GD-DS004</t>
  </si>
  <si>
    <t>10020G9E0290A9</t>
  </si>
  <si>
    <t>10020G9K0753A1</t>
  </si>
  <si>
    <t>TRI ADPRO 2 700x49M(S) G-773CA</t>
  </si>
  <si>
    <t>GI-1000009556</t>
  </si>
  <si>
    <t>10020G9V0294A8</t>
  </si>
  <si>
    <t>10020G9U0754A6</t>
  </si>
  <si>
    <t>TRI ADPRO 2 700x51.5M(M) G-773CA</t>
  </si>
  <si>
    <t>TOP FUEL 9.7 FUSE 29x18.5M(ML)TK202-M/GD</t>
  </si>
  <si>
    <t>90120TKE059A1</t>
  </si>
  <si>
    <t>TOP FUEL 9.7 FUSE 29x17.5M(M)TK202-M/GD-</t>
  </si>
  <si>
    <t>90120TKE062A7</t>
  </si>
  <si>
    <t>TOP FUEL 9.7 FUSE 29x21.5M(XL)TK202-M/GD</t>
  </si>
  <si>
    <t>10021TKE0009C2</t>
  </si>
  <si>
    <t>CHECKPOINT ALR 5 700CX54M TK623-S</t>
  </si>
  <si>
    <t>GI-1000009838</t>
  </si>
  <si>
    <t>94121TKE0004A4</t>
  </si>
  <si>
    <t>CHECKPOINT ALR F/S 700X56M TK-623-S</t>
  </si>
  <si>
    <t>GI-1000009558</t>
  </si>
  <si>
    <t>94121TKE0003A7</t>
  </si>
  <si>
    <t>CHECKPOINT ALR F/S 700X54M TK-623-S</t>
  </si>
  <si>
    <t>10021TKK0057A2</t>
  </si>
  <si>
    <t>EMONDA SL 7 DISC 700CX52M TK418-S / TK00</t>
  </si>
  <si>
    <t>10021TKK0059A7</t>
  </si>
  <si>
    <t>EMONDA SL 7 DISC 700CX56M TK418-S / TK00</t>
  </si>
  <si>
    <t>10021TKK0058A1</t>
  </si>
  <si>
    <t>EMONDA SL 7 DISC 700CX54M TK418-S / TK00</t>
  </si>
  <si>
    <t>10021TKK0055A8</t>
  </si>
  <si>
    <t>EMONDA SL 7 DISC 700CX47M TK418-S / TK00</t>
  </si>
  <si>
    <t>10021TKK0056A5</t>
  </si>
  <si>
    <t>EMONDA SL 7 DISC 700CX50M TK418-S / TK00</t>
  </si>
  <si>
    <t>10021TKU0057A1</t>
  </si>
  <si>
    <t>90120TKE373A7</t>
  </si>
  <si>
    <t>RAIL 7 FUSE 29X17.5M(M) TK 407-M/GD-DM35</t>
  </si>
  <si>
    <t>90F20TKQ006A9</t>
  </si>
  <si>
    <t>FUELEX CB29 FR P1 29X19.5M(L) UV</t>
  </si>
  <si>
    <t>GI-1000009535</t>
  </si>
  <si>
    <t>90F20TKQ010A1</t>
  </si>
  <si>
    <t>TOPFUEL CB29 FR P1 29"x18.5M(ML) UV</t>
  </si>
  <si>
    <t>10020SUM0122A2</t>
  </si>
  <si>
    <t>GENIUS 950 29x19M(L) YS-2261(M28)/YS-759</t>
  </si>
  <si>
    <t>GI-1000009897</t>
  </si>
  <si>
    <t>10020TKE239B3</t>
  </si>
  <si>
    <t>SLASH 8 29 GX 29X18.5M(ML) TK419-S/TK 40</t>
  </si>
  <si>
    <t>10020TKJ237B0</t>
  </si>
  <si>
    <t>SLASH 8 29 GX 29X15.5M(S) TK419-S/TK 409</t>
  </si>
  <si>
    <t>SLASH 8 29 GX 29X17.5M(M) GD-DS004(M)/GD</t>
  </si>
  <si>
    <t>SLASH 8 29 GX 29X19.5M(L) GD-DS004(M)/GD</t>
  </si>
  <si>
    <t>SLASH 8 29 GX 29X21.5M(XL) GD-DS004(M)/G</t>
  </si>
  <si>
    <t>10020TKU237B4</t>
  </si>
  <si>
    <t>A0020G9E0312A8</t>
  </si>
  <si>
    <t>EXPL E+1PROS GTS 700Cx585M(XL) GD-DM355(</t>
  </si>
  <si>
    <t>GI-1000009895</t>
  </si>
  <si>
    <t>A0020G9E0119B6</t>
  </si>
  <si>
    <t>FATHOM E+ 2 PRO 27.5X468M(M) GD-MM362B/Y</t>
  </si>
  <si>
    <t>A0020G9E0118A0</t>
  </si>
  <si>
    <t>FATHOM E+ 2 PRO 27.5X405M(S) DP-DM355/YS</t>
  </si>
  <si>
    <t>A0020G9E0123A0</t>
  </si>
  <si>
    <t>FATHOM E+ 2 PRO 29 29X468M(M) DP-DM355/Y</t>
  </si>
  <si>
    <t>A0020G9E0191A0</t>
  </si>
  <si>
    <t>Trance E+ 2 Pro 27.5X22M(XL) GD-DS004/YS</t>
  </si>
  <si>
    <t>GI-1000009782</t>
  </si>
  <si>
    <t>A0020G9E0195A1</t>
  </si>
  <si>
    <t>Trance E+ 3 Pro 27.5X20M(L) GD-DS004/YS-</t>
  </si>
  <si>
    <t>GI-1000009781</t>
  </si>
  <si>
    <t>A0020G9E0189A2</t>
  </si>
  <si>
    <t>Trance E+ 2 Pro 27.5X18M(M) GD-DS004/YS</t>
  </si>
  <si>
    <t>A0020G9E0315A1</t>
  </si>
  <si>
    <t>EXPL E+1PROS STA 700Cx535L(L) GD-DM355(S</t>
  </si>
  <si>
    <t>10020TKU081A3</t>
  </si>
  <si>
    <t>TOP FUEL 8 NX 29x19.5M(L)GD-DS004(M)/G-1</t>
  </si>
  <si>
    <t>10020TKU078B6</t>
  </si>
  <si>
    <t>TOP FUEL 8 NX 29x15.5M(S)TK523-M/GD-DS00</t>
  </si>
  <si>
    <t>10020TKN080A0</t>
  </si>
  <si>
    <t>10020TKU174A4</t>
  </si>
  <si>
    <t>REMEDY 7 27.5 NX 27.5X18.5M(ML) TK623-S</t>
  </si>
  <si>
    <t>GI-1000009785</t>
  </si>
  <si>
    <t>10021G9E0035A2</t>
  </si>
  <si>
    <t>TCR ADV 2D PC 700CX53M(L) G-773CA</t>
  </si>
  <si>
    <t>GI-1000009629</t>
  </si>
  <si>
    <t>10021G9C0039A4</t>
  </si>
  <si>
    <t>TCR ADV 2D SE 700CX47M(M) G-773CA</t>
  </si>
  <si>
    <t>10021G9C0038A7</t>
  </si>
  <si>
    <t>TCR ADV 2D SE 700CX44.5M(S) G-773CA</t>
  </si>
  <si>
    <t>10021G9K0033B5</t>
  </si>
  <si>
    <t>TCR ADV 2D PC 700CX47M(M) CARBON SMOKE(M</t>
  </si>
  <si>
    <t>90120TKE373B5</t>
  </si>
  <si>
    <t>RAIL 7 FUSE 29X17.5M(M) TK623-S/TK621-S/</t>
  </si>
  <si>
    <t>90121TKE0174A1</t>
  </si>
  <si>
    <t>RAIL 9 FUSE 29X17.5M(M) TK013-M / TK307-</t>
  </si>
  <si>
    <t>10020SU00158A0</t>
  </si>
  <si>
    <t>GAMBLER 920 29X19M(L) RAW/RAW</t>
  </si>
  <si>
    <t>SUPERCALIBER 9.8GX 29x21.5M(XL) TK621-S/</t>
  </si>
  <si>
    <t>10020TK0317B9</t>
  </si>
  <si>
    <t>FUELEX9.7NXGX 29 29x18.5M(ML) TK623-S/YS</t>
  </si>
  <si>
    <t>10020TKN316A6</t>
  </si>
  <si>
    <t>FUELEX9.7NXGX 29 29x17.5M(M) GD-DS004/RA</t>
  </si>
  <si>
    <t>10020TKU195A4</t>
  </si>
  <si>
    <t>REMEDY 9.8 27.5 GX 27.5X19.5M(L) TK525-S</t>
  </si>
  <si>
    <t>10020TKU315A4</t>
  </si>
  <si>
    <t>FUELEX9.7NXGX 29 29x15.5M(S) GD-DS004/RA</t>
  </si>
  <si>
    <t>10020TKU323B4</t>
  </si>
  <si>
    <t>FUELEX 9.8 GX 29 29x17.5M(M) TK623-S/YS-</t>
  </si>
  <si>
    <t>10020TKU316A1</t>
  </si>
  <si>
    <t>90120TKE095A8</t>
  </si>
  <si>
    <t>SUPERCAL 9.7 FUSE 29X18.5M(ML) GD-DS004/</t>
  </si>
  <si>
    <t>GI-1000009758</t>
  </si>
  <si>
    <t>FUEL EX C F/S 29 29X17.5M(M) TK 407-M/RA</t>
  </si>
  <si>
    <t>GI-1000010092</t>
  </si>
  <si>
    <t>10020G9I0286A0</t>
  </si>
  <si>
    <t>94120G9K0056A1</t>
  </si>
  <si>
    <t>TRI ADPRO TT-FF 700Cx49M(S) CARBON SMOKE</t>
  </si>
  <si>
    <t>GI-1000009575</t>
  </si>
  <si>
    <t>10020G9U0286A2</t>
  </si>
  <si>
    <t>90120SU00015A8</t>
  </si>
  <si>
    <t>GAMBLER TUNED-FR 27.5x15M(L) YS-7884</t>
  </si>
  <si>
    <t>GI-1000009574</t>
  </si>
  <si>
    <t>90120SU00016A5</t>
  </si>
  <si>
    <t>GAMBLER TUNED-FR 27.5x15.5M(XL) YS-7884</t>
  </si>
  <si>
    <t>10020TKA374A1</t>
  </si>
  <si>
    <t>FUEL EX 7 NX 29 29x21.5M(XL) GD-DM354A(M</t>
  </si>
  <si>
    <t>10020TKU374A5</t>
  </si>
  <si>
    <t>10020TKU370A6</t>
  </si>
  <si>
    <t>FUEL EX 7 NX 29 29x15.5M(S) GD-DM354A(M)</t>
  </si>
  <si>
    <t>10020TKU389A8</t>
  </si>
  <si>
    <t>FUEL EX 8 GX 29 29X19.5M(L) GD-DS004/GD-</t>
  </si>
  <si>
    <t>10020G9J0280A8</t>
  </si>
  <si>
    <t>Reign 29 1 29X16.5M(S) G-H01/GD-DS004</t>
  </si>
  <si>
    <t>GI-1000010059</t>
  </si>
  <si>
    <t>A0020G9A0139A6</t>
  </si>
  <si>
    <t>REIGN E+ 1 PRO 27.5X18M(M) YS-9018/YS-79</t>
  </si>
  <si>
    <t>A0020G9E0138A3</t>
  </si>
  <si>
    <t>REIGN E+ 1 PRO 27.5X16M(S) YS-9018/YS-79</t>
  </si>
  <si>
    <t>94121G9T0001A1</t>
  </si>
  <si>
    <t>TCRADPROD FX42.5M(XS) YS-2019/G-H01</t>
  </si>
  <si>
    <t>SFM1</t>
  </si>
  <si>
    <t>GI-1000009759</t>
  </si>
  <si>
    <t>90F20TKQ007A6</t>
  </si>
  <si>
    <t>FUELEX CB29 FR P1 29X21.5M(XL) UV</t>
  </si>
  <si>
    <t>SC7 FR P1 700Cx55M(L) UV</t>
  </si>
  <si>
    <t>GI-1000009538</t>
  </si>
  <si>
    <t>90120EMB180A0</t>
  </si>
  <si>
    <t>ToughRoad SL EX-FR 700Cx55M(XL) YS 8229</t>
  </si>
  <si>
    <t>GI-1000009539</t>
  </si>
  <si>
    <t>90120EMB179A1</t>
  </si>
  <si>
    <t>ToughRoad SL EX-FR 700Cx52M(L) YS 8229 (</t>
  </si>
  <si>
    <t>ToughRoad SL EX-FR 700Cx49M(M) YS 8229 (</t>
  </si>
  <si>
    <t>90120EMB177A5</t>
  </si>
  <si>
    <t>ToughRoad SL EX-FR 700Cx46M(S) YS 8229 (</t>
  </si>
  <si>
    <t>10021G9U0036A6</t>
  </si>
  <si>
    <t>TCR ADV 2D PC 700CX56M(XL) G-773CA</t>
  </si>
  <si>
    <t>10021G9E0069A0</t>
  </si>
  <si>
    <t>TCRADPRO 2D 700CX47M(M) Carbon Smoke</t>
  </si>
  <si>
    <t>GI-1000009631</t>
  </si>
  <si>
    <t>TCR ADV 2D PC 700CX50M(ML) CARBON SMOKE(</t>
  </si>
  <si>
    <t>10021G9C0117A2</t>
  </si>
  <si>
    <t>TCR ADSL1 D 700CX74M(M) G-860B/IS08-8019</t>
  </si>
  <si>
    <t>10021G9C0039B2</t>
  </si>
  <si>
    <t>TCR ADV 2D SE 700CX47M(M) Carbon Smoke(M</t>
  </si>
  <si>
    <t>10021G9C0038B5</t>
  </si>
  <si>
    <t>TCR ADV 2D SE 700CX44.5M(S) Carbon Smoke</t>
  </si>
  <si>
    <t>A0020G9E0145A8</t>
  </si>
  <si>
    <t>REIGN E+ 2 PRO 27.5X22M(XL) GD-DM380/GD-</t>
  </si>
  <si>
    <t>A0020G9E0140A1</t>
  </si>
  <si>
    <t>REIGN E+ 1 PRO 27.5X20M(L) YS-9018/YS-79</t>
  </si>
  <si>
    <t>A0020G9E0283A4</t>
  </si>
  <si>
    <t>REIGN E+ 0 PROS 27.5X20M(L) GD-DS004/G-7</t>
  </si>
  <si>
    <t>A0020G9E0288A0</t>
  </si>
  <si>
    <t>REIGN E+ 1 PROS 27.5X22M(XL) YS-9018/YS-</t>
  </si>
  <si>
    <t>10020G9E0177A1</t>
  </si>
  <si>
    <t>Langma ADV 1 700x44.5L(S) CARBON(797ENA)</t>
  </si>
  <si>
    <t>GI-1000009851</t>
  </si>
  <si>
    <t>10020G9E0176A4</t>
  </si>
  <si>
    <t>Langma ADV 1 700x41L(XS) CARBON(797ENA)</t>
  </si>
  <si>
    <t>10020G9E0099A3</t>
  </si>
  <si>
    <t>REMEDY 27.5 C F/S 27.5X18.5M(ML) TK626-M</t>
  </si>
  <si>
    <t>GI-1000010094</t>
  </si>
  <si>
    <t>90120TKU142A5</t>
  </si>
  <si>
    <t>REMEDY 27.5 C F/S 27.5X15.5M(S) TK626-M(</t>
  </si>
  <si>
    <t>GI-1000009867</t>
  </si>
  <si>
    <t>TOP FUEL C F/S 29x21.5M(XL)RAW CARBON(M)</t>
  </si>
  <si>
    <t>SLASH 9.8 29 FUSE 29X17.5M(M) TK419-S/TK</t>
  </si>
  <si>
    <t>GI-1000010093</t>
  </si>
  <si>
    <t>90120TKE274A9</t>
  </si>
  <si>
    <t>SLASH 9.8 29 FUSE 29X17.5M(M) RAW CARBON</t>
  </si>
  <si>
    <t>GI-1000009866</t>
  </si>
  <si>
    <t>REMEDY9.8 27.5FUSE X17.5M(M) TK621-S/TK6</t>
  </si>
  <si>
    <t>90120TKE260A3</t>
  </si>
  <si>
    <t>REMEDY9.7 27.5FUSE X17.5M(M) TK505-S (M)</t>
  </si>
  <si>
    <t>REMEDY 27.5 C F/S 27.5X17.5M(M) TK626-M(</t>
  </si>
  <si>
    <t>TOP FUEL 9.7 FUSE 29x19.5M(L)TK202-M/GD-</t>
  </si>
  <si>
    <t>TOP FUEL 9.8 FUSE 29x19.5M(L)TK623-S/GD-</t>
  </si>
  <si>
    <t>90120TKE053B6</t>
  </si>
  <si>
    <t>TOP FUEL 9.8 FUSE 29x17.5M(M)TK623-S/GD-</t>
  </si>
  <si>
    <t>GI-1000009865</t>
  </si>
  <si>
    <t>90120TKE053A8</t>
  </si>
  <si>
    <t>TOP FUEL 9.8 FUSE 29x17.5M(M)RAW CARBON(</t>
  </si>
  <si>
    <t>90120TKE020A7</t>
  </si>
  <si>
    <t>TOP FUEL C F/S 29x15.5M(S)RAW CARBON(M)/</t>
  </si>
  <si>
    <t>10020TKU321B1</t>
  </si>
  <si>
    <t>FUELEX 9.8 GX 27.5 27.5X15.5M(S) TK623-S</t>
  </si>
  <si>
    <t>10020TKU212A7</t>
  </si>
  <si>
    <t>SLASH 9.8 29 GX 29X17.5M(M) RAW CARBON(M</t>
  </si>
  <si>
    <t>10020TKN208A9</t>
  </si>
  <si>
    <t>SLASH 9.7 29 NXGX 29X17.5M(M) RAW CARBON</t>
  </si>
  <si>
    <t>10020G9V0293A0</t>
  </si>
  <si>
    <t>Reign ADPRO29 0 29X17M(M) G-730/GD-DS004</t>
  </si>
  <si>
    <t>10020G9U0249A9</t>
  </si>
  <si>
    <t>PIQUEADPRO29 1 29X16L(S) CARBON SMOKE/G-</t>
  </si>
  <si>
    <t>10020G9U0248A1</t>
  </si>
  <si>
    <t>PIQUEADPRO29 1 29X15L(XS) CARBON SMOKE/G</t>
  </si>
  <si>
    <t>GI-1000010056</t>
  </si>
  <si>
    <t>10020G9E0869A8</t>
  </si>
  <si>
    <t>Propel ADV 2 D 700CX54.5M(ML) G-797EB</t>
  </si>
  <si>
    <t>GI-1000009853</t>
  </si>
  <si>
    <t>10020G9E0250A3</t>
  </si>
  <si>
    <t>PIQUEADPRO29 1 29X17.5L(M) CARBON SMOKE/</t>
  </si>
  <si>
    <t>10020G9E0249A2</t>
  </si>
  <si>
    <t>10020G9A0294A3</t>
  </si>
  <si>
    <t>90120TK0029A1</t>
  </si>
  <si>
    <t>SUPERCALIBER F/S 29x19.5M(L) RAW CARBON(</t>
  </si>
  <si>
    <t>GI-1000009862</t>
  </si>
  <si>
    <t>90120TKE108A8</t>
  </si>
  <si>
    <t>SUPERCAL 9.9 FUSE 29X19.5M(L) RAW CARBON</t>
  </si>
  <si>
    <t>90120TKU029A8</t>
  </si>
  <si>
    <t>10020G9E0756A4</t>
  </si>
  <si>
    <t>TRI ADPRO 1 700x46M(XS) YS 9443</t>
  </si>
  <si>
    <t>90120EMB098A1</t>
  </si>
  <si>
    <t>STANCE 1-FR 27.5X20M(L) P-430C/P-430C</t>
  </si>
  <si>
    <t>GI-1000009761</t>
  </si>
  <si>
    <t>90120EMB104B7</t>
  </si>
  <si>
    <t>Stance 2-FR 27.5X22M(XL) YS 9215-1/YS 92</t>
  </si>
  <si>
    <t>90120EMB193A9</t>
  </si>
  <si>
    <t>Trance 3-FR 27.5x18M(M) GD-DM462/YS-9429</t>
  </si>
  <si>
    <t>GI-1000009760</t>
  </si>
  <si>
    <t>90120EMB194A6</t>
  </si>
  <si>
    <t>Trance 3-FR 27.5x20M(L) GD-DM462/YS-9429</t>
  </si>
  <si>
    <t>10020G9T0752A8</t>
  </si>
  <si>
    <t>TRI ADPRO 2 700x46M(XS) G-773CA</t>
  </si>
  <si>
    <t>SAM1</t>
  </si>
  <si>
    <t>FATHOM E+ 2 PRO 29 29X505M(L) DP-DM355/Y</t>
  </si>
  <si>
    <t>GI-1000010103</t>
  </si>
  <si>
    <t>90119TKE214A1</t>
  </si>
  <si>
    <t>REMEDY 8 27.5 FUSE 27.5X19.5M GD-DS004(M</t>
  </si>
  <si>
    <t>90120TKE365A5</t>
  </si>
  <si>
    <t>FUEL EX 8 29 FUSE 29X19.5M(L) GD-DS004/G</t>
  </si>
  <si>
    <t>GI-1000009559</t>
  </si>
  <si>
    <t>90120TKE366A2</t>
  </si>
  <si>
    <t>FUEL EX 8 29 FUSE 29X21.5M(XL) GD-DS004/</t>
  </si>
  <si>
    <t>REMEDY 8 27.5 GX 27.5X18.5M(ML) GD-DS004</t>
  </si>
  <si>
    <t>GI-1000010077</t>
  </si>
  <si>
    <t>10020TKU388A0</t>
  </si>
  <si>
    <t>FUEL EX 8 GX 29 29X18.5M(ML) GD-DS004/GD</t>
  </si>
  <si>
    <t>10020TKU387A3</t>
  </si>
  <si>
    <t>FUEL EX 8 GX 29 29X17.5M(M) GD-DS004/GD-</t>
  </si>
  <si>
    <t>REMEDY 8 27.5 GX 27.5X17.5M(M) GD-DS004(</t>
  </si>
  <si>
    <t>10020G9E0207A2</t>
  </si>
  <si>
    <t>Langma ADPRO 2 D 700x44.5L(S) CARBON SMO</t>
  </si>
  <si>
    <t>GI-1000009798</t>
  </si>
  <si>
    <t>GI-1000010075</t>
  </si>
  <si>
    <t>10020G9E0755A7</t>
  </si>
  <si>
    <t>TRI ADPRO 2 700x54.5M(L) G-773CA</t>
  </si>
  <si>
    <t>10020G9E0758A9</t>
  </si>
  <si>
    <t>10020G9E0754A1</t>
  </si>
  <si>
    <t>10020G9E0847A0</t>
  </si>
  <si>
    <t>Propel ADV 2 700CX59.5M(XL) RAL 810(M)</t>
  </si>
  <si>
    <t>GI-1000009855</t>
  </si>
  <si>
    <t>10020G9K0814A9</t>
  </si>
  <si>
    <t>10020G9K0815A6</t>
  </si>
  <si>
    <t>Defy ADV 1 700CX51.5M(ML) YS-7905/GD-DS0</t>
  </si>
  <si>
    <t>10020G9K0816A3</t>
  </si>
  <si>
    <t>Defy ADV 1 700CX53.5M(L) YS-7905/GD-DS00</t>
  </si>
  <si>
    <t>10021G9C0037A1</t>
  </si>
  <si>
    <t>TCR ADV 2D SE 700CX42.5M(XS) G-773CA</t>
  </si>
  <si>
    <t>TCR ADV 2D PC 700CX53M(L) CARBON SMOKE(M</t>
  </si>
  <si>
    <t>GI-1000010076</t>
  </si>
  <si>
    <t>90120TKE207B4</t>
  </si>
  <si>
    <t>POWERFLY 5 29 FUSE 29x19.5M(L) TK002-S/T</t>
  </si>
  <si>
    <t>90120TKE090A1</t>
  </si>
  <si>
    <t>TOP FUEL 8 FUSE 29x18.5M(ML) GD-DS004(M)</t>
  </si>
  <si>
    <t>90120TKE206B7</t>
  </si>
  <si>
    <t>POWERFLY 5 29 FUSE 29x17.5M(M) TK002-S/T</t>
  </si>
  <si>
    <t>GI-1000009562</t>
  </si>
  <si>
    <t>90120TKE206A9</t>
  </si>
  <si>
    <t>POWERFLY 5 29 FUSE 29x17.5M(M) GD-DS004/</t>
  </si>
  <si>
    <t>90120TKE207A6</t>
  </si>
  <si>
    <t>POWERFLY 5 29 FUSE 29x19.5M(L) GD-DS004/</t>
  </si>
  <si>
    <t>90121TKE0141B7</t>
  </si>
  <si>
    <t>POWERFLY 7 29 FUSE 29X17.5M(M) TK002-S /</t>
  </si>
  <si>
    <t>90121TKE0178B7</t>
  </si>
  <si>
    <t>RAIL 5 FUSE 29X17.5M(M) GD-DS004 / TK523</t>
  </si>
  <si>
    <t>90121TKE0178A9</t>
  </si>
  <si>
    <t>RAIL 5 FUSE 29X17.5M(M) (GD-DS004 / TK61</t>
  </si>
  <si>
    <t>90121TKE0179A6</t>
  </si>
  <si>
    <t>RAIL 5 FUSE 29X19.5M(L) (GD-DS004 / TK61</t>
  </si>
  <si>
    <t>90120TKQ323B7</t>
  </si>
  <si>
    <t>TOPFUSELECTFUSE P1 29x18.5M(ML) GD-DS004</t>
  </si>
  <si>
    <t>GI-1000009860</t>
  </si>
  <si>
    <t>90120TKQ327A8</t>
  </si>
  <si>
    <t>SUPCALSELECTFUSEP1 29X17.5M(M) RAW CARBO</t>
  </si>
  <si>
    <t>90120TKE322A8</t>
  </si>
  <si>
    <t>TOPFUSELECTFUSE P1 29x17.5M(M) GD-DS004(</t>
  </si>
  <si>
    <t>GI-1000009861</t>
  </si>
  <si>
    <t>90120TKQ323A9</t>
  </si>
  <si>
    <t>90120TKQ322A1</t>
  </si>
  <si>
    <t>90120TKE323A5</t>
  </si>
  <si>
    <t>90120TKE327A4</t>
  </si>
  <si>
    <t>10020TKU390A9</t>
  </si>
  <si>
    <t>FUEL EX 8 GX 29 29X21.5M(XL) GD-DS004/GD</t>
  </si>
  <si>
    <t>10020TKU373A8</t>
  </si>
  <si>
    <t>FUEL EX 7 NX 29 29x19.5M(L) GD-DM354A(M)</t>
  </si>
  <si>
    <t>10020TKU372A0</t>
  </si>
  <si>
    <t>FUEL EX 7 NX 29 29x18.5M(ML) GD-DM354A(M</t>
  </si>
  <si>
    <t>CHECKPOINT SL 5 700CX61M TK-525-S / CARB</t>
  </si>
  <si>
    <t>90120TKE257B6</t>
  </si>
  <si>
    <t>REMEDY 8 27.5 FUSE 27.5X19.5M(L) TK621-S</t>
  </si>
  <si>
    <t>90121TKE0039A5</t>
  </si>
  <si>
    <t>CHECKPOINT SL6FUSE 700CX56M TK-506-S / C</t>
  </si>
  <si>
    <t>GI-1000009757</t>
  </si>
  <si>
    <t>90121TKE0038A8</t>
  </si>
  <si>
    <t>CHECKPOINT SL6FUSE 700CX54M TK-506-S / C</t>
  </si>
  <si>
    <t>90120TK0027A5</t>
  </si>
  <si>
    <t>SUPERCALIBER F/S 29x17.5M(M) RAW CARBON(</t>
  </si>
  <si>
    <t>90120TKE275A6</t>
  </si>
  <si>
    <t>SLASH 9.8 29 FUSE 29X19.5M(L) RAW CARBON</t>
  </si>
  <si>
    <t>10020G9U0076A5</t>
  </si>
  <si>
    <t>Avow ADV 700Cx53D(M) G-773H(SM)</t>
  </si>
  <si>
    <t>REIGN E+ 1PRO-FR 27.5X16M(S) YS-9018/YS-</t>
  </si>
  <si>
    <t>90120EMB047A0</t>
  </si>
  <si>
    <t>PROPEL ADP 1D-FR 700CX57.5M(L) YS 9051-8</t>
  </si>
  <si>
    <t>90121TKE0041A3</t>
  </si>
  <si>
    <t>CHECKPOINT SL6FUSE 700CX61M TK-506-S / C</t>
  </si>
  <si>
    <t>10020TK0371B3</t>
  </si>
  <si>
    <t>FUEL EX 7 NX 29 29x17.5M(M) GD-RM053B/GD</t>
  </si>
  <si>
    <t>REMEDY 27.5 C F/S 27.5X21.5(XL) TK626-M(</t>
  </si>
  <si>
    <t>90121TKE0142C2</t>
  </si>
  <si>
    <t>POWERFLY 7 29 FUSE 29X19.5M(L) TK602-P /</t>
  </si>
  <si>
    <t>90121TKE0140A1</t>
  </si>
  <si>
    <t>POWERFLY 7 27 FUSE 27.5X15.5M(S) TK013-M</t>
  </si>
  <si>
    <t>90121TKE0140C8</t>
  </si>
  <si>
    <t>POWERFLY 7 27 FUSE 27.5X15.5M(S) TK602-P</t>
  </si>
  <si>
    <t>90121TKE0139A0</t>
  </si>
  <si>
    <t>POWERFLY 7 27 FUSE 27.5X14M(XS) TK013-M</t>
  </si>
  <si>
    <t>90121TKE0139C7</t>
  </si>
  <si>
    <t>POWERFLY 7 27 FUSE 27.5X14M(XS) TK602-P</t>
  </si>
  <si>
    <t>90121TKE0141C5</t>
  </si>
  <si>
    <t>POWERFLY 7 29 FUSE 29X17.5M(M) TK602-P /</t>
  </si>
  <si>
    <t>90121TKE0145D2</t>
  </si>
  <si>
    <t>POWERFLY 5 27 FUSE 27.5X15.5M(S) G-773CB</t>
  </si>
  <si>
    <t>90121TKE0141A9</t>
  </si>
  <si>
    <t>POWERFLY 7 29 FUSE 29X17.5M(M) TK013-M /</t>
  </si>
  <si>
    <t>90121TKE0144D5</t>
  </si>
  <si>
    <t>POWERFLY 5 27 FUSE 27.5X14M(XS) G-773CB</t>
  </si>
  <si>
    <t>90121TKE0142A6</t>
  </si>
  <si>
    <t>POWERFLY 7 29 FUSE 29X19.5M(L) TK013-M /</t>
  </si>
  <si>
    <t>90121TKE0147D7</t>
  </si>
  <si>
    <t>POWERFLY 5 29 FUSE 29X19.5M(L) G-773CB /</t>
  </si>
  <si>
    <t>POWERFLY 4 29 FUSE 29X17.5M(M) TK307-M /</t>
  </si>
  <si>
    <t>90121TKE0151A5</t>
  </si>
  <si>
    <t>POWERFLY 4 29 FUSE 29X17.5M(M) TK013-M /</t>
  </si>
  <si>
    <t>90121TKE0171B6</t>
  </si>
  <si>
    <t>RAIL 7 FUSE 29X19.5M(L) TK525-S / YS-734</t>
  </si>
  <si>
    <t>90120TKQ317B1</t>
  </si>
  <si>
    <t>FUEXSELECT FUSE P1 29X17.5M(M) TK623-S/T</t>
  </si>
  <si>
    <t>GI-1000009864</t>
  </si>
  <si>
    <t>90120TKQ320A7</t>
  </si>
  <si>
    <t>FUEXSELECT FUSE P1 29X21.5M(XL) TK 407-M</t>
  </si>
  <si>
    <t>90120TKQ318B7</t>
  </si>
  <si>
    <t>FUEXSELECT FUSE P1 29X18.5M(ML) TK623-S/</t>
  </si>
  <si>
    <t>90120TKE319A2</t>
  </si>
  <si>
    <t>FUEXSELECT FUSE P1 29X19.5M(L) TK 407-M/</t>
  </si>
  <si>
    <t>90120TKQ317A1</t>
  </si>
  <si>
    <t>FUEXSELECT FUSE P1 29X17.5M(M) TK 407-M/</t>
  </si>
  <si>
    <t>10020G9E0855A2</t>
  </si>
  <si>
    <t>Propel ADV 1 700CX50M(S) G-773CA</t>
  </si>
  <si>
    <t>GI-1000009856</t>
  </si>
  <si>
    <t>10020G9Q0395A1</t>
  </si>
  <si>
    <t>XTC ADVSL 29 1 29X18M(M) DP-DM355/YS 921</t>
  </si>
  <si>
    <t>10020G9U0113A0</t>
  </si>
  <si>
    <t>Fathom 1 27.5x18M(M) GD-DM355(M)/GD-DS00</t>
  </si>
  <si>
    <t>10020G9Q0394A4</t>
  </si>
  <si>
    <t>XTC ADVSL 29 1 29X16M(S) DP-DM355/YS 921</t>
  </si>
  <si>
    <t>10020G9U0874A4</t>
  </si>
  <si>
    <t>Propel ADV 1 D 700CX52M(M) DUPONT DM 355</t>
  </si>
  <si>
    <t>TCR ADV 2D PC 700CX42.5M(XS) CARBON SMOK</t>
  </si>
  <si>
    <t>94120SU00019A1</t>
  </si>
  <si>
    <t>ADDICT RC ULT-FF 700X56M(L) CARBON/CARBO</t>
  </si>
  <si>
    <t>GI-1000009859</t>
  </si>
  <si>
    <t>10020G9K0281A9</t>
  </si>
  <si>
    <t>94121TKE0001A2</t>
  </si>
  <si>
    <t>CHECKPOINT ALR F/S 700X49M TK-623-S</t>
  </si>
  <si>
    <t>94121TKU0002A6</t>
  </si>
  <si>
    <t>CHECKPOINT ALR F/S 700X52M TK-623-S</t>
  </si>
  <si>
    <t>94121TKU0001A9</t>
  </si>
  <si>
    <t>94121TKE0006A9</t>
  </si>
  <si>
    <t>CHECKPOINT ALR F/S 700X61M TK-623-S</t>
  </si>
  <si>
    <t>94121TKU0004A0</t>
  </si>
  <si>
    <t>GI-1000010057</t>
  </si>
  <si>
    <t>GI-1000009762</t>
  </si>
  <si>
    <t>90120TK0294A9</t>
  </si>
  <si>
    <t>FUEL EX AL F/S 29 29X17.5M(M) GD-DM354A(</t>
  </si>
  <si>
    <t>Stance 2-FR 27.5X18M(M) YS 9215-1/YS 921</t>
  </si>
  <si>
    <t>FASTTOUR SLR 2-FR 700CX55M(XL) YS 9051-8</t>
  </si>
  <si>
    <t>Stance 2-FR 27.5X20M(L) YS 9215-1/YS 921</t>
  </si>
  <si>
    <t>FASTTOUR SLR 2-FR 700CX52M(L) YS 9051-8(</t>
  </si>
  <si>
    <t>94121G9T0015A7</t>
  </si>
  <si>
    <t>TCRADSL D FX74M(M) YS-GB5315(M)</t>
  </si>
  <si>
    <t>GI-1000010100</t>
  </si>
  <si>
    <t>90120TK0026A8</t>
  </si>
  <si>
    <t>SUPERCALIBER F/S 29x15.5M(S) RAW CARBON(</t>
  </si>
  <si>
    <t>POWERFLY 5 29 FUSE 29X19.5M(L) TK002-S /</t>
  </si>
  <si>
    <t>POWERFLY 4 29 FUSE 29X19.5M(L) TK013-M /</t>
  </si>
  <si>
    <t>90120TKQ321B2</t>
  </si>
  <si>
    <t>TOPFUSELECTFUSE P1 29x15.5M(S) GD-DS004/</t>
  </si>
  <si>
    <t>90120TKQ330A3</t>
  </si>
  <si>
    <t>SUPCALSELECTFUSEP1 29X21.5M(XL) RAW CARB</t>
  </si>
  <si>
    <t>90120TKE324B0</t>
  </si>
  <si>
    <t>TOPFUSELECTFUSE P1 29x19.5M(L) GD-DS004/</t>
  </si>
  <si>
    <t>90120TKE330A1</t>
  </si>
  <si>
    <t>90120TKQ333A5</t>
  </si>
  <si>
    <t>SLASHSELECTFUSE P1 29X19.5M(L) RAW CARBO</t>
  </si>
  <si>
    <t>90120SU00033A6</t>
  </si>
  <si>
    <t>RANSOM TUNED-FR 29x17M(M) YS-7884</t>
  </si>
  <si>
    <t>GI-1000009868</t>
  </si>
  <si>
    <t>94121G9T0014A1</t>
  </si>
  <si>
    <t>TCRADSL D FX71M(S) YS-GB5315(M)</t>
  </si>
  <si>
    <t>PROCAL AL F/S 27 27.5x13.5M(XS) GD-DM354</t>
  </si>
  <si>
    <t>90R19G9E036A1</t>
  </si>
  <si>
    <t>90R19G9E021A1</t>
  </si>
  <si>
    <t>90R20G9E0081A5</t>
  </si>
  <si>
    <t>90R20G9E0077A2</t>
  </si>
  <si>
    <t>90R20G9E0154A3</t>
  </si>
  <si>
    <t>Stance E+ 1 27.5" R.FRAME YS 2431-1A</t>
  </si>
  <si>
    <t>Trance E+ 3 Pro 27.5" R.FRAME GD-DS004/Y</t>
  </si>
  <si>
    <t>Trance E+ 2 Pro 27.5" R.FRAME TH7-114/YS</t>
  </si>
  <si>
    <t>Trance E+ 3 Pro 27.5" R.FRAME DP-DM355/T</t>
  </si>
  <si>
    <t>94220G911048A3</t>
  </si>
  <si>
    <t>TCR ADSL 0 D 700x74M(M) CARBON SMOKE</t>
  </si>
  <si>
    <t>90219G91252A6</t>
  </si>
  <si>
    <t>Fathom 1 27.5x18M(M) YS 9032-1 MATTE/YS</t>
  </si>
  <si>
    <t>GI-1000009536</t>
  </si>
  <si>
    <t>90220G910292A9</t>
  </si>
  <si>
    <t>REIGN ADPRO29 0 29X16.5M(S) G-730/GD-DS0</t>
  </si>
  <si>
    <t>GI-1000009871</t>
  </si>
  <si>
    <t>94217G91F22B8</t>
  </si>
  <si>
    <t>Propel ADSL-FF 700CX77M(ML) CARBON SMOKE</t>
  </si>
  <si>
    <t>SPARK 920 29X19M(L) CARBON(M28)</t>
  </si>
  <si>
    <t>GI-1000010095</t>
  </si>
  <si>
    <t>94219G91025A8</t>
  </si>
  <si>
    <t>TCX SLR 2 700Cx47.5M(XS)GD-DM462/GD-DS00</t>
  </si>
  <si>
    <t>GI-1000009763</t>
  </si>
  <si>
    <t>90219G91050A0</t>
  </si>
  <si>
    <t>Anthem ADV 1 27.5x18M(M)GD-DM355(M)/HM17</t>
  </si>
  <si>
    <t>GI-1000010096</t>
  </si>
  <si>
    <t>90219G91R09A3</t>
  </si>
  <si>
    <t>TranceADPro29FR 29X15M(S)YS 9435/CARBON</t>
  </si>
  <si>
    <t>GI-1000010097</t>
  </si>
  <si>
    <t>90219G91799A1</t>
  </si>
  <si>
    <t>Trance ADV 0 27.5x18M(M) GD-DS004/YS-942</t>
  </si>
  <si>
    <t>90220G910376A0</t>
  </si>
  <si>
    <t>Trance ADV 1 27.5X20M(L) YS 9435/GD-DS00</t>
  </si>
  <si>
    <t>GI-1000010098</t>
  </si>
  <si>
    <t>90220G910374A6</t>
  </si>
  <si>
    <t>Trance ADV 1 27.5X16M(S) YS 9435/GD-DS00</t>
  </si>
  <si>
    <t>90220G910351A1</t>
  </si>
  <si>
    <t>TranceADPRO29 0 29x15M(S) YS 9434/GD-DS0</t>
  </si>
  <si>
    <t>GI-1000009874</t>
  </si>
  <si>
    <t>90220G910353A6</t>
  </si>
  <si>
    <t>TranceADPRO29 0 29x18M(L) YS 9434/GD-DS0</t>
  </si>
  <si>
    <t>90220G910352A9</t>
  </si>
  <si>
    <t>TranceADPRO29 0 29x17M(M) YS 9434/GD-DS0</t>
  </si>
  <si>
    <t>90220G910253A5</t>
  </si>
  <si>
    <t>PIQUEADPRO29 0 29X16L(S) CARBON SMOKE/G-</t>
  </si>
  <si>
    <t>GI-1000010099</t>
  </si>
  <si>
    <t>90220G910375A3</t>
  </si>
  <si>
    <t>Trance ADV 1 27.5X18M(M) YS 9435/GD-DS00</t>
  </si>
  <si>
    <t>94220G91F031B7</t>
  </si>
  <si>
    <t>TCR ADSL-FF 700x77M(ML) YS 2431-1</t>
  </si>
  <si>
    <t>94218G91439A8</t>
  </si>
  <si>
    <t>Propel ADSL 1 700CX77M(ML) G-773CA</t>
  </si>
  <si>
    <t>GI-1000010101</t>
  </si>
  <si>
    <t>94220G910298A2</t>
  </si>
  <si>
    <t>TCX ADV PRO 0 700Cx54.5M(ML) DP-DM355/GD</t>
  </si>
  <si>
    <t>GI-1000009863</t>
  </si>
  <si>
    <t>90217G91528A2</t>
  </si>
  <si>
    <t>Anthem XADV29er 29x18M(M)GD-DS004/CARBON</t>
  </si>
  <si>
    <t>GI-1000009869</t>
  </si>
  <si>
    <t>90F20SUS0077A0</t>
  </si>
  <si>
    <t>SPARK 930 29X17M(M) YS-9051-1(M28)/GD-DS</t>
  </si>
  <si>
    <t>SAMS</t>
  </si>
  <si>
    <t>點上線未印單</t>
    <phoneticPr fontId="0" type="noConversion"/>
  </si>
  <si>
    <t>印單量</t>
    <phoneticPr fontId="0" type="noConversion"/>
  </si>
  <si>
    <t>塗裝點上線(量)</t>
    <phoneticPr fontId="3" type="noConversion"/>
  </si>
  <si>
    <t>己列印揀料單(量)</t>
    <phoneticPr fontId="3" type="noConversion"/>
  </si>
  <si>
    <t>己啓動揀料單(量)</t>
    <phoneticPr fontId="3" type="noConversion"/>
  </si>
  <si>
    <t>己回廠揀料單(量)</t>
    <phoneticPr fontId="3" type="noConversion"/>
  </si>
  <si>
    <t>數量</t>
    <phoneticPr fontId="3" type="noConversion"/>
  </si>
  <si>
    <t>GI-1000010210</t>
  </si>
  <si>
    <t>GI-1000010232</t>
  </si>
  <si>
    <t>GI-1000010215</t>
  </si>
  <si>
    <t>GI-1000010255</t>
  </si>
  <si>
    <t>GI-1000010172</t>
  </si>
  <si>
    <t>GI-1000010265</t>
  </si>
  <si>
    <t>GI-1000010228</t>
  </si>
  <si>
    <t>GI-1000010263</t>
  </si>
  <si>
    <t>GI-1000010261</t>
  </si>
  <si>
    <t>GI-1000010171</t>
  </si>
  <si>
    <t>GI-1000010170</t>
  </si>
  <si>
    <t>GI-1000010167</t>
  </si>
  <si>
    <t>GI-1000010216</t>
  </si>
  <si>
    <t>GI-1000010202</t>
  </si>
  <si>
    <t>GI-1000010203</t>
  </si>
  <si>
    <t>GI-1000010204</t>
  </si>
  <si>
    <t>GI-1000010168</t>
  </si>
  <si>
    <t>GI-1000010162</t>
  </si>
  <si>
    <t>GI-1000010229</t>
  </si>
  <si>
    <t>GI-1000010230</t>
  </si>
  <si>
    <t>GI-1000010163</t>
  </si>
  <si>
    <t>GI-1000010169</t>
  </si>
  <si>
    <t>己揀量</t>
    <phoneticPr fontId="0" type="noConversion"/>
  </si>
  <si>
    <t>到廠量</t>
    <phoneticPr fontId="0" type="noConversion"/>
  </si>
  <si>
    <t>完成率</t>
    <phoneticPr fontId="3" type="noConversion"/>
  </si>
  <si>
    <t>燈號</t>
    <phoneticPr fontId="3" type="noConversion"/>
  </si>
  <si>
    <t>售服預組</t>
    <phoneticPr fontId="3" type="noConversion"/>
  </si>
  <si>
    <r>
      <rPr>
        <b/>
        <sz val="24"/>
        <rFont val="細明體"/>
        <family val="3"/>
        <charset val="136"/>
      </rPr>
      <t>塗裝點上線</t>
    </r>
    <r>
      <rPr>
        <b/>
        <sz val="24"/>
        <rFont val="Arial"/>
        <family val="2"/>
      </rPr>
      <t>(</t>
    </r>
    <r>
      <rPr>
        <b/>
        <sz val="24"/>
        <rFont val="細明體"/>
        <family val="3"/>
        <charset val="136"/>
      </rPr>
      <t>量</t>
    </r>
    <r>
      <rPr>
        <b/>
        <sz val="24"/>
        <rFont val="Arial"/>
        <family val="2"/>
      </rPr>
      <t>)</t>
    </r>
    <phoneticPr fontId="3" type="noConversion"/>
  </si>
  <si>
    <r>
      <rPr>
        <b/>
        <sz val="24"/>
        <rFont val="細明體"/>
        <family val="3"/>
        <charset val="136"/>
      </rPr>
      <t>己列印揀料單</t>
    </r>
    <r>
      <rPr>
        <b/>
        <sz val="24"/>
        <rFont val="Arial"/>
        <family val="2"/>
      </rPr>
      <t>(</t>
    </r>
    <r>
      <rPr>
        <b/>
        <sz val="24"/>
        <rFont val="細明體"/>
        <family val="3"/>
        <charset val="136"/>
      </rPr>
      <t>量</t>
    </r>
    <r>
      <rPr>
        <b/>
        <sz val="24"/>
        <rFont val="Arial"/>
        <family val="2"/>
      </rPr>
      <t>)</t>
    </r>
    <phoneticPr fontId="3" type="noConversion"/>
  </si>
  <si>
    <r>
      <rPr>
        <b/>
        <sz val="24"/>
        <rFont val="細明體"/>
        <family val="3"/>
        <charset val="136"/>
      </rPr>
      <t>己啓動揀料單</t>
    </r>
    <r>
      <rPr>
        <b/>
        <sz val="24"/>
        <rFont val="Arial"/>
        <family val="2"/>
      </rPr>
      <t>(</t>
    </r>
    <r>
      <rPr>
        <b/>
        <sz val="24"/>
        <rFont val="細明體"/>
        <family val="3"/>
        <charset val="136"/>
      </rPr>
      <t>量</t>
    </r>
    <r>
      <rPr>
        <b/>
        <sz val="24"/>
        <rFont val="Arial"/>
        <family val="2"/>
      </rPr>
      <t>)</t>
    </r>
    <phoneticPr fontId="3" type="noConversion"/>
  </si>
  <si>
    <r>
      <rPr>
        <b/>
        <sz val="24"/>
        <rFont val="細明體"/>
        <family val="3"/>
        <charset val="136"/>
      </rPr>
      <t>己回廠揀料單</t>
    </r>
    <r>
      <rPr>
        <b/>
        <sz val="24"/>
        <rFont val="Arial"/>
        <family val="2"/>
      </rPr>
      <t>(</t>
    </r>
    <r>
      <rPr>
        <b/>
        <sz val="24"/>
        <rFont val="細明體"/>
        <family val="3"/>
        <charset val="136"/>
      </rPr>
      <t>量</t>
    </r>
    <r>
      <rPr>
        <b/>
        <sz val="24"/>
        <rFont val="Arial"/>
        <family val="2"/>
      </rPr>
      <t>)</t>
    </r>
    <phoneticPr fontId="3" type="noConversion"/>
  </si>
  <si>
    <t>過帳日期</t>
  </si>
  <si>
    <t>異動類型</t>
  </si>
  <si>
    <t>物料</t>
  </si>
  <si>
    <t>儲存地點</t>
  </si>
  <si>
    <t>數量</t>
  </si>
  <si>
    <t>異動類型內文</t>
  </si>
  <si>
    <t>使用者名稱</t>
  </si>
  <si>
    <t>物料文件</t>
  </si>
  <si>
    <t>採購單</t>
  </si>
  <si>
    <t>供應商</t>
  </si>
  <si>
    <t>銷售訂單</t>
  </si>
  <si>
    <t>銷售訂單項目</t>
  </si>
  <si>
    <t>成本中心</t>
  </si>
  <si>
    <t>文件表頭內文</t>
  </si>
  <si>
    <t>本國貨幣金額</t>
  </si>
  <si>
    <t>261</t>
  </si>
  <si>
    <t>231-20062380B1</t>
  </si>
  <si>
    <t>2244</t>
  </si>
  <si>
    <t>訂單的發貨</t>
  </si>
  <si>
    <t>6000029513</t>
  </si>
  <si>
    <t>G00037613</t>
  </si>
  <si>
    <t>4900457431</t>
  </si>
  <si>
    <t>231-20110B1</t>
  </si>
  <si>
    <t>2242</t>
  </si>
  <si>
    <t>6000029325</t>
  </si>
  <si>
    <t>4900456687</t>
  </si>
  <si>
    <t>1242</t>
  </si>
  <si>
    <t>6000029354</t>
  </si>
  <si>
    <t>4900456688</t>
  </si>
  <si>
    <t>3000002108</t>
  </si>
  <si>
    <t>4900457006</t>
  </si>
  <si>
    <t>6000029163</t>
  </si>
  <si>
    <t>4900454147</t>
  </si>
  <si>
    <t>231-20111B9</t>
  </si>
  <si>
    <t>6000029129</t>
  </si>
  <si>
    <t>4900454144</t>
  </si>
  <si>
    <t>6000029130</t>
  </si>
  <si>
    <t>4900454145</t>
  </si>
  <si>
    <t>6000029131</t>
  </si>
  <si>
    <t>4900454146</t>
  </si>
  <si>
    <t>231-20112B6</t>
  </si>
  <si>
    <t>6000029323</t>
  </si>
  <si>
    <t>4900456686</t>
  </si>
  <si>
    <t>6000029304</t>
  </si>
  <si>
    <t>4900454148</t>
  </si>
  <si>
    <t>231-20162662A1</t>
  </si>
  <si>
    <t>5000503419</t>
  </si>
  <si>
    <t>4900459462</t>
  </si>
  <si>
    <t>5000503420</t>
  </si>
  <si>
    <t>4900459463</t>
  </si>
  <si>
    <t>5000503421</t>
  </si>
  <si>
    <t>4900459464</t>
  </si>
  <si>
    <t>231-2082012B1</t>
  </si>
  <si>
    <t>6000029583</t>
  </si>
  <si>
    <t>4900457028</t>
  </si>
  <si>
    <t>6000029582</t>
  </si>
  <si>
    <t>4900457027</t>
  </si>
  <si>
    <t>6000029581</t>
  </si>
  <si>
    <t>4900457026</t>
  </si>
  <si>
    <t>6000029580</t>
  </si>
  <si>
    <t>4900457025</t>
  </si>
  <si>
    <t>6000029577</t>
  </si>
  <si>
    <t>4900457024</t>
  </si>
  <si>
    <t>231-2101575B1</t>
  </si>
  <si>
    <t>3000002112</t>
  </si>
  <si>
    <t>4900457020</t>
  </si>
  <si>
    <t>231-2108460A1</t>
  </si>
  <si>
    <t>6000029514</t>
  </si>
  <si>
    <t>4900457432</t>
  </si>
  <si>
    <t>231-2122088A1</t>
  </si>
  <si>
    <t>5000498888</t>
  </si>
  <si>
    <t>4900457021</t>
  </si>
  <si>
    <t>231-2128254B1</t>
  </si>
  <si>
    <t>6000029628</t>
  </si>
  <si>
    <t>4900455996</t>
  </si>
  <si>
    <t>231-2145460B1</t>
  </si>
  <si>
    <t>1241</t>
  </si>
  <si>
    <t>6000028476</t>
  </si>
  <si>
    <t>4900454149</t>
  </si>
  <si>
    <t>231-2180472B1</t>
  </si>
  <si>
    <t>6000028721</t>
  </si>
  <si>
    <t>4900457441</t>
  </si>
  <si>
    <t>231-2180482B1</t>
  </si>
  <si>
    <t>6000028687</t>
  </si>
  <si>
    <t>4900457440</t>
  </si>
  <si>
    <t>231-2180674B1</t>
  </si>
  <si>
    <t>6000029561</t>
  </si>
  <si>
    <t>4900455774</t>
  </si>
  <si>
    <t>231-2186060B1</t>
  </si>
  <si>
    <t>6000028479</t>
  </si>
  <si>
    <t>4900454412</t>
  </si>
  <si>
    <t>6000028478</t>
  </si>
  <si>
    <t>4900454411</t>
  </si>
  <si>
    <t>6000028477</t>
  </si>
  <si>
    <t>4900454410</t>
  </si>
  <si>
    <t>231-2200672B1</t>
  </si>
  <si>
    <t>6000029560</t>
  </si>
  <si>
    <t>4900455773</t>
  </si>
  <si>
    <t>231-2200674B1</t>
  </si>
  <si>
    <t>6000029399</t>
  </si>
  <si>
    <t>4900455772</t>
  </si>
  <si>
    <t>3000002111</t>
  </si>
  <si>
    <t>4900457438</t>
  </si>
  <si>
    <t>231-2204813B1</t>
  </si>
  <si>
    <t>6000029011</t>
  </si>
  <si>
    <t>4900457031</t>
  </si>
  <si>
    <t>231-2205415B1</t>
  </si>
  <si>
    <t>6000028991</t>
  </si>
  <si>
    <t>4900457023</t>
  </si>
  <si>
    <t>6000028963</t>
  </si>
  <si>
    <t>4900457022</t>
  </si>
  <si>
    <t>6000028954</t>
  </si>
  <si>
    <t>4900457029</t>
  </si>
  <si>
    <t>231-2210362B1</t>
  </si>
  <si>
    <t>5000503871</t>
  </si>
  <si>
    <t>4900459411</t>
  </si>
  <si>
    <t>5000507091</t>
  </si>
  <si>
    <t>4900459413</t>
  </si>
  <si>
    <t>231-2210567B1</t>
  </si>
  <si>
    <t>5000503454</t>
  </si>
  <si>
    <t>4900459410</t>
  </si>
  <si>
    <t>231-2220872B1</t>
  </si>
  <si>
    <t>6000028709</t>
  </si>
  <si>
    <t>4900455994</t>
  </si>
  <si>
    <t>231-2220880B1</t>
  </si>
  <si>
    <t>6000028703</t>
  </si>
  <si>
    <t>4900455997</t>
  </si>
  <si>
    <t>231-2221072B1</t>
  </si>
  <si>
    <t>6000029397</t>
  </si>
  <si>
    <t>4900455995</t>
  </si>
  <si>
    <t>231-2221254B1</t>
  </si>
  <si>
    <t>5000502351</t>
  </si>
  <si>
    <t>4900457391</t>
  </si>
  <si>
    <t>5000509820</t>
  </si>
  <si>
    <t>4900459408</t>
  </si>
  <si>
    <t>5000507053</t>
  </si>
  <si>
    <t>4900459407</t>
  </si>
  <si>
    <t>5000503828</t>
  </si>
  <si>
    <t>4900459402</t>
  </si>
  <si>
    <t>5000503469</t>
  </si>
  <si>
    <t>4900459401</t>
  </si>
  <si>
    <t>231-2221674B1</t>
  </si>
  <si>
    <t>6000028706</t>
  </si>
  <si>
    <t>4900455993</t>
  </si>
  <si>
    <t>231-2241054A1</t>
  </si>
  <si>
    <t>5000503486</t>
  </si>
  <si>
    <t>4900455998</t>
  </si>
  <si>
    <t>231-2241458A1</t>
  </si>
  <si>
    <t>5000499431</t>
  </si>
  <si>
    <t>4900455999</t>
  </si>
  <si>
    <t>5000503489</t>
  </si>
  <si>
    <t>4900456010</t>
  </si>
  <si>
    <t>231-2255214B1</t>
  </si>
  <si>
    <t>6000028987</t>
  </si>
  <si>
    <t>4900457030</t>
  </si>
  <si>
    <t>揀料單總計</t>
    <phoneticPr fontId="3" type="noConversion"/>
  </si>
  <si>
    <t>線別</t>
    <phoneticPr fontId="3" type="noConversion"/>
  </si>
  <si>
    <t>單號</t>
    <phoneticPr fontId="3" type="noConversion"/>
  </si>
  <si>
    <t>揀料單號</t>
    <phoneticPr fontId="3" type="noConversion"/>
  </si>
  <si>
    <t>比對</t>
    <phoneticPr fontId="3" type="noConversion"/>
  </si>
  <si>
    <t>工單</t>
    <phoneticPr fontId="3" type="noConversion"/>
  </si>
  <si>
    <t>GI-1000010255</t>
    <phoneticPr fontId="3" type="noConversion"/>
  </si>
  <si>
    <t>GI-1000010066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</si>
</sst>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0"/>
    <numFmt numFmtId="177" formatCode="[$-F400]h:mm:ss\ AM/PM"/>
  </numFmts>
  <fonts count="21" x14ac:knownFonts="1">
    <font>
      <sz val="10"/>
      <name val="Arial"/>
    </font>
    <font>
      <sz val="10"/>
      <name val="Arial"/>
      <family val="2"/>
    </font>
    <font>
      <sz val="10"/>
      <name val="細明體"/>
      <family val="3"/>
      <charset val="136"/>
    </font>
    <font>
      <sz val="9"/>
      <name val="細明體"/>
      <family val="3"/>
      <charset val="136"/>
    </font>
    <font>
      <b/>
      <sz val="10"/>
      <color theme="1"/>
      <name val="標楷體"/>
      <family val="4"/>
      <charset val="136"/>
    </font>
    <font>
      <sz val="9"/>
      <name val="標楷體"/>
      <family val="2"/>
      <charset val="136"/>
    </font>
    <font>
      <sz val="12"/>
      <color theme="1"/>
      <name val="Arial Unicode MS"/>
      <family val="2"/>
      <charset val="136"/>
    </font>
    <font>
      <sz val="9"/>
      <name val="新細明體"/>
      <family val="2"/>
      <charset val="136"/>
      <scheme val="minor"/>
    </font>
    <font>
      <b/>
      <sz val="10"/>
      <color theme="1"/>
      <name val="Arial"/>
      <family val="2"/>
    </font>
    <font>
      <b/>
      <sz val="10"/>
      <color theme="1"/>
      <name val="細明體"/>
      <family val="3"/>
      <charset val="136"/>
    </font>
    <font>
      <sz val="14"/>
      <name val="Arial"/>
      <family val="2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name val="細明體"/>
      <family val="3"/>
      <charset val="136"/>
    </font>
    <font>
      <b/>
      <sz val="16"/>
      <color rgb="FF0033CC"/>
      <name val="Arial"/>
      <family val="2"/>
    </font>
    <font>
      <b/>
      <sz val="24"/>
      <name val="Arial"/>
      <family val="2"/>
    </font>
    <font>
      <b/>
      <sz val="24"/>
      <name val="細明體"/>
      <family val="3"/>
      <charset val="136"/>
    </font>
    <font>
      <b/>
      <sz val="72"/>
      <name val="Arial"/>
      <family val="2"/>
    </font>
    <font>
      <b/>
      <sz val="8"/>
      <name val="Arial"/>
      <family val="2"/>
    </font>
    <font>
      <sz val="12"/>
      <color rgb="FF000000"/>
      <name val="Arial"/>
      <family val="2"/>
    </font>
    <font>
      <b/>
      <sz val="10"/>
      <color rgb="FFFF0000"/>
      <name val="細明體"/>
      <family val="3"/>
      <charset val="136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99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176" fontId="0" fillId="0" borderId="0" xfId="0" applyNumberFormat="1" applyAlignment="1">
      <alignment horizontal="right" vertical="top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14" fontId="0" fillId="0" borderId="0" xfId="0" applyNumberFormat="1" applyAlignment="1">
      <alignment vertical="top"/>
    </xf>
    <xf numFmtId="19" fontId="0" fillId="0" borderId="0" xfId="0" applyNumberFormat="1" applyAlignment="1">
      <alignment vertical="top"/>
    </xf>
    <xf numFmtId="0" fontId="6" fillId="4" borderId="1" xfId="0" applyFont="1" applyFill="1" applyBorder="1" applyAlignment="1">
      <alignment horizontal="left" vertical="center"/>
    </xf>
    <xf numFmtId="177" fontId="6" fillId="4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 vertical="top"/>
    </xf>
    <xf numFmtId="177" fontId="0" fillId="0" borderId="0" xfId="0" applyNumberFormat="1" applyAlignment="1">
      <alignment horizontal="left" vertical="top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vertical="top"/>
    </xf>
    <xf numFmtId="0" fontId="0" fillId="7" borderId="0" xfId="0" applyFill="1" applyAlignment="1">
      <alignment vertical="top"/>
    </xf>
    <xf numFmtId="0" fontId="2" fillId="7" borderId="0" xfId="0" applyFont="1" applyFill="1" applyAlignment="1">
      <alignment vertical="top"/>
    </xf>
    <xf numFmtId="0" fontId="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10" fontId="10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10" fillId="0" borderId="1" xfId="0" applyNumberFormat="1" applyFont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8" fillId="0" borderId="2" xfId="0" applyNumberFormat="1" applyFont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19" fillId="0" borderId="0" xfId="0" applyFont="1" applyAlignment="1">
      <alignment vertical="top"/>
    </xf>
    <xf numFmtId="14" fontId="1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3" borderId="0" xfId="0" applyFill="1" applyAlignment="1">
      <alignment vertical="top"/>
    </xf>
    <xf numFmtId="0" fontId="2" fillId="3" borderId="0" xfId="0" applyFont="1" applyFill="1" applyAlignment="1">
      <alignment vertical="top"/>
    </xf>
    <xf numFmtId="0" fontId="11" fillId="7" borderId="0" xfId="0" applyFont="1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 applyProtection="1">
      <alignment horizontal="center" vertical="top"/>
      <protection locked="0"/>
    </xf>
    <xf numFmtId="0" fontId="9" fillId="5" borderId="1" xfId="0" applyFont="1" applyFill="1" applyBorder="1" applyAlignment="1" applyProtection="1">
      <alignment horizontal="center" vertical="top"/>
      <protection locked="0"/>
    </xf>
    <xf numFmtId="0" fontId="2" fillId="7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0" fillId="0" borderId="1" xfId="0" applyFont="1" applyBorder="1" applyAlignment="1">
      <alignment horizontal="center" vertical="top"/>
    </xf>
    <xf numFmtId="0" fontId="9" fillId="13" borderId="1" xfId="0" applyFont="1" applyFill="1" applyBorder="1" applyAlignment="1" applyProtection="1">
      <alignment horizontal="center" vertical="top"/>
      <protection locked="0"/>
    </xf>
    <xf numFmtId="0" fontId="8" fillId="13" borderId="1" xfId="0" applyFont="1" applyFill="1" applyBorder="1" applyAlignment="1" applyProtection="1">
      <alignment horizontal="center" vertical="top"/>
      <protection locked="0"/>
    </xf>
    <xf numFmtId="0" fontId="8" fillId="7" borderId="0" xfId="0" applyFont="1" applyFill="1" applyAlignment="1" applyProtection="1">
      <alignment vertical="top"/>
      <protection locked="0"/>
    </xf>
    <xf numFmtId="14" fontId="0" fillId="7" borderId="0" xfId="0" applyNumberFormat="1" applyFill="1" applyAlignment="1" applyProtection="1">
      <alignment vertical="top"/>
      <protection locked="0"/>
    </xf>
    <xf numFmtId="19" fontId="0" fillId="7" borderId="0" xfId="0" applyNumberFormat="1" applyFill="1" applyAlignment="1" applyProtection="1">
      <alignment vertical="top"/>
      <protection locked="0"/>
    </xf>
    <xf numFmtId="0" fontId="0" fillId="7" borderId="0" xfId="0" applyFill="1" applyAlignment="1" applyProtection="1">
      <alignment vertical="top"/>
      <protection locked="0"/>
    </xf>
    <xf numFmtId="0" fontId="2" fillId="7" borderId="1" xfId="0" applyFont="1" applyFill="1" applyBorder="1" applyAlignment="1">
      <alignment horizontal="center" vertical="center"/>
    </xf>
    <xf numFmtId="14" fontId="2" fillId="7" borderId="1" xfId="0" applyNumberFormat="1" applyFont="1" applyFill="1" applyBorder="1" applyAlignment="1">
      <alignment horizontal="center" vertical="center"/>
    </xf>
    <xf numFmtId="177" fontId="2" fillId="7" borderId="1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vertical="top"/>
    </xf>
    <xf numFmtId="14" fontId="0" fillId="7" borderId="0" xfId="0" applyNumberFormat="1" applyFill="1" applyAlignment="1">
      <alignment horizontal="center" vertical="top"/>
    </xf>
    <xf numFmtId="177" fontId="0" fillId="7" borderId="0" xfId="0" applyNumberFormat="1" applyFill="1" applyAlignment="1">
      <alignment horizontal="center" vertical="top"/>
    </xf>
    <xf numFmtId="14" fontId="0" fillId="7" borderId="0" xfId="0" applyNumberFormat="1" applyFill="1" applyAlignment="1">
      <alignment vertical="top"/>
    </xf>
    <xf numFmtId="177" fontId="0" fillId="7" borderId="0" xfId="0" applyNumberFormat="1" applyFill="1" applyAlignment="1">
      <alignment vertical="top"/>
    </xf>
    <xf numFmtId="0" fontId="15" fillId="12" borderId="7" xfId="0" applyFont="1" applyFill="1" applyBorder="1" applyAlignment="1">
      <alignment horizontal="center" vertical="center"/>
    </xf>
    <xf numFmtId="0" fontId="15" fillId="12" borderId="8" xfId="0" applyFont="1" applyFill="1" applyBorder="1" applyAlignment="1">
      <alignment horizontal="center" vertical="center"/>
    </xf>
    <xf numFmtId="0" fontId="15" fillId="12" borderId="9" xfId="0" applyFont="1" applyFill="1" applyBorder="1" applyAlignment="1">
      <alignment horizontal="center" vertical="center"/>
    </xf>
    <xf numFmtId="0" fontId="15" fillId="12" borderId="10" xfId="0" applyFont="1" applyFill="1" applyBorder="1" applyAlignment="1">
      <alignment horizontal="center" vertical="center"/>
    </xf>
    <xf numFmtId="0" fontId="15" fillId="12" borderId="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2" borderId="13" xfId="0" applyFont="1" applyFill="1" applyBorder="1" applyAlignment="1">
      <alignment horizontal="center" vertical="center"/>
    </xf>
    <xf numFmtId="0" fontId="15" fillId="12" borderId="14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22" fontId="14" fillId="11" borderId="5" xfId="0" applyNumberFormat="1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FFFF99"/>
      <color rgb="FF00FF00"/>
      <color rgb="FF0033CC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8880</xdr:colOff>
      <xdr:row>1</xdr:row>
      <xdr:rowOff>122827</xdr:rowOff>
    </xdr:from>
    <xdr:to>
      <xdr:col>10</xdr:col>
      <xdr:colOff>587524</xdr:colOff>
      <xdr:row>6</xdr:row>
      <xdr:rowOff>15754</xdr:rowOff>
    </xdr:to>
    <xdr:sp macro="[0]!Module1.U" textlink="">
      <xdr:nvSpPr>
        <xdr:cNvPr id="2" name="矩形 1"/>
        <xdr:cNvSpPr/>
      </xdr:nvSpPr>
      <xdr:spPr>
        <a:xfrm>
          <a:off x="6515646" y="343093"/>
          <a:ext cx="2400300" cy="6965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2800" b="1"/>
            <a:t>撿料作業</a:t>
          </a:r>
        </a:p>
      </xdr:txBody>
    </xdr:sp>
    <xdr:clientData/>
  </xdr:twoCellAnchor>
  <xdr:twoCellAnchor>
    <xdr:from>
      <xdr:col>7</xdr:col>
      <xdr:colOff>29274</xdr:colOff>
      <xdr:row>8</xdr:row>
      <xdr:rowOff>12069</xdr:rowOff>
    </xdr:from>
    <xdr:to>
      <xdr:col>11</xdr:col>
      <xdr:colOff>699</xdr:colOff>
      <xdr:row>12</xdr:row>
      <xdr:rowOff>68029</xdr:rowOff>
    </xdr:to>
    <xdr:sp macro="[0]!Module2.U" textlink="">
      <xdr:nvSpPr>
        <xdr:cNvPr id="3" name="矩形 2"/>
        <xdr:cNvSpPr/>
      </xdr:nvSpPr>
      <xdr:spPr>
        <a:xfrm>
          <a:off x="6536040" y="1357475"/>
          <a:ext cx="2400300" cy="69889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2800" b="1"/>
            <a:t>運送作業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131885</xdr:colOff>
      <xdr:row>9</xdr:row>
      <xdr:rowOff>14653</xdr:rowOff>
    </xdr:from>
    <xdr:to>
      <xdr:col>14</xdr:col>
      <xdr:colOff>256442</xdr:colOff>
      <xdr:row>13</xdr:row>
      <xdr:rowOff>21981</xdr:rowOff>
    </xdr:to>
    <xdr:sp macro="" textlink="">
      <xdr:nvSpPr>
        <xdr:cNvPr id="2" name="圓角矩形 1"/>
        <xdr:cNvSpPr/>
      </xdr:nvSpPr>
      <xdr:spPr>
        <a:xfrm>
          <a:off x="9363808" y="1487365"/>
          <a:ext cx="1948961" cy="65209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2000" b="1"/>
            <a:t>印條碼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14</xdr:col>
          <xdr:colOff>200025</xdr:colOff>
          <xdr:row>6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S37"/>
  <sheetViews>
    <sheetView showGridLines="0" topLeftCell="C1" zoomScale="70" zoomScaleNormal="70" workbookViewId="0">
      <selection activeCell="C23" sqref="C23:E34"/>
    </sheetView>
  </sheetViews>
  <sheetFormatPr defaultRowHeight="12.75" x14ac:dyDescent="0.2"/>
  <cols>
    <col min="1" max="1" width="1.28515625" style="21" customWidth="1"/>
    <col min="2" max="2" width="27.42578125" style="21" bestFit="1" customWidth="1"/>
    <col min="3" max="18" width="15.42578125" style="21" customWidth="1"/>
    <col min="19" max="16384" width="9.140625" style="21"/>
  </cols>
  <sheetData>
    <row r="1" spans="2:19" ht="13.5" thickBot="1" x14ac:dyDescent="0.25"/>
    <row r="2" spans="2:19" x14ac:dyDescent="0.2">
      <c r="B2" s="90">
        <f ca="1">NOW()</f>
        <v>43898.569664699076</v>
      </c>
      <c r="C2" s="37" t="s">
        <v>172</v>
      </c>
      <c r="D2" s="26" t="s">
        <v>170</v>
      </c>
      <c r="E2" s="26" t="s">
        <v>168</v>
      </c>
      <c r="F2" s="26" t="s">
        <v>1331</v>
      </c>
      <c r="G2" s="26" t="s">
        <v>165</v>
      </c>
      <c r="H2" s="26" t="s">
        <v>163</v>
      </c>
      <c r="I2" s="26" t="s">
        <v>161</v>
      </c>
      <c r="J2" s="26" t="s">
        <v>159</v>
      </c>
      <c r="K2" s="26" t="s">
        <v>157</v>
      </c>
      <c r="L2" s="26" t="s">
        <v>155</v>
      </c>
      <c r="M2" s="26" t="s">
        <v>153</v>
      </c>
      <c r="N2" s="26" t="s">
        <v>151</v>
      </c>
      <c r="O2" s="26" t="s">
        <v>149</v>
      </c>
      <c r="P2" s="26" t="s">
        <v>147</v>
      </c>
      <c r="Q2" s="26" t="s">
        <v>145</v>
      </c>
      <c r="R2" s="26" t="s">
        <v>174</v>
      </c>
    </row>
    <row r="3" spans="2:19" ht="15" thickBot="1" x14ac:dyDescent="0.25">
      <c r="B3" s="91"/>
      <c r="C3" s="37" t="s">
        <v>171</v>
      </c>
      <c r="D3" s="26" t="s">
        <v>169</v>
      </c>
      <c r="E3" s="26" t="s">
        <v>167</v>
      </c>
      <c r="F3" s="26" t="s">
        <v>166</v>
      </c>
      <c r="G3" s="26" t="s">
        <v>164</v>
      </c>
      <c r="H3" s="26" t="s">
        <v>162</v>
      </c>
      <c r="I3" s="26" t="s">
        <v>160</v>
      </c>
      <c r="J3" s="26" t="s">
        <v>158</v>
      </c>
      <c r="K3" s="26" t="s">
        <v>156</v>
      </c>
      <c r="L3" s="27" t="s">
        <v>1365</v>
      </c>
      <c r="M3" s="26" t="s">
        <v>152</v>
      </c>
      <c r="N3" s="26" t="s">
        <v>150</v>
      </c>
      <c r="O3" s="26" t="s">
        <v>148</v>
      </c>
      <c r="P3" s="26" t="s">
        <v>146</v>
      </c>
      <c r="Q3" s="26" t="s">
        <v>144</v>
      </c>
      <c r="R3" s="40" t="s">
        <v>173</v>
      </c>
    </row>
    <row r="4" spans="2:19" ht="19.5" x14ac:dyDescent="0.2">
      <c r="B4" s="38" t="s">
        <v>1334</v>
      </c>
      <c r="C4" s="30">
        <f>SUMIF(點上線資訊!R:R,C3,點上線資訊!AB:AB)</f>
        <v>714</v>
      </c>
      <c r="D4" s="31">
        <f>SUMIF(點上線資訊!R:R,D3,點上線資訊!AB:AB)</f>
        <v>1084</v>
      </c>
      <c r="E4" s="31">
        <f>SUMIF(點上線資訊!R:R,E3,點上線資訊!AB:AB)</f>
        <v>135</v>
      </c>
      <c r="F4" s="31">
        <f>SUMIF(點上線資訊!R:R,F3,點上線資訊!AB:AB)</f>
        <v>0</v>
      </c>
      <c r="G4" s="31">
        <f>SUMIF(點上線資訊!R:R,G3,點上線資訊!AB:AB)</f>
        <v>0</v>
      </c>
      <c r="H4" s="31">
        <f>SUMIF(點上線資訊!R:R,H3,點上線資訊!AB:AB)</f>
        <v>0</v>
      </c>
      <c r="I4" s="31">
        <f>SUMIF(點上線資訊!R:R,I3,點上線資訊!AB:AB)</f>
        <v>0</v>
      </c>
      <c r="J4" s="31">
        <f>SUMIF(點上線資訊!R:R,J3,點上線資訊!AB:AB)</f>
        <v>420</v>
      </c>
      <c r="K4" s="31">
        <f>SUMIF(點上線資訊!R:R,K3,點上線資訊!AB:AB)</f>
        <v>0</v>
      </c>
      <c r="L4" s="31">
        <f>SUMIF(點上線資訊!R:R,L3,點上線資訊!AB:AB)</f>
        <v>0</v>
      </c>
      <c r="M4" s="31">
        <f>SUMIF(點上線資訊!R:R,M3,點上線資訊!AB:AB)</f>
        <v>172</v>
      </c>
      <c r="N4" s="31">
        <f>SUMIF(點上線資訊!R:R,N3,點上線資訊!AB:AB)</f>
        <v>125</v>
      </c>
      <c r="O4" s="31">
        <f>SUMIF(點上線資訊!R:R,O3,點上線資訊!AB:AB)</f>
        <v>0</v>
      </c>
      <c r="P4" s="31">
        <f>SUMIF(點上線資訊!R:R,P3,點上線資訊!AB:AB)</f>
        <v>3</v>
      </c>
      <c r="Q4" s="31">
        <f>SUMIF(點上線資訊!R:R,Q3,點上線資訊!AB:AB)</f>
        <v>0</v>
      </c>
      <c r="R4" s="31">
        <f>SUMIF(點上線資訊!R:R,R3,點上線資訊!AB:AB)</f>
        <v>0</v>
      </c>
    </row>
    <row r="5" spans="2:19" ht="19.5" x14ac:dyDescent="0.2">
      <c r="B5" s="36" t="s">
        <v>1335</v>
      </c>
      <c r="C5" s="32">
        <f>SUMIF(點上線資訊!$R:$R,C3,點上線資訊!$AC:$AC)</f>
        <v>0</v>
      </c>
      <c r="D5" s="33">
        <f>SUMIF(點上線資訊!$R:$R,D3,點上線資訊!$AC:$AC)</f>
        <v>0</v>
      </c>
      <c r="E5" s="33">
        <f>SUMIF(點上線資訊!$R:$R,E3,點上線資訊!$AC:$AC)</f>
        <v>0</v>
      </c>
      <c r="F5" s="33">
        <f>SUMIF(點上線資訊!$R:$R,F3,點上線資訊!$AC:$AC)</f>
        <v>0</v>
      </c>
      <c r="G5" s="33">
        <f>SUMIF(點上線資訊!$R:$R,G3,點上線資訊!$AC:$AC)</f>
        <v>0</v>
      </c>
      <c r="H5" s="33">
        <f>SUMIF(點上線資訊!$R:$R,H3,點上線資訊!$AC:$AC)</f>
        <v>0</v>
      </c>
      <c r="I5" s="33">
        <f>SUMIF(點上線資訊!$R:$R,I3,點上線資訊!$AC:$AC)</f>
        <v>0</v>
      </c>
      <c r="J5" s="33">
        <f>SUMIF(點上線資訊!$R:$R,J3,點上線資訊!$AC:$AC)</f>
        <v>0</v>
      </c>
      <c r="K5" s="33">
        <f>SUMIF(點上線資訊!$R:$R,K3,點上線資訊!$AC:$AC)</f>
        <v>0</v>
      </c>
      <c r="L5" s="33">
        <f>SUMIF(點上線資訊!$R:$R,L3,點上線資訊!$AC:$AC)</f>
        <v>0</v>
      </c>
      <c r="M5" s="33">
        <f>SUMIF(點上線資訊!$R:$R,M3,點上線資訊!$AC:$AC)</f>
        <v>0</v>
      </c>
      <c r="N5" s="33">
        <f>SUMIF(點上線資訊!$R:$R,N3,點上線資訊!$AC:$AC)</f>
        <v>0</v>
      </c>
      <c r="O5" s="33">
        <f>SUMIF(點上線資訊!$R:$R,O3,點上線資訊!$AC:$AC)</f>
        <v>0</v>
      </c>
      <c r="P5" s="33">
        <f>SUMIF(點上線資訊!$R:$R,P3,點上線資訊!$AC:$AC)</f>
        <v>0</v>
      </c>
      <c r="Q5" s="33">
        <f>SUMIF(點上線資訊!$R:$R,Q3,點上線資訊!$AC:$AC)</f>
        <v>0</v>
      </c>
      <c r="R5" s="33">
        <f>SUMIF(點上線資訊!$R:$R,R3,點上線資訊!$AC:$AC)</f>
        <v>0</v>
      </c>
    </row>
    <row r="6" spans="2:19" ht="19.5" x14ac:dyDescent="0.2">
      <c r="B6" s="28" t="s">
        <v>1363</v>
      </c>
      <c r="C6" s="24">
        <f>IF(C4,C5/C4,0)</f>
        <v>0</v>
      </c>
      <c r="D6" s="24">
        <f t="shared" ref="D6:R6" si="0">IF(D4,D5/D4,0)</f>
        <v>0</v>
      </c>
      <c r="E6" s="24">
        <f t="shared" si="0"/>
        <v>0</v>
      </c>
      <c r="F6" s="24">
        <f t="shared" si="0"/>
        <v>0</v>
      </c>
      <c r="G6" s="24">
        <f t="shared" si="0"/>
        <v>0</v>
      </c>
      <c r="H6" s="24">
        <f t="shared" si="0"/>
        <v>0</v>
      </c>
      <c r="I6" s="24">
        <f t="shared" si="0"/>
        <v>0</v>
      </c>
      <c r="J6" s="24">
        <f t="shared" si="0"/>
        <v>0</v>
      </c>
      <c r="K6" s="24">
        <f t="shared" si="0"/>
        <v>0</v>
      </c>
      <c r="L6" s="24">
        <f t="shared" si="0"/>
        <v>0</v>
      </c>
      <c r="M6" s="24">
        <f t="shared" si="0"/>
        <v>0</v>
      </c>
      <c r="N6" s="24">
        <f t="shared" si="0"/>
        <v>0</v>
      </c>
      <c r="O6" s="24">
        <f t="shared" si="0"/>
        <v>0</v>
      </c>
      <c r="P6" s="24">
        <f t="shared" si="0"/>
        <v>0</v>
      </c>
      <c r="Q6" s="24">
        <f t="shared" si="0"/>
        <v>0</v>
      </c>
      <c r="R6" s="24">
        <f t="shared" si="0"/>
        <v>0</v>
      </c>
    </row>
    <row r="7" spans="2:19" s="25" customFormat="1" ht="19.5" x14ac:dyDescent="0.2">
      <c r="B7" s="28" t="s">
        <v>1364</v>
      </c>
      <c r="C7" s="24">
        <f>C6</f>
        <v>0</v>
      </c>
      <c r="D7" s="24">
        <f t="shared" ref="D7:R7" si="1">D6</f>
        <v>0</v>
      </c>
      <c r="E7" s="24">
        <f t="shared" si="1"/>
        <v>0</v>
      </c>
      <c r="F7" s="24">
        <f t="shared" si="1"/>
        <v>0</v>
      </c>
      <c r="G7" s="24">
        <f t="shared" si="1"/>
        <v>0</v>
      </c>
      <c r="H7" s="24">
        <f t="shared" si="1"/>
        <v>0</v>
      </c>
      <c r="I7" s="24">
        <f t="shared" si="1"/>
        <v>0</v>
      </c>
      <c r="J7" s="24">
        <f t="shared" si="1"/>
        <v>0</v>
      </c>
      <c r="K7" s="24">
        <f t="shared" si="1"/>
        <v>0</v>
      </c>
      <c r="L7" s="24">
        <f t="shared" si="1"/>
        <v>0</v>
      </c>
      <c r="M7" s="24">
        <f t="shared" si="1"/>
        <v>0</v>
      </c>
      <c r="N7" s="24">
        <f t="shared" si="1"/>
        <v>0</v>
      </c>
      <c r="O7" s="24">
        <f t="shared" si="1"/>
        <v>0</v>
      </c>
      <c r="P7" s="24">
        <f t="shared" si="1"/>
        <v>0</v>
      </c>
      <c r="Q7" s="24">
        <f t="shared" si="1"/>
        <v>0</v>
      </c>
      <c r="R7" s="24">
        <f t="shared" si="1"/>
        <v>0</v>
      </c>
    </row>
    <row r="8" spans="2:19" ht="19.5" x14ac:dyDescent="0.2">
      <c r="B8" s="36" t="s">
        <v>1336</v>
      </c>
      <c r="C8" s="34">
        <f>SUMIF(點上線資訊!$R:$R,C3,點上線資訊!$AD:$AD)</f>
        <v>0</v>
      </c>
      <c r="D8" s="34">
        <f>SUMIF(點上線資訊!$R:$R,D3,點上線資訊!$AD:$AD)</f>
        <v>0</v>
      </c>
      <c r="E8" s="34">
        <f>SUMIF(點上線資訊!$R:$R,E3,點上線資訊!$AD:$AD)</f>
        <v>0</v>
      </c>
      <c r="F8" s="34">
        <f>SUMIF(點上線資訊!$R:$R,F3,點上線資訊!$AD:$AD)</f>
        <v>0</v>
      </c>
      <c r="G8" s="34">
        <f>SUMIF(點上線資訊!$R:$R,G3,點上線資訊!$AD:$AD)</f>
        <v>0</v>
      </c>
      <c r="H8" s="34">
        <f>SUMIF(點上線資訊!$R:$R,H3,點上線資訊!$AD:$AD)</f>
        <v>0</v>
      </c>
      <c r="I8" s="34">
        <f>SUMIF(點上線資訊!$R:$R,I3,點上線資訊!$AD:$AD)</f>
        <v>0</v>
      </c>
      <c r="J8" s="34">
        <f>SUMIF(點上線資訊!$R:$R,J3,點上線資訊!$AD:$AD)</f>
        <v>0</v>
      </c>
      <c r="K8" s="34">
        <f>SUMIF(點上線資訊!$R:$R,K3,點上線資訊!$AD:$AD)</f>
        <v>0</v>
      </c>
      <c r="L8" s="34">
        <f>SUMIF(點上線資訊!$R:$R,L3,點上線資訊!$AD:$AD)</f>
        <v>0</v>
      </c>
      <c r="M8" s="34">
        <f>SUMIF(點上線資訊!$R:$R,M3,點上線資訊!$AD:$AD)</f>
        <v>0</v>
      </c>
      <c r="N8" s="34">
        <f>SUMIF(點上線資訊!$R:$R,N3,點上線資訊!$AD:$AD)</f>
        <v>0</v>
      </c>
      <c r="O8" s="34">
        <f>SUMIF(點上線資訊!$R:$R,O3,點上線資訊!$AD:$AD)</f>
        <v>0</v>
      </c>
      <c r="P8" s="34">
        <f>SUMIF(點上線資訊!$R:$R,P3,點上線資訊!$AD:$AD)</f>
        <v>0</v>
      </c>
      <c r="Q8" s="34">
        <f>SUMIF(點上線資訊!$R:$R,Q3,點上線資訊!$AD:$AD)</f>
        <v>0</v>
      </c>
      <c r="R8" s="34">
        <f>SUMIF(點上線資訊!$R:$R,R3,點上線資訊!$AD:$AD)</f>
        <v>0</v>
      </c>
    </row>
    <row r="9" spans="2:19" ht="19.5" x14ac:dyDescent="0.2">
      <c r="B9" s="28" t="s">
        <v>1363</v>
      </c>
      <c r="C9" s="24">
        <f>IF(C5,C8/C5,0)</f>
        <v>0</v>
      </c>
      <c r="D9" s="24">
        <f t="shared" ref="D9:R9" si="2">IF(D5,D8/D5,0)</f>
        <v>0</v>
      </c>
      <c r="E9" s="24">
        <f t="shared" si="2"/>
        <v>0</v>
      </c>
      <c r="F9" s="24">
        <f t="shared" si="2"/>
        <v>0</v>
      </c>
      <c r="G9" s="24">
        <f t="shared" si="2"/>
        <v>0</v>
      </c>
      <c r="H9" s="24">
        <f t="shared" si="2"/>
        <v>0</v>
      </c>
      <c r="I9" s="24">
        <f t="shared" si="2"/>
        <v>0</v>
      </c>
      <c r="J9" s="24">
        <f t="shared" si="2"/>
        <v>0</v>
      </c>
      <c r="K9" s="24">
        <f t="shared" si="2"/>
        <v>0</v>
      </c>
      <c r="L9" s="24">
        <f t="shared" si="2"/>
        <v>0</v>
      </c>
      <c r="M9" s="24">
        <f t="shared" si="2"/>
        <v>0</v>
      </c>
      <c r="N9" s="24">
        <f t="shared" si="2"/>
        <v>0</v>
      </c>
      <c r="O9" s="24">
        <f t="shared" si="2"/>
        <v>0</v>
      </c>
      <c r="P9" s="24">
        <f t="shared" si="2"/>
        <v>0</v>
      </c>
      <c r="Q9" s="24">
        <f t="shared" si="2"/>
        <v>0</v>
      </c>
      <c r="R9" s="24">
        <f t="shared" si="2"/>
        <v>0</v>
      </c>
    </row>
    <row r="10" spans="2:19" ht="19.5" x14ac:dyDescent="0.2">
      <c r="B10" s="28" t="s">
        <v>1364</v>
      </c>
      <c r="C10" s="24">
        <f>C9</f>
        <v>0</v>
      </c>
      <c r="D10" s="24">
        <f t="shared" ref="D10:R10" si="3">D9</f>
        <v>0</v>
      </c>
      <c r="E10" s="24">
        <f t="shared" si="3"/>
        <v>0</v>
      </c>
      <c r="F10" s="24">
        <f t="shared" si="3"/>
        <v>0</v>
      </c>
      <c r="G10" s="24">
        <f t="shared" si="3"/>
        <v>0</v>
      </c>
      <c r="H10" s="24">
        <f t="shared" si="3"/>
        <v>0</v>
      </c>
      <c r="I10" s="24">
        <f t="shared" si="3"/>
        <v>0</v>
      </c>
      <c r="J10" s="24">
        <f t="shared" si="3"/>
        <v>0</v>
      </c>
      <c r="K10" s="24">
        <f t="shared" si="3"/>
        <v>0</v>
      </c>
      <c r="L10" s="24">
        <f t="shared" si="3"/>
        <v>0</v>
      </c>
      <c r="M10" s="24">
        <f t="shared" si="3"/>
        <v>0</v>
      </c>
      <c r="N10" s="24">
        <f t="shared" si="3"/>
        <v>0</v>
      </c>
      <c r="O10" s="24">
        <f t="shared" si="3"/>
        <v>0</v>
      </c>
      <c r="P10" s="24">
        <f t="shared" si="3"/>
        <v>0</v>
      </c>
      <c r="Q10" s="24">
        <f t="shared" si="3"/>
        <v>0</v>
      </c>
      <c r="R10" s="24">
        <f t="shared" si="3"/>
        <v>0</v>
      </c>
    </row>
    <row r="11" spans="2:19" ht="19.5" x14ac:dyDescent="0.2">
      <c r="B11" s="36" t="s">
        <v>1337</v>
      </c>
      <c r="C11" s="35">
        <f>SUMIF(點上線資訊!$R:$R,C3,點上線資訊!$AE:$AE)</f>
        <v>0</v>
      </c>
      <c r="D11" s="35">
        <f>SUMIF(點上線資訊!$R:$R,D3,點上線資訊!$AE:$AE)</f>
        <v>0</v>
      </c>
      <c r="E11" s="35">
        <f>SUMIF(點上線資訊!$R:$R,E3,點上線資訊!$AE:$AE)</f>
        <v>0</v>
      </c>
      <c r="F11" s="35">
        <f>SUMIF(點上線資訊!$R:$R,F3,點上線資訊!$AE:$AE)</f>
        <v>0</v>
      </c>
      <c r="G11" s="35">
        <f>SUMIF(點上線資訊!$R:$R,G3,點上線資訊!$AE:$AE)</f>
        <v>0</v>
      </c>
      <c r="H11" s="35">
        <f>SUMIF(點上線資訊!$R:$R,H3,點上線資訊!$AE:$AE)</f>
        <v>0</v>
      </c>
      <c r="I11" s="35">
        <f>SUMIF(點上線資訊!$R:$R,I3,點上線資訊!$AE:$AE)</f>
        <v>0</v>
      </c>
      <c r="J11" s="35">
        <f>SUMIF(點上線資訊!$R:$R,J3,點上線資訊!$AE:$AE)</f>
        <v>0</v>
      </c>
      <c r="K11" s="35">
        <f>SUMIF(點上線資訊!$R:$R,K3,點上線資訊!$AE:$AE)</f>
        <v>0</v>
      </c>
      <c r="L11" s="35">
        <f>SUMIF(點上線資訊!$R:$R,L3,點上線資訊!$AE:$AE)</f>
        <v>0</v>
      </c>
      <c r="M11" s="35">
        <f>SUMIF(點上線資訊!$R:$R,M3,點上線資訊!$AE:$AE)</f>
        <v>0</v>
      </c>
      <c r="N11" s="35">
        <f>SUMIF(點上線資訊!$R:$R,N3,點上線資訊!$AE:$AE)</f>
        <v>0</v>
      </c>
      <c r="O11" s="35">
        <f>SUMIF(點上線資訊!$R:$R,O3,點上線資訊!$AE:$AE)</f>
        <v>0</v>
      </c>
      <c r="P11" s="35">
        <f>SUMIF(點上線資訊!$R:$R,P3,點上線資訊!$AE:$AE)</f>
        <v>0</v>
      </c>
      <c r="Q11" s="35">
        <f>SUMIF(點上線資訊!$R:$R,Q3,點上線資訊!$AE:$AE)</f>
        <v>0</v>
      </c>
      <c r="R11" s="35">
        <f>SUMIF(點上線資訊!$R:$R,R3,點上線資訊!$AE:$AE)</f>
        <v>0</v>
      </c>
    </row>
    <row r="12" spans="2:19" ht="19.5" x14ac:dyDescent="0.2">
      <c r="B12" s="28" t="s">
        <v>1363</v>
      </c>
      <c r="C12" s="29">
        <f>IF(C8,C11/C8,0)</f>
        <v>0</v>
      </c>
      <c r="D12" s="29">
        <f>IF(D8,D11/D8,0)</f>
        <v>0</v>
      </c>
      <c r="E12" s="29">
        <f t="shared" ref="E12:R12" si="4">IF(E8,E11/E8,0)</f>
        <v>0</v>
      </c>
      <c r="F12" s="29">
        <f t="shared" si="4"/>
        <v>0</v>
      </c>
      <c r="G12" s="29">
        <f t="shared" si="4"/>
        <v>0</v>
      </c>
      <c r="H12" s="29">
        <f t="shared" si="4"/>
        <v>0</v>
      </c>
      <c r="I12" s="29">
        <f t="shared" si="4"/>
        <v>0</v>
      </c>
      <c r="J12" s="29">
        <f t="shared" si="4"/>
        <v>0</v>
      </c>
      <c r="K12" s="29">
        <f t="shared" si="4"/>
        <v>0</v>
      </c>
      <c r="L12" s="29">
        <f t="shared" si="4"/>
        <v>0</v>
      </c>
      <c r="M12" s="29">
        <f t="shared" si="4"/>
        <v>0</v>
      </c>
      <c r="N12" s="29">
        <f t="shared" si="4"/>
        <v>0</v>
      </c>
      <c r="O12" s="29">
        <f t="shared" si="4"/>
        <v>0</v>
      </c>
      <c r="P12" s="29">
        <f t="shared" si="4"/>
        <v>0</v>
      </c>
      <c r="Q12" s="29">
        <f t="shared" si="4"/>
        <v>0</v>
      </c>
      <c r="R12" s="29">
        <f t="shared" si="4"/>
        <v>0</v>
      </c>
      <c r="S12" s="25"/>
    </row>
    <row r="13" spans="2:19" ht="19.5" x14ac:dyDescent="0.2">
      <c r="B13" s="28" t="s">
        <v>1364</v>
      </c>
      <c r="C13" s="29">
        <f>C12</f>
        <v>0</v>
      </c>
      <c r="D13" s="29">
        <f t="shared" ref="D13:R13" si="5">D12</f>
        <v>0</v>
      </c>
      <c r="E13" s="29">
        <f t="shared" si="5"/>
        <v>0</v>
      </c>
      <c r="F13" s="29">
        <f t="shared" si="5"/>
        <v>0</v>
      </c>
      <c r="G13" s="29">
        <f t="shared" si="5"/>
        <v>0</v>
      </c>
      <c r="H13" s="29">
        <f t="shared" si="5"/>
        <v>0</v>
      </c>
      <c r="I13" s="29">
        <f t="shared" si="5"/>
        <v>0</v>
      </c>
      <c r="J13" s="29">
        <f t="shared" si="5"/>
        <v>0</v>
      </c>
      <c r="K13" s="29">
        <f t="shared" si="5"/>
        <v>0</v>
      </c>
      <c r="L13" s="29">
        <f t="shared" si="5"/>
        <v>0</v>
      </c>
      <c r="M13" s="29">
        <f t="shared" si="5"/>
        <v>0</v>
      </c>
      <c r="N13" s="29">
        <f t="shared" si="5"/>
        <v>0</v>
      </c>
      <c r="O13" s="29">
        <f t="shared" si="5"/>
        <v>0</v>
      </c>
      <c r="P13" s="29">
        <f t="shared" si="5"/>
        <v>0</v>
      </c>
      <c r="Q13" s="29">
        <f t="shared" si="5"/>
        <v>0</v>
      </c>
      <c r="R13" s="29">
        <f t="shared" si="5"/>
        <v>0</v>
      </c>
      <c r="S13" s="25"/>
    </row>
    <row r="15" spans="2:19" x14ac:dyDescent="0.2">
      <c r="C15" s="39"/>
    </row>
    <row r="18" spans="3:17" ht="13.5" thickBot="1" x14ac:dyDescent="0.25"/>
    <row r="19" spans="3:17" x14ac:dyDescent="0.2">
      <c r="C19" s="72" t="s">
        <v>1366</v>
      </c>
      <c r="D19" s="73"/>
      <c r="E19" s="74"/>
      <c r="G19" s="72" t="s">
        <v>1367</v>
      </c>
      <c r="H19" s="73"/>
      <c r="I19" s="74"/>
      <c r="K19" s="72" t="s">
        <v>1368</v>
      </c>
      <c r="L19" s="73"/>
      <c r="M19" s="74"/>
      <c r="O19" s="72" t="s">
        <v>1369</v>
      </c>
      <c r="P19" s="73"/>
      <c r="Q19" s="74"/>
    </row>
    <row r="20" spans="3:17" x14ac:dyDescent="0.2">
      <c r="C20" s="75"/>
      <c r="D20" s="76"/>
      <c r="E20" s="77"/>
      <c r="G20" s="75"/>
      <c r="H20" s="76"/>
      <c r="I20" s="77"/>
      <c r="K20" s="75"/>
      <c r="L20" s="76"/>
      <c r="M20" s="77"/>
      <c r="O20" s="75"/>
      <c r="P20" s="76"/>
      <c r="Q20" s="77"/>
    </row>
    <row r="21" spans="3:17" x14ac:dyDescent="0.2">
      <c r="C21" s="75"/>
      <c r="D21" s="76"/>
      <c r="E21" s="77"/>
      <c r="G21" s="75"/>
      <c r="H21" s="76"/>
      <c r="I21" s="77"/>
      <c r="K21" s="75"/>
      <c r="L21" s="76"/>
      <c r="M21" s="77"/>
      <c r="O21" s="75"/>
      <c r="P21" s="76"/>
      <c r="Q21" s="77"/>
    </row>
    <row r="22" spans="3:17" ht="13.5" thickBot="1" x14ac:dyDescent="0.25">
      <c r="C22" s="78"/>
      <c r="D22" s="79"/>
      <c r="E22" s="80"/>
      <c r="G22" s="78"/>
      <c r="H22" s="79"/>
      <c r="I22" s="80"/>
      <c r="K22" s="78"/>
      <c r="L22" s="79"/>
      <c r="M22" s="80"/>
      <c r="O22" s="78"/>
      <c r="P22" s="79"/>
      <c r="Q22" s="80"/>
    </row>
    <row r="23" spans="3:17" x14ac:dyDescent="0.2">
      <c r="C23" s="81">
        <f>SUM(C4:R4)</f>
        <v>2653</v>
      </c>
      <c r="D23" s="82"/>
      <c r="E23" s="83"/>
      <c r="G23" s="81">
        <f>SUM(C5:R5)</f>
        <v>0</v>
      </c>
      <c r="H23" s="82"/>
      <c r="I23" s="83"/>
      <c r="K23" s="81">
        <f>SUM(C8:R8)</f>
        <v>0</v>
      </c>
      <c r="L23" s="82"/>
      <c r="M23" s="83"/>
      <c r="O23" s="81">
        <f>SUM(C11:R11)</f>
        <v>0</v>
      </c>
      <c r="P23" s="82"/>
      <c r="Q23" s="83"/>
    </row>
    <row r="24" spans="3:17" x14ac:dyDescent="0.2">
      <c r="C24" s="84"/>
      <c r="D24" s="85"/>
      <c r="E24" s="86"/>
      <c r="G24" s="84"/>
      <c r="H24" s="85"/>
      <c r="I24" s="86"/>
      <c r="K24" s="84"/>
      <c r="L24" s="85"/>
      <c r="M24" s="86"/>
      <c r="O24" s="84"/>
      <c r="P24" s="85"/>
      <c r="Q24" s="86"/>
    </row>
    <row r="25" spans="3:17" x14ac:dyDescent="0.2">
      <c r="C25" s="84"/>
      <c r="D25" s="85"/>
      <c r="E25" s="86"/>
      <c r="G25" s="84"/>
      <c r="H25" s="85"/>
      <c r="I25" s="86"/>
      <c r="K25" s="84"/>
      <c r="L25" s="85"/>
      <c r="M25" s="86"/>
      <c r="O25" s="84"/>
      <c r="P25" s="85"/>
      <c r="Q25" s="86"/>
    </row>
    <row r="26" spans="3:17" x14ac:dyDescent="0.2">
      <c r="C26" s="84"/>
      <c r="D26" s="85"/>
      <c r="E26" s="86"/>
      <c r="G26" s="84"/>
      <c r="H26" s="85"/>
      <c r="I26" s="86"/>
      <c r="K26" s="84"/>
      <c r="L26" s="85"/>
      <c r="M26" s="86"/>
      <c r="O26" s="84"/>
      <c r="P26" s="85"/>
      <c r="Q26" s="86"/>
    </row>
    <row r="27" spans="3:17" x14ac:dyDescent="0.2">
      <c r="C27" s="84"/>
      <c r="D27" s="85"/>
      <c r="E27" s="86"/>
      <c r="G27" s="84"/>
      <c r="H27" s="85"/>
      <c r="I27" s="86"/>
      <c r="K27" s="84"/>
      <c r="L27" s="85"/>
      <c r="M27" s="86"/>
      <c r="O27" s="84"/>
      <c r="P27" s="85"/>
      <c r="Q27" s="86"/>
    </row>
    <row r="28" spans="3:17" x14ac:dyDescent="0.2">
      <c r="C28" s="84"/>
      <c r="D28" s="85"/>
      <c r="E28" s="86"/>
      <c r="G28" s="84"/>
      <c r="H28" s="85"/>
      <c r="I28" s="86"/>
      <c r="K28" s="84"/>
      <c r="L28" s="85"/>
      <c r="M28" s="86"/>
      <c r="O28" s="84"/>
      <c r="P28" s="85"/>
      <c r="Q28" s="86"/>
    </row>
    <row r="29" spans="3:17" x14ac:dyDescent="0.2">
      <c r="C29" s="84"/>
      <c r="D29" s="85"/>
      <c r="E29" s="86"/>
      <c r="G29" s="84"/>
      <c r="H29" s="85"/>
      <c r="I29" s="86"/>
      <c r="K29" s="84"/>
      <c r="L29" s="85"/>
      <c r="M29" s="86"/>
      <c r="O29" s="84"/>
      <c r="P29" s="85"/>
      <c r="Q29" s="86"/>
    </row>
    <row r="30" spans="3:17" x14ac:dyDescent="0.2">
      <c r="C30" s="84"/>
      <c r="D30" s="85"/>
      <c r="E30" s="86"/>
      <c r="G30" s="84"/>
      <c r="H30" s="85"/>
      <c r="I30" s="86"/>
      <c r="K30" s="84"/>
      <c r="L30" s="85"/>
      <c r="M30" s="86"/>
      <c r="O30" s="84"/>
      <c r="P30" s="85"/>
      <c r="Q30" s="86"/>
    </row>
    <row r="31" spans="3:17" x14ac:dyDescent="0.2">
      <c r="C31" s="84"/>
      <c r="D31" s="85"/>
      <c r="E31" s="86"/>
      <c r="G31" s="84"/>
      <c r="H31" s="85"/>
      <c r="I31" s="86"/>
      <c r="K31" s="84"/>
      <c r="L31" s="85"/>
      <c r="M31" s="86"/>
      <c r="O31" s="84"/>
      <c r="P31" s="85"/>
      <c r="Q31" s="86"/>
    </row>
    <row r="32" spans="3:17" x14ac:dyDescent="0.2">
      <c r="C32" s="84"/>
      <c r="D32" s="85"/>
      <c r="E32" s="86"/>
      <c r="G32" s="84"/>
      <c r="H32" s="85"/>
      <c r="I32" s="86"/>
      <c r="K32" s="84"/>
      <c r="L32" s="85"/>
      <c r="M32" s="86"/>
      <c r="O32" s="84"/>
      <c r="P32" s="85"/>
      <c r="Q32" s="86"/>
    </row>
    <row r="33" spans="3:17" x14ac:dyDescent="0.2">
      <c r="C33" s="84"/>
      <c r="D33" s="85"/>
      <c r="E33" s="86"/>
      <c r="G33" s="84"/>
      <c r="H33" s="85"/>
      <c r="I33" s="86"/>
      <c r="K33" s="84"/>
      <c r="L33" s="85"/>
      <c r="M33" s="86"/>
      <c r="O33" s="84"/>
      <c r="P33" s="85"/>
      <c r="Q33" s="86"/>
    </row>
    <row r="34" spans="3:17" ht="13.5" thickBot="1" x14ac:dyDescent="0.25">
      <c r="C34" s="87"/>
      <c r="D34" s="88"/>
      <c r="E34" s="89"/>
      <c r="G34" s="87"/>
      <c r="H34" s="88"/>
      <c r="I34" s="89"/>
      <c r="K34" s="87"/>
      <c r="L34" s="88"/>
      <c r="M34" s="89"/>
      <c r="O34" s="87"/>
      <c r="P34" s="88"/>
      <c r="Q34" s="89"/>
    </row>
    <row r="37" spans="3:17" ht="15" x14ac:dyDescent="0.2">
      <c r="D37" s="44"/>
    </row>
  </sheetData>
  <sheetProtection selectLockedCells="1"/>
  <customSheetViews>
    <customSheetView guid="{5DA7D1EB-F14D-48FB-BC54-1DED3BFC27CF}" scale="130">
      <selection activeCell="P20" sqref="P20"/>
      <pageMargins left="0.7" right="0.7" top="0.75" bottom="0.75" header="0.3" footer="0.3"/>
    </customSheetView>
    <customSheetView guid="{0BB82081-F5AA-4C00-AB7E-4917EF9D865E}" scale="130">
      <selection activeCell="I10" sqref="I10:P25"/>
      <pageMargins left="0.7" right="0.7" top="0.75" bottom="0.75" header="0.3" footer="0.3"/>
    </customSheetView>
  </customSheetViews>
  <mergeCells count="9">
    <mergeCell ref="K19:M22"/>
    <mergeCell ref="K23:M34"/>
    <mergeCell ref="O19:Q22"/>
    <mergeCell ref="O23:Q34"/>
    <mergeCell ref="B2:B3"/>
    <mergeCell ref="C23:E34"/>
    <mergeCell ref="C19:E22"/>
    <mergeCell ref="G19:I22"/>
    <mergeCell ref="G23:I34"/>
  </mergeCells>
  <phoneticPr fontId="3" type="noConversion"/>
  <conditionalFormatting sqref="C7:R7">
    <cfRule type="iconSet" priority="4">
      <iconSet showValue="0">
        <cfvo type="percent" val="0"/>
        <cfvo type="num" val="0.3"/>
        <cfvo type="num" val="0.7"/>
      </iconSet>
    </cfRule>
  </conditionalFormatting>
  <conditionalFormatting sqref="C10:R10">
    <cfRule type="iconSet" priority="2">
      <iconSet showValue="0">
        <cfvo type="percent" val="0"/>
        <cfvo type="num" val="0.3"/>
        <cfvo type="num" val="0.7"/>
      </iconSet>
    </cfRule>
  </conditionalFormatting>
  <conditionalFormatting sqref="C13:R13">
    <cfRule type="iconSet" priority="1">
      <iconSet showValue="0">
        <cfvo type="percent" val="0"/>
        <cfvo type="num" val="0.3"/>
        <cfvo type="num" val="0.7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showGridLines="0" zoomScale="130" zoomScaleNormal="130" workbookViewId="0">
      <selection activeCell="F11" sqref="F11"/>
    </sheetView>
  </sheetViews>
  <sheetFormatPr defaultRowHeight="12.75" x14ac:dyDescent="0.2"/>
  <cols>
    <col min="1" max="1" width="11.140625" style="15" bestFit="1" customWidth="1"/>
    <col min="2" max="2" width="13.85546875" style="13" bestFit="1" customWidth="1"/>
    <col min="3" max="3" width="15.7109375" style="15" bestFit="1" customWidth="1"/>
    <col min="4" max="4" width="13.42578125" style="15" bestFit="1" customWidth="1"/>
    <col min="5" max="5" width="13.85546875" style="15" bestFit="1" customWidth="1"/>
    <col min="6" max="6" width="20.5703125" style="15" customWidth="1"/>
  </cols>
  <sheetData>
    <row r="1" spans="1:9" ht="17.25" x14ac:dyDescent="0.2">
      <c r="A1" s="9" t="s">
        <v>232</v>
      </c>
      <c r="B1" s="10" t="s">
        <v>233</v>
      </c>
      <c r="C1" s="9" t="s">
        <v>234</v>
      </c>
      <c r="D1" s="11" t="s">
        <v>236</v>
      </c>
      <c r="E1" s="11" t="s">
        <v>237</v>
      </c>
      <c r="F1" s="11" t="s">
        <v>235</v>
      </c>
    </row>
    <row r="2" spans="1:9" x14ac:dyDescent="0.2">
      <c r="A2" s="12">
        <v>43896</v>
      </c>
      <c r="B2" s="13">
        <v>0.55118055555555556</v>
      </c>
      <c r="C2" s="14" t="s">
        <v>1531</v>
      </c>
      <c r="D2" s="12">
        <v>43896</v>
      </c>
      <c r="E2" s="13">
        <v>0.55131944444444447</v>
      </c>
      <c r="F2" s="45" t="s">
        <v>1342</v>
      </c>
      <c r="G2" s="8"/>
      <c r="H2" s="7"/>
      <c r="I2" s="8"/>
    </row>
    <row r="3" spans="1:9" x14ac:dyDescent="0.2">
      <c r="A3" s="12">
        <v>43896</v>
      </c>
      <c r="B3" s="13">
        <v>0.68923611111111116</v>
      </c>
      <c r="C3" s="14" t="s">
        <v>1532</v>
      </c>
      <c r="D3" s="12"/>
      <c r="E3" s="13"/>
      <c r="F3" s="12"/>
      <c r="G3" s="8"/>
    </row>
    <row r="4" spans="1:9" x14ac:dyDescent="0.2">
      <c r="A4" s="12"/>
      <c r="C4" s="14"/>
      <c r="D4" s="12"/>
      <c r="E4" s="13"/>
      <c r="F4" s="14"/>
    </row>
    <row r="5" spans="1:9" x14ac:dyDescent="0.2">
      <c r="A5" s="12"/>
      <c r="C5" s="14"/>
      <c r="D5" s="12"/>
      <c r="E5" s="13"/>
      <c r="F5" s="14"/>
    </row>
    <row r="6" spans="1:9" x14ac:dyDescent="0.2">
      <c r="A6" s="12"/>
      <c r="C6" s="14"/>
      <c r="D6" s="12"/>
      <c r="E6" s="22"/>
      <c r="F6" s="22"/>
      <c r="H6" s="8"/>
    </row>
    <row r="7" spans="1:9" x14ac:dyDescent="0.2">
      <c r="A7" s="12"/>
      <c r="C7" s="14"/>
      <c r="D7" s="12"/>
      <c r="E7" s="22"/>
    </row>
    <row r="8" spans="1:9" x14ac:dyDescent="0.2">
      <c r="A8" s="12"/>
      <c r="C8" s="14"/>
      <c r="D8" s="12"/>
      <c r="E8" s="22"/>
      <c r="H8" s="8"/>
    </row>
    <row r="9" spans="1:9" x14ac:dyDescent="0.2">
      <c r="A9" s="12"/>
      <c r="C9" s="14"/>
      <c r="E9" s="22"/>
      <c r="F9" s="23"/>
      <c r="H9" s="8"/>
    </row>
    <row r="10" spans="1:9" x14ac:dyDescent="0.2">
      <c r="A10" s="12"/>
      <c r="C10" s="14"/>
      <c r="E10" s="22"/>
    </row>
    <row r="11" spans="1:9" x14ac:dyDescent="0.2">
      <c r="A11" s="12"/>
      <c r="C11" s="14"/>
    </row>
    <row r="12" spans="1:9" x14ac:dyDescent="0.2">
      <c r="A12" s="12"/>
      <c r="D12" s="12"/>
      <c r="E12" s="22"/>
    </row>
    <row r="13" spans="1:9" x14ac:dyDescent="0.2">
      <c r="D13" s="12"/>
      <c r="E13" s="22"/>
    </row>
    <row r="21" spans="8:8" ht="15" x14ac:dyDescent="0.2">
      <c r="H21" s="44"/>
    </row>
  </sheetData>
  <sheetProtection selectLockedCells="1"/>
  <customSheetViews>
    <customSheetView guid="{5DA7D1EB-F14D-48FB-BC54-1DED3BFC27CF}" scale="115" showGridLines="0">
      <selection activeCell="E9" sqref="E9"/>
      <pageMargins left="0.7" right="0.7" top="0.75" bottom="0.75" header="0.3" footer="0.3"/>
    </customSheetView>
    <customSheetView guid="{0BB82081-F5AA-4C00-AB7E-4917EF9D865E}" scale="115" showGridLines="0">
      <selection activeCell="L18" sqref="L17:L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802"/>
  <sheetViews>
    <sheetView topLeftCell="A94" zoomScale="85" zoomScaleNormal="85" workbookViewId="0">
      <selection activeCell="D127" sqref="D127"/>
    </sheetView>
  </sheetViews>
  <sheetFormatPr defaultRowHeight="12.75" x14ac:dyDescent="0.2"/>
  <cols>
    <col min="1" max="1" width="14.140625" bestFit="1" customWidth="1"/>
    <col min="2" max="3" width="9.7109375" bestFit="1" customWidth="1"/>
    <col min="4" max="4" width="7.7109375" bestFit="1" customWidth="1"/>
    <col min="5" max="5" width="18.85546875" bestFit="1" customWidth="1"/>
    <col min="6" max="6" width="51.7109375" bestFit="1" customWidth="1"/>
    <col min="7" max="7" width="9.7109375" bestFit="1" customWidth="1"/>
    <col min="8" max="8" width="5.7109375" bestFit="1" customWidth="1"/>
    <col min="9" max="9" width="6.7109375" bestFit="1" customWidth="1"/>
    <col min="10" max="10" width="9.7109375" bestFit="1" customWidth="1"/>
    <col min="11" max="11" width="10.28515625" bestFit="1" customWidth="1"/>
    <col min="12" max="12" width="8.28515625" bestFit="1" customWidth="1"/>
    <col min="13" max="13" width="17" bestFit="1" customWidth="1"/>
    <col min="14" max="14" width="10.28515625" bestFit="1" customWidth="1"/>
    <col min="15" max="15" width="8.28515625" bestFit="1" customWidth="1"/>
    <col min="16" max="16" width="17" bestFit="1" customWidth="1"/>
    <col min="17" max="17" width="12.28515625" style="17" bestFit="1" customWidth="1"/>
    <col min="18" max="18" width="14.5703125" style="67" bestFit="1" customWidth="1"/>
    <col min="19" max="19" width="15" style="17" bestFit="1" customWidth="1"/>
    <col min="20" max="20" width="12.28515625" style="68" bestFit="1" customWidth="1"/>
    <col min="21" max="21" width="14.140625" style="69" bestFit="1" customWidth="1"/>
    <col min="22" max="22" width="10" style="68" customWidth="1"/>
    <col min="23" max="23" width="14.140625" style="69" bestFit="1" customWidth="1"/>
    <col min="24" max="24" width="12.28515625" style="68" bestFit="1" customWidth="1"/>
    <col min="25" max="25" width="17.5703125" style="69" bestFit="1" customWidth="1"/>
    <col min="26" max="26" width="12.28515625" style="70" bestFit="1" customWidth="1"/>
    <col min="27" max="27" width="14.140625" style="71" bestFit="1" customWidth="1"/>
    <col min="28" max="28" width="14.5703125" style="17" bestFit="1" customWidth="1"/>
    <col min="29" max="31" width="9.140625" style="17"/>
  </cols>
  <sheetData>
    <row r="1" spans="1:31" ht="14.25" x14ac:dyDescent="0.2">
      <c r="A1" s="1" t="s">
        <v>455</v>
      </c>
      <c r="B1" s="1" t="s">
        <v>139</v>
      </c>
      <c r="C1" s="1" t="s">
        <v>139</v>
      </c>
      <c r="D1" s="1" t="s">
        <v>456</v>
      </c>
      <c r="E1" s="1" t="s">
        <v>457</v>
      </c>
      <c r="F1" s="1" t="s">
        <v>458</v>
      </c>
      <c r="G1" s="1" t="s">
        <v>459</v>
      </c>
      <c r="H1" s="1" t="s">
        <v>460</v>
      </c>
      <c r="I1" s="1" t="s">
        <v>140</v>
      </c>
      <c r="J1" s="1" t="s">
        <v>141</v>
      </c>
      <c r="K1" s="1" t="s">
        <v>596</v>
      </c>
      <c r="L1" s="1" t="s">
        <v>597</v>
      </c>
      <c r="M1" s="1" t="s">
        <v>598</v>
      </c>
      <c r="N1" s="1" t="s">
        <v>599</v>
      </c>
      <c r="O1" s="1" t="s">
        <v>600</v>
      </c>
      <c r="P1" s="1" t="s">
        <v>601</v>
      </c>
      <c r="Q1" s="64" t="s">
        <v>142</v>
      </c>
      <c r="R1" s="64" t="s">
        <v>229</v>
      </c>
      <c r="S1" s="64" t="s">
        <v>231</v>
      </c>
      <c r="T1" s="65" t="s">
        <v>240</v>
      </c>
      <c r="U1" s="66" t="s">
        <v>241</v>
      </c>
      <c r="V1" s="65" t="s">
        <v>242</v>
      </c>
      <c r="W1" s="66" t="s">
        <v>243</v>
      </c>
      <c r="X1" s="65" t="s">
        <v>244</v>
      </c>
      <c r="Y1" s="66" t="s">
        <v>245</v>
      </c>
      <c r="Z1" s="65" t="s">
        <v>246</v>
      </c>
      <c r="AA1" s="66" t="s">
        <v>247</v>
      </c>
      <c r="AB1" s="19" t="s">
        <v>1332</v>
      </c>
      <c r="AC1" s="18" t="s">
        <v>1333</v>
      </c>
      <c r="AD1" s="18" t="s">
        <v>1361</v>
      </c>
      <c r="AE1" s="18" t="s">
        <v>1362</v>
      </c>
    </row>
    <row r="2" spans="1:31" x14ac:dyDescent="0.2">
      <c r="A2" s="16">
        <v>3000001897</v>
      </c>
      <c r="B2" t="s">
        <v>0</v>
      </c>
      <c r="C2" t="s">
        <v>0</v>
      </c>
      <c r="D2" t="s">
        <v>1</v>
      </c>
      <c r="E2" t="s">
        <v>92</v>
      </c>
      <c r="F2" t="s">
        <v>93</v>
      </c>
      <c r="G2" s="2">
        <v>1</v>
      </c>
      <c r="H2" t="s">
        <v>461</v>
      </c>
      <c r="I2" t="s">
        <v>3</v>
      </c>
      <c r="J2" t="s">
        <v>94</v>
      </c>
      <c r="K2" t="s">
        <v>602</v>
      </c>
      <c r="L2" t="s">
        <v>603</v>
      </c>
      <c r="M2" t="s">
        <v>602</v>
      </c>
      <c r="N2" t="s">
        <v>602</v>
      </c>
      <c r="O2" t="s">
        <v>603</v>
      </c>
      <c r="P2" t="s">
        <v>602</v>
      </c>
      <c r="Q2" s="17">
        <f>IFERROR(VLOOKUP(A2,已除帳印單!B:C,1,0),0)*1</f>
        <v>0</v>
      </c>
      <c r="R2" s="67" t="str">
        <f>IFERROR(VLOOKUP(J2,線別!A:B,2,1),"")</f>
        <v>塗二組</v>
      </c>
      <c r="S2" s="17" t="str">
        <f>IFERROR(VLOOKUP(A2,已除帳印單!B:C,2,0),"")</f>
        <v/>
      </c>
      <c r="T2" s="68">
        <f>--TEXT(B2,"0000-00-00")</f>
        <v>43892</v>
      </c>
      <c r="U2" s="69">
        <f>--TEXT(C2,"00\:00\:00")</f>
        <v>84.168773148148148</v>
      </c>
      <c r="V2" s="68" t="str">
        <f>IFERROR(VLOOKUP(A2,已除帳印單!B:D,3,0),"")</f>
        <v/>
      </c>
      <c r="W2" s="69" t="str">
        <f>IFERROR(VLOOKUP(A2,已除帳印單!B:E,4,0),"")</f>
        <v/>
      </c>
      <c r="X2" s="68" t="str">
        <f>IFERROR(INDEX(刷條碼區!A:C,MATCH(點上線資訊!S2,刷條碼區!C:C,0),1),"")</f>
        <v/>
      </c>
      <c r="Y2" s="69" t="str">
        <f>IFERROR(INDEX(刷條碼區!A:C,MATCH(點上線資訊!S2,刷條碼區!C:C,0),2),"")</f>
        <v/>
      </c>
      <c r="Z2" s="70" t="str">
        <f>IFERROR(INDEX(刷條碼區!D:G,MATCH(點上線資訊!S2,刷條碼區!F:F,0),1),"")</f>
        <v/>
      </c>
      <c r="AA2" s="71" t="str">
        <f>IFERROR(INDEX(刷條碼區!D:G,MATCH(點上線資訊!S2,刷條碼區!F:F,0),2),"")</f>
        <v/>
      </c>
      <c r="AB2" s="20">
        <f>IF(K2&amp;N2="",G2)</f>
        <v>1</v>
      </c>
      <c r="AC2" s="20" t="b">
        <f>IF(S2&lt;&gt;"",G2)</f>
        <v>0</v>
      </c>
      <c r="AD2" s="17" t="b">
        <f>IF(X2&lt;&gt;"",G2)</f>
        <v>0</v>
      </c>
      <c r="AE2" s="17" t="b">
        <f>IF(Z2&lt;&gt;"",G2)</f>
        <v>0</v>
      </c>
    </row>
    <row r="3" spans="1:31" x14ac:dyDescent="0.2">
      <c r="A3" s="16">
        <v>3000001975</v>
      </c>
      <c r="B3" t="s">
        <v>0</v>
      </c>
      <c r="C3" t="s">
        <v>0</v>
      </c>
      <c r="D3" t="s">
        <v>1</v>
      </c>
      <c r="E3" t="s">
        <v>604</v>
      </c>
      <c r="F3" t="s">
        <v>93</v>
      </c>
      <c r="G3" s="2">
        <v>1</v>
      </c>
      <c r="H3" t="s">
        <v>461</v>
      </c>
      <c r="I3" t="s">
        <v>3</v>
      </c>
      <c r="J3" t="s">
        <v>19</v>
      </c>
      <c r="K3" t="s">
        <v>605</v>
      </c>
      <c r="L3" t="s">
        <v>603</v>
      </c>
      <c r="M3" t="s">
        <v>602</v>
      </c>
      <c r="N3" t="s">
        <v>602</v>
      </c>
      <c r="O3" t="s">
        <v>603</v>
      </c>
      <c r="P3" t="s">
        <v>602</v>
      </c>
      <c r="Q3" s="17">
        <f>IFERROR(VLOOKUP(A3,已除帳印單!B:C,1,0),0)*1</f>
        <v>0</v>
      </c>
      <c r="R3" s="67" t="str">
        <f>IFERROR(VLOOKUP(J3,線別!A:B,2,1),"")</f>
        <v>FM_IA預組</v>
      </c>
      <c r="S3" s="17" t="str">
        <f>IFERROR(VLOOKUP(A3,已除帳印單!B:C,2,0),"")</f>
        <v/>
      </c>
      <c r="T3" s="68">
        <f t="shared" ref="T3:T66" si="0">--TEXT(B3,"0000-00-00")</f>
        <v>43892</v>
      </c>
      <c r="U3" s="69">
        <f t="shared" ref="U3:U66" si="1">--TEXT(C3,"00\:00\:00")</f>
        <v>84.168773148148148</v>
      </c>
      <c r="V3" s="68" t="str">
        <f>IFERROR(VLOOKUP(A3,已除帳印單!B:D,3,0),"")</f>
        <v/>
      </c>
      <c r="W3" s="69" t="str">
        <f>IFERROR(VLOOKUP(A3,已除帳印單!B:E,4,0),"")</f>
        <v/>
      </c>
      <c r="X3" s="68" t="str">
        <f>IFERROR(INDEX(刷條碼區!A:C,MATCH(點上線資訊!S3,刷條碼區!C:C,0),1),"")</f>
        <v/>
      </c>
      <c r="Y3" s="69" t="str">
        <f>IFERROR(INDEX(刷條碼區!A:C,MATCH(點上線資訊!S3,刷條碼區!C:C,0),2),"")</f>
        <v/>
      </c>
      <c r="Z3" s="70" t="str">
        <f>IFERROR(INDEX(刷條碼區!D:G,MATCH(點上線資訊!S3,刷條碼區!F:F,0),1),"")</f>
        <v/>
      </c>
      <c r="AA3" s="71" t="str">
        <f>IFERROR(INDEX(刷條碼區!D:G,MATCH(點上線資訊!S3,刷條碼區!F:F,0),2),"")</f>
        <v/>
      </c>
      <c r="AB3" s="20" t="b">
        <f t="shared" ref="AB3:AB66" si="2">IF(K3&amp;N3="",G3)</f>
        <v>0</v>
      </c>
      <c r="AC3" s="20" t="b">
        <f t="shared" ref="AC3:AC66" si="3">IF(S3&lt;&gt;"",G3)</f>
        <v>0</v>
      </c>
      <c r="AD3" s="17" t="b">
        <f t="shared" ref="AD3:AD66" si="4">IF(X3&lt;&gt;"",G3)</f>
        <v>0</v>
      </c>
      <c r="AE3" s="17" t="b">
        <f t="shared" ref="AE3:AE66" si="5">IF(Z3&lt;&gt;"",G3)</f>
        <v>0</v>
      </c>
    </row>
    <row r="4" spans="1:31" x14ac:dyDescent="0.2">
      <c r="A4" s="16">
        <v>3000002039</v>
      </c>
      <c r="B4" t="s">
        <v>0</v>
      </c>
      <c r="C4" t="s">
        <v>0</v>
      </c>
      <c r="D4" t="s">
        <v>1</v>
      </c>
      <c r="E4" t="s">
        <v>606</v>
      </c>
      <c r="F4" t="s">
        <v>607</v>
      </c>
      <c r="G4" s="2">
        <v>1</v>
      </c>
      <c r="H4" t="s">
        <v>461</v>
      </c>
      <c r="I4" t="s">
        <v>3</v>
      </c>
      <c r="J4" t="s">
        <v>5</v>
      </c>
      <c r="K4" t="s">
        <v>605</v>
      </c>
      <c r="L4" t="s">
        <v>608</v>
      </c>
      <c r="M4" t="s">
        <v>609</v>
      </c>
      <c r="N4" t="s">
        <v>602</v>
      </c>
      <c r="O4" t="s">
        <v>603</v>
      </c>
      <c r="P4" t="s">
        <v>602</v>
      </c>
      <c r="Q4" s="17">
        <f>IFERROR(VLOOKUP(A4,已除帳印單!B:C,1,0),0)*1</f>
        <v>0</v>
      </c>
      <c r="R4" s="67" t="str">
        <f>IFERROR(VLOOKUP(J4,線別!A:B,2,1),"")</f>
        <v>FM線</v>
      </c>
      <c r="S4" s="17" t="str">
        <f>IFERROR(VLOOKUP(A4,已除帳印單!B:C,2,0),"")</f>
        <v/>
      </c>
      <c r="T4" s="68">
        <f t="shared" si="0"/>
        <v>43892</v>
      </c>
      <c r="U4" s="69">
        <f t="shared" si="1"/>
        <v>84.168773148148148</v>
      </c>
      <c r="V4" s="68" t="str">
        <f>IFERROR(VLOOKUP(A4,已除帳印單!B:D,3,0),"")</f>
        <v/>
      </c>
      <c r="W4" s="69" t="str">
        <f>IFERROR(VLOOKUP(A4,已除帳印單!B:E,4,0),"")</f>
        <v/>
      </c>
      <c r="X4" s="68" t="str">
        <f>IFERROR(INDEX(刷條碼區!A:C,MATCH(點上線資訊!S4,刷條碼區!C:C,0),1),"")</f>
        <v/>
      </c>
      <c r="Y4" s="69" t="str">
        <f>IFERROR(INDEX(刷條碼區!A:C,MATCH(點上線資訊!S4,刷條碼區!C:C,0),2),"")</f>
        <v/>
      </c>
      <c r="Z4" s="70" t="str">
        <f>IFERROR(INDEX(刷條碼區!D:G,MATCH(點上線資訊!S4,刷條碼區!F:F,0),1),"")</f>
        <v/>
      </c>
      <c r="AA4" s="71" t="str">
        <f>IFERROR(INDEX(刷條碼區!D:G,MATCH(點上線資訊!S4,刷條碼區!F:F,0),2),"")</f>
        <v/>
      </c>
      <c r="AB4" s="20" t="b">
        <f t="shared" si="2"/>
        <v>0</v>
      </c>
      <c r="AC4" s="20" t="b">
        <f t="shared" si="3"/>
        <v>0</v>
      </c>
      <c r="AD4" s="17" t="b">
        <f t="shared" si="4"/>
        <v>0</v>
      </c>
      <c r="AE4" s="17" t="b">
        <f t="shared" si="5"/>
        <v>0</v>
      </c>
    </row>
    <row r="5" spans="1:31" x14ac:dyDescent="0.2">
      <c r="A5" s="16">
        <v>3000002074</v>
      </c>
      <c r="B5" t="s">
        <v>6</v>
      </c>
      <c r="C5" t="s">
        <v>6</v>
      </c>
      <c r="D5" t="s">
        <v>1</v>
      </c>
      <c r="E5" t="s">
        <v>610</v>
      </c>
      <c r="F5" t="s">
        <v>611</v>
      </c>
      <c r="G5" s="2">
        <v>1</v>
      </c>
      <c r="H5" t="s">
        <v>461</v>
      </c>
      <c r="I5" t="s">
        <v>3</v>
      </c>
      <c r="J5" t="s">
        <v>5</v>
      </c>
      <c r="K5" t="s">
        <v>605</v>
      </c>
      <c r="L5" t="s">
        <v>608</v>
      </c>
      <c r="M5" t="s">
        <v>395</v>
      </c>
      <c r="N5" t="s">
        <v>602</v>
      </c>
      <c r="O5" t="s">
        <v>603</v>
      </c>
      <c r="P5" t="s">
        <v>602</v>
      </c>
      <c r="Q5" s="17">
        <f>IFERROR(VLOOKUP(A5,已除帳印單!B:C,1,0),0)*1</f>
        <v>0</v>
      </c>
      <c r="R5" s="67" t="str">
        <f>IFERROR(VLOOKUP(J5,線別!A:B,2,1),"")</f>
        <v>FM線</v>
      </c>
      <c r="S5" s="17" t="str">
        <f>IFERROR(VLOOKUP(A5,已除帳印單!B:C,2,0),"")</f>
        <v/>
      </c>
      <c r="T5" s="68">
        <f t="shared" si="0"/>
        <v>43893</v>
      </c>
      <c r="U5" s="69">
        <f t="shared" si="1"/>
        <v>84.168784722222213</v>
      </c>
      <c r="V5" s="68" t="str">
        <f>IFERROR(VLOOKUP(A5,已除帳印單!B:D,3,0),"")</f>
        <v/>
      </c>
      <c r="W5" s="69" t="str">
        <f>IFERROR(VLOOKUP(A5,已除帳印單!B:E,4,0),"")</f>
        <v/>
      </c>
      <c r="X5" s="68" t="str">
        <f>IFERROR(INDEX(刷條碼區!A:C,MATCH(點上線資訊!S5,刷條碼區!C:C,0),1),"")</f>
        <v/>
      </c>
      <c r="Y5" s="69" t="str">
        <f>IFERROR(INDEX(刷條碼區!A:C,MATCH(點上線資訊!S5,刷條碼區!C:C,0),2),"")</f>
        <v/>
      </c>
      <c r="Z5" s="70" t="str">
        <f>IFERROR(INDEX(刷條碼區!D:G,MATCH(點上線資訊!S5,刷條碼區!F:F,0),1),"")</f>
        <v/>
      </c>
      <c r="AA5" s="71" t="str">
        <f>IFERROR(INDEX(刷條碼區!D:G,MATCH(點上線資訊!S5,刷條碼區!F:F,0),2),"")</f>
        <v/>
      </c>
      <c r="AB5" s="20" t="b">
        <f t="shared" si="2"/>
        <v>0</v>
      </c>
      <c r="AC5" s="20" t="b">
        <f t="shared" si="3"/>
        <v>0</v>
      </c>
      <c r="AD5" s="17" t="b">
        <f t="shared" si="4"/>
        <v>0</v>
      </c>
      <c r="AE5" s="17" t="b">
        <f t="shared" si="5"/>
        <v>0</v>
      </c>
    </row>
    <row r="6" spans="1:31" x14ac:dyDescent="0.2">
      <c r="A6" s="16">
        <v>3000002091</v>
      </c>
      <c r="B6" t="s">
        <v>6</v>
      </c>
      <c r="C6" t="s">
        <v>6</v>
      </c>
      <c r="D6" t="s">
        <v>1</v>
      </c>
      <c r="E6" t="s">
        <v>612</v>
      </c>
      <c r="F6" t="s">
        <v>613</v>
      </c>
      <c r="G6" s="2">
        <v>1</v>
      </c>
      <c r="H6" t="s">
        <v>461</v>
      </c>
      <c r="I6" t="s">
        <v>3</v>
      </c>
      <c r="J6" t="s">
        <v>5</v>
      </c>
      <c r="K6" t="s">
        <v>605</v>
      </c>
      <c r="L6" t="s">
        <v>608</v>
      </c>
      <c r="M6" t="s">
        <v>614</v>
      </c>
      <c r="N6" t="s">
        <v>602</v>
      </c>
      <c r="O6" t="s">
        <v>603</v>
      </c>
      <c r="P6" t="s">
        <v>602</v>
      </c>
      <c r="Q6" s="17">
        <f>IFERROR(VLOOKUP(A6,已除帳印單!B:C,1,0),0)*1</f>
        <v>0</v>
      </c>
      <c r="R6" s="67" t="str">
        <f>IFERROR(VLOOKUP(J6,線別!A:B,2,1),"")</f>
        <v>FM線</v>
      </c>
      <c r="S6" s="17" t="str">
        <f>IFERROR(VLOOKUP(A6,已除帳印單!B:C,2,0),"")</f>
        <v/>
      </c>
      <c r="T6" s="68">
        <f t="shared" si="0"/>
        <v>43893</v>
      </c>
      <c r="U6" s="69">
        <f t="shared" si="1"/>
        <v>84.168784722222213</v>
      </c>
      <c r="V6" s="68" t="str">
        <f>IFERROR(VLOOKUP(A6,已除帳印單!B:D,3,0),"")</f>
        <v/>
      </c>
      <c r="W6" s="69" t="str">
        <f>IFERROR(VLOOKUP(A6,已除帳印單!B:E,4,0),"")</f>
        <v/>
      </c>
      <c r="X6" s="68" t="str">
        <f>IFERROR(INDEX(刷條碼區!A:C,MATCH(點上線資訊!S6,刷條碼區!C:C,0),1),"")</f>
        <v/>
      </c>
      <c r="Y6" s="69" t="str">
        <f>IFERROR(INDEX(刷條碼區!A:C,MATCH(點上線資訊!S6,刷條碼區!C:C,0),2),"")</f>
        <v/>
      </c>
      <c r="Z6" s="70" t="str">
        <f>IFERROR(INDEX(刷條碼區!D:G,MATCH(點上線資訊!S6,刷條碼區!F:F,0),1),"")</f>
        <v/>
      </c>
      <c r="AA6" s="71" t="str">
        <f>IFERROR(INDEX(刷條碼區!D:G,MATCH(點上線資訊!S6,刷條碼區!F:F,0),2),"")</f>
        <v/>
      </c>
      <c r="AB6" s="20" t="b">
        <f t="shared" si="2"/>
        <v>0</v>
      </c>
      <c r="AC6" s="20" t="b">
        <f t="shared" si="3"/>
        <v>0</v>
      </c>
      <c r="AD6" s="17" t="b">
        <f t="shared" si="4"/>
        <v>0</v>
      </c>
      <c r="AE6" s="17" t="b">
        <f t="shared" si="5"/>
        <v>0</v>
      </c>
    </row>
    <row r="7" spans="1:31" x14ac:dyDescent="0.2">
      <c r="A7" s="16">
        <v>3000002100</v>
      </c>
      <c r="B7" t="s">
        <v>301</v>
      </c>
      <c r="C7" t="s">
        <v>301</v>
      </c>
      <c r="D7" t="s">
        <v>1</v>
      </c>
      <c r="E7" t="s">
        <v>615</v>
      </c>
      <c r="F7" t="s">
        <v>616</v>
      </c>
      <c r="G7" s="2">
        <v>1</v>
      </c>
      <c r="H7" t="s">
        <v>461</v>
      </c>
      <c r="I7" t="s">
        <v>3</v>
      </c>
      <c r="J7" t="s">
        <v>5</v>
      </c>
      <c r="K7" t="s">
        <v>605</v>
      </c>
      <c r="L7" t="s">
        <v>608</v>
      </c>
      <c r="M7" t="s">
        <v>396</v>
      </c>
      <c r="N7" t="s">
        <v>602</v>
      </c>
      <c r="O7" t="s">
        <v>603</v>
      </c>
      <c r="P7" t="s">
        <v>602</v>
      </c>
      <c r="Q7" s="17">
        <f>IFERROR(VLOOKUP(A7,已除帳印單!B:C,1,0),0)*1</f>
        <v>0</v>
      </c>
      <c r="R7" s="67" t="str">
        <f>IFERROR(VLOOKUP(J7,線別!A:B,2,1),"")</f>
        <v>FM線</v>
      </c>
      <c r="S7" s="17" t="str">
        <f>IFERROR(VLOOKUP(A7,已除帳印單!B:C,2,0),"")</f>
        <v/>
      </c>
      <c r="T7" s="68">
        <f t="shared" si="0"/>
        <v>43894</v>
      </c>
      <c r="U7" s="69">
        <f t="shared" si="1"/>
        <v>84.168796296296293</v>
      </c>
      <c r="V7" s="68" t="str">
        <f>IFERROR(VLOOKUP(A7,已除帳印單!B:D,3,0),"")</f>
        <v/>
      </c>
      <c r="W7" s="69" t="str">
        <f>IFERROR(VLOOKUP(A7,已除帳印單!B:E,4,0),"")</f>
        <v/>
      </c>
      <c r="X7" s="68" t="str">
        <f>IFERROR(INDEX(刷條碼區!A:C,MATCH(點上線資訊!S7,刷條碼區!C:C,0),1),"")</f>
        <v/>
      </c>
      <c r="Y7" s="69" t="str">
        <f>IFERROR(INDEX(刷條碼區!A:C,MATCH(點上線資訊!S7,刷條碼區!C:C,0),2),"")</f>
        <v/>
      </c>
      <c r="Z7" s="70" t="str">
        <f>IFERROR(INDEX(刷條碼區!D:G,MATCH(點上線資訊!S7,刷條碼區!F:F,0),1),"")</f>
        <v/>
      </c>
      <c r="AA7" s="71" t="str">
        <f>IFERROR(INDEX(刷條碼區!D:G,MATCH(點上線資訊!S7,刷條碼區!F:F,0),2),"")</f>
        <v/>
      </c>
      <c r="AB7" s="20" t="b">
        <f t="shared" si="2"/>
        <v>0</v>
      </c>
      <c r="AC7" s="20" t="b">
        <f t="shared" si="3"/>
        <v>0</v>
      </c>
      <c r="AD7" s="17" t="b">
        <f t="shared" si="4"/>
        <v>0</v>
      </c>
      <c r="AE7" s="17" t="b">
        <f t="shared" si="5"/>
        <v>0</v>
      </c>
    </row>
    <row r="8" spans="1:31" x14ac:dyDescent="0.2">
      <c r="A8" s="16">
        <v>5000437836</v>
      </c>
      <c r="B8" t="s">
        <v>301</v>
      </c>
      <c r="C8" t="s">
        <v>301</v>
      </c>
      <c r="D8" t="s">
        <v>1</v>
      </c>
      <c r="E8" t="s">
        <v>310</v>
      </c>
      <c r="F8" t="s">
        <v>311</v>
      </c>
      <c r="G8" s="2">
        <v>15</v>
      </c>
      <c r="H8" t="s">
        <v>461</v>
      </c>
      <c r="I8" t="s">
        <v>3</v>
      </c>
      <c r="J8" t="s">
        <v>53</v>
      </c>
      <c r="K8" t="s">
        <v>602</v>
      </c>
      <c r="L8" t="s">
        <v>603</v>
      </c>
      <c r="M8" t="s">
        <v>602</v>
      </c>
      <c r="N8" t="s">
        <v>602</v>
      </c>
      <c r="O8" t="s">
        <v>603</v>
      </c>
      <c r="P8" t="s">
        <v>602</v>
      </c>
      <c r="Q8" s="17">
        <f>IFERROR(VLOOKUP(A8,已除帳印單!B:C,1,0),0)*1</f>
        <v>0</v>
      </c>
      <c r="R8" s="67" t="str">
        <f>IFERROR(VLOOKUP(J8,線別!A:B,2,1),"")</f>
        <v>裝二線</v>
      </c>
      <c r="S8" s="17" t="str">
        <f>IFERROR(VLOOKUP(A8,已除帳印單!B:C,2,0),"")</f>
        <v/>
      </c>
      <c r="T8" s="68">
        <f t="shared" si="0"/>
        <v>43894</v>
      </c>
      <c r="U8" s="69">
        <f t="shared" si="1"/>
        <v>84.168796296296293</v>
      </c>
      <c r="V8" s="68" t="str">
        <f>IFERROR(VLOOKUP(A8,已除帳印單!B:D,3,0),"")</f>
        <v/>
      </c>
      <c r="W8" s="69" t="str">
        <f>IFERROR(VLOOKUP(A8,已除帳印單!B:E,4,0),"")</f>
        <v/>
      </c>
      <c r="X8" s="68" t="str">
        <f>IFERROR(INDEX(刷條碼區!A:C,MATCH(點上線資訊!S8,刷條碼區!C:C,0),1),"")</f>
        <v/>
      </c>
      <c r="Y8" s="69" t="str">
        <f>IFERROR(INDEX(刷條碼區!A:C,MATCH(點上線資訊!S8,刷條碼區!C:C,0),2),"")</f>
        <v/>
      </c>
      <c r="Z8" s="70" t="str">
        <f>IFERROR(INDEX(刷條碼區!D:G,MATCH(點上線資訊!S8,刷條碼區!F:F,0),1),"")</f>
        <v/>
      </c>
      <c r="AA8" s="71" t="str">
        <f>IFERROR(INDEX(刷條碼區!D:G,MATCH(點上線資訊!S8,刷條碼區!F:F,0),2),"")</f>
        <v/>
      </c>
      <c r="AB8" s="20">
        <f t="shared" si="2"/>
        <v>15</v>
      </c>
      <c r="AC8" s="20" t="b">
        <f t="shared" si="3"/>
        <v>0</v>
      </c>
      <c r="AD8" s="17" t="b">
        <f t="shared" si="4"/>
        <v>0</v>
      </c>
      <c r="AE8" s="17" t="b">
        <f t="shared" si="5"/>
        <v>0</v>
      </c>
    </row>
    <row r="9" spans="1:31" x14ac:dyDescent="0.2">
      <c r="A9" s="16">
        <v>5000437837</v>
      </c>
      <c r="B9" t="s">
        <v>301</v>
      </c>
      <c r="C9" t="s">
        <v>301</v>
      </c>
      <c r="D9" t="s">
        <v>1</v>
      </c>
      <c r="E9" t="s">
        <v>308</v>
      </c>
      <c r="F9" t="s">
        <v>309</v>
      </c>
      <c r="G9" s="2">
        <v>10</v>
      </c>
      <c r="H9" t="s">
        <v>461</v>
      </c>
      <c r="I9" t="s">
        <v>3</v>
      </c>
      <c r="J9" t="s">
        <v>53</v>
      </c>
      <c r="K9" t="s">
        <v>602</v>
      </c>
      <c r="L9" t="s">
        <v>603</v>
      </c>
      <c r="M9" t="s">
        <v>602</v>
      </c>
      <c r="N9" t="s">
        <v>602</v>
      </c>
      <c r="O9" t="s">
        <v>603</v>
      </c>
      <c r="P9" t="s">
        <v>602</v>
      </c>
      <c r="Q9" s="17">
        <f>IFERROR(VLOOKUP(A9,已除帳印單!B:C,1,0),0)*1</f>
        <v>0</v>
      </c>
      <c r="R9" s="67" t="str">
        <f>IFERROR(VLOOKUP(J9,線別!A:B,2,1),"")</f>
        <v>裝二線</v>
      </c>
      <c r="S9" s="17" t="str">
        <f>IFERROR(VLOOKUP(A9,已除帳印單!B:C,2,0),"")</f>
        <v/>
      </c>
      <c r="T9" s="68">
        <f t="shared" si="0"/>
        <v>43894</v>
      </c>
      <c r="U9" s="69">
        <f t="shared" si="1"/>
        <v>84.168796296296293</v>
      </c>
      <c r="V9" s="68" t="str">
        <f>IFERROR(VLOOKUP(A9,已除帳印單!B:D,3,0),"")</f>
        <v/>
      </c>
      <c r="W9" s="69" t="str">
        <f>IFERROR(VLOOKUP(A9,已除帳印單!B:E,4,0),"")</f>
        <v/>
      </c>
      <c r="X9" s="68" t="str">
        <f>IFERROR(INDEX(刷條碼區!A:C,MATCH(點上線資訊!S9,刷條碼區!C:C,0),1),"")</f>
        <v/>
      </c>
      <c r="Y9" s="69" t="str">
        <f>IFERROR(INDEX(刷條碼區!A:C,MATCH(點上線資訊!S9,刷條碼區!C:C,0),2),"")</f>
        <v/>
      </c>
      <c r="Z9" s="70" t="str">
        <f>IFERROR(INDEX(刷條碼區!D:G,MATCH(點上線資訊!S9,刷條碼區!F:F,0),1),"")</f>
        <v/>
      </c>
      <c r="AA9" s="71" t="str">
        <f>IFERROR(INDEX(刷條碼區!D:G,MATCH(點上線資訊!S9,刷條碼區!F:F,0),2),"")</f>
        <v/>
      </c>
      <c r="AB9" s="20">
        <f t="shared" si="2"/>
        <v>10</v>
      </c>
      <c r="AC9" s="20" t="b">
        <f t="shared" si="3"/>
        <v>0</v>
      </c>
      <c r="AD9" s="17" t="b">
        <f t="shared" si="4"/>
        <v>0</v>
      </c>
      <c r="AE9" s="17" t="b">
        <f t="shared" si="5"/>
        <v>0</v>
      </c>
    </row>
    <row r="10" spans="1:31" x14ac:dyDescent="0.2">
      <c r="A10" s="16">
        <v>5000437838</v>
      </c>
      <c r="B10" t="s">
        <v>301</v>
      </c>
      <c r="C10" t="s">
        <v>301</v>
      </c>
      <c r="D10" t="s">
        <v>1</v>
      </c>
      <c r="E10" t="s">
        <v>333</v>
      </c>
      <c r="F10" t="s">
        <v>462</v>
      </c>
      <c r="G10" s="2">
        <v>10</v>
      </c>
      <c r="H10" t="s">
        <v>461</v>
      </c>
      <c r="I10" t="s">
        <v>3</v>
      </c>
      <c r="J10" t="s">
        <v>53</v>
      </c>
      <c r="K10" t="s">
        <v>602</v>
      </c>
      <c r="L10" t="s">
        <v>603</v>
      </c>
      <c r="M10" t="s">
        <v>602</v>
      </c>
      <c r="N10" t="s">
        <v>602</v>
      </c>
      <c r="O10" t="s">
        <v>603</v>
      </c>
      <c r="P10" t="s">
        <v>602</v>
      </c>
      <c r="Q10" s="17">
        <f>IFERROR(VLOOKUP(A10,已除帳印單!B:C,1,0),0)*1</f>
        <v>0</v>
      </c>
      <c r="R10" s="67" t="str">
        <f>IFERROR(VLOOKUP(J10,線別!A:B,2,1),"")</f>
        <v>裝二線</v>
      </c>
      <c r="S10" s="17" t="str">
        <f>IFERROR(VLOOKUP(A10,已除帳印單!B:C,2,0),"")</f>
        <v/>
      </c>
      <c r="T10" s="68">
        <f t="shared" si="0"/>
        <v>43894</v>
      </c>
      <c r="U10" s="69">
        <f t="shared" si="1"/>
        <v>84.168796296296293</v>
      </c>
      <c r="V10" s="68" t="str">
        <f>IFERROR(VLOOKUP(A10,已除帳印單!B:D,3,0),"")</f>
        <v/>
      </c>
      <c r="W10" s="69" t="str">
        <f>IFERROR(VLOOKUP(A10,已除帳印單!B:E,4,0),"")</f>
        <v/>
      </c>
      <c r="X10" s="68" t="str">
        <f>IFERROR(INDEX(刷條碼區!A:C,MATCH(點上線資訊!S10,刷條碼區!C:C,0),1),"")</f>
        <v/>
      </c>
      <c r="Y10" s="69" t="str">
        <f>IFERROR(INDEX(刷條碼區!A:C,MATCH(點上線資訊!S10,刷條碼區!C:C,0),2),"")</f>
        <v/>
      </c>
      <c r="Z10" s="70" t="str">
        <f>IFERROR(INDEX(刷條碼區!D:G,MATCH(點上線資訊!S10,刷條碼區!F:F,0),1),"")</f>
        <v/>
      </c>
      <c r="AA10" s="71" t="str">
        <f>IFERROR(INDEX(刷條碼區!D:G,MATCH(點上線資訊!S10,刷條碼區!F:F,0),2),"")</f>
        <v/>
      </c>
      <c r="AB10" s="20">
        <f t="shared" si="2"/>
        <v>10</v>
      </c>
      <c r="AC10" s="20" t="b">
        <f t="shared" si="3"/>
        <v>0</v>
      </c>
      <c r="AD10" s="17" t="b">
        <f t="shared" si="4"/>
        <v>0</v>
      </c>
      <c r="AE10" s="17" t="b">
        <f t="shared" si="5"/>
        <v>0</v>
      </c>
    </row>
    <row r="11" spans="1:31" x14ac:dyDescent="0.2">
      <c r="A11" s="16">
        <v>5000437840</v>
      </c>
      <c r="B11" t="s">
        <v>301</v>
      </c>
      <c r="C11" t="s">
        <v>301</v>
      </c>
      <c r="D11" t="s">
        <v>1</v>
      </c>
      <c r="E11" t="s">
        <v>312</v>
      </c>
      <c r="F11" t="s">
        <v>313</v>
      </c>
      <c r="G11" s="2">
        <v>10</v>
      </c>
      <c r="H11" t="s">
        <v>461</v>
      </c>
      <c r="I11" t="s">
        <v>3</v>
      </c>
      <c r="J11" t="s">
        <v>53</v>
      </c>
      <c r="K11" t="s">
        <v>602</v>
      </c>
      <c r="L11" t="s">
        <v>603</v>
      </c>
      <c r="M11" t="s">
        <v>602</v>
      </c>
      <c r="N11" t="s">
        <v>602</v>
      </c>
      <c r="O11" t="s">
        <v>603</v>
      </c>
      <c r="P11" t="s">
        <v>602</v>
      </c>
      <c r="Q11" s="17">
        <f>IFERROR(VLOOKUP(A11,已除帳印單!B:C,1,0),0)*1</f>
        <v>0</v>
      </c>
      <c r="R11" s="67" t="str">
        <f>IFERROR(VLOOKUP(J11,線別!A:B,2,1),"")</f>
        <v>裝二線</v>
      </c>
      <c r="S11" s="17" t="str">
        <f>IFERROR(VLOOKUP(A11,已除帳印單!B:C,2,0),"")</f>
        <v/>
      </c>
      <c r="T11" s="68">
        <f t="shared" si="0"/>
        <v>43894</v>
      </c>
      <c r="U11" s="69">
        <f t="shared" si="1"/>
        <v>84.168796296296293</v>
      </c>
      <c r="V11" s="68" t="str">
        <f>IFERROR(VLOOKUP(A11,已除帳印單!B:D,3,0),"")</f>
        <v/>
      </c>
      <c r="W11" s="69" t="str">
        <f>IFERROR(VLOOKUP(A11,已除帳印單!B:E,4,0),"")</f>
        <v/>
      </c>
      <c r="X11" s="68" t="str">
        <f>IFERROR(INDEX(刷條碼區!A:C,MATCH(點上線資訊!S11,刷條碼區!C:C,0),1),"")</f>
        <v/>
      </c>
      <c r="Y11" s="69" t="str">
        <f>IFERROR(INDEX(刷條碼區!A:C,MATCH(點上線資訊!S11,刷條碼區!C:C,0),2),"")</f>
        <v/>
      </c>
      <c r="Z11" s="70" t="str">
        <f>IFERROR(INDEX(刷條碼區!D:G,MATCH(點上線資訊!S11,刷條碼區!F:F,0),1),"")</f>
        <v/>
      </c>
      <c r="AA11" s="71" t="str">
        <f>IFERROR(INDEX(刷條碼區!D:G,MATCH(點上線資訊!S11,刷條碼區!F:F,0),2),"")</f>
        <v/>
      </c>
      <c r="AB11" s="20">
        <f t="shared" si="2"/>
        <v>10</v>
      </c>
      <c r="AC11" s="20" t="b">
        <f t="shared" si="3"/>
        <v>0</v>
      </c>
      <c r="AD11" s="17" t="b">
        <f t="shared" si="4"/>
        <v>0</v>
      </c>
      <c r="AE11" s="17" t="b">
        <f t="shared" si="5"/>
        <v>0</v>
      </c>
    </row>
    <row r="12" spans="1:31" x14ac:dyDescent="0.2">
      <c r="A12" s="16">
        <v>5000438950</v>
      </c>
      <c r="B12" t="s">
        <v>0</v>
      </c>
      <c r="C12" t="s">
        <v>0</v>
      </c>
      <c r="D12" t="s">
        <v>1</v>
      </c>
      <c r="E12" t="s">
        <v>617</v>
      </c>
      <c r="F12" t="s">
        <v>618</v>
      </c>
      <c r="G12" s="2">
        <v>1</v>
      </c>
      <c r="H12" t="s">
        <v>461</v>
      </c>
      <c r="I12" t="s">
        <v>3</v>
      </c>
      <c r="J12" t="s">
        <v>8</v>
      </c>
      <c r="K12" t="s">
        <v>605</v>
      </c>
      <c r="L12" t="s">
        <v>608</v>
      </c>
      <c r="M12" t="s">
        <v>619</v>
      </c>
      <c r="N12" t="s">
        <v>602</v>
      </c>
      <c r="O12" t="s">
        <v>603</v>
      </c>
      <c r="P12" t="s">
        <v>602</v>
      </c>
      <c r="Q12" s="17">
        <f>IFERROR(VLOOKUP(A12,已除帳印單!B:C,1,0),0)*1</f>
        <v>0</v>
      </c>
      <c r="R12" s="67" t="str">
        <f>IFERROR(VLOOKUP(J12,線別!A:B,2,1),"")</f>
        <v>裝一線</v>
      </c>
      <c r="S12" s="17" t="str">
        <f>IFERROR(VLOOKUP(A12,已除帳印單!B:C,2,0),"")</f>
        <v/>
      </c>
      <c r="T12" s="68">
        <f t="shared" si="0"/>
        <v>43892</v>
      </c>
      <c r="U12" s="69">
        <f t="shared" si="1"/>
        <v>84.168773148148148</v>
      </c>
      <c r="V12" s="68" t="str">
        <f>IFERROR(VLOOKUP(A12,已除帳印單!B:D,3,0),"")</f>
        <v/>
      </c>
      <c r="W12" s="69" t="str">
        <f>IFERROR(VLOOKUP(A12,已除帳印單!B:E,4,0),"")</f>
        <v/>
      </c>
      <c r="X12" s="68" t="str">
        <f>IFERROR(INDEX(刷條碼區!A:C,MATCH(點上線資訊!S12,刷條碼區!C:C,0),1),"")</f>
        <v/>
      </c>
      <c r="Y12" s="69" t="str">
        <f>IFERROR(INDEX(刷條碼區!A:C,MATCH(點上線資訊!S12,刷條碼區!C:C,0),2),"")</f>
        <v/>
      </c>
      <c r="Z12" s="70" t="str">
        <f>IFERROR(INDEX(刷條碼區!D:G,MATCH(點上線資訊!S12,刷條碼區!F:F,0),1),"")</f>
        <v/>
      </c>
      <c r="AA12" s="71" t="str">
        <f>IFERROR(INDEX(刷條碼區!D:G,MATCH(點上線資訊!S12,刷條碼區!F:F,0),2),"")</f>
        <v/>
      </c>
      <c r="AB12" s="20" t="b">
        <f t="shared" si="2"/>
        <v>0</v>
      </c>
      <c r="AC12" s="20" t="b">
        <f t="shared" si="3"/>
        <v>0</v>
      </c>
      <c r="AD12" s="17" t="b">
        <f t="shared" si="4"/>
        <v>0</v>
      </c>
      <c r="AE12" s="17" t="b">
        <f t="shared" si="5"/>
        <v>0</v>
      </c>
    </row>
    <row r="13" spans="1:31" x14ac:dyDescent="0.2">
      <c r="A13" s="16">
        <v>5000440942</v>
      </c>
      <c r="B13" t="s">
        <v>6</v>
      </c>
      <c r="C13" t="s">
        <v>6</v>
      </c>
      <c r="D13" t="s">
        <v>1</v>
      </c>
      <c r="E13" t="s">
        <v>253</v>
      </c>
      <c r="F13" t="s">
        <v>254</v>
      </c>
      <c r="G13" s="2">
        <v>11</v>
      </c>
      <c r="H13" t="s">
        <v>461</v>
      </c>
      <c r="I13" t="s">
        <v>3</v>
      </c>
      <c r="J13" t="s">
        <v>136</v>
      </c>
      <c r="K13" t="s">
        <v>602</v>
      </c>
      <c r="L13" t="s">
        <v>603</v>
      </c>
      <c r="M13" t="s">
        <v>602</v>
      </c>
      <c r="N13" t="s">
        <v>602</v>
      </c>
      <c r="O13" t="s">
        <v>603</v>
      </c>
      <c r="P13" t="s">
        <v>602</v>
      </c>
      <c r="Q13" s="17">
        <f>IFERROR(VLOOKUP(A13,已除帳印單!B:C,1,0),0)*1</f>
        <v>0</v>
      </c>
      <c r="R13" s="67" t="str">
        <f>IFERROR(VLOOKUP(J13,線別!A:B,2,1),"")</f>
        <v>SCB線</v>
      </c>
      <c r="S13" s="17" t="str">
        <f>IFERROR(VLOOKUP(A13,已除帳印單!B:C,2,0),"")</f>
        <v/>
      </c>
      <c r="T13" s="68">
        <f t="shared" si="0"/>
        <v>43893</v>
      </c>
      <c r="U13" s="69">
        <f t="shared" si="1"/>
        <v>84.168784722222213</v>
      </c>
      <c r="V13" s="68" t="str">
        <f>IFERROR(VLOOKUP(A13,已除帳印單!B:D,3,0),"")</f>
        <v/>
      </c>
      <c r="W13" s="69" t="str">
        <f>IFERROR(VLOOKUP(A13,已除帳印單!B:E,4,0),"")</f>
        <v/>
      </c>
      <c r="X13" s="68" t="str">
        <f>IFERROR(INDEX(刷條碼區!A:C,MATCH(點上線資訊!S13,刷條碼區!C:C,0),1),"")</f>
        <v/>
      </c>
      <c r="Y13" s="69" t="str">
        <f>IFERROR(INDEX(刷條碼區!A:C,MATCH(點上線資訊!S13,刷條碼區!C:C,0),2),"")</f>
        <v/>
      </c>
      <c r="Z13" s="70" t="str">
        <f>IFERROR(INDEX(刷條碼區!D:G,MATCH(點上線資訊!S13,刷條碼區!F:F,0),1),"")</f>
        <v/>
      </c>
      <c r="AA13" s="71" t="str">
        <f>IFERROR(INDEX(刷條碼區!D:G,MATCH(點上線資訊!S13,刷條碼區!F:F,0),2),"")</f>
        <v/>
      </c>
      <c r="AB13" s="20">
        <f t="shared" si="2"/>
        <v>11</v>
      </c>
      <c r="AC13" s="20" t="b">
        <f t="shared" si="3"/>
        <v>0</v>
      </c>
      <c r="AD13" s="17" t="b">
        <f t="shared" si="4"/>
        <v>0</v>
      </c>
      <c r="AE13" s="17" t="b">
        <f t="shared" si="5"/>
        <v>0</v>
      </c>
    </row>
    <row r="14" spans="1:31" x14ac:dyDescent="0.2">
      <c r="A14" s="16">
        <v>5000455464</v>
      </c>
      <c r="B14" t="s">
        <v>0</v>
      </c>
      <c r="C14" t="s">
        <v>0</v>
      </c>
      <c r="D14" t="s">
        <v>1</v>
      </c>
      <c r="E14" t="s">
        <v>620</v>
      </c>
      <c r="F14" t="s">
        <v>621</v>
      </c>
      <c r="G14" s="2">
        <v>1</v>
      </c>
      <c r="H14" t="s">
        <v>461</v>
      </c>
      <c r="I14" t="s">
        <v>3</v>
      </c>
      <c r="J14" t="s">
        <v>5</v>
      </c>
      <c r="K14" t="s">
        <v>605</v>
      </c>
      <c r="L14" t="s">
        <v>608</v>
      </c>
      <c r="M14" t="s">
        <v>622</v>
      </c>
      <c r="N14" t="s">
        <v>602</v>
      </c>
      <c r="O14" t="s">
        <v>603</v>
      </c>
      <c r="P14" t="s">
        <v>602</v>
      </c>
      <c r="Q14" s="17">
        <f>IFERROR(VLOOKUP(A14,已除帳印單!B:C,1,0),0)*1</f>
        <v>0</v>
      </c>
      <c r="R14" s="67" t="str">
        <f>IFERROR(VLOOKUP(J14,線別!A:B,2,1),"")</f>
        <v>FM線</v>
      </c>
      <c r="S14" s="17" t="str">
        <f>IFERROR(VLOOKUP(A14,已除帳印單!B:C,2,0),"")</f>
        <v/>
      </c>
      <c r="T14" s="68">
        <f t="shared" si="0"/>
        <v>43892</v>
      </c>
      <c r="U14" s="69">
        <f t="shared" si="1"/>
        <v>84.168773148148148</v>
      </c>
      <c r="V14" s="68" t="str">
        <f>IFERROR(VLOOKUP(A14,已除帳印單!B:D,3,0),"")</f>
        <v/>
      </c>
      <c r="W14" s="69" t="str">
        <f>IFERROR(VLOOKUP(A14,已除帳印單!B:E,4,0),"")</f>
        <v/>
      </c>
      <c r="X14" s="68" t="str">
        <f>IFERROR(INDEX(刷條碼區!A:C,MATCH(點上線資訊!S14,刷條碼區!C:C,0),1),"")</f>
        <v/>
      </c>
      <c r="Y14" s="69" t="str">
        <f>IFERROR(INDEX(刷條碼區!A:C,MATCH(點上線資訊!S14,刷條碼區!C:C,0),2),"")</f>
        <v/>
      </c>
      <c r="Z14" s="70" t="str">
        <f>IFERROR(INDEX(刷條碼區!D:G,MATCH(點上線資訊!S14,刷條碼區!F:F,0),1),"")</f>
        <v/>
      </c>
      <c r="AA14" s="71" t="str">
        <f>IFERROR(INDEX(刷條碼區!D:G,MATCH(點上線資訊!S14,刷條碼區!F:F,0),2),"")</f>
        <v/>
      </c>
      <c r="AB14" s="20" t="b">
        <f t="shared" si="2"/>
        <v>0</v>
      </c>
      <c r="AC14" s="20" t="b">
        <f t="shared" si="3"/>
        <v>0</v>
      </c>
      <c r="AD14" s="17" t="b">
        <f t="shared" si="4"/>
        <v>0</v>
      </c>
      <c r="AE14" s="17" t="b">
        <f t="shared" si="5"/>
        <v>0</v>
      </c>
    </row>
    <row r="15" spans="1:31" x14ac:dyDescent="0.2">
      <c r="A15" s="16">
        <v>5000455559</v>
      </c>
      <c r="B15" t="s">
        <v>6</v>
      </c>
      <c r="C15" t="s">
        <v>6</v>
      </c>
      <c r="D15" t="s">
        <v>1</v>
      </c>
      <c r="E15" t="s">
        <v>68</v>
      </c>
      <c r="F15" t="s">
        <v>623</v>
      </c>
      <c r="G15" s="2">
        <v>9</v>
      </c>
      <c r="H15" t="s">
        <v>461</v>
      </c>
      <c r="I15" t="s">
        <v>3</v>
      </c>
      <c r="J15" t="s">
        <v>8</v>
      </c>
      <c r="K15" t="s">
        <v>605</v>
      </c>
      <c r="L15" t="s">
        <v>608</v>
      </c>
      <c r="M15" t="s">
        <v>624</v>
      </c>
      <c r="N15" t="s">
        <v>602</v>
      </c>
      <c r="O15" t="s">
        <v>603</v>
      </c>
      <c r="P15" t="s">
        <v>602</v>
      </c>
      <c r="Q15" s="17">
        <f>IFERROR(VLOOKUP(A15,已除帳印單!B:C,1,0),0)*1</f>
        <v>0</v>
      </c>
      <c r="R15" s="67" t="str">
        <f>IFERROR(VLOOKUP(J15,線別!A:B,2,1),"")</f>
        <v>裝一線</v>
      </c>
      <c r="S15" s="17" t="str">
        <f>IFERROR(VLOOKUP(A15,已除帳印單!B:C,2,0),"")</f>
        <v/>
      </c>
      <c r="T15" s="68">
        <f t="shared" si="0"/>
        <v>43893</v>
      </c>
      <c r="U15" s="69">
        <f t="shared" si="1"/>
        <v>84.168784722222213</v>
      </c>
      <c r="V15" s="68" t="str">
        <f>IFERROR(VLOOKUP(A15,已除帳印單!B:D,3,0),"")</f>
        <v/>
      </c>
      <c r="W15" s="69" t="str">
        <f>IFERROR(VLOOKUP(A15,已除帳印單!B:E,4,0),"")</f>
        <v/>
      </c>
      <c r="X15" s="68" t="str">
        <f>IFERROR(INDEX(刷條碼區!A:C,MATCH(點上線資訊!S15,刷條碼區!C:C,0),1),"")</f>
        <v/>
      </c>
      <c r="Y15" s="69" t="str">
        <f>IFERROR(INDEX(刷條碼區!A:C,MATCH(點上線資訊!S15,刷條碼區!C:C,0),2),"")</f>
        <v/>
      </c>
      <c r="Z15" s="70" t="str">
        <f>IFERROR(INDEX(刷條碼區!D:G,MATCH(點上線資訊!S15,刷條碼區!F:F,0),1),"")</f>
        <v/>
      </c>
      <c r="AA15" s="71" t="str">
        <f>IFERROR(INDEX(刷條碼區!D:G,MATCH(點上線資訊!S15,刷條碼區!F:F,0),2),"")</f>
        <v/>
      </c>
      <c r="AB15" s="20" t="b">
        <f t="shared" si="2"/>
        <v>0</v>
      </c>
      <c r="AC15" s="20" t="b">
        <f t="shared" si="3"/>
        <v>0</v>
      </c>
      <c r="AD15" s="17" t="b">
        <f t="shared" si="4"/>
        <v>0</v>
      </c>
      <c r="AE15" s="17" t="b">
        <f t="shared" si="5"/>
        <v>0</v>
      </c>
    </row>
    <row r="16" spans="1:31" x14ac:dyDescent="0.2">
      <c r="A16" s="16">
        <v>5000456203</v>
      </c>
      <c r="B16" t="s">
        <v>0</v>
      </c>
      <c r="C16" t="s">
        <v>0</v>
      </c>
      <c r="D16" t="s">
        <v>1</v>
      </c>
      <c r="E16" t="s">
        <v>33</v>
      </c>
      <c r="F16" t="s">
        <v>463</v>
      </c>
      <c r="G16" s="2">
        <v>10</v>
      </c>
      <c r="H16" t="s">
        <v>461</v>
      </c>
      <c r="I16" t="s">
        <v>3</v>
      </c>
      <c r="J16" t="s">
        <v>4</v>
      </c>
      <c r="K16" t="s">
        <v>602</v>
      </c>
      <c r="L16" t="s">
        <v>603</v>
      </c>
      <c r="M16" t="s">
        <v>602</v>
      </c>
      <c r="N16" t="s">
        <v>602</v>
      </c>
      <c r="O16" t="s">
        <v>603</v>
      </c>
      <c r="P16" t="s">
        <v>602</v>
      </c>
      <c r="Q16" s="17">
        <f>IFERROR(VLOOKUP(A16,已除帳印單!B:C,1,0),0)*1</f>
        <v>0</v>
      </c>
      <c r="R16" s="67" t="str">
        <f>IFERROR(VLOOKUP(J16,線別!A:B,2,1),"")</f>
        <v>IA線</v>
      </c>
      <c r="S16" s="17" t="str">
        <f>IFERROR(VLOOKUP(A16,已除帳印單!B:C,2,0),"")</f>
        <v/>
      </c>
      <c r="T16" s="68">
        <f t="shared" si="0"/>
        <v>43892</v>
      </c>
      <c r="U16" s="69">
        <f t="shared" si="1"/>
        <v>84.168773148148148</v>
      </c>
      <c r="V16" s="68" t="str">
        <f>IFERROR(VLOOKUP(A16,已除帳印單!B:D,3,0),"")</f>
        <v/>
      </c>
      <c r="W16" s="69" t="str">
        <f>IFERROR(VLOOKUP(A16,已除帳印單!B:E,4,0),"")</f>
        <v/>
      </c>
      <c r="X16" s="68" t="str">
        <f>IFERROR(INDEX(刷條碼區!A:C,MATCH(點上線資訊!S16,刷條碼區!C:C,0),1),"")</f>
        <v/>
      </c>
      <c r="Y16" s="69" t="str">
        <f>IFERROR(INDEX(刷條碼區!A:C,MATCH(點上線資訊!S16,刷條碼區!C:C,0),2),"")</f>
        <v/>
      </c>
      <c r="Z16" s="70" t="str">
        <f>IFERROR(INDEX(刷條碼區!D:G,MATCH(點上線資訊!S16,刷條碼區!F:F,0),1),"")</f>
        <v/>
      </c>
      <c r="AA16" s="71" t="str">
        <f>IFERROR(INDEX(刷條碼區!D:G,MATCH(點上線資訊!S16,刷條碼區!F:F,0),2),"")</f>
        <v/>
      </c>
      <c r="AB16" s="20">
        <f t="shared" si="2"/>
        <v>10</v>
      </c>
      <c r="AC16" s="20" t="b">
        <f t="shared" si="3"/>
        <v>0</v>
      </c>
      <c r="AD16" s="17" t="b">
        <f t="shared" si="4"/>
        <v>0</v>
      </c>
      <c r="AE16" s="17" t="b">
        <f t="shared" si="5"/>
        <v>0</v>
      </c>
    </row>
    <row r="17" spans="1:31" x14ac:dyDescent="0.2">
      <c r="A17" s="16">
        <v>5000456532</v>
      </c>
      <c r="B17" t="s">
        <v>0</v>
      </c>
      <c r="C17" t="s">
        <v>0</v>
      </c>
      <c r="D17" t="s">
        <v>1</v>
      </c>
      <c r="E17" t="s">
        <v>35</v>
      </c>
      <c r="F17" t="s">
        <v>464</v>
      </c>
      <c r="G17" s="2">
        <v>11</v>
      </c>
      <c r="H17" t="s">
        <v>461</v>
      </c>
      <c r="I17" t="s">
        <v>3</v>
      </c>
      <c r="J17" t="s">
        <v>4</v>
      </c>
      <c r="K17" t="s">
        <v>602</v>
      </c>
      <c r="L17" t="s">
        <v>603</v>
      </c>
      <c r="M17" t="s">
        <v>602</v>
      </c>
      <c r="N17" t="s">
        <v>602</v>
      </c>
      <c r="O17" t="s">
        <v>603</v>
      </c>
      <c r="P17" t="s">
        <v>602</v>
      </c>
      <c r="Q17" s="17">
        <f>IFERROR(VLOOKUP(A17,已除帳印單!B:C,1,0),0)*1</f>
        <v>0</v>
      </c>
      <c r="R17" s="67" t="str">
        <f>IFERROR(VLOOKUP(J17,線別!A:B,2,1),"")</f>
        <v>IA線</v>
      </c>
      <c r="S17" s="17" t="str">
        <f>IFERROR(VLOOKUP(A17,已除帳印單!B:C,2,0),"")</f>
        <v/>
      </c>
      <c r="T17" s="68">
        <f t="shared" si="0"/>
        <v>43892</v>
      </c>
      <c r="U17" s="69">
        <f t="shared" si="1"/>
        <v>84.168773148148148</v>
      </c>
      <c r="V17" s="68" t="str">
        <f>IFERROR(VLOOKUP(A17,已除帳印單!B:D,3,0),"")</f>
        <v/>
      </c>
      <c r="W17" s="69" t="str">
        <f>IFERROR(VLOOKUP(A17,已除帳印單!B:E,4,0),"")</f>
        <v/>
      </c>
      <c r="X17" s="68" t="str">
        <f>IFERROR(INDEX(刷條碼區!A:C,MATCH(點上線資訊!S17,刷條碼區!C:C,0),1),"")</f>
        <v/>
      </c>
      <c r="Y17" s="69" t="str">
        <f>IFERROR(INDEX(刷條碼區!A:C,MATCH(點上線資訊!S17,刷條碼區!C:C,0),2),"")</f>
        <v/>
      </c>
      <c r="Z17" s="70" t="str">
        <f>IFERROR(INDEX(刷條碼區!D:G,MATCH(點上線資訊!S17,刷條碼區!F:F,0),1),"")</f>
        <v/>
      </c>
      <c r="AA17" s="71" t="str">
        <f>IFERROR(INDEX(刷條碼區!D:G,MATCH(點上線資訊!S17,刷條碼區!F:F,0),2),"")</f>
        <v/>
      </c>
      <c r="AB17" s="20">
        <f t="shared" si="2"/>
        <v>11</v>
      </c>
      <c r="AC17" s="20" t="b">
        <f t="shared" si="3"/>
        <v>0</v>
      </c>
      <c r="AD17" s="17" t="b">
        <f t="shared" si="4"/>
        <v>0</v>
      </c>
      <c r="AE17" s="17" t="b">
        <f t="shared" si="5"/>
        <v>0</v>
      </c>
    </row>
    <row r="18" spans="1:31" x14ac:dyDescent="0.2">
      <c r="A18" s="16">
        <v>5000456537</v>
      </c>
      <c r="B18" t="s">
        <v>0</v>
      </c>
      <c r="C18" t="s">
        <v>0</v>
      </c>
      <c r="D18" t="s">
        <v>1</v>
      </c>
      <c r="E18" t="s">
        <v>39</v>
      </c>
      <c r="F18" t="s">
        <v>465</v>
      </c>
      <c r="G18" s="2">
        <v>2</v>
      </c>
      <c r="H18" t="s">
        <v>461</v>
      </c>
      <c r="I18" t="s">
        <v>3</v>
      </c>
      <c r="J18" t="s">
        <v>4</v>
      </c>
      <c r="K18" t="s">
        <v>602</v>
      </c>
      <c r="L18" t="s">
        <v>603</v>
      </c>
      <c r="M18" t="s">
        <v>602</v>
      </c>
      <c r="N18" t="s">
        <v>602</v>
      </c>
      <c r="O18" t="s">
        <v>603</v>
      </c>
      <c r="P18" t="s">
        <v>602</v>
      </c>
      <c r="Q18" s="17">
        <f>IFERROR(VLOOKUP(A18,已除帳印單!B:C,1,0),0)*1</f>
        <v>0</v>
      </c>
      <c r="R18" s="67" t="str">
        <f>IFERROR(VLOOKUP(J18,線別!A:B,2,1),"")</f>
        <v>IA線</v>
      </c>
      <c r="S18" s="17" t="str">
        <f>IFERROR(VLOOKUP(A18,已除帳印單!B:C,2,0),"")</f>
        <v/>
      </c>
      <c r="T18" s="68">
        <f t="shared" si="0"/>
        <v>43892</v>
      </c>
      <c r="U18" s="69">
        <f t="shared" si="1"/>
        <v>84.168773148148148</v>
      </c>
      <c r="V18" s="68" t="str">
        <f>IFERROR(VLOOKUP(A18,已除帳印單!B:D,3,0),"")</f>
        <v/>
      </c>
      <c r="W18" s="69" t="str">
        <f>IFERROR(VLOOKUP(A18,已除帳印單!B:E,4,0),"")</f>
        <v/>
      </c>
      <c r="X18" s="68" t="str">
        <f>IFERROR(INDEX(刷條碼區!A:C,MATCH(點上線資訊!S18,刷條碼區!C:C,0),1),"")</f>
        <v/>
      </c>
      <c r="Y18" s="69" t="str">
        <f>IFERROR(INDEX(刷條碼區!A:C,MATCH(點上線資訊!S18,刷條碼區!C:C,0),2),"")</f>
        <v/>
      </c>
      <c r="Z18" s="70" t="str">
        <f>IFERROR(INDEX(刷條碼區!D:G,MATCH(點上線資訊!S18,刷條碼區!F:F,0),1),"")</f>
        <v/>
      </c>
      <c r="AA18" s="71" t="str">
        <f>IFERROR(INDEX(刷條碼區!D:G,MATCH(點上線資訊!S18,刷條碼區!F:F,0),2),"")</f>
        <v/>
      </c>
      <c r="AB18" s="20">
        <f t="shared" si="2"/>
        <v>2</v>
      </c>
      <c r="AC18" s="20" t="b">
        <f t="shared" si="3"/>
        <v>0</v>
      </c>
      <c r="AD18" s="17" t="b">
        <f t="shared" si="4"/>
        <v>0</v>
      </c>
      <c r="AE18" s="17" t="b">
        <f t="shared" si="5"/>
        <v>0</v>
      </c>
    </row>
    <row r="19" spans="1:31" x14ac:dyDescent="0.2">
      <c r="A19" s="16">
        <v>5000456539</v>
      </c>
      <c r="B19" t="s">
        <v>0</v>
      </c>
      <c r="C19" t="s">
        <v>0</v>
      </c>
      <c r="D19" t="s">
        <v>1</v>
      </c>
      <c r="E19" t="s">
        <v>43</v>
      </c>
      <c r="F19" t="s">
        <v>466</v>
      </c>
      <c r="G19" s="2">
        <v>5</v>
      </c>
      <c r="H19" t="s">
        <v>461</v>
      </c>
      <c r="I19" t="s">
        <v>3</v>
      </c>
      <c r="J19" t="s">
        <v>4</v>
      </c>
      <c r="K19" t="s">
        <v>602</v>
      </c>
      <c r="L19" t="s">
        <v>603</v>
      </c>
      <c r="M19" t="s">
        <v>602</v>
      </c>
      <c r="N19" t="s">
        <v>602</v>
      </c>
      <c r="O19" t="s">
        <v>603</v>
      </c>
      <c r="P19" t="s">
        <v>602</v>
      </c>
      <c r="Q19" s="17">
        <f>IFERROR(VLOOKUP(A19,已除帳印單!B:C,1,0),0)*1</f>
        <v>0</v>
      </c>
      <c r="R19" s="67" t="str">
        <f>IFERROR(VLOOKUP(J19,線別!A:B,2,1),"")</f>
        <v>IA線</v>
      </c>
      <c r="S19" s="17" t="str">
        <f>IFERROR(VLOOKUP(A19,已除帳印單!B:C,2,0),"")</f>
        <v/>
      </c>
      <c r="T19" s="68">
        <f t="shared" si="0"/>
        <v>43892</v>
      </c>
      <c r="U19" s="69">
        <f t="shared" si="1"/>
        <v>84.168773148148148</v>
      </c>
      <c r="V19" s="68" t="str">
        <f>IFERROR(VLOOKUP(A19,已除帳印單!B:D,3,0),"")</f>
        <v/>
      </c>
      <c r="W19" s="69" t="str">
        <f>IFERROR(VLOOKUP(A19,已除帳印單!B:E,4,0),"")</f>
        <v/>
      </c>
      <c r="X19" s="68" t="str">
        <f>IFERROR(INDEX(刷條碼區!A:C,MATCH(點上線資訊!S19,刷條碼區!C:C,0),1),"")</f>
        <v/>
      </c>
      <c r="Y19" s="69" t="str">
        <f>IFERROR(INDEX(刷條碼區!A:C,MATCH(點上線資訊!S19,刷條碼區!C:C,0),2),"")</f>
        <v/>
      </c>
      <c r="Z19" s="70" t="str">
        <f>IFERROR(INDEX(刷條碼區!D:G,MATCH(點上線資訊!S19,刷條碼區!F:F,0),1),"")</f>
        <v/>
      </c>
      <c r="AA19" s="71" t="str">
        <f>IFERROR(INDEX(刷條碼區!D:G,MATCH(點上線資訊!S19,刷條碼區!F:F,0),2),"")</f>
        <v/>
      </c>
      <c r="AB19" s="20">
        <f t="shared" si="2"/>
        <v>5</v>
      </c>
      <c r="AC19" s="20" t="b">
        <f t="shared" si="3"/>
        <v>0</v>
      </c>
      <c r="AD19" s="17" t="b">
        <f t="shared" si="4"/>
        <v>0</v>
      </c>
      <c r="AE19" s="17" t="b">
        <f t="shared" si="5"/>
        <v>0</v>
      </c>
    </row>
    <row r="20" spans="1:31" x14ac:dyDescent="0.2">
      <c r="A20" s="16">
        <v>5000456541</v>
      </c>
      <c r="B20" t="s">
        <v>0</v>
      </c>
      <c r="C20" t="s">
        <v>0</v>
      </c>
      <c r="D20" t="s">
        <v>1</v>
      </c>
      <c r="E20" t="s">
        <v>38</v>
      </c>
      <c r="F20" t="s">
        <v>467</v>
      </c>
      <c r="G20" s="2">
        <v>1</v>
      </c>
      <c r="H20" t="s">
        <v>461</v>
      </c>
      <c r="I20" t="s">
        <v>3</v>
      </c>
      <c r="J20" t="s">
        <v>4</v>
      </c>
      <c r="K20" t="s">
        <v>602</v>
      </c>
      <c r="L20" t="s">
        <v>603</v>
      </c>
      <c r="M20" t="s">
        <v>602</v>
      </c>
      <c r="N20" t="s">
        <v>602</v>
      </c>
      <c r="O20" t="s">
        <v>603</v>
      </c>
      <c r="P20" t="s">
        <v>602</v>
      </c>
      <c r="Q20" s="17">
        <f>IFERROR(VLOOKUP(A20,已除帳印單!B:C,1,0),0)*1</f>
        <v>0</v>
      </c>
      <c r="R20" s="67" t="str">
        <f>IFERROR(VLOOKUP(J20,線別!A:B,2,1),"")</f>
        <v>IA線</v>
      </c>
      <c r="S20" s="17" t="str">
        <f>IFERROR(VLOOKUP(A20,已除帳印單!B:C,2,0),"")</f>
        <v/>
      </c>
      <c r="T20" s="68">
        <f t="shared" si="0"/>
        <v>43892</v>
      </c>
      <c r="U20" s="69">
        <f t="shared" si="1"/>
        <v>84.168773148148148</v>
      </c>
      <c r="V20" s="68" t="str">
        <f>IFERROR(VLOOKUP(A20,已除帳印單!B:D,3,0),"")</f>
        <v/>
      </c>
      <c r="W20" s="69" t="str">
        <f>IFERROR(VLOOKUP(A20,已除帳印單!B:E,4,0),"")</f>
        <v/>
      </c>
      <c r="X20" s="68" t="str">
        <f>IFERROR(INDEX(刷條碼區!A:C,MATCH(點上線資訊!S20,刷條碼區!C:C,0),1),"")</f>
        <v/>
      </c>
      <c r="Y20" s="69" t="str">
        <f>IFERROR(INDEX(刷條碼區!A:C,MATCH(點上線資訊!S20,刷條碼區!C:C,0),2),"")</f>
        <v/>
      </c>
      <c r="Z20" s="70" t="str">
        <f>IFERROR(INDEX(刷條碼區!D:G,MATCH(點上線資訊!S20,刷條碼區!F:F,0),1),"")</f>
        <v/>
      </c>
      <c r="AA20" s="71" t="str">
        <f>IFERROR(INDEX(刷條碼區!D:G,MATCH(點上線資訊!S20,刷條碼區!F:F,0),2),"")</f>
        <v/>
      </c>
      <c r="AB20" s="20">
        <f t="shared" si="2"/>
        <v>1</v>
      </c>
      <c r="AC20" s="20" t="b">
        <f t="shared" si="3"/>
        <v>0</v>
      </c>
      <c r="AD20" s="17" t="b">
        <f t="shared" si="4"/>
        <v>0</v>
      </c>
      <c r="AE20" s="17" t="b">
        <f t="shared" si="5"/>
        <v>0</v>
      </c>
    </row>
    <row r="21" spans="1:31" x14ac:dyDescent="0.2">
      <c r="A21" s="16">
        <v>5000456543</v>
      </c>
      <c r="B21" t="s">
        <v>0</v>
      </c>
      <c r="C21" t="s">
        <v>0</v>
      </c>
      <c r="D21" t="s">
        <v>1</v>
      </c>
      <c r="E21" t="s">
        <v>37</v>
      </c>
      <c r="F21" t="s">
        <v>468</v>
      </c>
      <c r="G21" s="2">
        <v>1</v>
      </c>
      <c r="H21" t="s">
        <v>461</v>
      </c>
      <c r="I21" t="s">
        <v>3</v>
      </c>
      <c r="J21" t="s">
        <v>4</v>
      </c>
      <c r="K21" t="s">
        <v>602</v>
      </c>
      <c r="L21" t="s">
        <v>603</v>
      </c>
      <c r="M21" t="s">
        <v>602</v>
      </c>
      <c r="N21" t="s">
        <v>602</v>
      </c>
      <c r="O21" t="s">
        <v>603</v>
      </c>
      <c r="P21" t="s">
        <v>602</v>
      </c>
      <c r="Q21" s="17">
        <f>IFERROR(VLOOKUP(A21,已除帳印單!B:C,1,0),0)*1</f>
        <v>0</v>
      </c>
      <c r="R21" s="67" t="str">
        <f>IFERROR(VLOOKUP(J21,線別!A:B,2,1),"")</f>
        <v>IA線</v>
      </c>
      <c r="S21" s="17" t="str">
        <f>IFERROR(VLOOKUP(A21,已除帳印單!B:C,2,0),"")</f>
        <v/>
      </c>
      <c r="T21" s="68">
        <f t="shared" si="0"/>
        <v>43892</v>
      </c>
      <c r="U21" s="69">
        <f t="shared" si="1"/>
        <v>84.168773148148148</v>
      </c>
      <c r="V21" s="68" t="str">
        <f>IFERROR(VLOOKUP(A21,已除帳印單!B:D,3,0),"")</f>
        <v/>
      </c>
      <c r="W21" s="69" t="str">
        <f>IFERROR(VLOOKUP(A21,已除帳印單!B:E,4,0),"")</f>
        <v/>
      </c>
      <c r="X21" s="68" t="str">
        <f>IFERROR(INDEX(刷條碼區!A:C,MATCH(點上線資訊!S21,刷條碼區!C:C,0),1),"")</f>
        <v/>
      </c>
      <c r="Y21" s="69" t="str">
        <f>IFERROR(INDEX(刷條碼區!A:C,MATCH(點上線資訊!S21,刷條碼區!C:C,0),2),"")</f>
        <v/>
      </c>
      <c r="Z21" s="70" t="str">
        <f>IFERROR(INDEX(刷條碼區!D:G,MATCH(點上線資訊!S21,刷條碼區!F:F,0),1),"")</f>
        <v/>
      </c>
      <c r="AA21" s="71" t="str">
        <f>IFERROR(INDEX(刷條碼區!D:G,MATCH(點上線資訊!S21,刷條碼區!F:F,0),2),"")</f>
        <v/>
      </c>
      <c r="AB21" s="20">
        <f t="shared" si="2"/>
        <v>1</v>
      </c>
      <c r="AC21" s="20" t="b">
        <f t="shared" si="3"/>
        <v>0</v>
      </c>
      <c r="AD21" s="17" t="b">
        <f t="shared" si="4"/>
        <v>0</v>
      </c>
      <c r="AE21" s="17" t="b">
        <f t="shared" si="5"/>
        <v>0</v>
      </c>
    </row>
    <row r="22" spans="1:31" x14ac:dyDescent="0.2">
      <c r="A22" s="16">
        <v>5000456544</v>
      </c>
      <c r="B22" t="s">
        <v>0</v>
      </c>
      <c r="C22" t="s">
        <v>0</v>
      </c>
      <c r="D22" t="s">
        <v>1</v>
      </c>
      <c r="E22" t="s">
        <v>36</v>
      </c>
      <c r="F22" t="s">
        <v>469</v>
      </c>
      <c r="G22" s="2">
        <v>5</v>
      </c>
      <c r="H22" t="s">
        <v>461</v>
      </c>
      <c r="I22" t="s">
        <v>3</v>
      </c>
      <c r="J22" t="s">
        <v>4</v>
      </c>
      <c r="K22" t="s">
        <v>602</v>
      </c>
      <c r="L22" t="s">
        <v>603</v>
      </c>
      <c r="M22" t="s">
        <v>602</v>
      </c>
      <c r="N22" t="s">
        <v>602</v>
      </c>
      <c r="O22" t="s">
        <v>603</v>
      </c>
      <c r="P22" t="s">
        <v>602</v>
      </c>
      <c r="Q22" s="17">
        <f>IFERROR(VLOOKUP(A22,已除帳印單!B:C,1,0),0)*1</f>
        <v>0</v>
      </c>
      <c r="R22" s="67" t="str">
        <f>IFERROR(VLOOKUP(J22,線別!A:B,2,1),"")</f>
        <v>IA線</v>
      </c>
      <c r="S22" s="17" t="str">
        <f>IFERROR(VLOOKUP(A22,已除帳印單!B:C,2,0),"")</f>
        <v/>
      </c>
      <c r="T22" s="68">
        <f t="shared" si="0"/>
        <v>43892</v>
      </c>
      <c r="U22" s="69">
        <f t="shared" si="1"/>
        <v>84.168773148148148</v>
      </c>
      <c r="V22" s="68" t="str">
        <f>IFERROR(VLOOKUP(A22,已除帳印單!B:D,3,0),"")</f>
        <v/>
      </c>
      <c r="W22" s="69" t="str">
        <f>IFERROR(VLOOKUP(A22,已除帳印單!B:E,4,0),"")</f>
        <v/>
      </c>
      <c r="X22" s="68" t="str">
        <f>IFERROR(INDEX(刷條碼區!A:C,MATCH(點上線資訊!S22,刷條碼區!C:C,0),1),"")</f>
        <v/>
      </c>
      <c r="Y22" s="69" t="str">
        <f>IFERROR(INDEX(刷條碼區!A:C,MATCH(點上線資訊!S22,刷條碼區!C:C,0),2),"")</f>
        <v/>
      </c>
      <c r="Z22" s="70" t="str">
        <f>IFERROR(INDEX(刷條碼區!D:G,MATCH(點上線資訊!S22,刷條碼區!F:F,0),1),"")</f>
        <v/>
      </c>
      <c r="AA22" s="71" t="str">
        <f>IFERROR(INDEX(刷條碼區!D:G,MATCH(點上線資訊!S22,刷條碼區!F:F,0),2),"")</f>
        <v/>
      </c>
      <c r="AB22" s="20">
        <f t="shared" si="2"/>
        <v>5</v>
      </c>
      <c r="AC22" s="20" t="b">
        <f t="shared" si="3"/>
        <v>0</v>
      </c>
      <c r="AD22" s="17" t="b">
        <f t="shared" si="4"/>
        <v>0</v>
      </c>
      <c r="AE22" s="17" t="b">
        <f t="shared" si="5"/>
        <v>0</v>
      </c>
    </row>
    <row r="23" spans="1:31" x14ac:dyDescent="0.2">
      <c r="A23" s="16">
        <v>5000456549</v>
      </c>
      <c r="B23" t="s">
        <v>0</v>
      </c>
      <c r="C23" t="s">
        <v>0</v>
      </c>
      <c r="D23" t="s">
        <v>1</v>
      </c>
      <c r="E23" t="s">
        <v>46</v>
      </c>
      <c r="F23" t="s">
        <v>470</v>
      </c>
      <c r="G23" s="2">
        <v>2</v>
      </c>
      <c r="H23" t="s">
        <v>461</v>
      </c>
      <c r="I23" t="s">
        <v>3</v>
      </c>
      <c r="J23" t="s">
        <v>4</v>
      </c>
      <c r="K23" t="s">
        <v>602</v>
      </c>
      <c r="L23" t="s">
        <v>603</v>
      </c>
      <c r="M23" t="s">
        <v>602</v>
      </c>
      <c r="N23" t="s">
        <v>602</v>
      </c>
      <c r="O23" t="s">
        <v>603</v>
      </c>
      <c r="P23" t="s">
        <v>602</v>
      </c>
      <c r="Q23" s="17">
        <f>IFERROR(VLOOKUP(A23,已除帳印單!B:C,1,0),0)*1</f>
        <v>0</v>
      </c>
      <c r="R23" s="67" t="str">
        <f>IFERROR(VLOOKUP(J23,線別!A:B,2,1),"")</f>
        <v>IA線</v>
      </c>
      <c r="S23" s="17" t="str">
        <f>IFERROR(VLOOKUP(A23,已除帳印單!B:C,2,0),"")</f>
        <v/>
      </c>
      <c r="T23" s="68">
        <f t="shared" si="0"/>
        <v>43892</v>
      </c>
      <c r="U23" s="69">
        <f t="shared" si="1"/>
        <v>84.168773148148148</v>
      </c>
      <c r="V23" s="68" t="str">
        <f>IFERROR(VLOOKUP(A23,已除帳印單!B:D,3,0),"")</f>
        <v/>
      </c>
      <c r="W23" s="69" t="str">
        <f>IFERROR(VLOOKUP(A23,已除帳印單!B:E,4,0),"")</f>
        <v/>
      </c>
      <c r="X23" s="68" t="str">
        <f>IFERROR(INDEX(刷條碼區!A:C,MATCH(點上線資訊!S23,刷條碼區!C:C,0),1),"")</f>
        <v/>
      </c>
      <c r="Y23" s="69" t="str">
        <f>IFERROR(INDEX(刷條碼區!A:C,MATCH(點上線資訊!S23,刷條碼區!C:C,0),2),"")</f>
        <v/>
      </c>
      <c r="Z23" s="70" t="str">
        <f>IFERROR(INDEX(刷條碼區!D:G,MATCH(點上線資訊!S23,刷條碼區!F:F,0),1),"")</f>
        <v/>
      </c>
      <c r="AA23" s="71" t="str">
        <f>IFERROR(INDEX(刷條碼區!D:G,MATCH(點上線資訊!S23,刷條碼區!F:F,0),2),"")</f>
        <v/>
      </c>
      <c r="AB23" s="20">
        <f t="shared" si="2"/>
        <v>2</v>
      </c>
      <c r="AC23" s="20" t="b">
        <f t="shared" si="3"/>
        <v>0</v>
      </c>
      <c r="AD23" s="17" t="b">
        <f t="shared" si="4"/>
        <v>0</v>
      </c>
      <c r="AE23" s="17" t="b">
        <f t="shared" si="5"/>
        <v>0</v>
      </c>
    </row>
    <row r="24" spans="1:31" x14ac:dyDescent="0.2">
      <c r="A24" s="16">
        <v>5000456550</v>
      </c>
      <c r="B24" t="s">
        <v>0</v>
      </c>
      <c r="C24" t="s">
        <v>0</v>
      </c>
      <c r="D24" t="s">
        <v>1</v>
      </c>
      <c r="E24" t="s">
        <v>32</v>
      </c>
      <c r="F24" t="s">
        <v>471</v>
      </c>
      <c r="G24" s="2">
        <v>2</v>
      </c>
      <c r="H24" t="s">
        <v>461</v>
      </c>
      <c r="I24" t="s">
        <v>3</v>
      </c>
      <c r="J24" t="s">
        <v>4</v>
      </c>
      <c r="K24" t="s">
        <v>602</v>
      </c>
      <c r="L24" t="s">
        <v>603</v>
      </c>
      <c r="M24" t="s">
        <v>602</v>
      </c>
      <c r="N24" t="s">
        <v>602</v>
      </c>
      <c r="O24" t="s">
        <v>603</v>
      </c>
      <c r="P24" t="s">
        <v>602</v>
      </c>
      <c r="Q24" s="17">
        <f>IFERROR(VLOOKUP(A24,已除帳印單!B:C,1,0),0)*1</f>
        <v>0</v>
      </c>
      <c r="R24" s="67" t="str">
        <f>IFERROR(VLOOKUP(J24,線別!A:B,2,1),"")</f>
        <v>IA線</v>
      </c>
      <c r="S24" s="17" t="str">
        <f>IFERROR(VLOOKUP(A24,已除帳印單!B:C,2,0),"")</f>
        <v/>
      </c>
      <c r="T24" s="68">
        <f t="shared" si="0"/>
        <v>43892</v>
      </c>
      <c r="U24" s="69">
        <f t="shared" si="1"/>
        <v>84.168773148148148</v>
      </c>
      <c r="V24" s="68" t="str">
        <f>IFERROR(VLOOKUP(A24,已除帳印單!B:D,3,0),"")</f>
        <v/>
      </c>
      <c r="W24" s="69" t="str">
        <f>IFERROR(VLOOKUP(A24,已除帳印單!B:E,4,0),"")</f>
        <v/>
      </c>
      <c r="X24" s="68" t="str">
        <f>IFERROR(INDEX(刷條碼區!A:C,MATCH(點上線資訊!S24,刷條碼區!C:C,0),1),"")</f>
        <v/>
      </c>
      <c r="Y24" s="69" t="str">
        <f>IFERROR(INDEX(刷條碼區!A:C,MATCH(點上線資訊!S24,刷條碼區!C:C,0),2),"")</f>
        <v/>
      </c>
      <c r="Z24" s="70" t="str">
        <f>IFERROR(INDEX(刷條碼區!D:G,MATCH(點上線資訊!S24,刷條碼區!F:F,0),1),"")</f>
        <v/>
      </c>
      <c r="AA24" s="71" t="str">
        <f>IFERROR(INDEX(刷條碼區!D:G,MATCH(點上線資訊!S24,刷條碼區!F:F,0),2),"")</f>
        <v/>
      </c>
      <c r="AB24" s="20">
        <f t="shared" si="2"/>
        <v>2</v>
      </c>
      <c r="AC24" s="20" t="b">
        <f t="shared" si="3"/>
        <v>0</v>
      </c>
      <c r="AD24" s="17" t="b">
        <f t="shared" si="4"/>
        <v>0</v>
      </c>
      <c r="AE24" s="17" t="b">
        <f t="shared" si="5"/>
        <v>0</v>
      </c>
    </row>
    <row r="25" spans="1:31" x14ac:dyDescent="0.2">
      <c r="A25" s="16">
        <v>5000456551</v>
      </c>
      <c r="B25" t="s">
        <v>0</v>
      </c>
      <c r="C25" t="s">
        <v>0</v>
      </c>
      <c r="D25" t="s">
        <v>1</v>
      </c>
      <c r="E25" t="s">
        <v>44</v>
      </c>
      <c r="F25" t="s">
        <v>472</v>
      </c>
      <c r="G25" s="2">
        <v>2</v>
      </c>
      <c r="H25" t="s">
        <v>461</v>
      </c>
      <c r="I25" t="s">
        <v>3</v>
      </c>
      <c r="J25" t="s">
        <v>4</v>
      </c>
      <c r="K25" t="s">
        <v>602</v>
      </c>
      <c r="L25" t="s">
        <v>603</v>
      </c>
      <c r="M25" t="s">
        <v>602</v>
      </c>
      <c r="N25" t="s">
        <v>602</v>
      </c>
      <c r="O25" t="s">
        <v>603</v>
      </c>
      <c r="P25" t="s">
        <v>602</v>
      </c>
      <c r="Q25" s="17">
        <f>IFERROR(VLOOKUP(A25,已除帳印單!B:C,1,0),0)*1</f>
        <v>0</v>
      </c>
      <c r="R25" s="67" t="str">
        <f>IFERROR(VLOOKUP(J25,線別!A:B,2,1),"")</f>
        <v>IA線</v>
      </c>
      <c r="S25" s="17" t="str">
        <f>IFERROR(VLOOKUP(A25,已除帳印單!B:C,2,0),"")</f>
        <v/>
      </c>
      <c r="T25" s="68">
        <f t="shared" si="0"/>
        <v>43892</v>
      </c>
      <c r="U25" s="69">
        <f t="shared" si="1"/>
        <v>84.168773148148148</v>
      </c>
      <c r="V25" s="68" t="str">
        <f>IFERROR(VLOOKUP(A25,已除帳印單!B:D,3,0),"")</f>
        <v/>
      </c>
      <c r="W25" s="69" t="str">
        <f>IFERROR(VLOOKUP(A25,已除帳印單!B:E,4,0),"")</f>
        <v/>
      </c>
      <c r="X25" s="68" t="str">
        <f>IFERROR(INDEX(刷條碼區!A:C,MATCH(點上線資訊!S25,刷條碼區!C:C,0),1),"")</f>
        <v/>
      </c>
      <c r="Y25" s="69" t="str">
        <f>IFERROR(INDEX(刷條碼區!A:C,MATCH(點上線資訊!S25,刷條碼區!C:C,0),2),"")</f>
        <v/>
      </c>
      <c r="Z25" s="70" t="str">
        <f>IFERROR(INDEX(刷條碼區!D:G,MATCH(點上線資訊!S25,刷條碼區!F:F,0),1),"")</f>
        <v/>
      </c>
      <c r="AA25" s="71" t="str">
        <f>IFERROR(INDEX(刷條碼區!D:G,MATCH(點上線資訊!S25,刷條碼區!F:F,0),2),"")</f>
        <v/>
      </c>
      <c r="AB25" s="20">
        <f t="shared" si="2"/>
        <v>2</v>
      </c>
      <c r="AC25" s="20" t="b">
        <f t="shared" si="3"/>
        <v>0</v>
      </c>
      <c r="AD25" s="17" t="b">
        <f t="shared" si="4"/>
        <v>0</v>
      </c>
      <c r="AE25" s="17" t="b">
        <f t="shared" si="5"/>
        <v>0</v>
      </c>
    </row>
    <row r="26" spans="1:31" x14ac:dyDescent="0.2">
      <c r="A26" s="16">
        <v>5000456552</v>
      </c>
      <c r="B26" t="s">
        <v>0</v>
      </c>
      <c r="C26" t="s">
        <v>0</v>
      </c>
      <c r="D26" t="s">
        <v>1</v>
      </c>
      <c r="E26" t="s">
        <v>47</v>
      </c>
      <c r="F26" t="s">
        <v>473</v>
      </c>
      <c r="G26" s="2">
        <v>9</v>
      </c>
      <c r="H26" t="s">
        <v>461</v>
      </c>
      <c r="I26" t="s">
        <v>3</v>
      </c>
      <c r="J26" t="s">
        <v>4</v>
      </c>
      <c r="K26" t="s">
        <v>602</v>
      </c>
      <c r="L26" t="s">
        <v>603</v>
      </c>
      <c r="M26" t="s">
        <v>602</v>
      </c>
      <c r="N26" t="s">
        <v>602</v>
      </c>
      <c r="O26" t="s">
        <v>603</v>
      </c>
      <c r="P26" t="s">
        <v>602</v>
      </c>
      <c r="Q26" s="17">
        <f>IFERROR(VLOOKUP(A26,已除帳印單!B:C,1,0),0)*1</f>
        <v>0</v>
      </c>
      <c r="R26" s="67" t="str">
        <f>IFERROR(VLOOKUP(J26,線別!A:B,2,1),"")</f>
        <v>IA線</v>
      </c>
      <c r="S26" s="17" t="str">
        <f>IFERROR(VLOOKUP(A26,已除帳印單!B:C,2,0),"")</f>
        <v/>
      </c>
      <c r="T26" s="68">
        <f t="shared" si="0"/>
        <v>43892</v>
      </c>
      <c r="U26" s="69">
        <f t="shared" si="1"/>
        <v>84.168773148148148</v>
      </c>
      <c r="V26" s="68" t="str">
        <f>IFERROR(VLOOKUP(A26,已除帳印單!B:D,3,0),"")</f>
        <v/>
      </c>
      <c r="W26" s="69" t="str">
        <f>IFERROR(VLOOKUP(A26,已除帳印單!B:E,4,0),"")</f>
        <v/>
      </c>
      <c r="X26" s="68" t="str">
        <f>IFERROR(INDEX(刷條碼區!A:C,MATCH(點上線資訊!S26,刷條碼區!C:C,0),1),"")</f>
        <v/>
      </c>
      <c r="Y26" s="69" t="str">
        <f>IFERROR(INDEX(刷條碼區!A:C,MATCH(點上線資訊!S26,刷條碼區!C:C,0),2),"")</f>
        <v/>
      </c>
      <c r="Z26" s="70" t="str">
        <f>IFERROR(INDEX(刷條碼區!D:G,MATCH(點上線資訊!S26,刷條碼區!F:F,0),1),"")</f>
        <v/>
      </c>
      <c r="AA26" s="71" t="str">
        <f>IFERROR(INDEX(刷條碼區!D:G,MATCH(點上線資訊!S26,刷條碼區!F:F,0),2),"")</f>
        <v/>
      </c>
      <c r="AB26" s="20">
        <f t="shared" si="2"/>
        <v>9</v>
      </c>
      <c r="AC26" s="20" t="b">
        <f t="shared" si="3"/>
        <v>0</v>
      </c>
      <c r="AD26" s="17" t="b">
        <f t="shared" si="4"/>
        <v>0</v>
      </c>
      <c r="AE26" s="17" t="b">
        <f t="shared" si="5"/>
        <v>0</v>
      </c>
    </row>
    <row r="27" spans="1:31" x14ac:dyDescent="0.2">
      <c r="A27" s="16">
        <v>5000456553</v>
      </c>
      <c r="B27" t="s">
        <v>0</v>
      </c>
      <c r="C27" t="s">
        <v>0</v>
      </c>
      <c r="D27" t="s">
        <v>1</v>
      </c>
      <c r="E27" t="s">
        <v>34</v>
      </c>
      <c r="F27" t="s">
        <v>474</v>
      </c>
      <c r="G27" s="2">
        <v>14</v>
      </c>
      <c r="H27" t="s">
        <v>461</v>
      </c>
      <c r="I27" t="s">
        <v>3</v>
      </c>
      <c r="J27" t="s">
        <v>4</v>
      </c>
      <c r="K27" t="s">
        <v>602</v>
      </c>
      <c r="L27" t="s">
        <v>603</v>
      </c>
      <c r="M27" t="s">
        <v>602</v>
      </c>
      <c r="N27" t="s">
        <v>602</v>
      </c>
      <c r="O27" t="s">
        <v>603</v>
      </c>
      <c r="P27" t="s">
        <v>602</v>
      </c>
      <c r="Q27" s="17">
        <f>IFERROR(VLOOKUP(A27,已除帳印單!B:C,1,0),0)*1</f>
        <v>0</v>
      </c>
      <c r="R27" s="67" t="str">
        <f>IFERROR(VLOOKUP(J27,線別!A:B,2,1),"")</f>
        <v>IA線</v>
      </c>
      <c r="S27" s="17" t="str">
        <f>IFERROR(VLOOKUP(A27,已除帳印單!B:C,2,0),"")</f>
        <v/>
      </c>
      <c r="T27" s="68">
        <f t="shared" si="0"/>
        <v>43892</v>
      </c>
      <c r="U27" s="69">
        <f t="shared" si="1"/>
        <v>84.168773148148148</v>
      </c>
      <c r="V27" s="68" t="str">
        <f>IFERROR(VLOOKUP(A27,已除帳印單!B:D,3,0),"")</f>
        <v/>
      </c>
      <c r="W27" s="69" t="str">
        <f>IFERROR(VLOOKUP(A27,已除帳印單!B:E,4,0),"")</f>
        <v/>
      </c>
      <c r="X27" s="68" t="str">
        <f>IFERROR(INDEX(刷條碼區!A:C,MATCH(點上線資訊!S27,刷條碼區!C:C,0),1),"")</f>
        <v/>
      </c>
      <c r="Y27" s="69" t="str">
        <f>IFERROR(INDEX(刷條碼區!A:C,MATCH(點上線資訊!S27,刷條碼區!C:C,0),2),"")</f>
        <v/>
      </c>
      <c r="Z27" s="70" t="str">
        <f>IFERROR(INDEX(刷條碼區!D:G,MATCH(點上線資訊!S27,刷條碼區!F:F,0),1),"")</f>
        <v/>
      </c>
      <c r="AA27" s="71" t="str">
        <f>IFERROR(INDEX(刷條碼區!D:G,MATCH(點上線資訊!S27,刷條碼區!F:F,0),2),"")</f>
        <v/>
      </c>
      <c r="AB27" s="20">
        <f t="shared" si="2"/>
        <v>14</v>
      </c>
      <c r="AC27" s="20" t="b">
        <f t="shared" si="3"/>
        <v>0</v>
      </c>
      <c r="AD27" s="17" t="b">
        <f t="shared" si="4"/>
        <v>0</v>
      </c>
      <c r="AE27" s="17" t="b">
        <f t="shared" si="5"/>
        <v>0</v>
      </c>
    </row>
    <row r="28" spans="1:31" x14ac:dyDescent="0.2">
      <c r="A28" s="16">
        <v>5000456556</v>
      </c>
      <c r="B28" t="s">
        <v>0</v>
      </c>
      <c r="C28" t="s">
        <v>0</v>
      </c>
      <c r="D28" t="s">
        <v>1</v>
      </c>
      <c r="E28" t="s">
        <v>40</v>
      </c>
      <c r="F28" t="s">
        <v>475</v>
      </c>
      <c r="G28" s="2">
        <v>11</v>
      </c>
      <c r="H28" t="s">
        <v>461</v>
      </c>
      <c r="I28" t="s">
        <v>3</v>
      </c>
      <c r="J28" t="s">
        <v>4</v>
      </c>
      <c r="K28" t="s">
        <v>602</v>
      </c>
      <c r="L28" t="s">
        <v>603</v>
      </c>
      <c r="M28" t="s">
        <v>602</v>
      </c>
      <c r="N28" t="s">
        <v>602</v>
      </c>
      <c r="O28" t="s">
        <v>603</v>
      </c>
      <c r="P28" t="s">
        <v>602</v>
      </c>
      <c r="Q28" s="17">
        <f>IFERROR(VLOOKUP(A28,已除帳印單!B:C,1,0),0)*1</f>
        <v>0</v>
      </c>
      <c r="R28" s="67" t="str">
        <f>IFERROR(VLOOKUP(J28,線別!A:B,2,1),"")</f>
        <v>IA線</v>
      </c>
      <c r="S28" s="17" t="str">
        <f>IFERROR(VLOOKUP(A28,已除帳印單!B:C,2,0),"")</f>
        <v/>
      </c>
      <c r="T28" s="68">
        <f t="shared" si="0"/>
        <v>43892</v>
      </c>
      <c r="U28" s="69">
        <f t="shared" si="1"/>
        <v>84.168773148148148</v>
      </c>
      <c r="V28" s="68" t="str">
        <f>IFERROR(VLOOKUP(A28,已除帳印單!B:D,3,0),"")</f>
        <v/>
      </c>
      <c r="W28" s="69" t="str">
        <f>IFERROR(VLOOKUP(A28,已除帳印單!B:E,4,0),"")</f>
        <v/>
      </c>
      <c r="X28" s="68" t="str">
        <f>IFERROR(INDEX(刷條碼區!A:C,MATCH(點上線資訊!S28,刷條碼區!C:C,0),1),"")</f>
        <v/>
      </c>
      <c r="Y28" s="69" t="str">
        <f>IFERROR(INDEX(刷條碼區!A:C,MATCH(點上線資訊!S28,刷條碼區!C:C,0),2),"")</f>
        <v/>
      </c>
      <c r="Z28" s="70" t="str">
        <f>IFERROR(INDEX(刷條碼區!D:G,MATCH(點上線資訊!S28,刷條碼區!F:F,0),1),"")</f>
        <v/>
      </c>
      <c r="AA28" s="71" t="str">
        <f>IFERROR(INDEX(刷條碼區!D:G,MATCH(點上線資訊!S28,刷條碼區!F:F,0),2),"")</f>
        <v/>
      </c>
      <c r="AB28" s="20">
        <f t="shared" si="2"/>
        <v>11</v>
      </c>
      <c r="AC28" s="20" t="b">
        <f t="shared" si="3"/>
        <v>0</v>
      </c>
      <c r="AD28" s="17" t="b">
        <f t="shared" si="4"/>
        <v>0</v>
      </c>
      <c r="AE28" s="17" t="b">
        <f t="shared" si="5"/>
        <v>0</v>
      </c>
    </row>
    <row r="29" spans="1:31" x14ac:dyDescent="0.2">
      <c r="A29" s="16">
        <v>5000457709</v>
      </c>
      <c r="B29" t="s">
        <v>6</v>
      </c>
      <c r="C29" t="s">
        <v>6</v>
      </c>
      <c r="D29" t="s">
        <v>1</v>
      </c>
      <c r="E29" t="s">
        <v>69</v>
      </c>
      <c r="F29" t="s">
        <v>625</v>
      </c>
      <c r="G29" s="2">
        <v>9</v>
      </c>
      <c r="H29" t="s">
        <v>461</v>
      </c>
      <c r="I29" t="s">
        <v>3</v>
      </c>
      <c r="J29" t="s">
        <v>8</v>
      </c>
      <c r="K29" t="s">
        <v>605</v>
      </c>
      <c r="L29" t="s">
        <v>608</v>
      </c>
      <c r="M29" t="s">
        <v>626</v>
      </c>
      <c r="N29" t="s">
        <v>602</v>
      </c>
      <c r="O29" t="s">
        <v>603</v>
      </c>
      <c r="P29" t="s">
        <v>602</v>
      </c>
      <c r="Q29" s="17">
        <f>IFERROR(VLOOKUP(A29,已除帳印單!B:C,1,0),0)*1</f>
        <v>0</v>
      </c>
      <c r="R29" s="67" t="str">
        <f>IFERROR(VLOOKUP(J29,線別!A:B,2,1),"")</f>
        <v>裝一線</v>
      </c>
      <c r="S29" s="17" t="str">
        <f>IFERROR(VLOOKUP(A29,已除帳印單!B:C,2,0),"")</f>
        <v/>
      </c>
      <c r="T29" s="68">
        <f t="shared" si="0"/>
        <v>43893</v>
      </c>
      <c r="U29" s="69">
        <f t="shared" si="1"/>
        <v>84.168784722222213</v>
      </c>
      <c r="V29" s="68" t="str">
        <f>IFERROR(VLOOKUP(A29,已除帳印單!B:D,3,0),"")</f>
        <v/>
      </c>
      <c r="W29" s="69" t="str">
        <f>IFERROR(VLOOKUP(A29,已除帳印單!B:E,4,0),"")</f>
        <v/>
      </c>
      <c r="X29" s="68" t="str">
        <f>IFERROR(INDEX(刷條碼區!A:C,MATCH(點上線資訊!S29,刷條碼區!C:C,0),1),"")</f>
        <v/>
      </c>
      <c r="Y29" s="69" t="str">
        <f>IFERROR(INDEX(刷條碼區!A:C,MATCH(點上線資訊!S29,刷條碼區!C:C,0),2),"")</f>
        <v/>
      </c>
      <c r="Z29" s="70" t="str">
        <f>IFERROR(INDEX(刷條碼區!D:G,MATCH(點上線資訊!S29,刷條碼區!F:F,0),1),"")</f>
        <v/>
      </c>
      <c r="AA29" s="71" t="str">
        <f>IFERROR(INDEX(刷條碼區!D:G,MATCH(點上線資訊!S29,刷條碼區!F:F,0),2),"")</f>
        <v/>
      </c>
      <c r="AB29" s="20" t="b">
        <f t="shared" si="2"/>
        <v>0</v>
      </c>
      <c r="AC29" s="20" t="b">
        <f t="shared" si="3"/>
        <v>0</v>
      </c>
      <c r="AD29" s="17" t="b">
        <f t="shared" si="4"/>
        <v>0</v>
      </c>
      <c r="AE29" s="17" t="b">
        <f t="shared" si="5"/>
        <v>0</v>
      </c>
    </row>
    <row r="30" spans="1:31" x14ac:dyDescent="0.2">
      <c r="A30" s="16">
        <v>5000457739</v>
      </c>
      <c r="B30" t="s">
        <v>0</v>
      </c>
      <c r="C30" t="s">
        <v>0</v>
      </c>
      <c r="D30" t="s">
        <v>1</v>
      </c>
      <c r="E30" t="s">
        <v>45</v>
      </c>
      <c r="F30" t="s">
        <v>476</v>
      </c>
      <c r="G30" s="2">
        <v>1</v>
      </c>
      <c r="H30" t="s">
        <v>461</v>
      </c>
      <c r="I30" t="s">
        <v>3</v>
      </c>
      <c r="J30" t="s">
        <v>4</v>
      </c>
      <c r="K30" t="s">
        <v>602</v>
      </c>
      <c r="L30" t="s">
        <v>603</v>
      </c>
      <c r="M30" t="s">
        <v>602</v>
      </c>
      <c r="N30" t="s">
        <v>602</v>
      </c>
      <c r="O30" t="s">
        <v>603</v>
      </c>
      <c r="P30" t="s">
        <v>602</v>
      </c>
      <c r="Q30" s="17">
        <f>IFERROR(VLOOKUP(A30,已除帳印單!B:C,1,0),0)*1</f>
        <v>0</v>
      </c>
      <c r="R30" s="67" t="str">
        <f>IFERROR(VLOOKUP(J30,線別!A:B,2,1),"")</f>
        <v>IA線</v>
      </c>
      <c r="S30" s="17" t="str">
        <f>IFERROR(VLOOKUP(A30,已除帳印單!B:C,2,0),"")</f>
        <v/>
      </c>
      <c r="T30" s="68">
        <f t="shared" si="0"/>
        <v>43892</v>
      </c>
      <c r="U30" s="69">
        <f t="shared" si="1"/>
        <v>84.168773148148148</v>
      </c>
      <c r="V30" s="68" t="str">
        <f>IFERROR(VLOOKUP(A30,已除帳印單!B:D,3,0),"")</f>
        <v/>
      </c>
      <c r="W30" s="69" t="str">
        <f>IFERROR(VLOOKUP(A30,已除帳印單!B:E,4,0),"")</f>
        <v/>
      </c>
      <c r="X30" s="68" t="str">
        <f>IFERROR(INDEX(刷條碼區!A:C,MATCH(點上線資訊!S30,刷條碼區!C:C,0),1),"")</f>
        <v/>
      </c>
      <c r="Y30" s="69" t="str">
        <f>IFERROR(INDEX(刷條碼區!A:C,MATCH(點上線資訊!S30,刷條碼區!C:C,0),2),"")</f>
        <v/>
      </c>
      <c r="Z30" s="70" t="str">
        <f>IFERROR(INDEX(刷條碼區!D:G,MATCH(點上線資訊!S30,刷條碼區!F:F,0),1),"")</f>
        <v/>
      </c>
      <c r="AA30" s="71" t="str">
        <f>IFERROR(INDEX(刷條碼區!D:G,MATCH(點上線資訊!S30,刷條碼區!F:F,0),2),"")</f>
        <v/>
      </c>
      <c r="AB30" s="20">
        <f t="shared" si="2"/>
        <v>1</v>
      </c>
      <c r="AC30" s="20" t="b">
        <f t="shared" si="3"/>
        <v>0</v>
      </c>
      <c r="AD30" s="17" t="b">
        <f t="shared" si="4"/>
        <v>0</v>
      </c>
      <c r="AE30" s="17" t="b">
        <f t="shared" si="5"/>
        <v>0</v>
      </c>
    </row>
    <row r="31" spans="1:31" x14ac:dyDescent="0.2">
      <c r="A31" s="16">
        <v>5000457740</v>
      </c>
      <c r="B31" t="s">
        <v>0</v>
      </c>
      <c r="C31" t="s">
        <v>0</v>
      </c>
      <c r="D31" t="s">
        <v>1</v>
      </c>
      <c r="E31" t="s">
        <v>48</v>
      </c>
      <c r="F31" t="s">
        <v>477</v>
      </c>
      <c r="G31" s="2">
        <v>13</v>
      </c>
      <c r="H31" t="s">
        <v>461</v>
      </c>
      <c r="I31" t="s">
        <v>3</v>
      </c>
      <c r="J31" t="s">
        <v>4</v>
      </c>
      <c r="K31" t="s">
        <v>602</v>
      </c>
      <c r="L31" t="s">
        <v>603</v>
      </c>
      <c r="M31" t="s">
        <v>602</v>
      </c>
      <c r="N31" t="s">
        <v>602</v>
      </c>
      <c r="O31" t="s">
        <v>603</v>
      </c>
      <c r="P31" t="s">
        <v>602</v>
      </c>
      <c r="Q31" s="17">
        <f>IFERROR(VLOOKUP(A31,已除帳印單!B:C,1,0),0)*1</f>
        <v>0</v>
      </c>
      <c r="R31" s="67" t="str">
        <f>IFERROR(VLOOKUP(J31,線別!A:B,2,1),"")</f>
        <v>IA線</v>
      </c>
      <c r="S31" s="17" t="str">
        <f>IFERROR(VLOOKUP(A31,已除帳印單!B:C,2,0),"")</f>
        <v/>
      </c>
      <c r="T31" s="68">
        <f t="shared" si="0"/>
        <v>43892</v>
      </c>
      <c r="U31" s="69">
        <f t="shared" si="1"/>
        <v>84.168773148148148</v>
      </c>
      <c r="V31" s="68" t="str">
        <f>IFERROR(VLOOKUP(A31,已除帳印單!B:D,3,0),"")</f>
        <v/>
      </c>
      <c r="W31" s="69" t="str">
        <f>IFERROR(VLOOKUP(A31,已除帳印單!B:E,4,0),"")</f>
        <v/>
      </c>
      <c r="X31" s="68" t="str">
        <f>IFERROR(INDEX(刷條碼區!A:C,MATCH(點上線資訊!S31,刷條碼區!C:C,0),1),"")</f>
        <v/>
      </c>
      <c r="Y31" s="69" t="str">
        <f>IFERROR(INDEX(刷條碼區!A:C,MATCH(點上線資訊!S31,刷條碼區!C:C,0),2),"")</f>
        <v/>
      </c>
      <c r="Z31" s="70" t="str">
        <f>IFERROR(INDEX(刷條碼區!D:G,MATCH(點上線資訊!S31,刷條碼區!F:F,0),1),"")</f>
        <v/>
      </c>
      <c r="AA31" s="71" t="str">
        <f>IFERROR(INDEX(刷條碼區!D:G,MATCH(點上線資訊!S31,刷條碼區!F:F,0),2),"")</f>
        <v/>
      </c>
      <c r="AB31" s="20">
        <f t="shared" si="2"/>
        <v>13</v>
      </c>
      <c r="AC31" s="20" t="b">
        <f t="shared" si="3"/>
        <v>0</v>
      </c>
      <c r="AD31" s="17" t="b">
        <f t="shared" si="4"/>
        <v>0</v>
      </c>
      <c r="AE31" s="17" t="b">
        <f t="shared" si="5"/>
        <v>0</v>
      </c>
    </row>
    <row r="32" spans="1:31" x14ac:dyDescent="0.2">
      <c r="A32" s="16">
        <v>5000457741</v>
      </c>
      <c r="B32" t="s">
        <v>0</v>
      </c>
      <c r="C32" t="s">
        <v>0</v>
      </c>
      <c r="D32" t="s">
        <v>1</v>
      </c>
      <c r="E32" t="s">
        <v>45</v>
      </c>
      <c r="F32" t="s">
        <v>476</v>
      </c>
      <c r="G32" s="2">
        <v>1</v>
      </c>
      <c r="H32" t="s">
        <v>461</v>
      </c>
      <c r="I32" t="s">
        <v>3</v>
      </c>
      <c r="J32" t="s">
        <v>4</v>
      </c>
      <c r="K32" t="s">
        <v>602</v>
      </c>
      <c r="L32" t="s">
        <v>603</v>
      </c>
      <c r="M32" t="s">
        <v>602</v>
      </c>
      <c r="N32" t="s">
        <v>602</v>
      </c>
      <c r="O32" t="s">
        <v>603</v>
      </c>
      <c r="P32" t="s">
        <v>602</v>
      </c>
      <c r="Q32" s="17">
        <f>IFERROR(VLOOKUP(A32,已除帳印單!B:C,1,0),0)*1</f>
        <v>0</v>
      </c>
      <c r="R32" s="67" t="str">
        <f>IFERROR(VLOOKUP(J32,線別!A:B,2,1),"")</f>
        <v>IA線</v>
      </c>
      <c r="S32" s="17" t="str">
        <f>IFERROR(VLOOKUP(A32,已除帳印單!B:C,2,0),"")</f>
        <v/>
      </c>
      <c r="T32" s="68">
        <f t="shared" si="0"/>
        <v>43892</v>
      </c>
      <c r="U32" s="69">
        <f t="shared" si="1"/>
        <v>84.168773148148148</v>
      </c>
      <c r="V32" s="68" t="str">
        <f>IFERROR(VLOOKUP(A32,已除帳印單!B:D,3,0),"")</f>
        <v/>
      </c>
      <c r="W32" s="69" t="str">
        <f>IFERROR(VLOOKUP(A32,已除帳印單!B:E,4,0),"")</f>
        <v/>
      </c>
      <c r="X32" s="68" t="str">
        <f>IFERROR(INDEX(刷條碼區!A:C,MATCH(點上線資訊!S32,刷條碼區!C:C,0),1),"")</f>
        <v/>
      </c>
      <c r="Y32" s="69" t="str">
        <f>IFERROR(INDEX(刷條碼區!A:C,MATCH(點上線資訊!S32,刷條碼區!C:C,0),2),"")</f>
        <v/>
      </c>
      <c r="Z32" s="70" t="str">
        <f>IFERROR(INDEX(刷條碼區!D:G,MATCH(點上線資訊!S32,刷條碼區!F:F,0),1),"")</f>
        <v/>
      </c>
      <c r="AA32" s="71" t="str">
        <f>IFERROR(INDEX(刷條碼區!D:G,MATCH(點上線資訊!S32,刷條碼區!F:F,0),2),"")</f>
        <v/>
      </c>
      <c r="AB32" s="20">
        <f t="shared" si="2"/>
        <v>1</v>
      </c>
      <c r="AC32" s="20" t="b">
        <f t="shared" si="3"/>
        <v>0</v>
      </c>
      <c r="AD32" s="17" t="b">
        <f t="shared" si="4"/>
        <v>0</v>
      </c>
      <c r="AE32" s="17" t="b">
        <f t="shared" si="5"/>
        <v>0</v>
      </c>
    </row>
    <row r="33" spans="1:31" x14ac:dyDescent="0.2">
      <c r="A33" s="16">
        <v>5000457742</v>
      </c>
      <c r="B33" t="s">
        <v>0</v>
      </c>
      <c r="C33" t="s">
        <v>0</v>
      </c>
      <c r="D33" t="s">
        <v>1</v>
      </c>
      <c r="E33" t="s">
        <v>51</v>
      </c>
      <c r="F33" t="s">
        <v>478</v>
      </c>
      <c r="G33" s="2">
        <v>1</v>
      </c>
      <c r="H33" t="s">
        <v>461</v>
      </c>
      <c r="I33" t="s">
        <v>3</v>
      </c>
      <c r="J33" t="s">
        <v>4</v>
      </c>
      <c r="K33" t="s">
        <v>602</v>
      </c>
      <c r="L33" t="s">
        <v>603</v>
      </c>
      <c r="M33" t="s">
        <v>602</v>
      </c>
      <c r="N33" t="s">
        <v>602</v>
      </c>
      <c r="O33" t="s">
        <v>603</v>
      </c>
      <c r="P33" t="s">
        <v>602</v>
      </c>
      <c r="Q33" s="17">
        <f>IFERROR(VLOOKUP(A33,已除帳印單!B:C,1,0),0)*1</f>
        <v>0</v>
      </c>
      <c r="R33" s="67" t="str">
        <f>IFERROR(VLOOKUP(J33,線別!A:B,2,1),"")</f>
        <v>IA線</v>
      </c>
      <c r="S33" s="17" t="str">
        <f>IFERROR(VLOOKUP(A33,已除帳印單!B:C,2,0),"")</f>
        <v/>
      </c>
      <c r="T33" s="68">
        <f t="shared" si="0"/>
        <v>43892</v>
      </c>
      <c r="U33" s="69">
        <f t="shared" si="1"/>
        <v>84.168773148148148</v>
      </c>
      <c r="V33" s="68" t="str">
        <f>IFERROR(VLOOKUP(A33,已除帳印單!B:D,3,0),"")</f>
        <v/>
      </c>
      <c r="W33" s="69" t="str">
        <f>IFERROR(VLOOKUP(A33,已除帳印單!B:E,4,0),"")</f>
        <v/>
      </c>
      <c r="X33" s="68" t="str">
        <f>IFERROR(INDEX(刷條碼區!A:C,MATCH(點上線資訊!S33,刷條碼區!C:C,0),1),"")</f>
        <v/>
      </c>
      <c r="Y33" s="69" t="str">
        <f>IFERROR(INDEX(刷條碼區!A:C,MATCH(點上線資訊!S33,刷條碼區!C:C,0),2),"")</f>
        <v/>
      </c>
      <c r="Z33" s="70" t="str">
        <f>IFERROR(INDEX(刷條碼區!D:G,MATCH(點上線資訊!S33,刷條碼區!F:F,0),1),"")</f>
        <v/>
      </c>
      <c r="AA33" s="71" t="str">
        <f>IFERROR(INDEX(刷條碼區!D:G,MATCH(點上線資訊!S33,刷條碼區!F:F,0),2),"")</f>
        <v/>
      </c>
      <c r="AB33" s="20">
        <f t="shared" si="2"/>
        <v>1</v>
      </c>
      <c r="AC33" s="20" t="b">
        <f t="shared" si="3"/>
        <v>0</v>
      </c>
      <c r="AD33" s="17" t="b">
        <f t="shared" si="4"/>
        <v>0</v>
      </c>
      <c r="AE33" s="17" t="b">
        <f t="shared" si="5"/>
        <v>0</v>
      </c>
    </row>
    <row r="34" spans="1:31" x14ac:dyDescent="0.2">
      <c r="A34" s="16">
        <v>5000457743</v>
      </c>
      <c r="B34" t="s">
        <v>0</v>
      </c>
      <c r="C34" t="s">
        <v>0</v>
      </c>
      <c r="D34" t="s">
        <v>1</v>
      </c>
      <c r="E34" t="s">
        <v>41</v>
      </c>
      <c r="F34" t="s">
        <v>479</v>
      </c>
      <c r="G34" s="2">
        <v>15</v>
      </c>
      <c r="H34" t="s">
        <v>461</v>
      </c>
      <c r="I34" t="s">
        <v>3</v>
      </c>
      <c r="J34" t="s">
        <v>4</v>
      </c>
      <c r="K34" t="s">
        <v>602</v>
      </c>
      <c r="L34" t="s">
        <v>603</v>
      </c>
      <c r="M34" t="s">
        <v>602</v>
      </c>
      <c r="N34" t="s">
        <v>602</v>
      </c>
      <c r="O34" t="s">
        <v>603</v>
      </c>
      <c r="P34" t="s">
        <v>602</v>
      </c>
      <c r="Q34" s="17">
        <f>IFERROR(VLOOKUP(A34,已除帳印單!B:C,1,0),0)*1</f>
        <v>0</v>
      </c>
      <c r="R34" s="67" t="str">
        <f>IFERROR(VLOOKUP(J34,線別!A:B,2,1),"")</f>
        <v>IA線</v>
      </c>
      <c r="S34" s="17" t="str">
        <f>IFERROR(VLOOKUP(A34,已除帳印單!B:C,2,0),"")</f>
        <v/>
      </c>
      <c r="T34" s="68">
        <f t="shared" si="0"/>
        <v>43892</v>
      </c>
      <c r="U34" s="69">
        <f t="shared" si="1"/>
        <v>84.168773148148148</v>
      </c>
      <c r="V34" s="68" t="str">
        <f>IFERROR(VLOOKUP(A34,已除帳印單!B:D,3,0),"")</f>
        <v/>
      </c>
      <c r="W34" s="69" t="str">
        <f>IFERROR(VLOOKUP(A34,已除帳印單!B:E,4,0),"")</f>
        <v/>
      </c>
      <c r="X34" s="68" t="str">
        <f>IFERROR(INDEX(刷條碼區!A:C,MATCH(點上線資訊!S34,刷條碼區!C:C,0),1),"")</f>
        <v/>
      </c>
      <c r="Y34" s="69" t="str">
        <f>IFERROR(INDEX(刷條碼區!A:C,MATCH(點上線資訊!S34,刷條碼區!C:C,0),2),"")</f>
        <v/>
      </c>
      <c r="Z34" s="70" t="str">
        <f>IFERROR(INDEX(刷條碼區!D:G,MATCH(點上線資訊!S34,刷條碼區!F:F,0),1),"")</f>
        <v/>
      </c>
      <c r="AA34" s="71" t="str">
        <f>IFERROR(INDEX(刷條碼區!D:G,MATCH(點上線資訊!S34,刷條碼區!F:F,0),2),"")</f>
        <v/>
      </c>
      <c r="AB34" s="20">
        <f t="shared" si="2"/>
        <v>15</v>
      </c>
      <c r="AC34" s="20" t="b">
        <f t="shared" si="3"/>
        <v>0</v>
      </c>
      <c r="AD34" s="17" t="b">
        <f t="shared" si="4"/>
        <v>0</v>
      </c>
      <c r="AE34" s="17" t="b">
        <f t="shared" si="5"/>
        <v>0</v>
      </c>
    </row>
    <row r="35" spans="1:31" x14ac:dyDescent="0.2">
      <c r="A35" s="16">
        <v>5000457744</v>
      </c>
      <c r="B35" t="s">
        <v>0</v>
      </c>
      <c r="C35" t="s">
        <v>0</v>
      </c>
      <c r="D35" t="s">
        <v>1</v>
      </c>
      <c r="E35" t="s">
        <v>42</v>
      </c>
      <c r="F35" t="s">
        <v>480</v>
      </c>
      <c r="G35" s="2">
        <v>12</v>
      </c>
      <c r="H35" t="s">
        <v>461</v>
      </c>
      <c r="I35" t="s">
        <v>3</v>
      </c>
      <c r="J35" t="s">
        <v>4</v>
      </c>
      <c r="K35" t="s">
        <v>602</v>
      </c>
      <c r="L35" t="s">
        <v>603</v>
      </c>
      <c r="M35" t="s">
        <v>602</v>
      </c>
      <c r="N35" t="s">
        <v>602</v>
      </c>
      <c r="O35" t="s">
        <v>603</v>
      </c>
      <c r="P35" t="s">
        <v>602</v>
      </c>
      <c r="Q35" s="17">
        <f>IFERROR(VLOOKUP(A35,已除帳印單!B:C,1,0),0)*1</f>
        <v>0</v>
      </c>
      <c r="R35" s="67" t="str">
        <f>IFERROR(VLOOKUP(J35,線別!A:B,2,1),"")</f>
        <v>IA線</v>
      </c>
      <c r="S35" s="17" t="str">
        <f>IFERROR(VLOOKUP(A35,已除帳印單!B:C,2,0),"")</f>
        <v/>
      </c>
      <c r="T35" s="68">
        <f t="shared" si="0"/>
        <v>43892</v>
      </c>
      <c r="U35" s="69">
        <f t="shared" si="1"/>
        <v>84.168773148148148</v>
      </c>
      <c r="V35" s="68" t="str">
        <f>IFERROR(VLOOKUP(A35,已除帳印單!B:D,3,0),"")</f>
        <v/>
      </c>
      <c r="W35" s="69" t="str">
        <f>IFERROR(VLOOKUP(A35,已除帳印單!B:E,4,0),"")</f>
        <v/>
      </c>
      <c r="X35" s="68" t="str">
        <f>IFERROR(INDEX(刷條碼區!A:C,MATCH(點上線資訊!S35,刷條碼區!C:C,0),1),"")</f>
        <v/>
      </c>
      <c r="Y35" s="69" t="str">
        <f>IFERROR(INDEX(刷條碼區!A:C,MATCH(點上線資訊!S35,刷條碼區!C:C,0),2),"")</f>
        <v/>
      </c>
      <c r="Z35" s="70" t="str">
        <f>IFERROR(INDEX(刷條碼區!D:G,MATCH(點上線資訊!S35,刷條碼區!F:F,0),1),"")</f>
        <v/>
      </c>
      <c r="AA35" s="71" t="str">
        <f>IFERROR(INDEX(刷條碼區!D:G,MATCH(點上線資訊!S35,刷條碼區!F:F,0),2),"")</f>
        <v/>
      </c>
      <c r="AB35" s="20">
        <f t="shared" si="2"/>
        <v>12</v>
      </c>
      <c r="AC35" s="20" t="b">
        <f t="shared" si="3"/>
        <v>0</v>
      </c>
      <c r="AD35" s="17" t="b">
        <f t="shared" si="4"/>
        <v>0</v>
      </c>
      <c r="AE35" s="17" t="b">
        <f t="shared" si="5"/>
        <v>0</v>
      </c>
    </row>
    <row r="36" spans="1:31" x14ac:dyDescent="0.2">
      <c r="A36" s="16">
        <v>5000457745</v>
      </c>
      <c r="B36" t="s">
        <v>0</v>
      </c>
      <c r="C36" t="s">
        <v>0</v>
      </c>
      <c r="D36" t="s">
        <v>1</v>
      </c>
      <c r="E36" t="s">
        <v>49</v>
      </c>
      <c r="F36" t="s">
        <v>481</v>
      </c>
      <c r="G36" s="2">
        <v>8</v>
      </c>
      <c r="H36" t="s">
        <v>461</v>
      </c>
      <c r="I36" t="s">
        <v>3</v>
      </c>
      <c r="J36" t="s">
        <v>4</v>
      </c>
      <c r="K36" t="s">
        <v>602</v>
      </c>
      <c r="L36" t="s">
        <v>603</v>
      </c>
      <c r="M36" t="s">
        <v>602</v>
      </c>
      <c r="N36" t="s">
        <v>602</v>
      </c>
      <c r="O36" t="s">
        <v>603</v>
      </c>
      <c r="P36" t="s">
        <v>602</v>
      </c>
      <c r="Q36" s="17">
        <f>IFERROR(VLOOKUP(A36,已除帳印單!B:C,1,0),0)*1</f>
        <v>0</v>
      </c>
      <c r="R36" s="67" t="str">
        <f>IFERROR(VLOOKUP(J36,線別!A:B,2,1),"")</f>
        <v>IA線</v>
      </c>
      <c r="S36" s="17" t="str">
        <f>IFERROR(VLOOKUP(A36,已除帳印單!B:C,2,0),"")</f>
        <v/>
      </c>
      <c r="T36" s="68">
        <f t="shared" si="0"/>
        <v>43892</v>
      </c>
      <c r="U36" s="69">
        <f t="shared" si="1"/>
        <v>84.168773148148148</v>
      </c>
      <c r="V36" s="68" t="str">
        <f>IFERROR(VLOOKUP(A36,已除帳印單!B:D,3,0),"")</f>
        <v/>
      </c>
      <c r="W36" s="69" t="str">
        <f>IFERROR(VLOOKUP(A36,已除帳印單!B:E,4,0),"")</f>
        <v/>
      </c>
      <c r="X36" s="68" t="str">
        <f>IFERROR(INDEX(刷條碼區!A:C,MATCH(點上線資訊!S36,刷條碼區!C:C,0),1),"")</f>
        <v/>
      </c>
      <c r="Y36" s="69" t="str">
        <f>IFERROR(INDEX(刷條碼區!A:C,MATCH(點上線資訊!S36,刷條碼區!C:C,0),2),"")</f>
        <v/>
      </c>
      <c r="Z36" s="70" t="str">
        <f>IFERROR(INDEX(刷條碼區!D:G,MATCH(點上線資訊!S36,刷條碼區!F:F,0),1),"")</f>
        <v/>
      </c>
      <c r="AA36" s="71" t="str">
        <f>IFERROR(INDEX(刷條碼區!D:G,MATCH(點上線資訊!S36,刷條碼區!F:F,0),2),"")</f>
        <v/>
      </c>
      <c r="AB36" s="20">
        <f t="shared" si="2"/>
        <v>8</v>
      </c>
      <c r="AC36" s="20" t="b">
        <f t="shared" si="3"/>
        <v>0</v>
      </c>
      <c r="AD36" s="17" t="b">
        <f t="shared" si="4"/>
        <v>0</v>
      </c>
      <c r="AE36" s="17" t="b">
        <f t="shared" si="5"/>
        <v>0</v>
      </c>
    </row>
    <row r="37" spans="1:31" x14ac:dyDescent="0.2">
      <c r="A37" s="16">
        <v>5000457746</v>
      </c>
      <c r="B37" t="s">
        <v>0</v>
      </c>
      <c r="C37" t="s">
        <v>0</v>
      </c>
      <c r="D37" t="s">
        <v>1</v>
      </c>
      <c r="E37" t="s">
        <v>50</v>
      </c>
      <c r="F37" t="s">
        <v>482</v>
      </c>
      <c r="G37" s="2">
        <v>3</v>
      </c>
      <c r="H37" t="s">
        <v>461</v>
      </c>
      <c r="I37" t="s">
        <v>3</v>
      </c>
      <c r="J37" t="s">
        <v>4</v>
      </c>
      <c r="K37" t="s">
        <v>602</v>
      </c>
      <c r="L37" t="s">
        <v>603</v>
      </c>
      <c r="M37" t="s">
        <v>602</v>
      </c>
      <c r="N37" t="s">
        <v>602</v>
      </c>
      <c r="O37" t="s">
        <v>603</v>
      </c>
      <c r="P37" t="s">
        <v>602</v>
      </c>
      <c r="Q37" s="17">
        <f>IFERROR(VLOOKUP(A37,已除帳印單!B:C,1,0),0)*1</f>
        <v>0</v>
      </c>
      <c r="R37" s="67" t="str">
        <f>IFERROR(VLOOKUP(J37,線別!A:B,2,1),"")</f>
        <v>IA線</v>
      </c>
      <c r="S37" s="17" t="str">
        <f>IFERROR(VLOOKUP(A37,已除帳印單!B:C,2,0),"")</f>
        <v/>
      </c>
      <c r="T37" s="68">
        <f t="shared" si="0"/>
        <v>43892</v>
      </c>
      <c r="U37" s="69">
        <f t="shared" si="1"/>
        <v>84.168773148148148</v>
      </c>
      <c r="V37" s="68" t="str">
        <f>IFERROR(VLOOKUP(A37,已除帳印單!B:D,3,0),"")</f>
        <v/>
      </c>
      <c r="W37" s="69" t="str">
        <f>IFERROR(VLOOKUP(A37,已除帳印單!B:E,4,0),"")</f>
        <v/>
      </c>
      <c r="X37" s="68" t="str">
        <f>IFERROR(INDEX(刷條碼區!A:C,MATCH(點上線資訊!S37,刷條碼區!C:C,0),1),"")</f>
        <v/>
      </c>
      <c r="Y37" s="69" t="str">
        <f>IFERROR(INDEX(刷條碼區!A:C,MATCH(點上線資訊!S37,刷條碼區!C:C,0),2),"")</f>
        <v/>
      </c>
      <c r="Z37" s="70" t="str">
        <f>IFERROR(INDEX(刷條碼區!D:G,MATCH(點上線資訊!S37,刷條碼區!F:F,0),1),"")</f>
        <v/>
      </c>
      <c r="AA37" s="71" t="str">
        <f>IFERROR(INDEX(刷條碼區!D:G,MATCH(點上線資訊!S37,刷條碼區!F:F,0),2),"")</f>
        <v/>
      </c>
      <c r="AB37" s="20">
        <f t="shared" si="2"/>
        <v>3</v>
      </c>
      <c r="AC37" s="20" t="b">
        <f t="shared" si="3"/>
        <v>0</v>
      </c>
      <c r="AD37" s="17" t="b">
        <f t="shared" si="4"/>
        <v>0</v>
      </c>
      <c r="AE37" s="17" t="b">
        <f t="shared" si="5"/>
        <v>0</v>
      </c>
    </row>
    <row r="38" spans="1:31" x14ac:dyDescent="0.2">
      <c r="A38" s="16">
        <v>5000458476</v>
      </c>
      <c r="B38" t="s">
        <v>301</v>
      </c>
      <c r="C38" t="s">
        <v>301</v>
      </c>
      <c r="D38" t="s">
        <v>1</v>
      </c>
      <c r="E38" t="s">
        <v>483</v>
      </c>
      <c r="F38" t="s">
        <v>484</v>
      </c>
      <c r="G38" s="2">
        <v>1</v>
      </c>
      <c r="H38" t="s">
        <v>461</v>
      </c>
      <c r="I38" t="s">
        <v>3</v>
      </c>
      <c r="J38" t="s">
        <v>8</v>
      </c>
      <c r="K38" t="s">
        <v>602</v>
      </c>
      <c r="L38" t="s">
        <v>603</v>
      </c>
      <c r="M38" t="s">
        <v>602</v>
      </c>
      <c r="N38" t="s">
        <v>602</v>
      </c>
      <c r="O38" t="s">
        <v>603</v>
      </c>
      <c r="P38" t="s">
        <v>602</v>
      </c>
      <c r="Q38" s="17">
        <f>IFERROR(VLOOKUP(A38,已除帳印單!B:C,1,0),0)*1</f>
        <v>0</v>
      </c>
      <c r="R38" s="67" t="str">
        <f>IFERROR(VLOOKUP(J38,線別!A:B,2,1),"")</f>
        <v>裝一線</v>
      </c>
      <c r="S38" s="17" t="str">
        <f>IFERROR(VLOOKUP(A38,已除帳印單!B:C,2,0),"")</f>
        <v/>
      </c>
      <c r="T38" s="68">
        <f t="shared" si="0"/>
        <v>43894</v>
      </c>
      <c r="U38" s="69">
        <f t="shared" si="1"/>
        <v>84.168796296296293</v>
      </c>
      <c r="V38" s="68" t="str">
        <f>IFERROR(VLOOKUP(A38,已除帳印單!B:D,3,0),"")</f>
        <v/>
      </c>
      <c r="W38" s="69" t="str">
        <f>IFERROR(VLOOKUP(A38,已除帳印單!B:E,4,0),"")</f>
        <v/>
      </c>
      <c r="X38" s="68" t="str">
        <f>IFERROR(INDEX(刷條碼區!A:C,MATCH(點上線資訊!S38,刷條碼區!C:C,0),1),"")</f>
        <v/>
      </c>
      <c r="Y38" s="69" t="str">
        <f>IFERROR(INDEX(刷條碼區!A:C,MATCH(點上線資訊!S38,刷條碼區!C:C,0),2),"")</f>
        <v/>
      </c>
      <c r="Z38" s="70" t="str">
        <f>IFERROR(INDEX(刷條碼區!D:G,MATCH(點上線資訊!S38,刷條碼區!F:F,0),1),"")</f>
        <v/>
      </c>
      <c r="AA38" s="71" t="str">
        <f>IFERROR(INDEX(刷條碼區!D:G,MATCH(點上線資訊!S38,刷條碼區!F:F,0),2),"")</f>
        <v/>
      </c>
      <c r="AB38" s="20">
        <f t="shared" si="2"/>
        <v>1</v>
      </c>
      <c r="AC38" s="20" t="b">
        <f t="shared" si="3"/>
        <v>0</v>
      </c>
      <c r="AD38" s="17" t="b">
        <f t="shared" si="4"/>
        <v>0</v>
      </c>
      <c r="AE38" s="17" t="b">
        <f t="shared" si="5"/>
        <v>0</v>
      </c>
    </row>
    <row r="39" spans="1:31" x14ac:dyDescent="0.2">
      <c r="A39" s="16">
        <v>5000464481</v>
      </c>
      <c r="B39" t="s">
        <v>6</v>
      </c>
      <c r="C39" t="s">
        <v>6</v>
      </c>
      <c r="D39" t="s">
        <v>1</v>
      </c>
      <c r="E39" t="s">
        <v>253</v>
      </c>
      <c r="F39" t="s">
        <v>254</v>
      </c>
      <c r="G39" s="2">
        <v>20</v>
      </c>
      <c r="H39" t="s">
        <v>461</v>
      </c>
      <c r="I39" t="s">
        <v>3</v>
      </c>
      <c r="J39" t="s">
        <v>136</v>
      </c>
      <c r="K39" t="s">
        <v>602</v>
      </c>
      <c r="L39" t="s">
        <v>603</v>
      </c>
      <c r="M39" t="s">
        <v>602</v>
      </c>
      <c r="N39" t="s">
        <v>602</v>
      </c>
      <c r="O39" t="s">
        <v>603</v>
      </c>
      <c r="P39" t="s">
        <v>602</v>
      </c>
      <c r="Q39" s="17">
        <f>IFERROR(VLOOKUP(A39,已除帳印單!B:C,1,0),0)*1</f>
        <v>0</v>
      </c>
      <c r="R39" s="67" t="str">
        <f>IFERROR(VLOOKUP(J39,線別!A:B,2,1),"")</f>
        <v>SCB線</v>
      </c>
      <c r="S39" s="17" t="str">
        <f>IFERROR(VLOOKUP(A39,已除帳印單!B:C,2,0),"")</f>
        <v/>
      </c>
      <c r="T39" s="68">
        <f t="shared" si="0"/>
        <v>43893</v>
      </c>
      <c r="U39" s="69">
        <f t="shared" si="1"/>
        <v>84.168784722222213</v>
      </c>
      <c r="V39" s="68" t="str">
        <f>IFERROR(VLOOKUP(A39,已除帳印單!B:D,3,0),"")</f>
        <v/>
      </c>
      <c r="W39" s="69" t="str">
        <f>IFERROR(VLOOKUP(A39,已除帳印單!B:E,4,0),"")</f>
        <v/>
      </c>
      <c r="X39" s="68" t="str">
        <f>IFERROR(INDEX(刷條碼區!A:C,MATCH(點上線資訊!S39,刷條碼區!C:C,0),1),"")</f>
        <v/>
      </c>
      <c r="Y39" s="69" t="str">
        <f>IFERROR(INDEX(刷條碼區!A:C,MATCH(點上線資訊!S39,刷條碼區!C:C,0),2),"")</f>
        <v/>
      </c>
      <c r="Z39" s="70" t="str">
        <f>IFERROR(INDEX(刷條碼區!D:G,MATCH(點上線資訊!S39,刷條碼區!F:F,0),1),"")</f>
        <v/>
      </c>
      <c r="AA39" s="71" t="str">
        <f>IFERROR(INDEX(刷條碼區!D:G,MATCH(點上線資訊!S39,刷條碼區!F:F,0),2),"")</f>
        <v/>
      </c>
      <c r="AB39" s="20">
        <f t="shared" si="2"/>
        <v>20</v>
      </c>
      <c r="AC39" s="20" t="b">
        <f t="shared" si="3"/>
        <v>0</v>
      </c>
      <c r="AD39" s="17" t="b">
        <f t="shared" si="4"/>
        <v>0</v>
      </c>
      <c r="AE39" s="17" t="b">
        <f t="shared" si="5"/>
        <v>0</v>
      </c>
    </row>
    <row r="40" spans="1:31" x14ac:dyDescent="0.2">
      <c r="A40" s="16">
        <v>5000464482</v>
      </c>
      <c r="B40" t="s">
        <v>6</v>
      </c>
      <c r="C40" t="s">
        <v>6</v>
      </c>
      <c r="D40" t="s">
        <v>1</v>
      </c>
      <c r="E40" t="s">
        <v>253</v>
      </c>
      <c r="F40" t="s">
        <v>254</v>
      </c>
      <c r="G40" s="2">
        <v>10</v>
      </c>
      <c r="H40" t="s">
        <v>461</v>
      </c>
      <c r="I40" t="s">
        <v>3</v>
      </c>
      <c r="J40" t="s">
        <v>136</v>
      </c>
      <c r="K40" t="s">
        <v>602</v>
      </c>
      <c r="L40" t="s">
        <v>603</v>
      </c>
      <c r="M40" t="s">
        <v>602</v>
      </c>
      <c r="N40" t="s">
        <v>602</v>
      </c>
      <c r="O40" t="s">
        <v>603</v>
      </c>
      <c r="P40" t="s">
        <v>602</v>
      </c>
      <c r="Q40" s="17">
        <f>IFERROR(VLOOKUP(A40,已除帳印單!B:C,1,0),0)*1</f>
        <v>0</v>
      </c>
      <c r="R40" s="67" t="str">
        <f>IFERROR(VLOOKUP(J40,線別!A:B,2,1),"")</f>
        <v>SCB線</v>
      </c>
      <c r="S40" s="17" t="str">
        <f>IFERROR(VLOOKUP(A40,已除帳印單!B:C,2,0),"")</f>
        <v/>
      </c>
      <c r="T40" s="68">
        <f t="shared" si="0"/>
        <v>43893</v>
      </c>
      <c r="U40" s="69">
        <f t="shared" si="1"/>
        <v>84.168784722222213</v>
      </c>
      <c r="V40" s="68" t="str">
        <f>IFERROR(VLOOKUP(A40,已除帳印單!B:D,3,0),"")</f>
        <v/>
      </c>
      <c r="W40" s="69" t="str">
        <f>IFERROR(VLOOKUP(A40,已除帳印單!B:E,4,0),"")</f>
        <v/>
      </c>
      <c r="X40" s="68" t="str">
        <f>IFERROR(INDEX(刷條碼區!A:C,MATCH(點上線資訊!S40,刷條碼區!C:C,0),1),"")</f>
        <v/>
      </c>
      <c r="Y40" s="69" t="str">
        <f>IFERROR(INDEX(刷條碼區!A:C,MATCH(點上線資訊!S40,刷條碼區!C:C,0),2),"")</f>
        <v/>
      </c>
      <c r="Z40" s="70" t="str">
        <f>IFERROR(INDEX(刷條碼區!D:G,MATCH(點上線資訊!S40,刷條碼區!F:F,0),1),"")</f>
        <v/>
      </c>
      <c r="AA40" s="71" t="str">
        <f>IFERROR(INDEX(刷條碼區!D:G,MATCH(點上線資訊!S40,刷條碼區!F:F,0),2),"")</f>
        <v/>
      </c>
      <c r="AB40" s="20">
        <f t="shared" si="2"/>
        <v>10</v>
      </c>
      <c r="AC40" s="20" t="b">
        <f t="shared" si="3"/>
        <v>0</v>
      </c>
      <c r="AD40" s="17" t="b">
        <f t="shared" si="4"/>
        <v>0</v>
      </c>
      <c r="AE40" s="17" t="b">
        <f t="shared" si="5"/>
        <v>0</v>
      </c>
    </row>
    <row r="41" spans="1:31" x14ac:dyDescent="0.2">
      <c r="A41" s="16">
        <v>5000464894</v>
      </c>
      <c r="B41" t="s">
        <v>301</v>
      </c>
      <c r="C41" t="s">
        <v>301</v>
      </c>
      <c r="D41" t="s">
        <v>1</v>
      </c>
      <c r="E41" t="s">
        <v>337</v>
      </c>
      <c r="F41" t="s">
        <v>485</v>
      </c>
      <c r="G41" s="2">
        <v>3</v>
      </c>
      <c r="H41" t="s">
        <v>461</v>
      </c>
      <c r="I41" t="s">
        <v>3</v>
      </c>
      <c r="J41" t="s">
        <v>8</v>
      </c>
      <c r="K41" t="s">
        <v>602</v>
      </c>
      <c r="L41" t="s">
        <v>603</v>
      </c>
      <c r="M41" t="s">
        <v>602</v>
      </c>
      <c r="N41" t="s">
        <v>602</v>
      </c>
      <c r="O41" t="s">
        <v>603</v>
      </c>
      <c r="P41" t="s">
        <v>602</v>
      </c>
      <c r="Q41" s="17">
        <f>IFERROR(VLOOKUP(A41,已除帳印單!B:C,1,0),0)*1</f>
        <v>0</v>
      </c>
      <c r="R41" s="67" t="str">
        <f>IFERROR(VLOOKUP(J41,線別!A:B,2,1),"")</f>
        <v>裝一線</v>
      </c>
      <c r="S41" s="17" t="str">
        <f>IFERROR(VLOOKUP(A41,已除帳印單!B:C,2,0),"")</f>
        <v/>
      </c>
      <c r="T41" s="68">
        <f t="shared" si="0"/>
        <v>43894</v>
      </c>
      <c r="U41" s="69">
        <f t="shared" si="1"/>
        <v>84.168796296296293</v>
      </c>
      <c r="V41" s="68" t="str">
        <f>IFERROR(VLOOKUP(A41,已除帳印單!B:D,3,0),"")</f>
        <v/>
      </c>
      <c r="W41" s="69" t="str">
        <f>IFERROR(VLOOKUP(A41,已除帳印單!B:E,4,0),"")</f>
        <v/>
      </c>
      <c r="X41" s="68" t="str">
        <f>IFERROR(INDEX(刷條碼區!A:C,MATCH(點上線資訊!S41,刷條碼區!C:C,0),1),"")</f>
        <v/>
      </c>
      <c r="Y41" s="69" t="str">
        <f>IFERROR(INDEX(刷條碼區!A:C,MATCH(點上線資訊!S41,刷條碼區!C:C,0),2),"")</f>
        <v/>
      </c>
      <c r="Z41" s="70" t="str">
        <f>IFERROR(INDEX(刷條碼區!D:G,MATCH(點上線資訊!S41,刷條碼區!F:F,0),1),"")</f>
        <v/>
      </c>
      <c r="AA41" s="71" t="str">
        <f>IFERROR(INDEX(刷條碼區!D:G,MATCH(點上線資訊!S41,刷條碼區!F:F,0),2),"")</f>
        <v/>
      </c>
      <c r="AB41" s="20">
        <f t="shared" si="2"/>
        <v>3</v>
      </c>
      <c r="AC41" s="20" t="b">
        <f t="shared" si="3"/>
        <v>0</v>
      </c>
      <c r="AD41" s="17" t="b">
        <f t="shared" si="4"/>
        <v>0</v>
      </c>
      <c r="AE41" s="17" t="b">
        <f t="shared" si="5"/>
        <v>0</v>
      </c>
    </row>
    <row r="42" spans="1:31" x14ac:dyDescent="0.2">
      <c r="A42" s="16">
        <v>5000465029</v>
      </c>
      <c r="B42" t="s">
        <v>6</v>
      </c>
      <c r="C42" t="s">
        <v>6</v>
      </c>
      <c r="D42" t="s">
        <v>1</v>
      </c>
      <c r="E42" t="s">
        <v>91</v>
      </c>
      <c r="F42" t="s">
        <v>627</v>
      </c>
      <c r="G42" s="2">
        <v>7</v>
      </c>
      <c r="H42" t="s">
        <v>461</v>
      </c>
      <c r="I42" t="s">
        <v>3</v>
      </c>
      <c r="J42" t="s">
        <v>8</v>
      </c>
      <c r="K42" t="s">
        <v>605</v>
      </c>
      <c r="L42" t="s">
        <v>608</v>
      </c>
      <c r="M42" t="s">
        <v>628</v>
      </c>
      <c r="N42" t="s">
        <v>602</v>
      </c>
      <c r="O42" t="s">
        <v>603</v>
      </c>
      <c r="P42" t="s">
        <v>602</v>
      </c>
      <c r="Q42" s="17">
        <f>IFERROR(VLOOKUP(A42,已除帳印單!B:C,1,0),0)*1</f>
        <v>0</v>
      </c>
      <c r="R42" s="67" t="str">
        <f>IFERROR(VLOOKUP(J42,線別!A:B,2,1),"")</f>
        <v>裝一線</v>
      </c>
      <c r="S42" s="17" t="str">
        <f>IFERROR(VLOOKUP(A42,已除帳印單!B:C,2,0),"")</f>
        <v/>
      </c>
      <c r="T42" s="68">
        <f t="shared" si="0"/>
        <v>43893</v>
      </c>
      <c r="U42" s="69">
        <f t="shared" si="1"/>
        <v>84.168784722222213</v>
      </c>
      <c r="V42" s="68" t="str">
        <f>IFERROR(VLOOKUP(A42,已除帳印單!B:D,3,0),"")</f>
        <v/>
      </c>
      <c r="W42" s="69" t="str">
        <f>IFERROR(VLOOKUP(A42,已除帳印單!B:E,4,0),"")</f>
        <v/>
      </c>
      <c r="X42" s="68" t="str">
        <f>IFERROR(INDEX(刷條碼區!A:C,MATCH(點上線資訊!S42,刷條碼區!C:C,0),1),"")</f>
        <v/>
      </c>
      <c r="Y42" s="69" t="str">
        <f>IFERROR(INDEX(刷條碼區!A:C,MATCH(點上線資訊!S42,刷條碼區!C:C,0),2),"")</f>
        <v/>
      </c>
      <c r="Z42" s="70" t="str">
        <f>IFERROR(INDEX(刷條碼區!D:G,MATCH(點上線資訊!S42,刷條碼區!F:F,0),1),"")</f>
        <v/>
      </c>
      <c r="AA42" s="71" t="str">
        <f>IFERROR(INDEX(刷條碼區!D:G,MATCH(點上線資訊!S42,刷條碼區!F:F,0),2),"")</f>
        <v/>
      </c>
      <c r="AB42" s="20" t="b">
        <f t="shared" si="2"/>
        <v>0</v>
      </c>
      <c r="AC42" s="20" t="b">
        <f t="shared" si="3"/>
        <v>0</v>
      </c>
      <c r="AD42" s="17" t="b">
        <f t="shared" si="4"/>
        <v>0</v>
      </c>
      <c r="AE42" s="17" t="b">
        <f t="shared" si="5"/>
        <v>0</v>
      </c>
    </row>
    <row r="43" spans="1:31" x14ac:dyDescent="0.2">
      <c r="A43" s="16">
        <v>5000465537</v>
      </c>
      <c r="B43" t="s">
        <v>301</v>
      </c>
      <c r="C43" t="s">
        <v>301</v>
      </c>
      <c r="D43" t="s">
        <v>1</v>
      </c>
      <c r="E43" t="s">
        <v>312</v>
      </c>
      <c r="F43" t="s">
        <v>313</v>
      </c>
      <c r="G43" s="2">
        <v>2</v>
      </c>
      <c r="H43" t="s">
        <v>461</v>
      </c>
      <c r="I43" t="s">
        <v>3</v>
      </c>
      <c r="J43" t="s">
        <v>53</v>
      </c>
      <c r="K43" t="s">
        <v>602</v>
      </c>
      <c r="L43" t="s">
        <v>603</v>
      </c>
      <c r="M43" t="s">
        <v>602</v>
      </c>
      <c r="N43" t="s">
        <v>602</v>
      </c>
      <c r="O43" t="s">
        <v>603</v>
      </c>
      <c r="P43" t="s">
        <v>602</v>
      </c>
      <c r="Q43" s="17">
        <f>IFERROR(VLOOKUP(A43,已除帳印單!B:C,1,0),0)*1</f>
        <v>0</v>
      </c>
      <c r="R43" s="67" t="str">
        <f>IFERROR(VLOOKUP(J43,線別!A:B,2,1),"")</f>
        <v>裝二線</v>
      </c>
      <c r="S43" s="17" t="str">
        <f>IFERROR(VLOOKUP(A43,已除帳印單!B:C,2,0),"")</f>
        <v/>
      </c>
      <c r="T43" s="68">
        <f t="shared" si="0"/>
        <v>43894</v>
      </c>
      <c r="U43" s="69">
        <f t="shared" si="1"/>
        <v>84.168796296296293</v>
      </c>
      <c r="V43" s="68" t="str">
        <f>IFERROR(VLOOKUP(A43,已除帳印單!B:D,3,0),"")</f>
        <v/>
      </c>
      <c r="W43" s="69" t="str">
        <f>IFERROR(VLOOKUP(A43,已除帳印單!B:E,4,0),"")</f>
        <v/>
      </c>
      <c r="X43" s="68" t="str">
        <f>IFERROR(INDEX(刷條碼區!A:C,MATCH(點上線資訊!S43,刷條碼區!C:C,0),1),"")</f>
        <v/>
      </c>
      <c r="Y43" s="69" t="str">
        <f>IFERROR(INDEX(刷條碼區!A:C,MATCH(點上線資訊!S43,刷條碼區!C:C,0),2),"")</f>
        <v/>
      </c>
      <c r="Z43" s="70" t="str">
        <f>IFERROR(INDEX(刷條碼區!D:G,MATCH(點上線資訊!S43,刷條碼區!F:F,0),1),"")</f>
        <v/>
      </c>
      <c r="AA43" s="71" t="str">
        <f>IFERROR(INDEX(刷條碼區!D:G,MATCH(點上線資訊!S43,刷條碼區!F:F,0),2),"")</f>
        <v/>
      </c>
      <c r="AB43" s="20">
        <f t="shared" si="2"/>
        <v>2</v>
      </c>
      <c r="AC43" s="20" t="b">
        <f t="shared" si="3"/>
        <v>0</v>
      </c>
      <c r="AD43" s="17" t="b">
        <f t="shared" si="4"/>
        <v>0</v>
      </c>
      <c r="AE43" s="17" t="b">
        <f t="shared" si="5"/>
        <v>0</v>
      </c>
    </row>
    <row r="44" spans="1:31" x14ac:dyDescent="0.2">
      <c r="A44" s="16">
        <v>5000465545</v>
      </c>
      <c r="B44" t="s">
        <v>301</v>
      </c>
      <c r="C44" t="s">
        <v>301</v>
      </c>
      <c r="D44" t="s">
        <v>1</v>
      </c>
      <c r="E44" t="s">
        <v>333</v>
      </c>
      <c r="F44" t="s">
        <v>462</v>
      </c>
      <c r="G44" s="2">
        <v>10</v>
      </c>
      <c r="H44" t="s">
        <v>461</v>
      </c>
      <c r="I44" t="s">
        <v>3</v>
      </c>
      <c r="J44" t="s">
        <v>53</v>
      </c>
      <c r="K44" t="s">
        <v>602</v>
      </c>
      <c r="L44" t="s">
        <v>603</v>
      </c>
      <c r="M44" t="s">
        <v>602</v>
      </c>
      <c r="N44" t="s">
        <v>602</v>
      </c>
      <c r="O44" t="s">
        <v>603</v>
      </c>
      <c r="P44" t="s">
        <v>602</v>
      </c>
      <c r="Q44" s="17">
        <f>IFERROR(VLOOKUP(A44,已除帳印單!B:C,1,0),0)*1</f>
        <v>0</v>
      </c>
      <c r="R44" s="67" t="str">
        <f>IFERROR(VLOOKUP(J44,線別!A:B,2,1),"")</f>
        <v>裝二線</v>
      </c>
      <c r="S44" s="17" t="str">
        <f>IFERROR(VLOOKUP(A44,已除帳印單!B:C,2,0),"")</f>
        <v/>
      </c>
      <c r="T44" s="68">
        <f t="shared" si="0"/>
        <v>43894</v>
      </c>
      <c r="U44" s="69">
        <f t="shared" si="1"/>
        <v>84.168796296296293</v>
      </c>
      <c r="V44" s="68" t="str">
        <f>IFERROR(VLOOKUP(A44,已除帳印單!B:D,3,0),"")</f>
        <v/>
      </c>
      <c r="W44" s="69" t="str">
        <f>IFERROR(VLOOKUP(A44,已除帳印單!B:E,4,0),"")</f>
        <v/>
      </c>
      <c r="X44" s="68" t="str">
        <f>IFERROR(INDEX(刷條碼區!A:C,MATCH(點上線資訊!S44,刷條碼區!C:C,0),1),"")</f>
        <v/>
      </c>
      <c r="Y44" s="69" t="str">
        <f>IFERROR(INDEX(刷條碼區!A:C,MATCH(點上線資訊!S44,刷條碼區!C:C,0),2),"")</f>
        <v/>
      </c>
      <c r="Z44" s="70" t="str">
        <f>IFERROR(INDEX(刷條碼區!D:G,MATCH(點上線資訊!S44,刷條碼區!F:F,0),1),"")</f>
        <v/>
      </c>
      <c r="AA44" s="71" t="str">
        <f>IFERROR(INDEX(刷條碼區!D:G,MATCH(點上線資訊!S44,刷條碼區!F:F,0),2),"")</f>
        <v/>
      </c>
      <c r="AB44" s="20">
        <f t="shared" si="2"/>
        <v>10</v>
      </c>
      <c r="AC44" s="20" t="b">
        <f t="shared" si="3"/>
        <v>0</v>
      </c>
      <c r="AD44" s="17" t="b">
        <f t="shared" si="4"/>
        <v>0</v>
      </c>
      <c r="AE44" s="17" t="b">
        <f t="shared" si="5"/>
        <v>0</v>
      </c>
    </row>
    <row r="45" spans="1:31" x14ac:dyDescent="0.2">
      <c r="A45" s="16">
        <v>5000465570</v>
      </c>
      <c r="B45" t="s">
        <v>301</v>
      </c>
      <c r="C45" t="s">
        <v>301</v>
      </c>
      <c r="D45" t="s">
        <v>1</v>
      </c>
      <c r="E45" t="s">
        <v>312</v>
      </c>
      <c r="F45" t="s">
        <v>313</v>
      </c>
      <c r="G45" s="2">
        <v>1</v>
      </c>
      <c r="H45" t="s">
        <v>461</v>
      </c>
      <c r="I45" t="s">
        <v>3</v>
      </c>
      <c r="J45" t="s">
        <v>53</v>
      </c>
      <c r="K45" t="s">
        <v>602</v>
      </c>
      <c r="L45" t="s">
        <v>603</v>
      </c>
      <c r="M45" t="s">
        <v>602</v>
      </c>
      <c r="N45" t="s">
        <v>602</v>
      </c>
      <c r="O45" t="s">
        <v>603</v>
      </c>
      <c r="P45" t="s">
        <v>602</v>
      </c>
      <c r="Q45" s="17">
        <f>IFERROR(VLOOKUP(A45,已除帳印單!B:C,1,0),0)*1</f>
        <v>0</v>
      </c>
      <c r="R45" s="67" t="str">
        <f>IFERROR(VLOOKUP(J45,線別!A:B,2,1),"")</f>
        <v>裝二線</v>
      </c>
      <c r="S45" s="17" t="str">
        <f>IFERROR(VLOOKUP(A45,已除帳印單!B:C,2,0),"")</f>
        <v/>
      </c>
      <c r="T45" s="68">
        <f t="shared" si="0"/>
        <v>43894</v>
      </c>
      <c r="U45" s="69">
        <f t="shared" si="1"/>
        <v>84.168796296296293</v>
      </c>
      <c r="V45" s="68" t="str">
        <f>IFERROR(VLOOKUP(A45,已除帳印單!B:D,3,0),"")</f>
        <v/>
      </c>
      <c r="W45" s="69" t="str">
        <f>IFERROR(VLOOKUP(A45,已除帳印單!B:E,4,0),"")</f>
        <v/>
      </c>
      <c r="X45" s="68" t="str">
        <f>IFERROR(INDEX(刷條碼區!A:C,MATCH(點上線資訊!S45,刷條碼區!C:C,0),1),"")</f>
        <v/>
      </c>
      <c r="Y45" s="69" t="str">
        <f>IFERROR(INDEX(刷條碼區!A:C,MATCH(點上線資訊!S45,刷條碼區!C:C,0),2),"")</f>
        <v/>
      </c>
      <c r="Z45" s="70" t="str">
        <f>IFERROR(INDEX(刷條碼區!D:G,MATCH(點上線資訊!S45,刷條碼區!F:F,0),1),"")</f>
        <v/>
      </c>
      <c r="AA45" s="71" t="str">
        <f>IFERROR(INDEX(刷條碼區!D:G,MATCH(點上線資訊!S45,刷條碼區!F:F,0),2),"")</f>
        <v/>
      </c>
      <c r="AB45" s="20">
        <f t="shared" si="2"/>
        <v>1</v>
      </c>
      <c r="AC45" s="20" t="b">
        <f t="shared" si="3"/>
        <v>0</v>
      </c>
      <c r="AD45" s="17" t="b">
        <f t="shared" si="4"/>
        <v>0</v>
      </c>
      <c r="AE45" s="17" t="b">
        <f t="shared" si="5"/>
        <v>0</v>
      </c>
    </row>
    <row r="46" spans="1:31" x14ac:dyDescent="0.2">
      <c r="A46" s="16">
        <v>5000466842</v>
      </c>
      <c r="B46" t="s">
        <v>301</v>
      </c>
      <c r="C46" t="s">
        <v>301</v>
      </c>
      <c r="D46" t="s">
        <v>1</v>
      </c>
      <c r="E46" t="s">
        <v>303</v>
      </c>
      <c r="F46" t="s">
        <v>486</v>
      </c>
      <c r="G46" s="2">
        <v>2</v>
      </c>
      <c r="H46" t="s">
        <v>461</v>
      </c>
      <c r="I46" t="s">
        <v>3</v>
      </c>
      <c r="J46" t="s">
        <v>304</v>
      </c>
      <c r="K46" t="s">
        <v>602</v>
      </c>
      <c r="L46" t="s">
        <v>603</v>
      </c>
      <c r="M46" t="s">
        <v>602</v>
      </c>
      <c r="N46" t="s">
        <v>602</v>
      </c>
      <c r="O46" t="s">
        <v>603</v>
      </c>
      <c r="P46" t="s">
        <v>602</v>
      </c>
      <c r="Q46" s="17">
        <f>IFERROR(VLOOKUP(A46,已除帳印單!B:C,1,0),0)*1</f>
        <v>0</v>
      </c>
      <c r="R46" s="67" t="str">
        <f>IFERROR(VLOOKUP(J46,線別!A:B,2,1),"")</f>
        <v>塗一組</v>
      </c>
      <c r="S46" s="17" t="str">
        <f>IFERROR(VLOOKUP(A46,已除帳印單!B:C,2,0),"")</f>
        <v/>
      </c>
      <c r="T46" s="68">
        <f t="shared" si="0"/>
        <v>43894</v>
      </c>
      <c r="U46" s="69">
        <f t="shared" si="1"/>
        <v>84.168796296296293</v>
      </c>
      <c r="V46" s="68" t="str">
        <f>IFERROR(VLOOKUP(A46,已除帳印單!B:D,3,0),"")</f>
        <v/>
      </c>
      <c r="W46" s="69" t="str">
        <f>IFERROR(VLOOKUP(A46,已除帳印單!B:E,4,0),"")</f>
        <v/>
      </c>
      <c r="X46" s="68" t="str">
        <f>IFERROR(INDEX(刷條碼區!A:C,MATCH(點上線資訊!S46,刷條碼區!C:C,0),1),"")</f>
        <v/>
      </c>
      <c r="Y46" s="69" t="str">
        <f>IFERROR(INDEX(刷條碼區!A:C,MATCH(點上線資訊!S46,刷條碼區!C:C,0),2),"")</f>
        <v/>
      </c>
      <c r="Z46" s="70" t="str">
        <f>IFERROR(INDEX(刷條碼區!D:G,MATCH(點上線資訊!S46,刷條碼區!F:F,0),1),"")</f>
        <v/>
      </c>
      <c r="AA46" s="71" t="str">
        <f>IFERROR(INDEX(刷條碼區!D:G,MATCH(點上線資訊!S46,刷條碼區!F:F,0),2),"")</f>
        <v/>
      </c>
      <c r="AB46" s="20">
        <f t="shared" si="2"/>
        <v>2</v>
      </c>
      <c r="AC46" s="20" t="b">
        <f t="shared" si="3"/>
        <v>0</v>
      </c>
      <c r="AD46" s="17" t="b">
        <f t="shared" si="4"/>
        <v>0</v>
      </c>
      <c r="AE46" s="17" t="b">
        <f t="shared" si="5"/>
        <v>0</v>
      </c>
    </row>
    <row r="47" spans="1:31" x14ac:dyDescent="0.2">
      <c r="A47" s="16">
        <v>5000466843</v>
      </c>
      <c r="B47" t="s">
        <v>301</v>
      </c>
      <c r="C47" t="s">
        <v>301</v>
      </c>
      <c r="D47" t="s">
        <v>1</v>
      </c>
      <c r="E47" t="s">
        <v>303</v>
      </c>
      <c r="F47" t="s">
        <v>486</v>
      </c>
      <c r="G47" s="2">
        <v>13</v>
      </c>
      <c r="H47" t="s">
        <v>461</v>
      </c>
      <c r="I47" t="s">
        <v>3</v>
      </c>
      <c r="J47" t="s">
        <v>304</v>
      </c>
      <c r="K47" t="s">
        <v>602</v>
      </c>
      <c r="L47" t="s">
        <v>603</v>
      </c>
      <c r="M47" t="s">
        <v>602</v>
      </c>
      <c r="N47" t="s">
        <v>602</v>
      </c>
      <c r="O47" t="s">
        <v>603</v>
      </c>
      <c r="P47" t="s">
        <v>602</v>
      </c>
      <c r="Q47" s="17">
        <f>IFERROR(VLOOKUP(A47,已除帳印單!B:C,1,0),0)*1</f>
        <v>0</v>
      </c>
      <c r="R47" s="67" t="str">
        <f>IFERROR(VLOOKUP(J47,線別!A:B,2,1),"")</f>
        <v>塗一組</v>
      </c>
      <c r="S47" s="17" t="str">
        <f>IFERROR(VLOOKUP(A47,已除帳印單!B:C,2,0),"")</f>
        <v/>
      </c>
      <c r="T47" s="68">
        <f t="shared" si="0"/>
        <v>43894</v>
      </c>
      <c r="U47" s="69">
        <f t="shared" si="1"/>
        <v>84.168796296296293</v>
      </c>
      <c r="V47" s="68" t="str">
        <f>IFERROR(VLOOKUP(A47,已除帳印單!B:D,3,0),"")</f>
        <v/>
      </c>
      <c r="W47" s="69" t="str">
        <f>IFERROR(VLOOKUP(A47,已除帳印單!B:E,4,0),"")</f>
        <v/>
      </c>
      <c r="X47" s="68" t="str">
        <f>IFERROR(INDEX(刷條碼區!A:C,MATCH(點上線資訊!S47,刷條碼區!C:C,0),1),"")</f>
        <v/>
      </c>
      <c r="Y47" s="69" t="str">
        <f>IFERROR(INDEX(刷條碼區!A:C,MATCH(點上線資訊!S47,刷條碼區!C:C,0),2),"")</f>
        <v/>
      </c>
      <c r="Z47" s="70" t="str">
        <f>IFERROR(INDEX(刷條碼區!D:G,MATCH(點上線資訊!S47,刷條碼區!F:F,0),1),"")</f>
        <v/>
      </c>
      <c r="AA47" s="71" t="str">
        <f>IFERROR(INDEX(刷條碼區!D:G,MATCH(點上線資訊!S47,刷條碼區!F:F,0),2),"")</f>
        <v/>
      </c>
      <c r="AB47" s="20">
        <f t="shared" si="2"/>
        <v>13</v>
      </c>
      <c r="AC47" s="20" t="b">
        <f t="shared" si="3"/>
        <v>0</v>
      </c>
      <c r="AD47" s="17" t="b">
        <f t="shared" si="4"/>
        <v>0</v>
      </c>
      <c r="AE47" s="17" t="b">
        <f t="shared" si="5"/>
        <v>0</v>
      </c>
    </row>
    <row r="48" spans="1:31" x14ac:dyDescent="0.2">
      <c r="A48" s="16">
        <v>5000466844</v>
      </c>
      <c r="B48" t="s">
        <v>301</v>
      </c>
      <c r="C48" t="s">
        <v>301</v>
      </c>
      <c r="D48" t="s">
        <v>1</v>
      </c>
      <c r="E48" t="s">
        <v>303</v>
      </c>
      <c r="F48" t="s">
        <v>486</v>
      </c>
      <c r="G48" s="2">
        <v>6</v>
      </c>
      <c r="H48" t="s">
        <v>461</v>
      </c>
      <c r="I48" t="s">
        <v>3</v>
      </c>
      <c r="J48" t="s">
        <v>304</v>
      </c>
      <c r="K48" t="s">
        <v>602</v>
      </c>
      <c r="L48" t="s">
        <v>603</v>
      </c>
      <c r="M48" t="s">
        <v>602</v>
      </c>
      <c r="N48" t="s">
        <v>602</v>
      </c>
      <c r="O48" t="s">
        <v>603</v>
      </c>
      <c r="P48" t="s">
        <v>602</v>
      </c>
      <c r="Q48" s="17">
        <f>IFERROR(VLOOKUP(A48,已除帳印單!B:C,1,0),0)*1</f>
        <v>0</v>
      </c>
      <c r="R48" s="67" t="str">
        <f>IFERROR(VLOOKUP(J48,線別!A:B,2,1),"")</f>
        <v>塗一組</v>
      </c>
      <c r="S48" s="17" t="str">
        <f>IFERROR(VLOOKUP(A48,已除帳印單!B:C,2,0),"")</f>
        <v/>
      </c>
      <c r="T48" s="68">
        <f t="shared" si="0"/>
        <v>43894</v>
      </c>
      <c r="U48" s="69">
        <f t="shared" si="1"/>
        <v>84.168796296296293</v>
      </c>
      <c r="V48" s="68" t="str">
        <f>IFERROR(VLOOKUP(A48,已除帳印單!B:D,3,0),"")</f>
        <v/>
      </c>
      <c r="W48" s="69" t="str">
        <f>IFERROR(VLOOKUP(A48,已除帳印單!B:E,4,0),"")</f>
        <v/>
      </c>
      <c r="X48" s="68" t="str">
        <f>IFERROR(INDEX(刷條碼區!A:C,MATCH(點上線資訊!S48,刷條碼區!C:C,0),1),"")</f>
        <v/>
      </c>
      <c r="Y48" s="69" t="str">
        <f>IFERROR(INDEX(刷條碼區!A:C,MATCH(點上線資訊!S48,刷條碼區!C:C,0),2),"")</f>
        <v/>
      </c>
      <c r="Z48" s="70" t="str">
        <f>IFERROR(INDEX(刷條碼區!D:G,MATCH(點上線資訊!S48,刷條碼區!F:F,0),1),"")</f>
        <v/>
      </c>
      <c r="AA48" s="71" t="str">
        <f>IFERROR(INDEX(刷條碼區!D:G,MATCH(點上線資訊!S48,刷條碼區!F:F,0),2),"")</f>
        <v/>
      </c>
      <c r="AB48" s="20">
        <f t="shared" si="2"/>
        <v>6</v>
      </c>
      <c r="AC48" s="20" t="b">
        <f t="shared" si="3"/>
        <v>0</v>
      </c>
      <c r="AD48" s="17" t="b">
        <f t="shared" si="4"/>
        <v>0</v>
      </c>
      <c r="AE48" s="17" t="b">
        <f t="shared" si="5"/>
        <v>0</v>
      </c>
    </row>
    <row r="49" spans="1:31" x14ac:dyDescent="0.2">
      <c r="A49" s="16">
        <v>5000466845</v>
      </c>
      <c r="B49" t="s">
        <v>301</v>
      </c>
      <c r="C49" t="s">
        <v>301</v>
      </c>
      <c r="D49" t="s">
        <v>1</v>
      </c>
      <c r="E49" t="s">
        <v>303</v>
      </c>
      <c r="F49" t="s">
        <v>486</v>
      </c>
      <c r="G49" s="2">
        <v>13</v>
      </c>
      <c r="H49" t="s">
        <v>461</v>
      </c>
      <c r="I49" t="s">
        <v>3</v>
      </c>
      <c r="J49" t="s">
        <v>304</v>
      </c>
      <c r="K49" t="s">
        <v>602</v>
      </c>
      <c r="L49" t="s">
        <v>603</v>
      </c>
      <c r="M49" t="s">
        <v>602</v>
      </c>
      <c r="N49" t="s">
        <v>602</v>
      </c>
      <c r="O49" t="s">
        <v>603</v>
      </c>
      <c r="P49" t="s">
        <v>602</v>
      </c>
      <c r="Q49" s="17">
        <f>IFERROR(VLOOKUP(A49,已除帳印單!B:C,1,0),0)*1</f>
        <v>0</v>
      </c>
      <c r="R49" s="67" t="str">
        <f>IFERROR(VLOOKUP(J49,線別!A:B,2,1),"")</f>
        <v>塗一組</v>
      </c>
      <c r="S49" s="17" t="str">
        <f>IFERROR(VLOOKUP(A49,已除帳印單!B:C,2,0),"")</f>
        <v/>
      </c>
      <c r="T49" s="68">
        <f t="shared" si="0"/>
        <v>43894</v>
      </c>
      <c r="U49" s="69">
        <f t="shared" si="1"/>
        <v>84.168796296296293</v>
      </c>
      <c r="V49" s="68" t="str">
        <f>IFERROR(VLOOKUP(A49,已除帳印單!B:D,3,0),"")</f>
        <v/>
      </c>
      <c r="W49" s="69" t="str">
        <f>IFERROR(VLOOKUP(A49,已除帳印單!B:E,4,0),"")</f>
        <v/>
      </c>
      <c r="X49" s="68" t="str">
        <f>IFERROR(INDEX(刷條碼區!A:C,MATCH(點上線資訊!S49,刷條碼區!C:C,0),1),"")</f>
        <v/>
      </c>
      <c r="Y49" s="69" t="str">
        <f>IFERROR(INDEX(刷條碼區!A:C,MATCH(點上線資訊!S49,刷條碼區!C:C,0),2),"")</f>
        <v/>
      </c>
      <c r="Z49" s="70" t="str">
        <f>IFERROR(INDEX(刷條碼區!D:G,MATCH(點上線資訊!S49,刷條碼區!F:F,0),1),"")</f>
        <v/>
      </c>
      <c r="AA49" s="71" t="str">
        <f>IFERROR(INDEX(刷條碼區!D:G,MATCH(點上線資訊!S49,刷條碼區!F:F,0),2),"")</f>
        <v/>
      </c>
      <c r="AB49" s="20">
        <f t="shared" si="2"/>
        <v>13</v>
      </c>
      <c r="AC49" s="20" t="b">
        <f t="shared" si="3"/>
        <v>0</v>
      </c>
      <c r="AD49" s="17" t="b">
        <f t="shared" si="4"/>
        <v>0</v>
      </c>
      <c r="AE49" s="17" t="b">
        <f t="shared" si="5"/>
        <v>0</v>
      </c>
    </row>
    <row r="50" spans="1:31" x14ac:dyDescent="0.2">
      <c r="A50" s="16">
        <v>5000466846</v>
      </c>
      <c r="B50" t="s">
        <v>301</v>
      </c>
      <c r="C50" t="s">
        <v>301</v>
      </c>
      <c r="D50" t="s">
        <v>1</v>
      </c>
      <c r="E50" t="s">
        <v>303</v>
      </c>
      <c r="F50" t="s">
        <v>486</v>
      </c>
      <c r="G50" s="2">
        <v>7</v>
      </c>
      <c r="H50" t="s">
        <v>461</v>
      </c>
      <c r="I50" t="s">
        <v>3</v>
      </c>
      <c r="J50" t="s">
        <v>304</v>
      </c>
      <c r="K50" t="s">
        <v>602</v>
      </c>
      <c r="L50" t="s">
        <v>603</v>
      </c>
      <c r="M50" t="s">
        <v>602</v>
      </c>
      <c r="N50" t="s">
        <v>602</v>
      </c>
      <c r="O50" t="s">
        <v>603</v>
      </c>
      <c r="P50" t="s">
        <v>602</v>
      </c>
      <c r="Q50" s="17">
        <f>IFERROR(VLOOKUP(A50,已除帳印單!B:C,1,0),0)*1</f>
        <v>0</v>
      </c>
      <c r="R50" s="67" t="str">
        <f>IFERROR(VLOOKUP(J50,線別!A:B,2,1),"")</f>
        <v>塗一組</v>
      </c>
      <c r="S50" s="17" t="str">
        <f>IFERROR(VLOOKUP(A50,已除帳印單!B:C,2,0),"")</f>
        <v/>
      </c>
      <c r="T50" s="68">
        <f t="shared" si="0"/>
        <v>43894</v>
      </c>
      <c r="U50" s="69">
        <f t="shared" si="1"/>
        <v>84.168796296296293</v>
      </c>
      <c r="V50" s="68" t="str">
        <f>IFERROR(VLOOKUP(A50,已除帳印單!B:D,3,0),"")</f>
        <v/>
      </c>
      <c r="W50" s="69" t="str">
        <f>IFERROR(VLOOKUP(A50,已除帳印單!B:E,4,0),"")</f>
        <v/>
      </c>
      <c r="X50" s="68" t="str">
        <f>IFERROR(INDEX(刷條碼區!A:C,MATCH(點上線資訊!S50,刷條碼區!C:C,0),1),"")</f>
        <v/>
      </c>
      <c r="Y50" s="69" t="str">
        <f>IFERROR(INDEX(刷條碼區!A:C,MATCH(點上線資訊!S50,刷條碼區!C:C,0),2),"")</f>
        <v/>
      </c>
      <c r="Z50" s="70" t="str">
        <f>IFERROR(INDEX(刷條碼區!D:G,MATCH(點上線資訊!S50,刷條碼區!F:F,0),1),"")</f>
        <v/>
      </c>
      <c r="AA50" s="71" t="str">
        <f>IFERROR(INDEX(刷條碼區!D:G,MATCH(點上線資訊!S50,刷條碼區!F:F,0),2),"")</f>
        <v/>
      </c>
      <c r="AB50" s="20">
        <f t="shared" si="2"/>
        <v>7</v>
      </c>
      <c r="AC50" s="20" t="b">
        <f t="shared" si="3"/>
        <v>0</v>
      </c>
      <c r="AD50" s="17" t="b">
        <f t="shared" si="4"/>
        <v>0</v>
      </c>
      <c r="AE50" s="17" t="b">
        <f t="shared" si="5"/>
        <v>0</v>
      </c>
    </row>
    <row r="51" spans="1:31" x14ac:dyDescent="0.2">
      <c r="A51" s="16">
        <v>5000466847</v>
      </c>
      <c r="B51" t="s">
        <v>301</v>
      </c>
      <c r="C51" t="s">
        <v>301</v>
      </c>
      <c r="D51" t="s">
        <v>1</v>
      </c>
      <c r="E51" t="s">
        <v>303</v>
      </c>
      <c r="F51" t="s">
        <v>486</v>
      </c>
      <c r="G51" s="2">
        <v>6</v>
      </c>
      <c r="H51" t="s">
        <v>461</v>
      </c>
      <c r="I51" t="s">
        <v>3</v>
      </c>
      <c r="J51" t="s">
        <v>304</v>
      </c>
      <c r="K51" t="s">
        <v>602</v>
      </c>
      <c r="L51" t="s">
        <v>603</v>
      </c>
      <c r="M51" t="s">
        <v>602</v>
      </c>
      <c r="N51" t="s">
        <v>602</v>
      </c>
      <c r="O51" t="s">
        <v>603</v>
      </c>
      <c r="P51" t="s">
        <v>602</v>
      </c>
      <c r="Q51" s="17">
        <f>IFERROR(VLOOKUP(A51,已除帳印單!B:C,1,0),0)*1</f>
        <v>0</v>
      </c>
      <c r="R51" s="67" t="str">
        <f>IFERROR(VLOOKUP(J51,線別!A:B,2,1),"")</f>
        <v>塗一組</v>
      </c>
      <c r="S51" s="17" t="str">
        <f>IFERROR(VLOOKUP(A51,已除帳印單!B:C,2,0),"")</f>
        <v/>
      </c>
      <c r="T51" s="68">
        <f t="shared" si="0"/>
        <v>43894</v>
      </c>
      <c r="U51" s="69">
        <f t="shared" si="1"/>
        <v>84.168796296296293</v>
      </c>
      <c r="V51" s="68" t="str">
        <f>IFERROR(VLOOKUP(A51,已除帳印單!B:D,3,0),"")</f>
        <v/>
      </c>
      <c r="W51" s="69" t="str">
        <f>IFERROR(VLOOKUP(A51,已除帳印單!B:E,4,0),"")</f>
        <v/>
      </c>
      <c r="X51" s="68" t="str">
        <f>IFERROR(INDEX(刷條碼區!A:C,MATCH(點上線資訊!S51,刷條碼區!C:C,0),1),"")</f>
        <v/>
      </c>
      <c r="Y51" s="69" t="str">
        <f>IFERROR(INDEX(刷條碼區!A:C,MATCH(點上線資訊!S51,刷條碼區!C:C,0),2),"")</f>
        <v/>
      </c>
      <c r="Z51" s="70" t="str">
        <f>IFERROR(INDEX(刷條碼區!D:G,MATCH(點上線資訊!S51,刷條碼區!F:F,0),1),"")</f>
        <v/>
      </c>
      <c r="AA51" s="71" t="str">
        <f>IFERROR(INDEX(刷條碼區!D:G,MATCH(點上線資訊!S51,刷條碼區!F:F,0),2),"")</f>
        <v/>
      </c>
      <c r="AB51" s="20">
        <f t="shared" si="2"/>
        <v>6</v>
      </c>
      <c r="AC51" s="20" t="b">
        <f t="shared" si="3"/>
        <v>0</v>
      </c>
      <c r="AD51" s="17" t="b">
        <f t="shared" si="4"/>
        <v>0</v>
      </c>
      <c r="AE51" s="17" t="b">
        <f t="shared" si="5"/>
        <v>0</v>
      </c>
    </row>
    <row r="52" spans="1:31" x14ac:dyDescent="0.2">
      <c r="A52" s="16">
        <v>5000467230</v>
      </c>
      <c r="B52" t="s">
        <v>6</v>
      </c>
      <c r="C52" t="s">
        <v>6</v>
      </c>
      <c r="D52" t="s">
        <v>1</v>
      </c>
      <c r="E52" t="s">
        <v>629</v>
      </c>
      <c r="F52" t="s">
        <v>630</v>
      </c>
      <c r="G52" s="2">
        <v>5</v>
      </c>
      <c r="H52" t="s">
        <v>461</v>
      </c>
      <c r="I52" t="s">
        <v>3</v>
      </c>
      <c r="J52" t="s">
        <v>136</v>
      </c>
      <c r="K52" t="s">
        <v>605</v>
      </c>
      <c r="L52" t="s">
        <v>608</v>
      </c>
      <c r="M52" t="s">
        <v>397</v>
      </c>
      <c r="N52" t="s">
        <v>602</v>
      </c>
      <c r="O52" t="s">
        <v>603</v>
      </c>
      <c r="P52" t="s">
        <v>602</v>
      </c>
      <c r="Q52" s="17">
        <f>IFERROR(VLOOKUP(A52,已除帳印單!B:C,1,0),0)*1</f>
        <v>0</v>
      </c>
      <c r="R52" s="67" t="str">
        <f>IFERROR(VLOOKUP(J52,線別!A:B,2,1),"")</f>
        <v>SCB線</v>
      </c>
      <c r="S52" s="17" t="str">
        <f>IFERROR(VLOOKUP(A52,已除帳印單!B:C,2,0),"")</f>
        <v/>
      </c>
      <c r="T52" s="68">
        <f t="shared" si="0"/>
        <v>43893</v>
      </c>
      <c r="U52" s="69">
        <f t="shared" si="1"/>
        <v>84.168784722222213</v>
      </c>
      <c r="V52" s="68" t="str">
        <f>IFERROR(VLOOKUP(A52,已除帳印單!B:D,3,0),"")</f>
        <v/>
      </c>
      <c r="W52" s="69" t="str">
        <f>IFERROR(VLOOKUP(A52,已除帳印單!B:E,4,0),"")</f>
        <v/>
      </c>
      <c r="X52" s="68" t="str">
        <f>IFERROR(INDEX(刷條碼區!A:C,MATCH(點上線資訊!S52,刷條碼區!C:C,0),1),"")</f>
        <v/>
      </c>
      <c r="Y52" s="69" t="str">
        <f>IFERROR(INDEX(刷條碼區!A:C,MATCH(點上線資訊!S52,刷條碼區!C:C,0),2),"")</f>
        <v/>
      </c>
      <c r="Z52" s="70" t="str">
        <f>IFERROR(INDEX(刷條碼區!D:G,MATCH(點上線資訊!S52,刷條碼區!F:F,0),1),"")</f>
        <v/>
      </c>
      <c r="AA52" s="71" t="str">
        <f>IFERROR(INDEX(刷條碼區!D:G,MATCH(點上線資訊!S52,刷條碼區!F:F,0),2),"")</f>
        <v/>
      </c>
      <c r="AB52" s="20" t="b">
        <f t="shared" si="2"/>
        <v>0</v>
      </c>
      <c r="AC52" s="20" t="b">
        <f t="shared" si="3"/>
        <v>0</v>
      </c>
      <c r="AD52" s="17" t="b">
        <f t="shared" si="4"/>
        <v>0</v>
      </c>
      <c r="AE52" s="17" t="b">
        <f t="shared" si="5"/>
        <v>0</v>
      </c>
    </row>
    <row r="53" spans="1:31" x14ac:dyDescent="0.2">
      <c r="A53" s="16">
        <v>5000468780</v>
      </c>
      <c r="B53" t="s">
        <v>301</v>
      </c>
      <c r="C53" t="s">
        <v>301</v>
      </c>
      <c r="D53" t="s">
        <v>1</v>
      </c>
      <c r="E53" t="s">
        <v>333</v>
      </c>
      <c r="F53" t="s">
        <v>462</v>
      </c>
      <c r="G53" s="2">
        <v>5</v>
      </c>
      <c r="H53" t="s">
        <v>461</v>
      </c>
      <c r="I53" t="s">
        <v>3</v>
      </c>
      <c r="J53" t="s">
        <v>53</v>
      </c>
      <c r="K53" t="s">
        <v>602</v>
      </c>
      <c r="L53" t="s">
        <v>603</v>
      </c>
      <c r="M53" t="s">
        <v>602</v>
      </c>
      <c r="N53" t="s">
        <v>602</v>
      </c>
      <c r="O53" t="s">
        <v>603</v>
      </c>
      <c r="P53" t="s">
        <v>602</v>
      </c>
      <c r="Q53" s="17">
        <f>IFERROR(VLOOKUP(A53,已除帳印單!B:C,1,0),0)*1</f>
        <v>0</v>
      </c>
      <c r="R53" s="67" t="str">
        <f>IFERROR(VLOOKUP(J53,線別!A:B,2,1),"")</f>
        <v>裝二線</v>
      </c>
      <c r="S53" s="17" t="str">
        <f>IFERROR(VLOOKUP(A53,已除帳印單!B:C,2,0),"")</f>
        <v/>
      </c>
      <c r="T53" s="68">
        <f t="shared" si="0"/>
        <v>43894</v>
      </c>
      <c r="U53" s="69">
        <f t="shared" si="1"/>
        <v>84.168796296296293</v>
      </c>
      <c r="V53" s="68" t="str">
        <f>IFERROR(VLOOKUP(A53,已除帳印單!B:D,3,0),"")</f>
        <v/>
      </c>
      <c r="W53" s="69" t="str">
        <f>IFERROR(VLOOKUP(A53,已除帳印單!B:E,4,0),"")</f>
        <v/>
      </c>
      <c r="X53" s="68" t="str">
        <f>IFERROR(INDEX(刷條碼區!A:C,MATCH(點上線資訊!S53,刷條碼區!C:C,0),1),"")</f>
        <v/>
      </c>
      <c r="Y53" s="69" t="str">
        <f>IFERROR(INDEX(刷條碼區!A:C,MATCH(點上線資訊!S53,刷條碼區!C:C,0),2),"")</f>
        <v/>
      </c>
      <c r="Z53" s="70" t="str">
        <f>IFERROR(INDEX(刷條碼區!D:G,MATCH(點上線資訊!S53,刷條碼區!F:F,0),1),"")</f>
        <v/>
      </c>
      <c r="AA53" s="71" t="str">
        <f>IFERROR(INDEX(刷條碼區!D:G,MATCH(點上線資訊!S53,刷條碼區!F:F,0),2),"")</f>
        <v/>
      </c>
      <c r="AB53" s="20">
        <f t="shared" si="2"/>
        <v>5</v>
      </c>
      <c r="AC53" s="20" t="b">
        <f t="shared" si="3"/>
        <v>0</v>
      </c>
      <c r="AD53" s="17" t="b">
        <f t="shared" si="4"/>
        <v>0</v>
      </c>
      <c r="AE53" s="17" t="b">
        <f t="shared" si="5"/>
        <v>0</v>
      </c>
    </row>
    <row r="54" spans="1:31" x14ac:dyDescent="0.2">
      <c r="A54" s="16">
        <v>5000468784</v>
      </c>
      <c r="B54" t="s">
        <v>301</v>
      </c>
      <c r="C54" t="s">
        <v>301</v>
      </c>
      <c r="D54" t="s">
        <v>1</v>
      </c>
      <c r="E54" t="s">
        <v>308</v>
      </c>
      <c r="F54" t="s">
        <v>309</v>
      </c>
      <c r="G54" s="2">
        <v>5</v>
      </c>
      <c r="H54" t="s">
        <v>461</v>
      </c>
      <c r="I54" t="s">
        <v>3</v>
      </c>
      <c r="J54" t="s">
        <v>53</v>
      </c>
      <c r="K54" t="s">
        <v>602</v>
      </c>
      <c r="L54" t="s">
        <v>603</v>
      </c>
      <c r="M54" t="s">
        <v>602</v>
      </c>
      <c r="N54" t="s">
        <v>602</v>
      </c>
      <c r="O54" t="s">
        <v>603</v>
      </c>
      <c r="P54" t="s">
        <v>602</v>
      </c>
      <c r="Q54" s="17">
        <f>IFERROR(VLOOKUP(A54,已除帳印單!B:C,1,0),0)*1</f>
        <v>0</v>
      </c>
      <c r="R54" s="67" t="str">
        <f>IFERROR(VLOOKUP(J54,線別!A:B,2,1),"")</f>
        <v>裝二線</v>
      </c>
      <c r="S54" s="17" t="str">
        <f>IFERROR(VLOOKUP(A54,已除帳印單!B:C,2,0),"")</f>
        <v/>
      </c>
      <c r="T54" s="68">
        <f t="shared" si="0"/>
        <v>43894</v>
      </c>
      <c r="U54" s="69">
        <f t="shared" si="1"/>
        <v>84.168796296296293</v>
      </c>
      <c r="V54" s="68" t="str">
        <f>IFERROR(VLOOKUP(A54,已除帳印單!B:D,3,0),"")</f>
        <v/>
      </c>
      <c r="W54" s="69" t="str">
        <f>IFERROR(VLOOKUP(A54,已除帳印單!B:E,4,0),"")</f>
        <v/>
      </c>
      <c r="X54" s="68" t="str">
        <f>IFERROR(INDEX(刷條碼區!A:C,MATCH(點上線資訊!S54,刷條碼區!C:C,0),1),"")</f>
        <v/>
      </c>
      <c r="Y54" s="69" t="str">
        <f>IFERROR(INDEX(刷條碼區!A:C,MATCH(點上線資訊!S54,刷條碼區!C:C,0),2),"")</f>
        <v/>
      </c>
      <c r="Z54" s="70" t="str">
        <f>IFERROR(INDEX(刷條碼區!D:G,MATCH(點上線資訊!S54,刷條碼區!F:F,0),1),"")</f>
        <v/>
      </c>
      <c r="AA54" s="71" t="str">
        <f>IFERROR(INDEX(刷條碼區!D:G,MATCH(點上線資訊!S54,刷條碼區!F:F,0),2),"")</f>
        <v/>
      </c>
      <c r="AB54" s="20">
        <f t="shared" si="2"/>
        <v>5</v>
      </c>
      <c r="AC54" s="20" t="b">
        <f t="shared" si="3"/>
        <v>0</v>
      </c>
      <c r="AD54" s="17" t="b">
        <f t="shared" si="4"/>
        <v>0</v>
      </c>
      <c r="AE54" s="17" t="b">
        <f t="shared" si="5"/>
        <v>0</v>
      </c>
    </row>
    <row r="55" spans="1:31" x14ac:dyDescent="0.2">
      <c r="A55" s="16">
        <v>5000468785</v>
      </c>
      <c r="B55" t="s">
        <v>301</v>
      </c>
      <c r="C55" t="s">
        <v>301</v>
      </c>
      <c r="D55" t="s">
        <v>1</v>
      </c>
      <c r="E55" t="s">
        <v>310</v>
      </c>
      <c r="F55" t="s">
        <v>311</v>
      </c>
      <c r="G55" s="2">
        <v>15</v>
      </c>
      <c r="H55" t="s">
        <v>461</v>
      </c>
      <c r="I55" t="s">
        <v>3</v>
      </c>
      <c r="J55" t="s">
        <v>53</v>
      </c>
      <c r="K55" t="s">
        <v>602</v>
      </c>
      <c r="L55" t="s">
        <v>603</v>
      </c>
      <c r="M55" t="s">
        <v>602</v>
      </c>
      <c r="N55" t="s">
        <v>602</v>
      </c>
      <c r="O55" t="s">
        <v>603</v>
      </c>
      <c r="P55" t="s">
        <v>602</v>
      </c>
      <c r="Q55" s="17">
        <f>IFERROR(VLOOKUP(A55,已除帳印單!B:C,1,0),0)*1</f>
        <v>0</v>
      </c>
      <c r="R55" s="67" t="str">
        <f>IFERROR(VLOOKUP(J55,線別!A:B,2,1),"")</f>
        <v>裝二線</v>
      </c>
      <c r="S55" s="17" t="str">
        <f>IFERROR(VLOOKUP(A55,已除帳印單!B:C,2,0),"")</f>
        <v/>
      </c>
      <c r="T55" s="68">
        <f t="shared" si="0"/>
        <v>43894</v>
      </c>
      <c r="U55" s="69">
        <f t="shared" si="1"/>
        <v>84.168796296296293</v>
      </c>
      <c r="V55" s="68" t="str">
        <f>IFERROR(VLOOKUP(A55,已除帳印單!B:D,3,0),"")</f>
        <v/>
      </c>
      <c r="W55" s="69" t="str">
        <f>IFERROR(VLOOKUP(A55,已除帳印單!B:E,4,0),"")</f>
        <v/>
      </c>
      <c r="X55" s="68" t="str">
        <f>IFERROR(INDEX(刷條碼區!A:C,MATCH(點上線資訊!S55,刷條碼區!C:C,0),1),"")</f>
        <v/>
      </c>
      <c r="Y55" s="69" t="str">
        <f>IFERROR(INDEX(刷條碼區!A:C,MATCH(點上線資訊!S55,刷條碼區!C:C,0),2),"")</f>
        <v/>
      </c>
      <c r="Z55" s="70" t="str">
        <f>IFERROR(INDEX(刷條碼區!D:G,MATCH(點上線資訊!S55,刷條碼區!F:F,0),1),"")</f>
        <v/>
      </c>
      <c r="AA55" s="71" t="str">
        <f>IFERROR(INDEX(刷條碼區!D:G,MATCH(點上線資訊!S55,刷條碼區!F:F,0),2),"")</f>
        <v/>
      </c>
      <c r="AB55" s="20">
        <f t="shared" si="2"/>
        <v>15</v>
      </c>
      <c r="AC55" s="20" t="b">
        <f t="shared" si="3"/>
        <v>0</v>
      </c>
      <c r="AD55" s="17" t="b">
        <f t="shared" si="4"/>
        <v>0</v>
      </c>
      <c r="AE55" s="17" t="b">
        <f t="shared" si="5"/>
        <v>0</v>
      </c>
    </row>
    <row r="56" spans="1:31" x14ac:dyDescent="0.2">
      <c r="A56" s="16">
        <v>5000468831</v>
      </c>
      <c r="B56" t="s">
        <v>301</v>
      </c>
      <c r="C56" t="s">
        <v>301</v>
      </c>
      <c r="D56" t="s">
        <v>1</v>
      </c>
      <c r="E56" t="s">
        <v>335</v>
      </c>
      <c r="F56" t="s">
        <v>487</v>
      </c>
      <c r="G56" s="2">
        <v>1</v>
      </c>
      <c r="H56" t="s">
        <v>461</v>
      </c>
      <c r="I56" t="s">
        <v>3</v>
      </c>
      <c r="J56" t="s">
        <v>53</v>
      </c>
      <c r="K56" t="s">
        <v>602</v>
      </c>
      <c r="L56" t="s">
        <v>603</v>
      </c>
      <c r="M56" t="s">
        <v>602</v>
      </c>
      <c r="N56" t="s">
        <v>602</v>
      </c>
      <c r="O56" t="s">
        <v>603</v>
      </c>
      <c r="P56" t="s">
        <v>602</v>
      </c>
      <c r="Q56" s="17">
        <f>IFERROR(VLOOKUP(A56,已除帳印單!B:C,1,0),0)*1</f>
        <v>0</v>
      </c>
      <c r="R56" s="67" t="str">
        <f>IFERROR(VLOOKUP(J56,線別!A:B,2,1),"")</f>
        <v>裝二線</v>
      </c>
      <c r="S56" s="17" t="str">
        <f>IFERROR(VLOOKUP(A56,已除帳印單!B:C,2,0),"")</f>
        <v/>
      </c>
      <c r="T56" s="68">
        <f t="shared" si="0"/>
        <v>43894</v>
      </c>
      <c r="U56" s="69">
        <f t="shared" si="1"/>
        <v>84.168796296296293</v>
      </c>
      <c r="V56" s="68" t="str">
        <f>IFERROR(VLOOKUP(A56,已除帳印單!B:D,3,0),"")</f>
        <v/>
      </c>
      <c r="W56" s="69" t="str">
        <f>IFERROR(VLOOKUP(A56,已除帳印單!B:E,4,0),"")</f>
        <v/>
      </c>
      <c r="X56" s="68" t="str">
        <f>IFERROR(INDEX(刷條碼區!A:C,MATCH(點上線資訊!S56,刷條碼區!C:C,0),1),"")</f>
        <v/>
      </c>
      <c r="Y56" s="69" t="str">
        <f>IFERROR(INDEX(刷條碼區!A:C,MATCH(點上線資訊!S56,刷條碼區!C:C,0),2),"")</f>
        <v/>
      </c>
      <c r="Z56" s="70" t="str">
        <f>IFERROR(INDEX(刷條碼區!D:G,MATCH(點上線資訊!S56,刷條碼區!F:F,0),1),"")</f>
        <v/>
      </c>
      <c r="AA56" s="71" t="str">
        <f>IFERROR(INDEX(刷條碼區!D:G,MATCH(點上線資訊!S56,刷條碼區!F:F,0),2),"")</f>
        <v/>
      </c>
      <c r="AB56" s="20">
        <f t="shared" si="2"/>
        <v>1</v>
      </c>
      <c r="AC56" s="20" t="b">
        <f t="shared" si="3"/>
        <v>0</v>
      </c>
      <c r="AD56" s="17" t="b">
        <f t="shared" si="4"/>
        <v>0</v>
      </c>
      <c r="AE56" s="17" t="b">
        <f t="shared" si="5"/>
        <v>0</v>
      </c>
    </row>
    <row r="57" spans="1:31" x14ac:dyDescent="0.2">
      <c r="A57" s="16">
        <v>5000469989</v>
      </c>
      <c r="B57" t="s">
        <v>6</v>
      </c>
      <c r="C57" t="s">
        <v>6</v>
      </c>
      <c r="D57" t="s">
        <v>1</v>
      </c>
      <c r="E57" t="s">
        <v>631</v>
      </c>
      <c r="F57" t="s">
        <v>632</v>
      </c>
      <c r="G57" s="2">
        <v>5</v>
      </c>
      <c r="H57" t="s">
        <v>461</v>
      </c>
      <c r="I57" t="s">
        <v>3</v>
      </c>
      <c r="J57" t="s">
        <v>136</v>
      </c>
      <c r="K57" t="s">
        <v>605</v>
      </c>
      <c r="L57" t="s">
        <v>608</v>
      </c>
      <c r="M57" t="s">
        <v>397</v>
      </c>
      <c r="N57" t="s">
        <v>602</v>
      </c>
      <c r="O57" t="s">
        <v>603</v>
      </c>
      <c r="P57" t="s">
        <v>602</v>
      </c>
      <c r="Q57" s="17">
        <f>IFERROR(VLOOKUP(A57,已除帳印單!B:C,1,0),0)*1</f>
        <v>0</v>
      </c>
      <c r="R57" s="67" t="str">
        <f>IFERROR(VLOOKUP(J57,線別!A:B,2,1),"")</f>
        <v>SCB線</v>
      </c>
      <c r="S57" s="17" t="str">
        <f>IFERROR(VLOOKUP(A57,已除帳印單!B:C,2,0),"")</f>
        <v/>
      </c>
      <c r="T57" s="68">
        <f t="shared" si="0"/>
        <v>43893</v>
      </c>
      <c r="U57" s="69">
        <f t="shared" si="1"/>
        <v>84.168784722222213</v>
      </c>
      <c r="V57" s="68" t="str">
        <f>IFERROR(VLOOKUP(A57,已除帳印單!B:D,3,0),"")</f>
        <v/>
      </c>
      <c r="W57" s="69" t="str">
        <f>IFERROR(VLOOKUP(A57,已除帳印單!B:E,4,0),"")</f>
        <v/>
      </c>
      <c r="X57" s="68" t="str">
        <f>IFERROR(INDEX(刷條碼區!A:C,MATCH(點上線資訊!S57,刷條碼區!C:C,0),1),"")</f>
        <v/>
      </c>
      <c r="Y57" s="69" t="str">
        <f>IFERROR(INDEX(刷條碼區!A:C,MATCH(點上線資訊!S57,刷條碼區!C:C,0),2),"")</f>
        <v/>
      </c>
      <c r="Z57" s="70" t="str">
        <f>IFERROR(INDEX(刷條碼區!D:G,MATCH(點上線資訊!S57,刷條碼區!F:F,0),1),"")</f>
        <v/>
      </c>
      <c r="AA57" s="71" t="str">
        <f>IFERROR(INDEX(刷條碼區!D:G,MATCH(點上線資訊!S57,刷條碼區!F:F,0),2),"")</f>
        <v/>
      </c>
      <c r="AB57" s="20" t="b">
        <f t="shared" si="2"/>
        <v>0</v>
      </c>
      <c r="AC57" s="20" t="b">
        <f t="shared" si="3"/>
        <v>0</v>
      </c>
      <c r="AD57" s="17" t="b">
        <f t="shared" si="4"/>
        <v>0</v>
      </c>
      <c r="AE57" s="17" t="b">
        <f t="shared" si="5"/>
        <v>0</v>
      </c>
    </row>
    <row r="58" spans="1:31" x14ac:dyDescent="0.2">
      <c r="A58" s="16">
        <v>5000470790</v>
      </c>
      <c r="B58" t="s">
        <v>301</v>
      </c>
      <c r="C58" t="s">
        <v>301</v>
      </c>
      <c r="D58" t="s">
        <v>1</v>
      </c>
      <c r="E58" t="s">
        <v>333</v>
      </c>
      <c r="F58" t="s">
        <v>462</v>
      </c>
      <c r="G58" s="2">
        <v>8</v>
      </c>
      <c r="H58" t="s">
        <v>461</v>
      </c>
      <c r="I58" t="s">
        <v>3</v>
      </c>
      <c r="J58" t="s">
        <v>53</v>
      </c>
      <c r="K58" t="s">
        <v>602</v>
      </c>
      <c r="L58" t="s">
        <v>603</v>
      </c>
      <c r="M58" t="s">
        <v>602</v>
      </c>
      <c r="N58" t="s">
        <v>602</v>
      </c>
      <c r="O58" t="s">
        <v>603</v>
      </c>
      <c r="P58" t="s">
        <v>602</v>
      </c>
      <c r="Q58" s="17">
        <f>IFERROR(VLOOKUP(A58,已除帳印單!B:C,1,0),0)*1</f>
        <v>0</v>
      </c>
      <c r="R58" s="67" t="str">
        <f>IFERROR(VLOOKUP(J58,線別!A:B,2,1),"")</f>
        <v>裝二線</v>
      </c>
      <c r="S58" s="17" t="str">
        <f>IFERROR(VLOOKUP(A58,已除帳印單!B:C,2,0),"")</f>
        <v/>
      </c>
      <c r="T58" s="68">
        <f t="shared" si="0"/>
        <v>43894</v>
      </c>
      <c r="U58" s="69">
        <f t="shared" si="1"/>
        <v>84.168796296296293</v>
      </c>
      <c r="V58" s="68" t="str">
        <f>IFERROR(VLOOKUP(A58,已除帳印單!B:D,3,0),"")</f>
        <v/>
      </c>
      <c r="W58" s="69" t="str">
        <f>IFERROR(VLOOKUP(A58,已除帳印單!B:E,4,0),"")</f>
        <v/>
      </c>
      <c r="X58" s="68" t="str">
        <f>IFERROR(INDEX(刷條碼區!A:C,MATCH(點上線資訊!S58,刷條碼區!C:C,0),1),"")</f>
        <v/>
      </c>
      <c r="Y58" s="69" t="str">
        <f>IFERROR(INDEX(刷條碼區!A:C,MATCH(點上線資訊!S58,刷條碼區!C:C,0),2),"")</f>
        <v/>
      </c>
      <c r="Z58" s="70" t="str">
        <f>IFERROR(INDEX(刷條碼區!D:G,MATCH(點上線資訊!S58,刷條碼區!F:F,0),1),"")</f>
        <v/>
      </c>
      <c r="AA58" s="71" t="str">
        <f>IFERROR(INDEX(刷條碼區!D:G,MATCH(點上線資訊!S58,刷條碼區!F:F,0),2),"")</f>
        <v/>
      </c>
      <c r="AB58" s="20">
        <f t="shared" si="2"/>
        <v>8</v>
      </c>
      <c r="AC58" s="20" t="b">
        <f t="shared" si="3"/>
        <v>0</v>
      </c>
      <c r="AD58" s="17" t="b">
        <f t="shared" si="4"/>
        <v>0</v>
      </c>
      <c r="AE58" s="17" t="b">
        <f t="shared" si="5"/>
        <v>0</v>
      </c>
    </row>
    <row r="59" spans="1:31" x14ac:dyDescent="0.2">
      <c r="A59" s="16">
        <v>5000470791</v>
      </c>
      <c r="B59" t="s">
        <v>301</v>
      </c>
      <c r="C59" t="s">
        <v>301</v>
      </c>
      <c r="D59" t="s">
        <v>1</v>
      </c>
      <c r="E59" t="s">
        <v>310</v>
      </c>
      <c r="F59" t="s">
        <v>311</v>
      </c>
      <c r="G59" s="2">
        <v>3</v>
      </c>
      <c r="H59" t="s">
        <v>461</v>
      </c>
      <c r="I59" t="s">
        <v>3</v>
      </c>
      <c r="J59" t="s">
        <v>53</v>
      </c>
      <c r="K59" t="s">
        <v>602</v>
      </c>
      <c r="L59" t="s">
        <v>603</v>
      </c>
      <c r="M59" t="s">
        <v>602</v>
      </c>
      <c r="N59" t="s">
        <v>602</v>
      </c>
      <c r="O59" t="s">
        <v>603</v>
      </c>
      <c r="P59" t="s">
        <v>602</v>
      </c>
      <c r="Q59" s="17">
        <f>IFERROR(VLOOKUP(A59,已除帳印單!B:C,1,0),0)*1</f>
        <v>0</v>
      </c>
      <c r="R59" s="67" t="str">
        <f>IFERROR(VLOOKUP(J59,線別!A:B,2,1),"")</f>
        <v>裝二線</v>
      </c>
      <c r="S59" s="17" t="str">
        <f>IFERROR(VLOOKUP(A59,已除帳印單!B:C,2,0),"")</f>
        <v/>
      </c>
      <c r="T59" s="68">
        <f t="shared" si="0"/>
        <v>43894</v>
      </c>
      <c r="U59" s="69">
        <f t="shared" si="1"/>
        <v>84.168796296296293</v>
      </c>
      <c r="V59" s="68" t="str">
        <f>IFERROR(VLOOKUP(A59,已除帳印單!B:D,3,0),"")</f>
        <v/>
      </c>
      <c r="W59" s="69" t="str">
        <f>IFERROR(VLOOKUP(A59,已除帳印單!B:E,4,0),"")</f>
        <v/>
      </c>
      <c r="X59" s="68" t="str">
        <f>IFERROR(INDEX(刷條碼區!A:C,MATCH(點上線資訊!S59,刷條碼區!C:C,0),1),"")</f>
        <v/>
      </c>
      <c r="Y59" s="69" t="str">
        <f>IFERROR(INDEX(刷條碼區!A:C,MATCH(點上線資訊!S59,刷條碼區!C:C,0),2),"")</f>
        <v/>
      </c>
      <c r="Z59" s="70" t="str">
        <f>IFERROR(INDEX(刷條碼區!D:G,MATCH(點上線資訊!S59,刷條碼區!F:F,0),1),"")</f>
        <v/>
      </c>
      <c r="AA59" s="71" t="str">
        <f>IFERROR(INDEX(刷條碼區!D:G,MATCH(點上線資訊!S59,刷條碼區!F:F,0),2),"")</f>
        <v/>
      </c>
      <c r="AB59" s="20">
        <f t="shared" si="2"/>
        <v>3</v>
      </c>
      <c r="AC59" s="20" t="b">
        <f t="shared" si="3"/>
        <v>0</v>
      </c>
      <c r="AD59" s="17" t="b">
        <f t="shared" si="4"/>
        <v>0</v>
      </c>
      <c r="AE59" s="17" t="b">
        <f t="shared" si="5"/>
        <v>0</v>
      </c>
    </row>
    <row r="60" spans="1:31" x14ac:dyDescent="0.2">
      <c r="A60" s="16">
        <v>5000470833</v>
      </c>
      <c r="B60" t="s">
        <v>301</v>
      </c>
      <c r="C60" t="s">
        <v>301</v>
      </c>
      <c r="D60" t="s">
        <v>1</v>
      </c>
      <c r="E60" t="s">
        <v>334</v>
      </c>
      <c r="F60" t="s">
        <v>488</v>
      </c>
      <c r="G60" s="2">
        <v>20</v>
      </c>
      <c r="H60" t="s">
        <v>461</v>
      </c>
      <c r="I60" t="s">
        <v>3</v>
      </c>
      <c r="J60" t="s">
        <v>53</v>
      </c>
      <c r="K60" t="s">
        <v>602</v>
      </c>
      <c r="L60" t="s">
        <v>603</v>
      </c>
      <c r="M60" t="s">
        <v>602</v>
      </c>
      <c r="N60" t="s">
        <v>602</v>
      </c>
      <c r="O60" t="s">
        <v>603</v>
      </c>
      <c r="P60" t="s">
        <v>602</v>
      </c>
      <c r="Q60" s="17">
        <f>IFERROR(VLOOKUP(A60,已除帳印單!B:C,1,0),0)*1</f>
        <v>0</v>
      </c>
      <c r="R60" s="67" t="str">
        <f>IFERROR(VLOOKUP(J60,線別!A:B,2,1),"")</f>
        <v>裝二線</v>
      </c>
      <c r="S60" s="17" t="str">
        <f>IFERROR(VLOOKUP(A60,已除帳印單!B:C,2,0),"")</f>
        <v/>
      </c>
      <c r="T60" s="68">
        <f t="shared" si="0"/>
        <v>43894</v>
      </c>
      <c r="U60" s="69">
        <f t="shared" si="1"/>
        <v>84.168796296296293</v>
      </c>
      <c r="V60" s="68" t="str">
        <f>IFERROR(VLOOKUP(A60,已除帳印單!B:D,3,0),"")</f>
        <v/>
      </c>
      <c r="W60" s="69" t="str">
        <f>IFERROR(VLOOKUP(A60,已除帳印單!B:E,4,0),"")</f>
        <v/>
      </c>
      <c r="X60" s="68" t="str">
        <f>IFERROR(INDEX(刷條碼區!A:C,MATCH(點上線資訊!S60,刷條碼區!C:C,0),1),"")</f>
        <v/>
      </c>
      <c r="Y60" s="69" t="str">
        <f>IFERROR(INDEX(刷條碼區!A:C,MATCH(點上線資訊!S60,刷條碼區!C:C,0),2),"")</f>
        <v/>
      </c>
      <c r="Z60" s="70" t="str">
        <f>IFERROR(INDEX(刷條碼區!D:G,MATCH(點上線資訊!S60,刷條碼區!F:F,0),1),"")</f>
        <v/>
      </c>
      <c r="AA60" s="71" t="str">
        <f>IFERROR(INDEX(刷條碼區!D:G,MATCH(點上線資訊!S60,刷條碼區!F:F,0),2),"")</f>
        <v/>
      </c>
      <c r="AB60" s="20">
        <f t="shared" si="2"/>
        <v>20</v>
      </c>
      <c r="AC60" s="20" t="b">
        <f t="shared" si="3"/>
        <v>0</v>
      </c>
      <c r="AD60" s="17" t="b">
        <f t="shared" si="4"/>
        <v>0</v>
      </c>
      <c r="AE60" s="17" t="b">
        <f t="shared" si="5"/>
        <v>0</v>
      </c>
    </row>
    <row r="61" spans="1:31" x14ac:dyDescent="0.2">
      <c r="A61" s="16">
        <v>5000470834</v>
      </c>
      <c r="B61" t="s">
        <v>301</v>
      </c>
      <c r="C61" t="s">
        <v>301</v>
      </c>
      <c r="D61" t="s">
        <v>1</v>
      </c>
      <c r="E61" t="s">
        <v>334</v>
      </c>
      <c r="F61" t="s">
        <v>488</v>
      </c>
      <c r="G61" s="2">
        <v>20</v>
      </c>
      <c r="H61" t="s">
        <v>461</v>
      </c>
      <c r="I61" t="s">
        <v>3</v>
      </c>
      <c r="J61" t="s">
        <v>53</v>
      </c>
      <c r="K61" t="s">
        <v>602</v>
      </c>
      <c r="L61" t="s">
        <v>603</v>
      </c>
      <c r="M61" t="s">
        <v>602</v>
      </c>
      <c r="N61" t="s">
        <v>602</v>
      </c>
      <c r="O61" t="s">
        <v>603</v>
      </c>
      <c r="P61" t="s">
        <v>602</v>
      </c>
      <c r="Q61" s="17">
        <f>IFERROR(VLOOKUP(A61,已除帳印單!B:C,1,0),0)*1</f>
        <v>0</v>
      </c>
      <c r="R61" s="67" t="str">
        <f>IFERROR(VLOOKUP(J61,線別!A:B,2,1),"")</f>
        <v>裝二線</v>
      </c>
      <c r="S61" s="17" t="str">
        <f>IFERROR(VLOOKUP(A61,已除帳印單!B:C,2,0),"")</f>
        <v/>
      </c>
      <c r="T61" s="68">
        <f t="shared" si="0"/>
        <v>43894</v>
      </c>
      <c r="U61" s="69">
        <f t="shared" si="1"/>
        <v>84.168796296296293</v>
      </c>
      <c r="V61" s="68" t="str">
        <f>IFERROR(VLOOKUP(A61,已除帳印單!B:D,3,0),"")</f>
        <v/>
      </c>
      <c r="W61" s="69" t="str">
        <f>IFERROR(VLOOKUP(A61,已除帳印單!B:E,4,0),"")</f>
        <v/>
      </c>
      <c r="X61" s="68" t="str">
        <f>IFERROR(INDEX(刷條碼區!A:C,MATCH(點上線資訊!S61,刷條碼區!C:C,0),1),"")</f>
        <v/>
      </c>
      <c r="Y61" s="69" t="str">
        <f>IFERROR(INDEX(刷條碼區!A:C,MATCH(點上線資訊!S61,刷條碼區!C:C,0),2),"")</f>
        <v/>
      </c>
      <c r="Z61" s="70" t="str">
        <f>IFERROR(INDEX(刷條碼區!D:G,MATCH(點上線資訊!S61,刷條碼區!F:F,0),1),"")</f>
        <v/>
      </c>
      <c r="AA61" s="71" t="str">
        <f>IFERROR(INDEX(刷條碼區!D:G,MATCH(點上線資訊!S61,刷條碼區!F:F,0),2),"")</f>
        <v/>
      </c>
      <c r="AB61" s="20">
        <f t="shared" si="2"/>
        <v>20</v>
      </c>
      <c r="AC61" s="20" t="b">
        <f t="shared" si="3"/>
        <v>0</v>
      </c>
      <c r="AD61" s="17" t="b">
        <f t="shared" si="4"/>
        <v>0</v>
      </c>
      <c r="AE61" s="17" t="b">
        <f t="shared" si="5"/>
        <v>0</v>
      </c>
    </row>
    <row r="62" spans="1:31" x14ac:dyDescent="0.2">
      <c r="A62" s="16">
        <v>5000470835</v>
      </c>
      <c r="B62" t="s">
        <v>301</v>
      </c>
      <c r="C62" t="s">
        <v>301</v>
      </c>
      <c r="D62" t="s">
        <v>1</v>
      </c>
      <c r="E62" t="s">
        <v>334</v>
      </c>
      <c r="F62" t="s">
        <v>488</v>
      </c>
      <c r="G62" s="2">
        <v>20</v>
      </c>
      <c r="H62" t="s">
        <v>461</v>
      </c>
      <c r="I62" t="s">
        <v>3</v>
      </c>
      <c r="J62" t="s">
        <v>53</v>
      </c>
      <c r="K62" t="s">
        <v>602</v>
      </c>
      <c r="L62" t="s">
        <v>603</v>
      </c>
      <c r="M62" t="s">
        <v>602</v>
      </c>
      <c r="N62" t="s">
        <v>602</v>
      </c>
      <c r="O62" t="s">
        <v>603</v>
      </c>
      <c r="P62" t="s">
        <v>602</v>
      </c>
      <c r="Q62" s="17">
        <f>IFERROR(VLOOKUP(A62,已除帳印單!B:C,1,0),0)*1</f>
        <v>0</v>
      </c>
      <c r="R62" s="67" t="str">
        <f>IFERROR(VLOOKUP(J62,線別!A:B,2,1),"")</f>
        <v>裝二線</v>
      </c>
      <c r="S62" s="17" t="str">
        <f>IFERROR(VLOOKUP(A62,已除帳印單!B:C,2,0),"")</f>
        <v/>
      </c>
      <c r="T62" s="68">
        <f t="shared" si="0"/>
        <v>43894</v>
      </c>
      <c r="U62" s="69">
        <f t="shared" si="1"/>
        <v>84.168796296296293</v>
      </c>
      <c r="V62" s="68" t="str">
        <f>IFERROR(VLOOKUP(A62,已除帳印單!B:D,3,0),"")</f>
        <v/>
      </c>
      <c r="W62" s="69" t="str">
        <f>IFERROR(VLOOKUP(A62,已除帳印單!B:E,4,0),"")</f>
        <v/>
      </c>
      <c r="X62" s="68" t="str">
        <f>IFERROR(INDEX(刷條碼區!A:C,MATCH(點上線資訊!S62,刷條碼區!C:C,0),1),"")</f>
        <v/>
      </c>
      <c r="Y62" s="69" t="str">
        <f>IFERROR(INDEX(刷條碼區!A:C,MATCH(點上線資訊!S62,刷條碼區!C:C,0),2),"")</f>
        <v/>
      </c>
      <c r="Z62" s="70" t="str">
        <f>IFERROR(INDEX(刷條碼區!D:G,MATCH(點上線資訊!S62,刷條碼區!F:F,0),1),"")</f>
        <v/>
      </c>
      <c r="AA62" s="71" t="str">
        <f>IFERROR(INDEX(刷條碼區!D:G,MATCH(點上線資訊!S62,刷條碼區!F:F,0),2),"")</f>
        <v/>
      </c>
      <c r="AB62" s="20">
        <f t="shared" si="2"/>
        <v>20</v>
      </c>
      <c r="AC62" s="20" t="b">
        <f t="shared" si="3"/>
        <v>0</v>
      </c>
      <c r="AD62" s="17" t="b">
        <f t="shared" si="4"/>
        <v>0</v>
      </c>
      <c r="AE62" s="17" t="b">
        <f t="shared" si="5"/>
        <v>0</v>
      </c>
    </row>
    <row r="63" spans="1:31" x14ac:dyDescent="0.2">
      <c r="A63" s="16">
        <v>5000470836</v>
      </c>
      <c r="B63" t="s">
        <v>301</v>
      </c>
      <c r="C63" t="s">
        <v>301</v>
      </c>
      <c r="D63" t="s">
        <v>1</v>
      </c>
      <c r="E63" t="s">
        <v>334</v>
      </c>
      <c r="F63" t="s">
        <v>488</v>
      </c>
      <c r="G63" s="2">
        <v>20</v>
      </c>
      <c r="H63" t="s">
        <v>461</v>
      </c>
      <c r="I63" t="s">
        <v>3</v>
      </c>
      <c r="J63" t="s">
        <v>53</v>
      </c>
      <c r="K63" t="s">
        <v>602</v>
      </c>
      <c r="L63" t="s">
        <v>603</v>
      </c>
      <c r="M63" t="s">
        <v>602</v>
      </c>
      <c r="N63" t="s">
        <v>602</v>
      </c>
      <c r="O63" t="s">
        <v>603</v>
      </c>
      <c r="P63" t="s">
        <v>602</v>
      </c>
      <c r="Q63" s="17">
        <f>IFERROR(VLOOKUP(A63,已除帳印單!B:C,1,0),0)*1</f>
        <v>0</v>
      </c>
      <c r="R63" s="67" t="str">
        <f>IFERROR(VLOOKUP(J63,線別!A:B,2,1),"")</f>
        <v>裝二線</v>
      </c>
      <c r="S63" s="17" t="str">
        <f>IFERROR(VLOOKUP(A63,已除帳印單!B:C,2,0),"")</f>
        <v/>
      </c>
      <c r="T63" s="68">
        <f t="shared" si="0"/>
        <v>43894</v>
      </c>
      <c r="U63" s="69">
        <f t="shared" si="1"/>
        <v>84.168796296296293</v>
      </c>
      <c r="V63" s="68" t="str">
        <f>IFERROR(VLOOKUP(A63,已除帳印單!B:D,3,0),"")</f>
        <v/>
      </c>
      <c r="W63" s="69" t="str">
        <f>IFERROR(VLOOKUP(A63,已除帳印單!B:E,4,0),"")</f>
        <v/>
      </c>
      <c r="X63" s="68" t="str">
        <f>IFERROR(INDEX(刷條碼區!A:C,MATCH(點上線資訊!S63,刷條碼區!C:C,0),1),"")</f>
        <v/>
      </c>
      <c r="Y63" s="69" t="str">
        <f>IFERROR(INDEX(刷條碼區!A:C,MATCH(點上線資訊!S63,刷條碼區!C:C,0),2),"")</f>
        <v/>
      </c>
      <c r="Z63" s="70" t="str">
        <f>IFERROR(INDEX(刷條碼區!D:G,MATCH(點上線資訊!S63,刷條碼區!F:F,0),1),"")</f>
        <v/>
      </c>
      <c r="AA63" s="71" t="str">
        <f>IFERROR(INDEX(刷條碼區!D:G,MATCH(點上線資訊!S63,刷條碼區!F:F,0),2),"")</f>
        <v/>
      </c>
      <c r="AB63" s="20">
        <f t="shared" si="2"/>
        <v>20</v>
      </c>
      <c r="AC63" s="20" t="b">
        <f t="shared" si="3"/>
        <v>0</v>
      </c>
      <c r="AD63" s="17" t="b">
        <f t="shared" si="4"/>
        <v>0</v>
      </c>
      <c r="AE63" s="17" t="b">
        <f t="shared" si="5"/>
        <v>0</v>
      </c>
    </row>
    <row r="64" spans="1:31" x14ac:dyDescent="0.2">
      <c r="A64" s="16">
        <v>5000470837</v>
      </c>
      <c r="B64" t="s">
        <v>301</v>
      </c>
      <c r="C64" t="s">
        <v>301</v>
      </c>
      <c r="D64" t="s">
        <v>1</v>
      </c>
      <c r="E64" t="s">
        <v>334</v>
      </c>
      <c r="F64" t="s">
        <v>488</v>
      </c>
      <c r="G64" s="2">
        <v>20</v>
      </c>
      <c r="H64" t="s">
        <v>461</v>
      </c>
      <c r="I64" t="s">
        <v>3</v>
      </c>
      <c r="J64" t="s">
        <v>53</v>
      </c>
      <c r="K64" t="s">
        <v>602</v>
      </c>
      <c r="L64" t="s">
        <v>603</v>
      </c>
      <c r="M64" t="s">
        <v>602</v>
      </c>
      <c r="N64" t="s">
        <v>602</v>
      </c>
      <c r="O64" t="s">
        <v>603</v>
      </c>
      <c r="P64" t="s">
        <v>602</v>
      </c>
      <c r="Q64" s="17">
        <f>IFERROR(VLOOKUP(A64,已除帳印單!B:C,1,0),0)*1</f>
        <v>0</v>
      </c>
      <c r="R64" s="67" t="str">
        <f>IFERROR(VLOOKUP(J64,線別!A:B,2,1),"")</f>
        <v>裝二線</v>
      </c>
      <c r="S64" s="17" t="str">
        <f>IFERROR(VLOOKUP(A64,已除帳印單!B:C,2,0),"")</f>
        <v/>
      </c>
      <c r="T64" s="68">
        <f t="shared" si="0"/>
        <v>43894</v>
      </c>
      <c r="U64" s="69">
        <f t="shared" si="1"/>
        <v>84.168796296296293</v>
      </c>
      <c r="V64" s="68" t="str">
        <f>IFERROR(VLOOKUP(A64,已除帳印單!B:D,3,0),"")</f>
        <v/>
      </c>
      <c r="W64" s="69" t="str">
        <f>IFERROR(VLOOKUP(A64,已除帳印單!B:E,4,0),"")</f>
        <v/>
      </c>
      <c r="X64" s="68" t="str">
        <f>IFERROR(INDEX(刷條碼區!A:C,MATCH(點上線資訊!S64,刷條碼區!C:C,0),1),"")</f>
        <v/>
      </c>
      <c r="Y64" s="69" t="str">
        <f>IFERROR(INDEX(刷條碼區!A:C,MATCH(點上線資訊!S64,刷條碼區!C:C,0),2),"")</f>
        <v/>
      </c>
      <c r="Z64" s="70" t="str">
        <f>IFERROR(INDEX(刷條碼區!D:G,MATCH(點上線資訊!S64,刷條碼區!F:F,0),1),"")</f>
        <v/>
      </c>
      <c r="AA64" s="71" t="str">
        <f>IFERROR(INDEX(刷條碼區!D:G,MATCH(點上線資訊!S64,刷條碼區!F:F,0),2),"")</f>
        <v/>
      </c>
      <c r="AB64" s="20">
        <f t="shared" si="2"/>
        <v>20</v>
      </c>
      <c r="AC64" s="20" t="b">
        <f t="shared" si="3"/>
        <v>0</v>
      </c>
      <c r="AD64" s="17" t="b">
        <f t="shared" si="4"/>
        <v>0</v>
      </c>
      <c r="AE64" s="17" t="b">
        <f t="shared" si="5"/>
        <v>0</v>
      </c>
    </row>
    <row r="65" spans="1:31" x14ac:dyDescent="0.2">
      <c r="A65" s="16">
        <v>5000470838</v>
      </c>
      <c r="B65" t="s">
        <v>301</v>
      </c>
      <c r="C65" t="s">
        <v>301</v>
      </c>
      <c r="D65" t="s">
        <v>1</v>
      </c>
      <c r="E65" t="s">
        <v>333</v>
      </c>
      <c r="F65" t="s">
        <v>462</v>
      </c>
      <c r="G65" s="2">
        <v>20</v>
      </c>
      <c r="H65" t="s">
        <v>461</v>
      </c>
      <c r="I65" t="s">
        <v>3</v>
      </c>
      <c r="J65" t="s">
        <v>53</v>
      </c>
      <c r="K65" t="s">
        <v>602</v>
      </c>
      <c r="L65" t="s">
        <v>603</v>
      </c>
      <c r="M65" t="s">
        <v>602</v>
      </c>
      <c r="N65" t="s">
        <v>602</v>
      </c>
      <c r="O65" t="s">
        <v>603</v>
      </c>
      <c r="P65" t="s">
        <v>602</v>
      </c>
      <c r="Q65" s="17">
        <f>IFERROR(VLOOKUP(A65,已除帳印單!B:C,1,0),0)*1</f>
        <v>0</v>
      </c>
      <c r="R65" s="67" t="str">
        <f>IFERROR(VLOOKUP(J65,線別!A:B,2,1),"")</f>
        <v>裝二線</v>
      </c>
      <c r="S65" s="17" t="str">
        <f>IFERROR(VLOOKUP(A65,已除帳印單!B:C,2,0),"")</f>
        <v/>
      </c>
      <c r="T65" s="68">
        <f t="shared" si="0"/>
        <v>43894</v>
      </c>
      <c r="U65" s="69">
        <f t="shared" si="1"/>
        <v>84.168796296296293</v>
      </c>
      <c r="V65" s="68" t="str">
        <f>IFERROR(VLOOKUP(A65,已除帳印單!B:D,3,0),"")</f>
        <v/>
      </c>
      <c r="W65" s="69" t="str">
        <f>IFERROR(VLOOKUP(A65,已除帳印單!B:E,4,0),"")</f>
        <v/>
      </c>
      <c r="X65" s="68" t="str">
        <f>IFERROR(INDEX(刷條碼區!A:C,MATCH(點上線資訊!S65,刷條碼區!C:C,0),1),"")</f>
        <v/>
      </c>
      <c r="Y65" s="69" t="str">
        <f>IFERROR(INDEX(刷條碼區!A:C,MATCH(點上線資訊!S65,刷條碼區!C:C,0),2),"")</f>
        <v/>
      </c>
      <c r="Z65" s="70" t="str">
        <f>IFERROR(INDEX(刷條碼區!D:G,MATCH(點上線資訊!S65,刷條碼區!F:F,0),1),"")</f>
        <v/>
      </c>
      <c r="AA65" s="71" t="str">
        <f>IFERROR(INDEX(刷條碼區!D:G,MATCH(點上線資訊!S65,刷條碼區!F:F,0),2),"")</f>
        <v/>
      </c>
      <c r="AB65" s="20">
        <f t="shared" si="2"/>
        <v>20</v>
      </c>
      <c r="AC65" s="20" t="b">
        <f t="shared" si="3"/>
        <v>0</v>
      </c>
      <c r="AD65" s="17" t="b">
        <f t="shared" si="4"/>
        <v>0</v>
      </c>
      <c r="AE65" s="17" t="b">
        <f t="shared" si="5"/>
        <v>0</v>
      </c>
    </row>
    <row r="66" spans="1:31" x14ac:dyDescent="0.2">
      <c r="A66" s="16">
        <v>5000470839</v>
      </c>
      <c r="B66" t="s">
        <v>301</v>
      </c>
      <c r="C66" t="s">
        <v>301</v>
      </c>
      <c r="D66" t="s">
        <v>1</v>
      </c>
      <c r="E66" t="s">
        <v>333</v>
      </c>
      <c r="F66" t="s">
        <v>462</v>
      </c>
      <c r="G66" s="2">
        <v>20</v>
      </c>
      <c r="H66" t="s">
        <v>461</v>
      </c>
      <c r="I66" t="s">
        <v>3</v>
      </c>
      <c r="J66" t="s">
        <v>53</v>
      </c>
      <c r="K66" t="s">
        <v>602</v>
      </c>
      <c r="L66" t="s">
        <v>603</v>
      </c>
      <c r="M66" t="s">
        <v>602</v>
      </c>
      <c r="N66" t="s">
        <v>602</v>
      </c>
      <c r="O66" t="s">
        <v>603</v>
      </c>
      <c r="P66" t="s">
        <v>602</v>
      </c>
      <c r="Q66" s="17">
        <f>IFERROR(VLOOKUP(A66,已除帳印單!B:C,1,0),0)*1</f>
        <v>0</v>
      </c>
      <c r="R66" s="67" t="str">
        <f>IFERROR(VLOOKUP(J66,線別!A:B,2,1),"")</f>
        <v>裝二線</v>
      </c>
      <c r="S66" s="17" t="str">
        <f>IFERROR(VLOOKUP(A66,已除帳印單!B:C,2,0),"")</f>
        <v/>
      </c>
      <c r="T66" s="68">
        <f t="shared" si="0"/>
        <v>43894</v>
      </c>
      <c r="U66" s="69">
        <f t="shared" si="1"/>
        <v>84.168796296296293</v>
      </c>
      <c r="V66" s="68" t="str">
        <f>IFERROR(VLOOKUP(A66,已除帳印單!B:D,3,0),"")</f>
        <v/>
      </c>
      <c r="W66" s="69" t="str">
        <f>IFERROR(VLOOKUP(A66,已除帳印單!B:E,4,0),"")</f>
        <v/>
      </c>
      <c r="X66" s="68" t="str">
        <f>IFERROR(INDEX(刷條碼區!A:C,MATCH(點上線資訊!S66,刷條碼區!C:C,0),1),"")</f>
        <v/>
      </c>
      <c r="Y66" s="69" t="str">
        <f>IFERROR(INDEX(刷條碼區!A:C,MATCH(點上線資訊!S66,刷條碼區!C:C,0),2),"")</f>
        <v/>
      </c>
      <c r="Z66" s="70" t="str">
        <f>IFERROR(INDEX(刷條碼區!D:G,MATCH(點上線資訊!S66,刷條碼區!F:F,0),1),"")</f>
        <v/>
      </c>
      <c r="AA66" s="71" t="str">
        <f>IFERROR(INDEX(刷條碼區!D:G,MATCH(點上線資訊!S66,刷條碼區!F:F,0),2),"")</f>
        <v/>
      </c>
      <c r="AB66" s="20">
        <f t="shared" si="2"/>
        <v>20</v>
      </c>
      <c r="AC66" s="20" t="b">
        <f t="shared" si="3"/>
        <v>0</v>
      </c>
      <c r="AD66" s="17" t="b">
        <f t="shared" si="4"/>
        <v>0</v>
      </c>
      <c r="AE66" s="17" t="b">
        <f t="shared" si="5"/>
        <v>0</v>
      </c>
    </row>
    <row r="67" spans="1:31" x14ac:dyDescent="0.2">
      <c r="A67" s="16">
        <v>5000470878</v>
      </c>
      <c r="B67" t="s">
        <v>301</v>
      </c>
      <c r="C67" t="s">
        <v>301</v>
      </c>
      <c r="D67" t="s">
        <v>1</v>
      </c>
      <c r="E67" t="s">
        <v>310</v>
      </c>
      <c r="F67" t="s">
        <v>311</v>
      </c>
      <c r="G67" s="2">
        <v>1</v>
      </c>
      <c r="H67" t="s">
        <v>461</v>
      </c>
      <c r="I67" t="s">
        <v>3</v>
      </c>
      <c r="J67" t="s">
        <v>53</v>
      </c>
      <c r="K67" t="s">
        <v>602</v>
      </c>
      <c r="L67" t="s">
        <v>603</v>
      </c>
      <c r="M67" t="s">
        <v>602</v>
      </c>
      <c r="N67" t="s">
        <v>602</v>
      </c>
      <c r="O67" t="s">
        <v>603</v>
      </c>
      <c r="P67" t="s">
        <v>602</v>
      </c>
      <c r="Q67" s="17">
        <f>IFERROR(VLOOKUP(A67,已除帳印單!B:C,1,0),0)*1</f>
        <v>0</v>
      </c>
      <c r="R67" s="67" t="str">
        <f>IFERROR(VLOOKUP(J67,線別!A:B,2,1),"")</f>
        <v>裝二線</v>
      </c>
      <c r="S67" s="17" t="str">
        <f>IFERROR(VLOOKUP(A67,已除帳印單!B:C,2,0),"")</f>
        <v/>
      </c>
      <c r="T67" s="68">
        <f t="shared" ref="T67:T130" si="6">--TEXT(B67,"0000-00-00")</f>
        <v>43894</v>
      </c>
      <c r="U67" s="69">
        <f t="shared" ref="U67:U130" si="7">--TEXT(C67,"00\:00\:00")</f>
        <v>84.168796296296293</v>
      </c>
      <c r="V67" s="68" t="str">
        <f>IFERROR(VLOOKUP(A67,已除帳印單!B:D,3,0),"")</f>
        <v/>
      </c>
      <c r="W67" s="69" t="str">
        <f>IFERROR(VLOOKUP(A67,已除帳印單!B:E,4,0),"")</f>
        <v/>
      </c>
      <c r="X67" s="68" t="str">
        <f>IFERROR(INDEX(刷條碼區!A:C,MATCH(點上線資訊!S67,刷條碼區!C:C,0),1),"")</f>
        <v/>
      </c>
      <c r="Y67" s="69" t="str">
        <f>IFERROR(INDEX(刷條碼區!A:C,MATCH(點上線資訊!S67,刷條碼區!C:C,0),2),"")</f>
        <v/>
      </c>
      <c r="Z67" s="70" t="str">
        <f>IFERROR(INDEX(刷條碼區!D:G,MATCH(點上線資訊!S67,刷條碼區!F:F,0),1),"")</f>
        <v/>
      </c>
      <c r="AA67" s="71" t="str">
        <f>IFERROR(INDEX(刷條碼區!D:G,MATCH(點上線資訊!S67,刷條碼區!F:F,0),2),"")</f>
        <v/>
      </c>
      <c r="AB67" s="20">
        <f t="shared" ref="AB67:AB130" si="8">IF(K67&amp;N67="",G67)</f>
        <v>1</v>
      </c>
      <c r="AC67" s="20" t="b">
        <f t="shared" ref="AC67:AC130" si="9">IF(S67&lt;&gt;"",G67)</f>
        <v>0</v>
      </c>
      <c r="AD67" s="17" t="b">
        <f t="shared" ref="AD67:AD130" si="10">IF(X67&lt;&gt;"",G67)</f>
        <v>0</v>
      </c>
      <c r="AE67" s="17" t="b">
        <f t="shared" ref="AE67:AE130" si="11">IF(Z67&lt;&gt;"",G67)</f>
        <v>0</v>
      </c>
    </row>
    <row r="68" spans="1:31" x14ac:dyDescent="0.2">
      <c r="A68" s="16">
        <v>5000470880</v>
      </c>
      <c r="B68" t="s">
        <v>301</v>
      </c>
      <c r="C68" t="s">
        <v>301</v>
      </c>
      <c r="D68" t="s">
        <v>1</v>
      </c>
      <c r="E68" t="s">
        <v>334</v>
      </c>
      <c r="F68" t="s">
        <v>488</v>
      </c>
      <c r="G68" s="2">
        <v>1</v>
      </c>
      <c r="H68" t="s">
        <v>461</v>
      </c>
      <c r="I68" t="s">
        <v>3</v>
      </c>
      <c r="J68" t="s">
        <v>53</v>
      </c>
      <c r="K68" t="s">
        <v>602</v>
      </c>
      <c r="L68" t="s">
        <v>603</v>
      </c>
      <c r="M68" t="s">
        <v>602</v>
      </c>
      <c r="N68" t="s">
        <v>602</v>
      </c>
      <c r="O68" t="s">
        <v>603</v>
      </c>
      <c r="P68" t="s">
        <v>602</v>
      </c>
      <c r="Q68" s="17">
        <f>IFERROR(VLOOKUP(A68,已除帳印單!B:C,1,0),0)*1</f>
        <v>0</v>
      </c>
      <c r="R68" s="67" t="str">
        <f>IFERROR(VLOOKUP(J68,線別!A:B,2,1),"")</f>
        <v>裝二線</v>
      </c>
      <c r="S68" s="17" t="str">
        <f>IFERROR(VLOOKUP(A68,已除帳印單!B:C,2,0),"")</f>
        <v/>
      </c>
      <c r="T68" s="68">
        <f t="shared" si="6"/>
        <v>43894</v>
      </c>
      <c r="U68" s="69">
        <f t="shared" si="7"/>
        <v>84.168796296296293</v>
      </c>
      <c r="V68" s="68" t="str">
        <f>IFERROR(VLOOKUP(A68,已除帳印單!B:D,3,0),"")</f>
        <v/>
      </c>
      <c r="W68" s="69" t="str">
        <f>IFERROR(VLOOKUP(A68,已除帳印單!B:E,4,0),"")</f>
        <v/>
      </c>
      <c r="X68" s="68" t="str">
        <f>IFERROR(INDEX(刷條碼區!A:C,MATCH(點上線資訊!S68,刷條碼區!C:C,0),1),"")</f>
        <v/>
      </c>
      <c r="Y68" s="69" t="str">
        <f>IFERROR(INDEX(刷條碼區!A:C,MATCH(點上線資訊!S68,刷條碼區!C:C,0),2),"")</f>
        <v/>
      </c>
      <c r="Z68" s="70" t="str">
        <f>IFERROR(INDEX(刷條碼區!D:G,MATCH(點上線資訊!S68,刷條碼區!F:F,0),1),"")</f>
        <v/>
      </c>
      <c r="AA68" s="71" t="str">
        <f>IFERROR(INDEX(刷條碼區!D:G,MATCH(點上線資訊!S68,刷條碼區!F:F,0),2),"")</f>
        <v/>
      </c>
      <c r="AB68" s="20">
        <f t="shared" si="8"/>
        <v>1</v>
      </c>
      <c r="AC68" s="20" t="b">
        <f t="shared" si="9"/>
        <v>0</v>
      </c>
      <c r="AD68" s="17" t="b">
        <f t="shared" si="10"/>
        <v>0</v>
      </c>
      <c r="AE68" s="17" t="b">
        <f t="shared" si="11"/>
        <v>0</v>
      </c>
    </row>
    <row r="69" spans="1:31" x14ac:dyDescent="0.2">
      <c r="A69" s="16">
        <v>5000471549</v>
      </c>
      <c r="B69" t="s">
        <v>301</v>
      </c>
      <c r="C69" t="s">
        <v>301</v>
      </c>
      <c r="D69" t="s">
        <v>1</v>
      </c>
      <c r="E69" t="s">
        <v>335</v>
      </c>
      <c r="F69" t="s">
        <v>487</v>
      </c>
      <c r="G69" s="2">
        <v>20</v>
      </c>
      <c r="H69" t="s">
        <v>461</v>
      </c>
      <c r="I69" t="s">
        <v>3</v>
      </c>
      <c r="J69" t="s">
        <v>53</v>
      </c>
      <c r="K69" t="s">
        <v>602</v>
      </c>
      <c r="L69" t="s">
        <v>603</v>
      </c>
      <c r="M69" t="s">
        <v>602</v>
      </c>
      <c r="N69" t="s">
        <v>602</v>
      </c>
      <c r="O69" t="s">
        <v>603</v>
      </c>
      <c r="P69" t="s">
        <v>602</v>
      </c>
      <c r="Q69" s="17">
        <f>IFERROR(VLOOKUP(A69,已除帳印單!B:C,1,0),0)*1</f>
        <v>0</v>
      </c>
      <c r="R69" s="67" t="str">
        <f>IFERROR(VLOOKUP(J69,線別!A:B,2,1),"")</f>
        <v>裝二線</v>
      </c>
      <c r="S69" s="17" t="str">
        <f>IFERROR(VLOOKUP(A69,已除帳印單!B:C,2,0),"")</f>
        <v/>
      </c>
      <c r="T69" s="68">
        <f t="shared" si="6"/>
        <v>43894</v>
      </c>
      <c r="U69" s="69">
        <f t="shared" si="7"/>
        <v>84.168796296296293</v>
      </c>
      <c r="V69" s="68" t="str">
        <f>IFERROR(VLOOKUP(A69,已除帳印單!B:D,3,0),"")</f>
        <v/>
      </c>
      <c r="W69" s="69" t="str">
        <f>IFERROR(VLOOKUP(A69,已除帳印單!B:E,4,0),"")</f>
        <v/>
      </c>
      <c r="X69" s="68" t="str">
        <f>IFERROR(INDEX(刷條碼區!A:C,MATCH(點上線資訊!S69,刷條碼區!C:C,0),1),"")</f>
        <v/>
      </c>
      <c r="Y69" s="69" t="str">
        <f>IFERROR(INDEX(刷條碼區!A:C,MATCH(點上線資訊!S69,刷條碼區!C:C,0),2),"")</f>
        <v/>
      </c>
      <c r="Z69" s="70" t="str">
        <f>IFERROR(INDEX(刷條碼區!D:G,MATCH(點上線資訊!S69,刷條碼區!F:F,0),1),"")</f>
        <v/>
      </c>
      <c r="AA69" s="71" t="str">
        <f>IFERROR(INDEX(刷條碼區!D:G,MATCH(點上線資訊!S69,刷條碼區!F:F,0),2),"")</f>
        <v/>
      </c>
      <c r="AB69" s="20">
        <f t="shared" si="8"/>
        <v>20</v>
      </c>
      <c r="AC69" s="20" t="b">
        <f t="shared" si="9"/>
        <v>0</v>
      </c>
      <c r="AD69" s="17" t="b">
        <f t="shared" si="10"/>
        <v>0</v>
      </c>
      <c r="AE69" s="17" t="b">
        <f t="shared" si="11"/>
        <v>0</v>
      </c>
    </row>
    <row r="70" spans="1:31" x14ac:dyDescent="0.2">
      <c r="A70" s="16">
        <v>5000471550</v>
      </c>
      <c r="B70" t="s">
        <v>301</v>
      </c>
      <c r="C70" t="s">
        <v>301</v>
      </c>
      <c r="D70" t="s">
        <v>1</v>
      </c>
      <c r="E70" t="s">
        <v>335</v>
      </c>
      <c r="F70" t="s">
        <v>487</v>
      </c>
      <c r="G70" s="2">
        <v>20</v>
      </c>
      <c r="H70" t="s">
        <v>461</v>
      </c>
      <c r="I70" t="s">
        <v>3</v>
      </c>
      <c r="J70" t="s">
        <v>53</v>
      </c>
      <c r="K70" t="s">
        <v>602</v>
      </c>
      <c r="L70" t="s">
        <v>603</v>
      </c>
      <c r="M70" t="s">
        <v>602</v>
      </c>
      <c r="N70" t="s">
        <v>602</v>
      </c>
      <c r="O70" t="s">
        <v>603</v>
      </c>
      <c r="P70" t="s">
        <v>602</v>
      </c>
      <c r="Q70" s="17">
        <f>IFERROR(VLOOKUP(A70,已除帳印單!B:C,1,0),0)*1</f>
        <v>0</v>
      </c>
      <c r="R70" s="67" t="str">
        <f>IFERROR(VLOOKUP(J70,線別!A:B,2,1),"")</f>
        <v>裝二線</v>
      </c>
      <c r="S70" s="17" t="str">
        <f>IFERROR(VLOOKUP(A70,已除帳印單!B:C,2,0),"")</f>
        <v/>
      </c>
      <c r="T70" s="68">
        <f t="shared" si="6"/>
        <v>43894</v>
      </c>
      <c r="U70" s="69">
        <f t="shared" si="7"/>
        <v>84.168796296296293</v>
      </c>
      <c r="V70" s="68" t="str">
        <f>IFERROR(VLOOKUP(A70,已除帳印單!B:D,3,0),"")</f>
        <v/>
      </c>
      <c r="W70" s="69" t="str">
        <f>IFERROR(VLOOKUP(A70,已除帳印單!B:E,4,0),"")</f>
        <v/>
      </c>
      <c r="X70" s="68" t="str">
        <f>IFERROR(INDEX(刷條碼區!A:C,MATCH(點上線資訊!S70,刷條碼區!C:C,0),1),"")</f>
        <v/>
      </c>
      <c r="Y70" s="69" t="str">
        <f>IFERROR(INDEX(刷條碼區!A:C,MATCH(點上線資訊!S70,刷條碼區!C:C,0),2),"")</f>
        <v/>
      </c>
      <c r="Z70" s="70" t="str">
        <f>IFERROR(INDEX(刷條碼區!D:G,MATCH(點上線資訊!S70,刷條碼區!F:F,0),1),"")</f>
        <v/>
      </c>
      <c r="AA70" s="71" t="str">
        <f>IFERROR(INDEX(刷條碼區!D:G,MATCH(點上線資訊!S70,刷條碼區!F:F,0),2),"")</f>
        <v/>
      </c>
      <c r="AB70" s="20">
        <f t="shared" si="8"/>
        <v>20</v>
      </c>
      <c r="AC70" s="20" t="b">
        <f t="shared" si="9"/>
        <v>0</v>
      </c>
      <c r="AD70" s="17" t="b">
        <f t="shared" si="10"/>
        <v>0</v>
      </c>
      <c r="AE70" s="17" t="b">
        <f t="shared" si="11"/>
        <v>0</v>
      </c>
    </row>
    <row r="71" spans="1:31" x14ac:dyDescent="0.2">
      <c r="A71" s="16">
        <v>5000471551</v>
      </c>
      <c r="B71" t="s">
        <v>301</v>
      </c>
      <c r="C71" t="s">
        <v>301</v>
      </c>
      <c r="D71" t="s">
        <v>1</v>
      </c>
      <c r="E71" t="s">
        <v>335</v>
      </c>
      <c r="F71" t="s">
        <v>487</v>
      </c>
      <c r="G71" s="2">
        <v>20</v>
      </c>
      <c r="H71" t="s">
        <v>461</v>
      </c>
      <c r="I71" t="s">
        <v>3</v>
      </c>
      <c r="J71" t="s">
        <v>53</v>
      </c>
      <c r="K71" t="s">
        <v>602</v>
      </c>
      <c r="L71" t="s">
        <v>603</v>
      </c>
      <c r="M71" t="s">
        <v>602</v>
      </c>
      <c r="N71" t="s">
        <v>602</v>
      </c>
      <c r="O71" t="s">
        <v>603</v>
      </c>
      <c r="P71" t="s">
        <v>602</v>
      </c>
      <c r="Q71" s="17">
        <f>IFERROR(VLOOKUP(A71,已除帳印單!B:C,1,0),0)*1</f>
        <v>0</v>
      </c>
      <c r="R71" s="67" t="str">
        <f>IFERROR(VLOOKUP(J71,線別!A:B,2,1),"")</f>
        <v>裝二線</v>
      </c>
      <c r="S71" s="17" t="str">
        <f>IFERROR(VLOOKUP(A71,已除帳印單!B:C,2,0),"")</f>
        <v/>
      </c>
      <c r="T71" s="68">
        <f t="shared" si="6"/>
        <v>43894</v>
      </c>
      <c r="U71" s="69">
        <f t="shared" si="7"/>
        <v>84.168796296296293</v>
      </c>
      <c r="V71" s="68" t="str">
        <f>IFERROR(VLOOKUP(A71,已除帳印單!B:D,3,0),"")</f>
        <v/>
      </c>
      <c r="W71" s="69" t="str">
        <f>IFERROR(VLOOKUP(A71,已除帳印單!B:E,4,0),"")</f>
        <v/>
      </c>
      <c r="X71" s="68" t="str">
        <f>IFERROR(INDEX(刷條碼區!A:C,MATCH(點上線資訊!S71,刷條碼區!C:C,0),1),"")</f>
        <v/>
      </c>
      <c r="Y71" s="69" t="str">
        <f>IFERROR(INDEX(刷條碼區!A:C,MATCH(點上線資訊!S71,刷條碼區!C:C,0),2),"")</f>
        <v/>
      </c>
      <c r="Z71" s="70" t="str">
        <f>IFERROR(INDEX(刷條碼區!D:G,MATCH(點上線資訊!S71,刷條碼區!F:F,0),1),"")</f>
        <v/>
      </c>
      <c r="AA71" s="71" t="str">
        <f>IFERROR(INDEX(刷條碼區!D:G,MATCH(點上線資訊!S71,刷條碼區!F:F,0),2),"")</f>
        <v/>
      </c>
      <c r="AB71" s="20">
        <f t="shared" si="8"/>
        <v>20</v>
      </c>
      <c r="AC71" s="20" t="b">
        <f t="shared" si="9"/>
        <v>0</v>
      </c>
      <c r="AD71" s="17" t="b">
        <f t="shared" si="10"/>
        <v>0</v>
      </c>
      <c r="AE71" s="17" t="b">
        <f t="shared" si="11"/>
        <v>0</v>
      </c>
    </row>
    <row r="72" spans="1:31" x14ac:dyDescent="0.2">
      <c r="A72" s="16">
        <v>5000475008</v>
      </c>
      <c r="B72" t="s">
        <v>0</v>
      </c>
      <c r="C72" t="s">
        <v>0</v>
      </c>
      <c r="D72" t="s">
        <v>1</v>
      </c>
      <c r="E72" t="s">
        <v>633</v>
      </c>
      <c r="F72" t="s">
        <v>634</v>
      </c>
      <c r="G72" s="2">
        <v>3</v>
      </c>
      <c r="H72" t="s">
        <v>461</v>
      </c>
      <c r="I72" t="s">
        <v>3</v>
      </c>
      <c r="J72" t="s">
        <v>53</v>
      </c>
      <c r="K72" t="s">
        <v>605</v>
      </c>
      <c r="L72" t="s">
        <v>608</v>
      </c>
      <c r="M72" t="s">
        <v>248</v>
      </c>
      <c r="N72" t="s">
        <v>602</v>
      </c>
      <c r="O72" t="s">
        <v>603</v>
      </c>
      <c r="P72" t="s">
        <v>602</v>
      </c>
      <c r="Q72" s="17">
        <f>IFERROR(VLOOKUP(A72,已除帳印單!B:C,1,0),0)*1</f>
        <v>0</v>
      </c>
      <c r="R72" s="67" t="str">
        <f>IFERROR(VLOOKUP(J72,線別!A:B,2,1),"")</f>
        <v>裝二線</v>
      </c>
      <c r="S72" s="17" t="str">
        <f>IFERROR(VLOOKUP(A72,已除帳印單!B:C,2,0),"")</f>
        <v/>
      </c>
      <c r="T72" s="68">
        <f t="shared" si="6"/>
        <v>43892</v>
      </c>
      <c r="U72" s="69">
        <f t="shared" si="7"/>
        <v>84.168773148148148</v>
      </c>
      <c r="V72" s="68" t="str">
        <f>IFERROR(VLOOKUP(A72,已除帳印單!B:D,3,0),"")</f>
        <v/>
      </c>
      <c r="W72" s="69" t="str">
        <f>IFERROR(VLOOKUP(A72,已除帳印單!B:E,4,0),"")</f>
        <v/>
      </c>
      <c r="X72" s="68" t="str">
        <f>IFERROR(INDEX(刷條碼區!A:C,MATCH(點上線資訊!S72,刷條碼區!C:C,0),1),"")</f>
        <v/>
      </c>
      <c r="Y72" s="69" t="str">
        <f>IFERROR(INDEX(刷條碼區!A:C,MATCH(點上線資訊!S72,刷條碼區!C:C,0),2),"")</f>
        <v/>
      </c>
      <c r="Z72" s="70" t="str">
        <f>IFERROR(INDEX(刷條碼區!D:G,MATCH(點上線資訊!S72,刷條碼區!F:F,0),1),"")</f>
        <v/>
      </c>
      <c r="AA72" s="71" t="str">
        <f>IFERROR(INDEX(刷條碼區!D:G,MATCH(點上線資訊!S72,刷條碼區!F:F,0),2),"")</f>
        <v/>
      </c>
      <c r="AB72" s="20" t="b">
        <f t="shared" si="8"/>
        <v>0</v>
      </c>
      <c r="AC72" s="20" t="b">
        <f t="shared" si="9"/>
        <v>0</v>
      </c>
      <c r="AD72" s="17" t="b">
        <f t="shared" si="10"/>
        <v>0</v>
      </c>
      <c r="AE72" s="17" t="b">
        <f t="shared" si="11"/>
        <v>0</v>
      </c>
    </row>
    <row r="73" spans="1:31" x14ac:dyDescent="0.2">
      <c r="A73" s="16">
        <v>5000475986</v>
      </c>
      <c r="B73" t="s">
        <v>301</v>
      </c>
      <c r="C73" t="s">
        <v>301</v>
      </c>
      <c r="D73" t="s">
        <v>1</v>
      </c>
      <c r="E73" t="s">
        <v>306</v>
      </c>
      <c r="F73" t="s">
        <v>486</v>
      </c>
      <c r="G73" s="2">
        <v>11</v>
      </c>
      <c r="H73" t="s">
        <v>461</v>
      </c>
      <c r="I73" t="s">
        <v>3</v>
      </c>
      <c r="J73" t="s">
        <v>307</v>
      </c>
      <c r="K73" t="s">
        <v>602</v>
      </c>
      <c r="L73" t="s">
        <v>603</v>
      </c>
      <c r="M73" t="s">
        <v>602</v>
      </c>
      <c r="N73" t="s">
        <v>602</v>
      </c>
      <c r="O73" t="s">
        <v>603</v>
      </c>
      <c r="P73" t="s">
        <v>602</v>
      </c>
      <c r="Q73" s="17">
        <f>IFERROR(VLOOKUP(A73,已除帳印單!B:C,1,0),0)*1</f>
        <v>0</v>
      </c>
      <c r="R73" s="67" t="str">
        <f>IFERROR(VLOOKUP(J73,線別!A:B,2,1),"")</f>
        <v>裝一線</v>
      </c>
      <c r="S73" s="17" t="str">
        <f>IFERROR(VLOOKUP(A73,已除帳印單!B:C,2,0),"")</f>
        <v/>
      </c>
      <c r="T73" s="68">
        <f t="shared" si="6"/>
        <v>43894</v>
      </c>
      <c r="U73" s="69">
        <f t="shared" si="7"/>
        <v>84.168796296296293</v>
      </c>
      <c r="V73" s="68" t="str">
        <f>IFERROR(VLOOKUP(A73,已除帳印單!B:D,3,0),"")</f>
        <v/>
      </c>
      <c r="W73" s="69" t="str">
        <f>IFERROR(VLOOKUP(A73,已除帳印單!B:E,4,0),"")</f>
        <v/>
      </c>
      <c r="X73" s="68" t="str">
        <f>IFERROR(INDEX(刷條碼區!A:C,MATCH(點上線資訊!S73,刷條碼區!C:C,0),1),"")</f>
        <v/>
      </c>
      <c r="Y73" s="69" t="str">
        <f>IFERROR(INDEX(刷條碼區!A:C,MATCH(點上線資訊!S73,刷條碼區!C:C,0),2),"")</f>
        <v/>
      </c>
      <c r="Z73" s="70" t="str">
        <f>IFERROR(INDEX(刷條碼區!D:G,MATCH(點上線資訊!S73,刷條碼區!F:F,0),1),"")</f>
        <v/>
      </c>
      <c r="AA73" s="71" t="str">
        <f>IFERROR(INDEX(刷條碼區!D:G,MATCH(點上線資訊!S73,刷條碼區!F:F,0),2),"")</f>
        <v/>
      </c>
      <c r="AB73" s="20">
        <f t="shared" si="8"/>
        <v>11</v>
      </c>
      <c r="AC73" s="20" t="b">
        <f t="shared" si="9"/>
        <v>0</v>
      </c>
      <c r="AD73" s="17" t="b">
        <f t="shared" si="10"/>
        <v>0</v>
      </c>
      <c r="AE73" s="17" t="b">
        <f t="shared" si="11"/>
        <v>0</v>
      </c>
    </row>
    <row r="74" spans="1:31" x14ac:dyDescent="0.2">
      <c r="A74" s="16">
        <v>5000475987</v>
      </c>
      <c r="B74" t="s">
        <v>301</v>
      </c>
      <c r="C74" t="s">
        <v>301</v>
      </c>
      <c r="D74" t="s">
        <v>1</v>
      </c>
      <c r="E74" t="s">
        <v>306</v>
      </c>
      <c r="F74" t="s">
        <v>486</v>
      </c>
      <c r="G74" s="2">
        <v>20</v>
      </c>
      <c r="H74" t="s">
        <v>461</v>
      </c>
      <c r="I74" t="s">
        <v>3</v>
      </c>
      <c r="J74" t="s">
        <v>307</v>
      </c>
      <c r="K74" t="s">
        <v>602</v>
      </c>
      <c r="L74" t="s">
        <v>603</v>
      </c>
      <c r="M74" t="s">
        <v>602</v>
      </c>
      <c r="N74" t="s">
        <v>602</v>
      </c>
      <c r="O74" t="s">
        <v>603</v>
      </c>
      <c r="P74" t="s">
        <v>602</v>
      </c>
      <c r="Q74" s="17">
        <f>IFERROR(VLOOKUP(A74,已除帳印單!B:C,1,0),0)*1</f>
        <v>0</v>
      </c>
      <c r="R74" s="67" t="str">
        <f>IFERROR(VLOOKUP(J74,線別!A:B,2,1),"")</f>
        <v>裝一線</v>
      </c>
      <c r="S74" s="17" t="str">
        <f>IFERROR(VLOOKUP(A74,已除帳印單!B:C,2,0),"")</f>
        <v/>
      </c>
      <c r="T74" s="68">
        <f t="shared" si="6"/>
        <v>43894</v>
      </c>
      <c r="U74" s="69">
        <f t="shared" si="7"/>
        <v>84.168796296296293</v>
      </c>
      <c r="V74" s="68" t="str">
        <f>IFERROR(VLOOKUP(A74,已除帳印單!B:D,3,0),"")</f>
        <v/>
      </c>
      <c r="W74" s="69" t="str">
        <f>IFERROR(VLOOKUP(A74,已除帳印單!B:E,4,0),"")</f>
        <v/>
      </c>
      <c r="X74" s="68" t="str">
        <f>IFERROR(INDEX(刷條碼區!A:C,MATCH(點上線資訊!S74,刷條碼區!C:C,0),1),"")</f>
        <v/>
      </c>
      <c r="Y74" s="69" t="str">
        <f>IFERROR(INDEX(刷條碼區!A:C,MATCH(點上線資訊!S74,刷條碼區!C:C,0),2),"")</f>
        <v/>
      </c>
      <c r="Z74" s="70" t="str">
        <f>IFERROR(INDEX(刷條碼區!D:G,MATCH(點上線資訊!S74,刷條碼區!F:F,0),1),"")</f>
        <v/>
      </c>
      <c r="AA74" s="71" t="str">
        <f>IFERROR(INDEX(刷條碼區!D:G,MATCH(點上線資訊!S74,刷條碼區!F:F,0),2),"")</f>
        <v/>
      </c>
      <c r="AB74" s="20">
        <f t="shared" si="8"/>
        <v>20</v>
      </c>
      <c r="AC74" s="20" t="b">
        <f t="shared" si="9"/>
        <v>0</v>
      </c>
      <c r="AD74" s="17" t="b">
        <f t="shared" si="10"/>
        <v>0</v>
      </c>
      <c r="AE74" s="17" t="b">
        <f t="shared" si="11"/>
        <v>0</v>
      </c>
    </row>
    <row r="75" spans="1:31" x14ac:dyDescent="0.2">
      <c r="A75" s="16">
        <v>5000476109</v>
      </c>
      <c r="B75" t="s">
        <v>0</v>
      </c>
      <c r="C75" t="s">
        <v>0</v>
      </c>
      <c r="D75" t="s">
        <v>1</v>
      </c>
      <c r="E75" t="s">
        <v>635</v>
      </c>
      <c r="F75" t="s">
        <v>636</v>
      </c>
      <c r="G75" s="2">
        <v>2</v>
      </c>
      <c r="H75" t="s">
        <v>461</v>
      </c>
      <c r="I75" t="s">
        <v>3</v>
      </c>
      <c r="J75" t="s">
        <v>5</v>
      </c>
      <c r="K75" t="s">
        <v>605</v>
      </c>
      <c r="L75" t="s">
        <v>608</v>
      </c>
      <c r="M75" t="s">
        <v>637</v>
      </c>
      <c r="N75" t="s">
        <v>602</v>
      </c>
      <c r="O75" t="s">
        <v>603</v>
      </c>
      <c r="P75" t="s">
        <v>602</v>
      </c>
      <c r="Q75" s="17">
        <f>IFERROR(VLOOKUP(A75,已除帳印單!B:C,1,0),0)*1</f>
        <v>0</v>
      </c>
      <c r="R75" s="67" t="str">
        <f>IFERROR(VLOOKUP(J75,線別!A:B,2,1),"")</f>
        <v>FM線</v>
      </c>
      <c r="S75" s="17" t="str">
        <f>IFERROR(VLOOKUP(A75,已除帳印單!B:C,2,0),"")</f>
        <v/>
      </c>
      <c r="T75" s="68">
        <f t="shared" si="6"/>
        <v>43892</v>
      </c>
      <c r="U75" s="69">
        <f t="shared" si="7"/>
        <v>84.168773148148148</v>
      </c>
      <c r="V75" s="68" t="str">
        <f>IFERROR(VLOOKUP(A75,已除帳印單!B:D,3,0),"")</f>
        <v/>
      </c>
      <c r="W75" s="69" t="str">
        <f>IFERROR(VLOOKUP(A75,已除帳印單!B:E,4,0),"")</f>
        <v/>
      </c>
      <c r="X75" s="68" t="str">
        <f>IFERROR(INDEX(刷條碼區!A:C,MATCH(點上線資訊!S75,刷條碼區!C:C,0),1),"")</f>
        <v/>
      </c>
      <c r="Y75" s="69" t="str">
        <f>IFERROR(INDEX(刷條碼區!A:C,MATCH(點上線資訊!S75,刷條碼區!C:C,0),2),"")</f>
        <v/>
      </c>
      <c r="Z75" s="70" t="str">
        <f>IFERROR(INDEX(刷條碼區!D:G,MATCH(點上線資訊!S75,刷條碼區!F:F,0),1),"")</f>
        <v/>
      </c>
      <c r="AA75" s="71" t="str">
        <f>IFERROR(INDEX(刷條碼區!D:G,MATCH(點上線資訊!S75,刷條碼區!F:F,0),2),"")</f>
        <v/>
      </c>
      <c r="AB75" s="20" t="b">
        <f t="shared" si="8"/>
        <v>0</v>
      </c>
      <c r="AC75" s="20" t="b">
        <f t="shared" si="9"/>
        <v>0</v>
      </c>
      <c r="AD75" s="17" t="b">
        <f t="shared" si="10"/>
        <v>0</v>
      </c>
      <c r="AE75" s="17" t="b">
        <f t="shared" si="11"/>
        <v>0</v>
      </c>
    </row>
    <row r="76" spans="1:31" x14ac:dyDescent="0.2">
      <c r="A76" s="16">
        <v>5000476431</v>
      </c>
      <c r="B76" t="s">
        <v>301</v>
      </c>
      <c r="C76" t="s">
        <v>301</v>
      </c>
      <c r="D76" t="s">
        <v>1</v>
      </c>
      <c r="E76" t="s">
        <v>306</v>
      </c>
      <c r="F76" t="s">
        <v>486</v>
      </c>
      <c r="G76" s="2">
        <v>20</v>
      </c>
      <c r="H76" t="s">
        <v>461</v>
      </c>
      <c r="I76" t="s">
        <v>3</v>
      </c>
      <c r="J76" t="s">
        <v>307</v>
      </c>
      <c r="K76" t="s">
        <v>602</v>
      </c>
      <c r="L76" t="s">
        <v>603</v>
      </c>
      <c r="M76" t="s">
        <v>602</v>
      </c>
      <c r="N76" t="s">
        <v>602</v>
      </c>
      <c r="O76" t="s">
        <v>603</v>
      </c>
      <c r="P76" t="s">
        <v>602</v>
      </c>
      <c r="Q76" s="17">
        <f>IFERROR(VLOOKUP(A76,已除帳印單!B:C,1,0),0)*1</f>
        <v>0</v>
      </c>
      <c r="R76" s="67" t="str">
        <f>IFERROR(VLOOKUP(J76,線別!A:B,2,1),"")</f>
        <v>裝一線</v>
      </c>
      <c r="S76" s="17" t="str">
        <f>IFERROR(VLOOKUP(A76,已除帳印單!B:C,2,0),"")</f>
        <v/>
      </c>
      <c r="T76" s="68">
        <f t="shared" si="6"/>
        <v>43894</v>
      </c>
      <c r="U76" s="69">
        <f t="shared" si="7"/>
        <v>84.168796296296293</v>
      </c>
      <c r="V76" s="68" t="str">
        <f>IFERROR(VLOOKUP(A76,已除帳印單!B:D,3,0),"")</f>
        <v/>
      </c>
      <c r="W76" s="69" t="str">
        <f>IFERROR(VLOOKUP(A76,已除帳印單!B:E,4,0),"")</f>
        <v/>
      </c>
      <c r="X76" s="68" t="str">
        <f>IFERROR(INDEX(刷條碼區!A:C,MATCH(點上線資訊!S76,刷條碼區!C:C,0),1),"")</f>
        <v/>
      </c>
      <c r="Y76" s="69" t="str">
        <f>IFERROR(INDEX(刷條碼區!A:C,MATCH(點上線資訊!S76,刷條碼區!C:C,0),2),"")</f>
        <v/>
      </c>
      <c r="Z76" s="70" t="str">
        <f>IFERROR(INDEX(刷條碼區!D:G,MATCH(點上線資訊!S76,刷條碼區!F:F,0),1),"")</f>
        <v/>
      </c>
      <c r="AA76" s="71" t="str">
        <f>IFERROR(INDEX(刷條碼區!D:G,MATCH(點上線資訊!S76,刷條碼區!F:F,0),2),"")</f>
        <v/>
      </c>
      <c r="AB76" s="20">
        <f t="shared" si="8"/>
        <v>20</v>
      </c>
      <c r="AC76" s="20" t="b">
        <f t="shared" si="9"/>
        <v>0</v>
      </c>
      <c r="AD76" s="17" t="b">
        <f t="shared" si="10"/>
        <v>0</v>
      </c>
      <c r="AE76" s="17" t="b">
        <f t="shared" si="11"/>
        <v>0</v>
      </c>
    </row>
    <row r="77" spans="1:31" x14ac:dyDescent="0.2">
      <c r="A77" s="16">
        <v>5000476432</v>
      </c>
      <c r="B77" t="s">
        <v>301</v>
      </c>
      <c r="C77" t="s">
        <v>301</v>
      </c>
      <c r="D77" t="s">
        <v>1</v>
      </c>
      <c r="E77" t="s">
        <v>306</v>
      </c>
      <c r="F77" t="s">
        <v>486</v>
      </c>
      <c r="G77" s="2">
        <v>20</v>
      </c>
      <c r="H77" t="s">
        <v>461</v>
      </c>
      <c r="I77" t="s">
        <v>3</v>
      </c>
      <c r="J77" t="s">
        <v>307</v>
      </c>
      <c r="K77" t="s">
        <v>602</v>
      </c>
      <c r="L77" t="s">
        <v>603</v>
      </c>
      <c r="M77" t="s">
        <v>602</v>
      </c>
      <c r="N77" t="s">
        <v>602</v>
      </c>
      <c r="O77" t="s">
        <v>603</v>
      </c>
      <c r="P77" t="s">
        <v>602</v>
      </c>
      <c r="Q77" s="17">
        <f>IFERROR(VLOOKUP(A77,已除帳印單!B:C,1,0),0)*1</f>
        <v>0</v>
      </c>
      <c r="R77" s="67" t="str">
        <f>IFERROR(VLOOKUP(J77,線別!A:B,2,1),"")</f>
        <v>裝一線</v>
      </c>
      <c r="S77" s="17" t="str">
        <f>IFERROR(VLOOKUP(A77,已除帳印單!B:C,2,0),"")</f>
        <v/>
      </c>
      <c r="T77" s="68">
        <f t="shared" si="6"/>
        <v>43894</v>
      </c>
      <c r="U77" s="69">
        <f t="shared" si="7"/>
        <v>84.168796296296293</v>
      </c>
      <c r="V77" s="68" t="str">
        <f>IFERROR(VLOOKUP(A77,已除帳印單!B:D,3,0),"")</f>
        <v/>
      </c>
      <c r="W77" s="69" t="str">
        <f>IFERROR(VLOOKUP(A77,已除帳印單!B:E,4,0),"")</f>
        <v/>
      </c>
      <c r="X77" s="68" t="str">
        <f>IFERROR(INDEX(刷條碼區!A:C,MATCH(點上線資訊!S77,刷條碼區!C:C,0),1),"")</f>
        <v/>
      </c>
      <c r="Y77" s="69" t="str">
        <f>IFERROR(INDEX(刷條碼區!A:C,MATCH(點上線資訊!S77,刷條碼區!C:C,0),2),"")</f>
        <v/>
      </c>
      <c r="Z77" s="70" t="str">
        <f>IFERROR(INDEX(刷條碼區!D:G,MATCH(點上線資訊!S77,刷條碼區!F:F,0),1),"")</f>
        <v/>
      </c>
      <c r="AA77" s="71" t="str">
        <f>IFERROR(INDEX(刷條碼區!D:G,MATCH(點上線資訊!S77,刷條碼區!F:F,0),2),"")</f>
        <v/>
      </c>
      <c r="AB77" s="20">
        <f t="shared" si="8"/>
        <v>20</v>
      </c>
      <c r="AC77" s="20" t="b">
        <f t="shared" si="9"/>
        <v>0</v>
      </c>
      <c r="AD77" s="17" t="b">
        <f t="shared" si="10"/>
        <v>0</v>
      </c>
      <c r="AE77" s="17" t="b">
        <f t="shared" si="11"/>
        <v>0</v>
      </c>
    </row>
    <row r="78" spans="1:31" x14ac:dyDescent="0.2">
      <c r="A78" s="16">
        <v>5000476433</v>
      </c>
      <c r="B78" t="s">
        <v>301</v>
      </c>
      <c r="C78" t="s">
        <v>301</v>
      </c>
      <c r="D78" t="s">
        <v>1</v>
      </c>
      <c r="E78" t="s">
        <v>306</v>
      </c>
      <c r="F78" t="s">
        <v>486</v>
      </c>
      <c r="G78" s="2">
        <v>20</v>
      </c>
      <c r="H78" t="s">
        <v>461</v>
      </c>
      <c r="I78" t="s">
        <v>3</v>
      </c>
      <c r="J78" t="s">
        <v>307</v>
      </c>
      <c r="K78" t="s">
        <v>602</v>
      </c>
      <c r="L78" t="s">
        <v>603</v>
      </c>
      <c r="M78" t="s">
        <v>602</v>
      </c>
      <c r="N78" t="s">
        <v>602</v>
      </c>
      <c r="O78" t="s">
        <v>603</v>
      </c>
      <c r="P78" t="s">
        <v>602</v>
      </c>
      <c r="Q78" s="17">
        <f>IFERROR(VLOOKUP(A78,已除帳印單!B:C,1,0),0)*1</f>
        <v>0</v>
      </c>
      <c r="R78" s="67" t="str">
        <f>IFERROR(VLOOKUP(J78,線別!A:B,2,1),"")</f>
        <v>裝一線</v>
      </c>
      <c r="S78" s="17" t="str">
        <f>IFERROR(VLOOKUP(A78,已除帳印單!B:C,2,0),"")</f>
        <v/>
      </c>
      <c r="T78" s="68">
        <f t="shared" si="6"/>
        <v>43894</v>
      </c>
      <c r="U78" s="69">
        <f t="shared" si="7"/>
        <v>84.168796296296293</v>
      </c>
      <c r="V78" s="68" t="str">
        <f>IFERROR(VLOOKUP(A78,已除帳印單!B:D,3,0),"")</f>
        <v/>
      </c>
      <c r="W78" s="69" t="str">
        <f>IFERROR(VLOOKUP(A78,已除帳印單!B:E,4,0),"")</f>
        <v/>
      </c>
      <c r="X78" s="68" t="str">
        <f>IFERROR(INDEX(刷條碼區!A:C,MATCH(點上線資訊!S78,刷條碼區!C:C,0),1),"")</f>
        <v/>
      </c>
      <c r="Y78" s="69" t="str">
        <f>IFERROR(INDEX(刷條碼區!A:C,MATCH(點上線資訊!S78,刷條碼區!C:C,0),2),"")</f>
        <v/>
      </c>
      <c r="Z78" s="70" t="str">
        <f>IFERROR(INDEX(刷條碼區!D:G,MATCH(點上線資訊!S78,刷條碼區!F:F,0),1),"")</f>
        <v/>
      </c>
      <c r="AA78" s="71" t="str">
        <f>IFERROR(INDEX(刷條碼區!D:G,MATCH(點上線資訊!S78,刷條碼區!F:F,0),2),"")</f>
        <v/>
      </c>
      <c r="AB78" s="20">
        <f t="shared" si="8"/>
        <v>20</v>
      </c>
      <c r="AC78" s="20" t="b">
        <f t="shared" si="9"/>
        <v>0</v>
      </c>
      <c r="AD78" s="17" t="b">
        <f t="shared" si="10"/>
        <v>0</v>
      </c>
      <c r="AE78" s="17" t="b">
        <f t="shared" si="11"/>
        <v>0</v>
      </c>
    </row>
    <row r="79" spans="1:31" x14ac:dyDescent="0.2">
      <c r="A79" s="16">
        <v>5000477191</v>
      </c>
      <c r="B79" t="s">
        <v>301</v>
      </c>
      <c r="C79" t="s">
        <v>301</v>
      </c>
      <c r="D79" t="s">
        <v>1</v>
      </c>
      <c r="E79" t="s">
        <v>638</v>
      </c>
      <c r="F79" t="s">
        <v>639</v>
      </c>
      <c r="G79" s="2">
        <v>1</v>
      </c>
      <c r="H79" t="s">
        <v>461</v>
      </c>
      <c r="I79" t="s">
        <v>3</v>
      </c>
      <c r="J79" t="s">
        <v>339</v>
      </c>
      <c r="K79" t="s">
        <v>605</v>
      </c>
      <c r="L79" t="s">
        <v>608</v>
      </c>
      <c r="M79" t="s">
        <v>398</v>
      </c>
      <c r="N79" t="s">
        <v>602</v>
      </c>
      <c r="O79" t="s">
        <v>603</v>
      </c>
      <c r="P79" t="s">
        <v>602</v>
      </c>
      <c r="Q79" s="17">
        <f>IFERROR(VLOOKUP(A79,已除帳印單!B:C,1,0),0)*1</f>
        <v>0</v>
      </c>
      <c r="R79" s="67" t="str">
        <f>IFERROR(VLOOKUP(J79,線別!A:B,2,1),"")</f>
        <v>A+線</v>
      </c>
      <c r="S79" s="17" t="str">
        <f>IFERROR(VLOOKUP(A79,已除帳印單!B:C,2,0),"")</f>
        <v/>
      </c>
      <c r="T79" s="68">
        <f t="shared" si="6"/>
        <v>43894</v>
      </c>
      <c r="U79" s="69">
        <f t="shared" si="7"/>
        <v>84.168796296296293</v>
      </c>
      <c r="V79" s="68" t="str">
        <f>IFERROR(VLOOKUP(A79,已除帳印單!B:D,3,0),"")</f>
        <v/>
      </c>
      <c r="W79" s="69" t="str">
        <f>IFERROR(VLOOKUP(A79,已除帳印單!B:E,4,0),"")</f>
        <v/>
      </c>
      <c r="X79" s="68" t="str">
        <f>IFERROR(INDEX(刷條碼區!A:C,MATCH(點上線資訊!S79,刷條碼區!C:C,0),1),"")</f>
        <v/>
      </c>
      <c r="Y79" s="69" t="str">
        <f>IFERROR(INDEX(刷條碼區!A:C,MATCH(點上線資訊!S79,刷條碼區!C:C,0),2),"")</f>
        <v/>
      </c>
      <c r="Z79" s="70" t="str">
        <f>IFERROR(INDEX(刷條碼區!D:G,MATCH(點上線資訊!S79,刷條碼區!F:F,0),1),"")</f>
        <v/>
      </c>
      <c r="AA79" s="71" t="str">
        <f>IFERROR(INDEX(刷條碼區!D:G,MATCH(點上線資訊!S79,刷條碼區!F:F,0),2),"")</f>
        <v/>
      </c>
      <c r="AB79" s="20" t="b">
        <f t="shared" si="8"/>
        <v>0</v>
      </c>
      <c r="AC79" s="20" t="b">
        <f t="shared" si="9"/>
        <v>0</v>
      </c>
      <c r="AD79" s="17" t="b">
        <f t="shared" si="10"/>
        <v>0</v>
      </c>
      <c r="AE79" s="17" t="b">
        <f t="shared" si="11"/>
        <v>0</v>
      </c>
    </row>
    <row r="80" spans="1:31" x14ac:dyDescent="0.2">
      <c r="A80" s="16">
        <v>5000477209</v>
      </c>
      <c r="B80" t="s">
        <v>301</v>
      </c>
      <c r="C80" t="s">
        <v>301</v>
      </c>
      <c r="D80" t="s">
        <v>1</v>
      </c>
      <c r="E80" t="s">
        <v>640</v>
      </c>
      <c r="F80" t="s">
        <v>641</v>
      </c>
      <c r="G80" s="2">
        <v>2</v>
      </c>
      <c r="H80" t="s">
        <v>461</v>
      </c>
      <c r="I80" t="s">
        <v>3</v>
      </c>
      <c r="J80" t="s">
        <v>339</v>
      </c>
      <c r="K80" t="s">
        <v>605</v>
      </c>
      <c r="L80" t="s">
        <v>608</v>
      </c>
      <c r="M80" t="s">
        <v>398</v>
      </c>
      <c r="N80" t="s">
        <v>602</v>
      </c>
      <c r="O80" t="s">
        <v>603</v>
      </c>
      <c r="P80" t="s">
        <v>602</v>
      </c>
      <c r="Q80" s="17">
        <f>IFERROR(VLOOKUP(A80,已除帳印單!B:C,1,0),0)*1</f>
        <v>0</v>
      </c>
      <c r="R80" s="67" t="str">
        <f>IFERROR(VLOOKUP(J80,線別!A:B,2,1),"")</f>
        <v>A+線</v>
      </c>
      <c r="S80" s="17" t="str">
        <f>IFERROR(VLOOKUP(A80,已除帳印單!B:C,2,0),"")</f>
        <v/>
      </c>
      <c r="T80" s="68">
        <f t="shared" si="6"/>
        <v>43894</v>
      </c>
      <c r="U80" s="69">
        <f t="shared" si="7"/>
        <v>84.168796296296293</v>
      </c>
      <c r="V80" s="68" t="str">
        <f>IFERROR(VLOOKUP(A80,已除帳印單!B:D,3,0),"")</f>
        <v/>
      </c>
      <c r="W80" s="69" t="str">
        <f>IFERROR(VLOOKUP(A80,已除帳印單!B:E,4,0),"")</f>
        <v/>
      </c>
      <c r="X80" s="68" t="str">
        <f>IFERROR(INDEX(刷條碼區!A:C,MATCH(點上線資訊!S80,刷條碼區!C:C,0),1),"")</f>
        <v/>
      </c>
      <c r="Y80" s="69" t="str">
        <f>IFERROR(INDEX(刷條碼區!A:C,MATCH(點上線資訊!S80,刷條碼區!C:C,0),2),"")</f>
        <v/>
      </c>
      <c r="Z80" s="70" t="str">
        <f>IFERROR(INDEX(刷條碼區!D:G,MATCH(點上線資訊!S80,刷條碼區!F:F,0),1),"")</f>
        <v/>
      </c>
      <c r="AA80" s="71" t="str">
        <f>IFERROR(INDEX(刷條碼區!D:G,MATCH(點上線資訊!S80,刷條碼區!F:F,0),2),"")</f>
        <v/>
      </c>
      <c r="AB80" s="20" t="b">
        <f t="shared" si="8"/>
        <v>0</v>
      </c>
      <c r="AC80" s="20" t="b">
        <f t="shared" si="9"/>
        <v>0</v>
      </c>
      <c r="AD80" s="17" t="b">
        <f t="shared" si="10"/>
        <v>0</v>
      </c>
      <c r="AE80" s="17" t="b">
        <f t="shared" si="11"/>
        <v>0</v>
      </c>
    </row>
    <row r="81" spans="1:31" x14ac:dyDescent="0.2">
      <c r="A81" s="16">
        <v>5000477268</v>
      </c>
      <c r="B81" t="s">
        <v>0</v>
      </c>
      <c r="C81" t="s">
        <v>0</v>
      </c>
      <c r="D81" t="s">
        <v>1</v>
      </c>
      <c r="E81" t="s">
        <v>642</v>
      </c>
      <c r="F81" t="s">
        <v>643</v>
      </c>
      <c r="G81" s="2">
        <v>4</v>
      </c>
      <c r="H81" t="s">
        <v>461</v>
      </c>
      <c r="I81" t="s">
        <v>3</v>
      </c>
      <c r="J81" t="s">
        <v>5</v>
      </c>
      <c r="K81" t="s">
        <v>605</v>
      </c>
      <c r="L81" t="s">
        <v>608</v>
      </c>
      <c r="M81" t="s">
        <v>637</v>
      </c>
      <c r="N81" t="s">
        <v>602</v>
      </c>
      <c r="O81" t="s">
        <v>603</v>
      </c>
      <c r="P81" t="s">
        <v>602</v>
      </c>
      <c r="Q81" s="17">
        <f>IFERROR(VLOOKUP(A81,已除帳印單!B:C,1,0),0)*1</f>
        <v>0</v>
      </c>
      <c r="R81" s="67" t="str">
        <f>IFERROR(VLOOKUP(J81,線別!A:B,2,1),"")</f>
        <v>FM線</v>
      </c>
      <c r="S81" s="17" t="str">
        <f>IFERROR(VLOOKUP(A81,已除帳印單!B:C,2,0),"")</f>
        <v/>
      </c>
      <c r="T81" s="68">
        <f t="shared" si="6"/>
        <v>43892</v>
      </c>
      <c r="U81" s="69">
        <f t="shared" si="7"/>
        <v>84.168773148148148</v>
      </c>
      <c r="V81" s="68" t="str">
        <f>IFERROR(VLOOKUP(A81,已除帳印單!B:D,3,0),"")</f>
        <v/>
      </c>
      <c r="W81" s="69" t="str">
        <f>IFERROR(VLOOKUP(A81,已除帳印單!B:E,4,0),"")</f>
        <v/>
      </c>
      <c r="X81" s="68" t="str">
        <f>IFERROR(INDEX(刷條碼區!A:C,MATCH(點上線資訊!S81,刷條碼區!C:C,0),1),"")</f>
        <v/>
      </c>
      <c r="Y81" s="69" t="str">
        <f>IFERROR(INDEX(刷條碼區!A:C,MATCH(點上線資訊!S81,刷條碼區!C:C,0),2),"")</f>
        <v/>
      </c>
      <c r="Z81" s="70" t="str">
        <f>IFERROR(INDEX(刷條碼區!D:G,MATCH(點上線資訊!S81,刷條碼區!F:F,0),1),"")</f>
        <v/>
      </c>
      <c r="AA81" s="71" t="str">
        <f>IFERROR(INDEX(刷條碼區!D:G,MATCH(點上線資訊!S81,刷條碼區!F:F,0),2),"")</f>
        <v/>
      </c>
      <c r="AB81" s="20" t="b">
        <f t="shared" si="8"/>
        <v>0</v>
      </c>
      <c r="AC81" s="20" t="b">
        <f t="shared" si="9"/>
        <v>0</v>
      </c>
      <c r="AD81" s="17" t="b">
        <f t="shared" si="10"/>
        <v>0</v>
      </c>
      <c r="AE81" s="17" t="b">
        <f t="shared" si="11"/>
        <v>0</v>
      </c>
    </row>
    <row r="82" spans="1:31" x14ac:dyDescent="0.2">
      <c r="A82" s="16">
        <v>5000478657</v>
      </c>
      <c r="B82" t="s">
        <v>301</v>
      </c>
      <c r="C82" t="s">
        <v>301</v>
      </c>
      <c r="D82" t="s">
        <v>1</v>
      </c>
      <c r="E82" t="s">
        <v>489</v>
      </c>
      <c r="F82" t="s">
        <v>490</v>
      </c>
      <c r="G82" s="2">
        <v>3</v>
      </c>
      <c r="H82" t="s">
        <v>461</v>
      </c>
      <c r="I82" t="s">
        <v>3</v>
      </c>
      <c r="J82" t="s">
        <v>491</v>
      </c>
      <c r="K82" t="s">
        <v>602</v>
      </c>
      <c r="L82" t="s">
        <v>603</v>
      </c>
      <c r="M82" t="s">
        <v>602</v>
      </c>
      <c r="N82" t="s">
        <v>602</v>
      </c>
      <c r="O82" t="s">
        <v>603</v>
      </c>
      <c r="P82" t="s">
        <v>602</v>
      </c>
      <c r="Q82" s="17">
        <f>IFERROR(VLOOKUP(A82,已除帳印單!B:C,1,0),0)*1</f>
        <v>0</v>
      </c>
      <c r="R82" s="67" t="str">
        <f>IFERROR(VLOOKUP(J82,線別!A:B,2,1),"")</f>
        <v>委外高級輪組</v>
      </c>
      <c r="S82" s="17" t="str">
        <f>IFERROR(VLOOKUP(A82,已除帳印單!B:C,2,0),"")</f>
        <v/>
      </c>
      <c r="T82" s="68">
        <f t="shared" si="6"/>
        <v>43894</v>
      </c>
      <c r="U82" s="69">
        <f t="shared" si="7"/>
        <v>84.168796296296293</v>
      </c>
      <c r="V82" s="68" t="str">
        <f>IFERROR(VLOOKUP(A82,已除帳印單!B:D,3,0),"")</f>
        <v/>
      </c>
      <c r="W82" s="69" t="str">
        <f>IFERROR(VLOOKUP(A82,已除帳印單!B:E,4,0),"")</f>
        <v/>
      </c>
      <c r="X82" s="68" t="str">
        <f>IFERROR(INDEX(刷條碼區!A:C,MATCH(點上線資訊!S82,刷條碼區!C:C,0),1),"")</f>
        <v/>
      </c>
      <c r="Y82" s="69" t="str">
        <f>IFERROR(INDEX(刷條碼區!A:C,MATCH(點上線資訊!S82,刷條碼區!C:C,0),2),"")</f>
        <v/>
      </c>
      <c r="Z82" s="70" t="str">
        <f>IFERROR(INDEX(刷條碼區!D:G,MATCH(點上線資訊!S82,刷條碼區!F:F,0),1),"")</f>
        <v/>
      </c>
      <c r="AA82" s="71" t="str">
        <f>IFERROR(INDEX(刷條碼區!D:G,MATCH(點上線資訊!S82,刷條碼區!F:F,0),2),"")</f>
        <v/>
      </c>
      <c r="AB82" s="20">
        <f t="shared" si="8"/>
        <v>3</v>
      </c>
      <c r="AC82" s="20" t="b">
        <f t="shared" si="9"/>
        <v>0</v>
      </c>
      <c r="AD82" s="17" t="b">
        <f t="shared" si="10"/>
        <v>0</v>
      </c>
      <c r="AE82" s="17" t="b">
        <f t="shared" si="11"/>
        <v>0</v>
      </c>
    </row>
    <row r="83" spans="1:31" x14ac:dyDescent="0.2">
      <c r="A83" s="16">
        <v>5000480174</v>
      </c>
      <c r="B83" t="s">
        <v>301</v>
      </c>
      <c r="C83" t="s">
        <v>301</v>
      </c>
      <c r="D83" t="s">
        <v>1</v>
      </c>
      <c r="E83" t="s">
        <v>306</v>
      </c>
      <c r="F83" t="s">
        <v>486</v>
      </c>
      <c r="G83" s="2">
        <v>20</v>
      </c>
      <c r="H83" t="s">
        <v>461</v>
      </c>
      <c r="I83" t="s">
        <v>3</v>
      </c>
      <c r="J83" t="s">
        <v>307</v>
      </c>
      <c r="K83" t="s">
        <v>602</v>
      </c>
      <c r="L83" t="s">
        <v>603</v>
      </c>
      <c r="M83" t="s">
        <v>602</v>
      </c>
      <c r="N83" t="s">
        <v>602</v>
      </c>
      <c r="O83" t="s">
        <v>603</v>
      </c>
      <c r="P83" t="s">
        <v>602</v>
      </c>
      <c r="Q83" s="17">
        <f>IFERROR(VLOOKUP(A83,已除帳印單!B:C,1,0),0)*1</f>
        <v>0</v>
      </c>
      <c r="R83" s="67" t="str">
        <f>IFERROR(VLOOKUP(J83,線別!A:B,2,1),"")</f>
        <v>裝一線</v>
      </c>
      <c r="S83" s="17" t="str">
        <f>IFERROR(VLOOKUP(A83,已除帳印單!B:C,2,0),"")</f>
        <v/>
      </c>
      <c r="T83" s="68">
        <f t="shared" si="6"/>
        <v>43894</v>
      </c>
      <c r="U83" s="69">
        <f t="shared" si="7"/>
        <v>84.168796296296293</v>
      </c>
      <c r="V83" s="68" t="str">
        <f>IFERROR(VLOOKUP(A83,已除帳印單!B:D,3,0),"")</f>
        <v/>
      </c>
      <c r="W83" s="69" t="str">
        <f>IFERROR(VLOOKUP(A83,已除帳印單!B:E,4,0),"")</f>
        <v/>
      </c>
      <c r="X83" s="68" t="str">
        <f>IFERROR(INDEX(刷條碼區!A:C,MATCH(點上線資訊!S83,刷條碼區!C:C,0),1),"")</f>
        <v/>
      </c>
      <c r="Y83" s="69" t="str">
        <f>IFERROR(INDEX(刷條碼區!A:C,MATCH(點上線資訊!S83,刷條碼區!C:C,0),2),"")</f>
        <v/>
      </c>
      <c r="Z83" s="70" t="str">
        <f>IFERROR(INDEX(刷條碼區!D:G,MATCH(點上線資訊!S83,刷條碼區!F:F,0),1),"")</f>
        <v/>
      </c>
      <c r="AA83" s="71" t="str">
        <f>IFERROR(INDEX(刷條碼區!D:G,MATCH(點上線資訊!S83,刷條碼區!F:F,0),2),"")</f>
        <v/>
      </c>
      <c r="AB83" s="20">
        <f t="shared" si="8"/>
        <v>20</v>
      </c>
      <c r="AC83" s="20" t="b">
        <f t="shared" si="9"/>
        <v>0</v>
      </c>
      <c r="AD83" s="17" t="b">
        <f t="shared" si="10"/>
        <v>0</v>
      </c>
      <c r="AE83" s="17" t="b">
        <f t="shared" si="11"/>
        <v>0</v>
      </c>
    </row>
    <row r="84" spans="1:31" x14ac:dyDescent="0.2">
      <c r="A84" s="16">
        <v>5000480175</v>
      </c>
      <c r="B84" t="s">
        <v>301</v>
      </c>
      <c r="C84" t="s">
        <v>301</v>
      </c>
      <c r="D84" t="s">
        <v>1</v>
      </c>
      <c r="E84" t="s">
        <v>306</v>
      </c>
      <c r="F84" t="s">
        <v>486</v>
      </c>
      <c r="G84" s="2">
        <v>20</v>
      </c>
      <c r="H84" t="s">
        <v>461</v>
      </c>
      <c r="I84" t="s">
        <v>3</v>
      </c>
      <c r="J84" t="s">
        <v>307</v>
      </c>
      <c r="K84" t="s">
        <v>602</v>
      </c>
      <c r="L84" t="s">
        <v>603</v>
      </c>
      <c r="M84" t="s">
        <v>602</v>
      </c>
      <c r="N84" t="s">
        <v>602</v>
      </c>
      <c r="O84" t="s">
        <v>603</v>
      </c>
      <c r="P84" t="s">
        <v>602</v>
      </c>
      <c r="Q84" s="17">
        <f>IFERROR(VLOOKUP(A84,已除帳印單!B:C,1,0),0)*1</f>
        <v>0</v>
      </c>
      <c r="R84" s="67" t="str">
        <f>IFERROR(VLOOKUP(J84,線別!A:B,2,1),"")</f>
        <v>裝一線</v>
      </c>
      <c r="S84" s="17" t="str">
        <f>IFERROR(VLOOKUP(A84,已除帳印單!B:C,2,0),"")</f>
        <v/>
      </c>
      <c r="T84" s="68">
        <f t="shared" si="6"/>
        <v>43894</v>
      </c>
      <c r="U84" s="69">
        <f t="shared" si="7"/>
        <v>84.168796296296293</v>
      </c>
      <c r="V84" s="68" t="str">
        <f>IFERROR(VLOOKUP(A84,已除帳印單!B:D,3,0),"")</f>
        <v/>
      </c>
      <c r="W84" s="69" t="str">
        <f>IFERROR(VLOOKUP(A84,已除帳印單!B:E,4,0),"")</f>
        <v/>
      </c>
      <c r="X84" s="68" t="str">
        <f>IFERROR(INDEX(刷條碼區!A:C,MATCH(點上線資訊!S84,刷條碼區!C:C,0),1),"")</f>
        <v/>
      </c>
      <c r="Y84" s="69" t="str">
        <f>IFERROR(INDEX(刷條碼區!A:C,MATCH(點上線資訊!S84,刷條碼區!C:C,0),2),"")</f>
        <v/>
      </c>
      <c r="Z84" s="70" t="str">
        <f>IFERROR(INDEX(刷條碼區!D:G,MATCH(點上線資訊!S84,刷條碼區!F:F,0),1),"")</f>
        <v/>
      </c>
      <c r="AA84" s="71" t="str">
        <f>IFERROR(INDEX(刷條碼區!D:G,MATCH(點上線資訊!S84,刷條碼區!F:F,0),2),"")</f>
        <v/>
      </c>
      <c r="AB84" s="20">
        <f t="shared" si="8"/>
        <v>20</v>
      </c>
      <c r="AC84" s="20" t="b">
        <f t="shared" si="9"/>
        <v>0</v>
      </c>
      <c r="AD84" s="17" t="b">
        <f t="shared" si="10"/>
        <v>0</v>
      </c>
      <c r="AE84" s="17" t="b">
        <f t="shared" si="11"/>
        <v>0</v>
      </c>
    </row>
    <row r="85" spans="1:31" x14ac:dyDescent="0.2">
      <c r="A85" s="16">
        <v>5000480176</v>
      </c>
      <c r="B85" t="s">
        <v>301</v>
      </c>
      <c r="C85" t="s">
        <v>301</v>
      </c>
      <c r="D85" t="s">
        <v>1</v>
      </c>
      <c r="E85" t="s">
        <v>306</v>
      </c>
      <c r="F85" t="s">
        <v>486</v>
      </c>
      <c r="G85" s="2">
        <v>20</v>
      </c>
      <c r="H85" t="s">
        <v>461</v>
      </c>
      <c r="I85" t="s">
        <v>3</v>
      </c>
      <c r="J85" t="s">
        <v>307</v>
      </c>
      <c r="K85" t="s">
        <v>602</v>
      </c>
      <c r="L85" t="s">
        <v>603</v>
      </c>
      <c r="M85" t="s">
        <v>602</v>
      </c>
      <c r="N85" t="s">
        <v>602</v>
      </c>
      <c r="O85" t="s">
        <v>603</v>
      </c>
      <c r="P85" t="s">
        <v>602</v>
      </c>
      <c r="Q85" s="17">
        <f>IFERROR(VLOOKUP(A85,已除帳印單!B:C,1,0),0)*1</f>
        <v>0</v>
      </c>
      <c r="R85" s="67" t="str">
        <f>IFERROR(VLOOKUP(J85,線別!A:B,2,1),"")</f>
        <v>裝一線</v>
      </c>
      <c r="S85" s="17" t="str">
        <f>IFERROR(VLOOKUP(A85,已除帳印單!B:C,2,0),"")</f>
        <v/>
      </c>
      <c r="T85" s="68">
        <f t="shared" si="6"/>
        <v>43894</v>
      </c>
      <c r="U85" s="69">
        <f t="shared" si="7"/>
        <v>84.168796296296293</v>
      </c>
      <c r="V85" s="68" t="str">
        <f>IFERROR(VLOOKUP(A85,已除帳印單!B:D,3,0),"")</f>
        <v/>
      </c>
      <c r="W85" s="69" t="str">
        <f>IFERROR(VLOOKUP(A85,已除帳印單!B:E,4,0),"")</f>
        <v/>
      </c>
      <c r="X85" s="68" t="str">
        <f>IFERROR(INDEX(刷條碼區!A:C,MATCH(點上線資訊!S85,刷條碼區!C:C,0),1),"")</f>
        <v/>
      </c>
      <c r="Y85" s="69" t="str">
        <f>IFERROR(INDEX(刷條碼區!A:C,MATCH(點上線資訊!S85,刷條碼區!C:C,0),2),"")</f>
        <v/>
      </c>
      <c r="Z85" s="70" t="str">
        <f>IFERROR(INDEX(刷條碼區!D:G,MATCH(點上線資訊!S85,刷條碼區!F:F,0),1),"")</f>
        <v/>
      </c>
      <c r="AA85" s="71" t="str">
        <f>IFERROR(INDEX(刷條碼區!D:G,MATCH(點上線資訊!S85,刷條碼區!F:F,0),2),"")</f>
        <v/>
      </c>
      <c r="AB85" s="20">
        <f t="shared" si="8"/>
        <v>20</v>
      </c>
      <c r="AC85" s="20" t="b">
        <f t="shared" si="9"/>
        <v>0</v>
      </c>
      <c r="AD85" s="17" t="b">
        <f t="shared" si="10"/>
        <v>0</v>
      </c>
      <c r="AE85" s="17" t="b">
        <f t="shared" si="11"/>
        <v>0</v>
      </c>
    </row>
    <row r="86" spans="1:31" x14ac:dyDescent="0.2">
      <c r="A86" s="16">
        <v>5000480214</v>
      </c>
      <c r="B86" t="s">
        <v>6</v>
      </c>
      <c r="C86" t="s">
        <v>6</v>
      </c>
      <c r="D86" t="s">
        <v>1</v>
      </c>
      <c r="E86" t="s">
        <v>644</v>
      </c>
      <c r="F86" t="s">
        <v>645</v>
      </c>
      <c r="G86" s="2">
        <v>4</v>
      </c>
      <c r="H86" t="s">
        <v>461</v>
      </c>
      <c r="I86" t="s">
        <v>3</v>
      </c>
      <c r="J86" t="s">
        <v>136</v>
      </c>
      <c r="K86" t="s">
        <v>605</v>
      </c>
      <c r="L86" t="s">
        <v>608</v>
      </c>
      <c r="M86" t="s">
        <v>397</v>
      </c>
      <c r="N86" t="s">
        <v>602</v>
      </c>
      <c r="O86" t="s">
        <v>603</v>
      </c>
      <c r="P86" t="s">
        <v>602</v>
      </c>
      <c r="Q86" s="17">
        <f>IFERROR(VLOOKUP(A86,已除帳印單!B:C,1,0),0)*1</f>
        <v>0</v>
      </c>
      <c r="R86" s="67" t="str">
        <f>IFERROR(VLOOKUP(J86,線別!A:B,2,1),"")</f>
        <v>SCB線</v>
      </c>
      <c r="S86" s="17" t="str">
        <f>IFERROR(VLOOKUP(A86,已除帳印單!B:C,2,0),"")</f>
        <v/>
      </c>
      <c r="T86" s="68">
        <f t="shared" si="6"/>
        <v>43893</v>
      </c>
      <c r="U86" s="69">
        <f t="shared" si="7"/>
        <v>84.168784722222213</v>
      </c>
      <c r="V86" s="68" t="str">
        <f>IFERROR(VLOOKUP(A86,已除帳印單!B:D,3,0),"")</f>
        <v/>
      </c>
      <c r="W86" s="69" t="str">
        <f>IFERROR(VLOOKUP(A86,已除帳印單!B:E,4,0),"")</f>
        <v/>
      </c>
      <c r="X86" s="68" t="str">
        <f>IFERROR(INDEX(刷條碼區!A:C,MATCH(點上線資訊!S86,刷條碼區!C:C,0),1),"")</f>
        <v/>
      </c>
      <c r="Y86" s="69" t="str">
        <f>IFERROR(INDEX(刷條碼區!A:C,MATCH(點上線資訊!S86,刷條碼區!C:C,0),2),"")</f>
        <v/>
      </c>
      <c r="Z86" s="70" t="str">
        <f>IFERROR(INDEX(刷條碼區!D:G,MATCH(點上線資訊!S86,刷條碼區!F:F,0),1),"")</f>
        <v/>
      </c>
      <c r="AA86" s="71" t="str">
        <f>IFERROR(INDEX(刷條碼區!D:G,MATCH(點上線資訊!S86,刷條碼區!F:F,0),2),"")</f>
        <v/>
      </c>
      <c r="AB86" s="20" t="b">
        <f t="shared" si="8"/>
        <v>0</v>
      </c>
      <c r="AC86" s="20" t="b">
        <f t="shared" si="9"/>
        <v>0</v>
      </c>
      <c r="AD86" s="17" t="b">
        <f t="shared" si="10"/>
        <v>0</v>
      </c>
      <c r="AE86" s="17" t="b">
        <f t="shared" si="11"/>
        <v>0</v>
      </c>
    </row>
    <row r="87" spans="1:31" x14ac:dyDescent="0.2">
      <c r="A87" s="16">
        <v>5000480221</v>
      </c>
      <c r="B87" t="s">
        <v>6</v>
      </c>
      <c r="C87" t="s">
        <v>6</v>
      </c>
      <c r="D87" t="s">
        <v>1</v>
      </c>
      <c r="E87" t="s">
        <v>646</v>
      </c>
      <c r="F87" t="s">
        <v>630</v>
      </c>
      <c r="G87" s="2">
        <v>1</v>
      </c>
      <c r="H87" t="s">
        <v>461</v>
      </c>
      <c r="I87" t="s">
        <v>3</v>
      </c>
      <c r="J87" t="s">
        <v>136</v>
      </c>
      <c r="K87" t="s">
        <v>605</v>
      </c>
      <c r="L87" t="s">
        <v>608</v>
      </c>
      <c r="M87" t="s">
        <v>397</v>
      </c>
      <c r="N87" t="s">
        <v>602</v>
      </c>
      <c r="O87" t="s">
        <v>603</v>
      </c>
      <c r="P87" t="s">
        <v>602</v>
      </c>
      <c r="Q87" s="17">
        <f>IFERROR(VLOOKUP(A87,已除帳印單!B:C,1,0),0)*1</f>
        <v>0</v>
      </c>
      <c r="R87" s="67" t="str">
        <f>IFERROR(VLOOKUP(J87,線別!A:B,2,1),"")</f>
        <v>SCB線</v>
      </c>
      <c r="S87" s="17" t="str">
        <f>IFERROR(VLOOKUP(A87,已除帳印單!B:C,2,0),"")</f>
        <v/>
      </c>
      <c r="T87" s="68">
        <f t="shared" si="6"/>
        <v>43893</v>
      </c>
      <c r="U87" s="69">
        <f t="shared" si="7"/>
        <v>84.168784722222213</v>
      </c>
      <c r="V87" s="68" t="str">
        <f>IFERROR(VLOOKUP(A87,已除帳印單!B:D,3,0),"")</f>
        <v/>
      </c>
      <c r="W87" s="69" t="str">
        <f>IFERROR(VLOOKUP(A87,已除帳印單!B:E,4,0),"")</f>
        <v/>
      </c>
      <c r="X87" s="68" t="str">
        <f>IFERROR(INDEX(刷條碼區!A:C,MATCH(點上線資訊!S87,刷條碼區!C:C,0),1),"")</f>
        <v/>
      </c>
      <c r="Y87" s="69" t="str">
        <f>IFERROR(INDEX(刷條碼區!A:C,MATCH(點上線資訊!S87,刷條碼區!C:C,0),2),"")</f>
        <v/>
      </c>
      <c r="Z87" s="70" t="str">
        <f>IFERROR(INDEX(刷條碼區!D:G,MATCH(點上線資訊!S87,刷條碼區!F:F,0),1),"")</f>
        <v/>
      </c>
      <c r="AA87" s="71" t="str">
        <f>IFERROR(INDEX(刷條碼區!D:G,MATCH(點上線資訊!S87,刷條碼區!F:F,0),2),"")</f>
        <v/>
      </c>
      <c r="AB87" s="20" t="b">
        <f t="shared" si="8"/>
        <v>0</v>
      </c>
      <c r="AC87" s="20" t="b">
        <f t="shared" si="9"/>
        <v>0</v>
      </c>
      <c r="AD87" s="17" t="b">
        <f t="shared" si="10"/>
        <v>0</v>
      </c>
      <c r="AE87" s="17" t="b">
        <f t="shared" si="11"/>
        <v>0</v>
      </c>
    </row>
    <row r="88" spans="1:31" x14ac:dyDescent="0.2">
      <c r="A88" s="16">
        <v>5000480222</v>
      </c>
      <c r="B88" t="s">
        <v>6</v>
      </c>
      <c r="C88" t="s">
        <v>6</v>
      </c>
      <c r="D88" t="s">
        <v>1</v>
      </c>
      <c r="E88" t="s">
        <v>647</v>
      </c>
      <c r="F88" t="s">
        <v>645</v>
      </c>
      <c r="G88" s="2">
        <v>3</v>
      </c>
      <c r="H88" t="s">
        <v>461</v>
      </c>
      <c r="I88" t="s">
        <v>3</v>
      </c>
      <c r="J88" t="s">
        <v>136</v>
      </c>
      <c r="K88" t="s">
        <v>605</v>
      </c>
      <c r="L88" t="s">
        <v>608</v>
      </c>
      <c r="M88" t="s">
        <v>397</v>
      </c>
      <c r="N88" t="s">
        <v>602</v>
      </c>
      <c r="O88" t="s">
        <v>603</v>
      </c>
      <c r="P88" t="s">
        <v>602</v>
      </c>
      <c r="Q88" s="17">
        <f>IFERROR(VLOOKUP(A88,已除帳印單!B:C,1,0),0)*1</f>
        <v>0</v>
      </c>
      <c r="R88" s="67" t="str">
        <f>IFERROR(VLOOKUP(J88,線別!A:B,2,1),"")</f>
        <v>SCB線</v>
      </c>
      <c r="S88" s="17" t="str">
        <f>IFERROR(VLOOKUP(A88,已除帳印單!B:C,2,0),"")</f>
        <v/>
      </c>
      <c r="T88" s="68">
        <f t="shared" si="6"/>
        <v>43893</v>
      </c>
      <c r="U88" s="69">
        <f t="shared" si="7"/>
        <v>84.168784722222213</v>
      </c>
      <c r="V88" s="68" t="str">
        <f>IFERROR(VLOOKUP(A88,已除帳印單!B:D,3,0),"")</f>
        <v/>
      </c>
      <c r="W88" s="69" t="str">
        <f>IFERROR(VLOOKUP(A88,已除帳印單!B:E,4,0),"")</f>
        <v/>
      </c>
      <c r="X88" s="68" t="str">
        <f>IFERROR(INDEX(刷條碼區!A:C,MATCH(點上線資訊!S88,刷條碼區!C:C,0),1),"")</f>
        <v/>
      </c>
      <c r="Y88" s="69" t="str">
        <f>IFERROR(INDEX(刷條碼區!A:C,MATCH(點上線資訊!S88,刷條碼區!C:C,0),2),"")</f>
        <v/>
      </c>
      <c r="Z88" s="70" t="str">
        <f>IFERROR(INDEX(刷條碼區!D:G,MATCH(點上線資訊!S88,刷條碼區!F:F,0),1),"")</f>
        <v/>
      </c>
      <c r="AA88" s="71" t="str">
        <f>IFERROR(INDEX(刷條碼區!D:G,MATCH(點上線資訊!S88,刷條碼區!F:F,0),2),"")</f>
        <v/>
      </c>
      <c r="AB88" s="20" t="b">
        <f t="shared" si="8"/>
        <v>0</v>
      </c>
      <c r="AC88" s="20" t="b">
        <f t="shared" si="9"/>
        <v>0</v>
      </c>
      <c r="AD88" s="17" t="b">
        <f t="shared" si="10"/>
        <v>0</v>
      </c>
      <c r="AE88" s="17" t="b">
        <f t="shared" si="11"/>
        <v>0</v>
      </c>
    </row>
    <row r="89" spans="1:31" x14ac:dyDescent="0.2">
      <c r="A89" s="16">
        <v>5000480242</v>
      </c>
      <c r="B89" t="s">
        <v>6</v>
      </c>
      <c r="C89" t="s">
        <v>6</v>
      </c>
      <c r="D89" t="s">
        <v>1</v>
      </c>
      <c r="E89" t="s">
        <v>644</v>
      </c>
      <c r="F89" t="s">
        <v>645</v>
      </c>
      <c r="G89" s="2">
        <v>7</v>
      </c>
      <c r="H89" t="s">
        <v>461</v>
      </c>
      <c r="I89" t="s">
        <v>3</v>
      </c>
      <c r="J89" t="s">
        <v>136</v>
      </c>
      <c r="K89" t="s">
        <v>605</v>
      </c>
      <c r="L89" t="s">
        <v>608</v>
      </c>
      <c r="M89" t="s">
        <v>397</v>
      </c>
      <c r="N89" t="s">
        <v>602</v>
      </c>
      <c r="O89" t="s">
        <v>603</v>
      </c>
      <c r="P89" t="s">
        <v>602</v>
      </c>
      <c r="Q89" s="17">
        <f>IFERROR(VLOOKUP(A89,已除帳印單!B:C,1,0),0)*1</f>
        <v>0</v>
      </c>
      <c r="R89" s="67" t="str">
        <f>IFERROR(VLOOKUP(J89,線別!A:B,2,1),"")</f>
        <v>SCB線</v>
      </c>
      <c r="S89" s="17" t="str">
        <f>IFERROR(VLOOKUP(A89,已除帳印單!B:C,2,0),"")</f>
        <v/>
      </c>
      <c r="T89" s="68">
        <f t="shared" si="6"/>
        <v>43893</v>
      </c>
      <c r="U89" s="69">
        <f t="shared" si="7"/>
        <v>84.168784722222213</v>
      </c>
      <c r="V89" s="68" t="str">
        <f>IFERROR(VLOOKUP(A89,已除帳印單!B:D,3,0),"")</f>
        <v/>
      </c>
      <c r="W89" s="69" t="str">
        <f>IFERROR(VLOOKUP(A89,已除帳印單!B:E,4,0),"")</f>
        <v/>
      </c>
      <c r="X89" s="68" t="str">
        <f>IFERROR(INDEX(刷條碼區!A:C,MATCH(點上線資訊!S89,刷條碼區!C:C,0),1),"")</f>
        <v/>
      </c>
      <c r="Y89" s="69" t="str">
        <f>IFERROR(INDEX(刷條碼區!A:C,MATCH(點上線資訊!S89,刷條碼區!C:C,0),2),"")</f>
        <v/>
      </c>
      <c r="Z89" s="70" t="str">
        <f>IFERROR(INDEX(刷條碼區!D:G,MATCH(點上線資訊!S89,刷條碼區!F:F,0),1),"")</f>
        <v/>
      </c>
      <c r="AA89" s="71" t="str">
        <f>IFERROR(INDEX(刷條碼區!D:G,MATCH(點上線資訊!S89,刷條碼區!F:F,0),2),"")</f>
        <v/>
      </c>
      <c r="AB89" s="20" t="b">
        <f t="shared" si="8"/>
        <v>0</v>
      </c>
      <c r="AC89" s="20" t="b">
        <f t="shared" si="9"/>
        <v>0</v>
      </c>
      <c r="AD89" s="17" t="b">
        <f t="shared" si="10"/>
        <v>0</v>
      </c>
      <c r="AE89" s="17" t="b">
        <f t="shared" si="11"/>
        <v>0</v>
      </c>
    </row>
    <row r="90" spans="1:31" x14ac:dyDescent="0.2">
      <c r="A90" s="16">
        <v>5000480247</v>
      </c>
      <c r="B90" t="s">
        <v>6</v>
      </c>
      <c r="C90" t="s">
        <v>6</v>
      </c>
      <c r="D90" t="s">
        <v>1</v>
      </c>
      <c r="E90" t="s">
        <v>647</v>
      </c>
      <c r="F90" t="s">
        <v>645</v>
      </c>
      <c r="G90" s="2">
        <v>1</v>
      </c>
      <c r="H90" t="s">
        <v>461</v>
      </c>
      <c r="I90" t="s">
        <v>3</v>
      </c>
      <c r="J90" t="s">
        <v>136</v>
      </c>
      <c r="K90" t="s">
        <v>605</v>
      </c>
      <c r="L90" t="s">
        <v>608</v>
      </c>
      <c r="M90" t="s">
        <v>397</v>
      </c>
      <c r="N90" t="s">
        <v>602</v>
      </c>
      <c r="O90" t="s">
        <v>603</v>
      </c>
      <c r="P90" t="s">
        <v>602</v>
      </c>
      <c r="Q90" s="17">
        <f>IFERROR(VLOOKUP(A90,已除帳印單!B:C,1,0),0)*1</f>
        <v>0</v>
      </c>
      <c r="R90" s="67" t="str">
        <f>IFERROR(VLOOKUP(J90,線別!A:B,2,1),"")</f>
        <v>SCB線</v>
      </c>
      <c r="S90" s="17" t="str">
        <f>IFERROR(VLOOKUP(A90,已除帳印單!B:C,2,0),"")</f>
        <v/>
      </c>
      <c r="T90" s="68">
        <f t="shared" si="6"/>
        <v>43893</v>
      </c>
      <c r="U90" s="69">
        <f t="shared" si="7"/>
        <v>84.168784722222213</v>
      </c>
      <c r="V90" s="68" t="str">
        <f>IFERROR(VLOOKUP(A90,已除帳印單!B:D,3,0),"")</f>
        <v/>
      </c>
      <c r="W90" s="69" t="str">
        <f>IFERROR(VLOOKUP(A90,已除帳印單!B:E,4,0),"")</f>
        <v/>
      </c>
      <c r="X90" s="68" t="str">
        <f>IFERROR(INDEX(刷條碼區!A:C,MATCH(點上線資訊!S90,刷條碼區!C:C,0),1),"")</f>
        <v/>
      </c>
      <c r="Y90" s="69" t="str">
        <f>IFERROR(INDEX(刷條碼區!A:C,MATCH(點上線資訊!S90,刷條碼區!C:C,0),2),"")</f>
        <v/>
      </c>
      <c r="Z90" s="70" t="str">
        <f>IFERROR(INDEX(刷條碼區!D:G,MATCH(點上線資訊!S90,刷條碼區!F:F,0),1),"")</f>
        <v/>
      </c>
      <c r="AA90" s="71" t="str">
        <f>IFERROR(INDEX(刷條碼區!D:G,MATCH(點上線資訊!S90,刷條碼區!F:F,0),2),"")</f>
        <v/>
      </c>
      <c r="AB90" s="20" t="b">
        <f t="shared" si="8"/>
        <v>0</v>
      </c>
      <c r="AC90" s="20" t="b">
        <f t="shared" si="9"/>
        <v>0</v>
      </c>
      <c r="AD90" s="17" t="b">
        <f t="shared" si="10"/>
        <v>0</v>
      </c>
      <c r="AE90" s="17" t="b">
        <f t="shared" si="11"/>
        <v>0</v>
      </c>
    </row>
    <row r="91" spans="1:31" x14ac:dyDescent="0.2">
      <c r="A91" s="16">
        <v>5000480248</v>
      </c>
      <c r="B91" t="s">
        <v>6</v>
      </c>
      <c r="C91" t="s">
        <v>6</v>
      </c>
      <c r="D91" t="s">
        <v>1</v>
      </c>
      <c r="E91" t="s">
        <v>648</v>
      </c>
      <c r="F91" t="s">
        <v>632</v>
      </c>
      <c r="G91" s="2">
        <v>3</v>
      </c>
      <c r="H91" t="s">
        <v>461</v>
      </c>
      <c r="I91" t="s">
        <v>3</v>
      </c>
      <c r="J91" t="s">
        <v>136</v>
      </c>
      <c r="K91" t="s">
        <v>605</v>
      </c>
      <c r="L91" t="s">
        <v>608</v>
      </c>
      <c r="M91" t="s">
        <v>397</v>
      </c>
      <c r="N91" t="s">
        <v>602</v>
      </c>
      <c r="O91" t="s">
        <v>603</v>
      </c>
      <c r="P91" t="s">
        <v>602</v>
      </c>
      <c r="Q91" s="17">
        <f>IFERROR(VLOOKUP(A91,已除帳印單!B:C,1,0),0)*1</f>
        <v>0</v>
      </c>
      <c r="R91" s="67" t="str">
        <f>IFERROR(VLOOKUP(J91,線別!A:B,2,1),"")</f>
        <v>SCB線</v>
      </c>
      <c r="S91" s="17" t="str">
        <f>IFERROR(VLOOKUP(A91,已除帳印單!B:C,2,0),"")</f>
        <v/>
      </c>
      <c r="T91" s="68">
        <f t="shared" si="6"/>
        <v>43893</v>
      </c>
      <c r="U91" s="69">
        <f t="shared" si="7"/>
        <v>84.168784722222213</v>
      </c>
      <c r="V91" s="68" t="str">
        <f>IFERROR(VLOOKUP(A91,已除帳印單!B:D,3,0),"")</f>
        <v/>
      </c>
      <c r="W91" s="69" t="str">
        <f>IFERROR(VLOOKUP(A91,已除帳印單!B:E,4,0),"")</f>
        <v/>
      </c>
      <c r="X91" s="68" t="str">
        <f>IFERROR(INDEX(刷條碼區!A:C,MATCH(點上線資訊!S91,刷條碼區!C:C,0),1),"")</f>
        <v/>
      </c>
      <c r="Y91" s="69" t="str">
        <f>IFERROR(INDEX(刷條碼區!A:C,MATCH(點上線資訊!S91,刷條碼區!C:C,0),2),"")</f>
        <v/>
      </c>
      <c r="Z91" s="70" t="str">
        <f>IFERROR(INDEX(刷條碼區!D:G,MATCH(點上線資訊!S91,刷條碼區!F:F,0),1),"")</f>
        <v/>
      </c>
      <c r="AA91" s="71" t="str">
        <f>IFERROR(INDEX(刷條碼區!D:G,MATCH(點上線資訊!S91,刷條碼區!F:F,0),2),"")</f>
        <v/>
      </c>
      <c r="AB91" s="20" t="b">
        <f t="shared" si="8"/>
        <v>0</v>
      </c>
      <c r="AC91" s="20" t="b">
        <f t="shared" si="9"/>
        <v>0</v>
      </c>
      <c r="AD91" s="17" t="b">
        <f t="shared" si="10"/>
        <v>0</v>
      </c>
      <c r="AE91" s="17" t="b">
        <f t="shared" si="11"/>
        <v>0</v>
      </c>
    </row>
    <row r="92" spans="1:31" x14ac:dyDescent="0.2">
      <c r="A92" s="16">
        <v>5000480251</v>
      </c>
      <c r="B92" t="s">
        <v>6</v>
      </c>
      <c r="C92" t="s">
        <v>6</v>
      </c>
      <c r="D92" t="s">
        <v>1</v>
      </c>
      <c r="E92" t="s">
        <v>648</v>
      </c>
      <c r="F92" t="s">
        <v>632</v>
      </c>
      <c r="G92" s="2">
        <v>7</v>
      </c>
      <c r="H92" t="s">
        <v>461</v>
      </c>
      <c r="I92" t="s">
        <v>3</v>
      </c>
      <c r="J92" t="s">
        <v>136</v>
      </c>
      <c r="K92" t="s">
        <v>605</v>
      </c>
      <c r="L92" t="s">
        <v>608</v>
      </c>
      <c r="M92" t="s">
        <v>397</v>
      </c>
      <c r="N92" t="s">
        <v>602</v>
      </c>
      <c r="O92" t="s">
        <v>603</v>
      </c>
      <c r="P92" t="s">
        <v>602</v>
      </c>
      <c r="Q92" s="17">
        <f>IFERROR(VLOOKUP(A92,已除帳印單!B:C,1,0),0)*1</f>
        <v>0</v>
      </c>
      <c r="R92" s="67" t="str">
        <f>IFERROR(VLOOKUP(J92,線別!A:B,2,1),"")</f>
        <v>SCB線</v>
      </c>
      <c r="S92" s="17" t="str">
        <f>IFERROR(VLOOKUP(A92,已除帳印單!B:C,2,0),"")</f>
        <v/>
      </c>
      <c r="T92" s="68">
        <f t="shared" si="6"/>
        <v>43893</v>
      </c>
      <c r="U92" s="69">
        <f t="shared" si="7"/>
        <v>84.168784722222213</v>
      </c>
      <c r="V92" s="68" t="str">
        <f>IFERROR(VLOOKUP(A92,已除帳印單!B:D,3,0),"")</f>
        <v/>
      </c>
      <c r="W92" s="69" t="str">
        <f>IFERROR(VLOOKUP(A92,已除帳印單!B:E,4,0),"")</f>
        <v/>
      </c>
      <c r="X92" s="68" t="str">
        <f>IFERROR(INDEX(刷條碼區!A:C,MATCH(點上線資訊!S92,刷條碼區!C:C,0),1),"")</f>
        <v/>
      </c>
      <c r="Y92" s="69" t="str">
        <f>IFERROR(INDEX(刷條碼區!A:C,MATCH(點上線資訊!S92,刷條碼區!C:C,0),2),"")</f>
        <v/>
      </c>
      <c r="Z92" s="70" t="str">
        <f>IFERROR(INDEX(刷條碼區!D:G,MATCH(點上線資訊!S92,刷條碼區!F:F,0),1),"")</f>
        <v/>
      </c>
      <c r="AA92" s="71" t="str">
        <f>IFERROR(INDEX(刷條碼區!D:G,MATCH(點上線資訊!S92,刷條碼區!F:F,0),2),"")</f>
        <v/>
      </c>
      <c r="AB92" s="20" t="b">
        <f t="shared" si="8"/>
        <v>0</v>
      </c>
      <c r="AC92" s="20" t="b">
        <f t="shared" si="9"/>
        <v>0</v>
      </c>
      <c r="AD92" s="17" t="b">
        <f t="shared" si="10"/>
        <v>0</v>
      </c>
      <c r="AE92" s="17" t="b">
        <f t="shared" si="11"/>
        <v>0</v>
      </c>
    </row>
    <row r="93" spans="1:31" x14ac:dyDescent="0.2">
      <c r="A93" s="16">
        <v>5000480275</v>
      </c>
      <c r="B93" t="s">
        <v>301</v>
      </c>
      <c r="C93" t="s">
        <v>301</v>
      </c>
      <c r="D93" t="s">
        <v>1</v>
      </c>
      <c r="E93" t="s">
        <v>649</v>
      </c>
      <c r="F93" t="s">
        <v>482</v>
      </c>
      <c r="G93" s="2">
        <v>7</v>
      </c>
      <c r="H93" t="s">
        <v>461</v>
      </c>
      <c r="I93" t="s">
        <v>3</v>
      </c>
      <c r="J93" t="s">
        <v>339</v>
      </c>
      <c r="K93" t="s">
        <v>605</v>
      </c>
      <c r="L93" t="s">
        <v>608</v>
      </c>
      <c r="M93" t="s">
        <v>399</v>
      </c>
      <c r="N93" t="s">
        <v>602</v>
      </c>
      <c r="O93" t="s">
        <v>603</v>
      </c>
      <c r="P93" t="s">
        <v>602</v>
      </c>
      <c r="Q93" s="17">
        <f>IFERROR(VLOOKUP(A93,已除帳印單!B:C,1,0),0)*1</f>
        <v>0</v>
      </c>
      <c r="R93" s="67" t="str">
        <f>IFERROR(VLOOKUP(J93,線別!A:B,2,1),"")</f>
        <v>A+線</v>
      </c>
      <c r="S93" s="17" t="str">
        <f>IFERROR(VLOOKUP(A93,已除帳印單!B:C,2,0),"")</f>
        <v/>
      </c>
      <c r="T93" s="68">
        <f t="shared" si="6"/>
        <v>43894</v>
      </c>
      <c r="U93" s="69">
        <f t="shared" si="7"/>
        <v>84.168796296296293</v>
      </c>
      <c r="V93" s="68" t="str">
        <f>IFERROR(VLOOKUP(A93,已除帳印單!B:D,3,0),"")</f>
        <v/>
      </c>
      <c r="W93" s="69" t="str">
        <f>IFERROR(VLOOKUP(A93,已除帳印單!B:E,4,0),"")</f>
        <v/>
      </c>
      <c r="X93" s="68" t="str">
        <f>IFERROR(INDEX(刷條碼區!A:C,MATCH(點上線資訊!S93,刷條碼區!C:C,0),1),"")</f>
        <v/>
      </c>
      <c r="Y93" s="69" t="str">
        <f>IFERROR(INDEX(刷條碼區!A:C,MATCH(點上線資訊!S93,刷條碼區!C:C,0),2),"")</f>
        <v/>
      </c>
      <c r="Z93" s="70" t="str">
        <f>IFERROR(INDEX(刷條碼區!D:G,MATCH(點上線資訊!S93,刷條碼區!F:F,0),1),"")</f>
        <v/>
      </c>
      <c r="AA93" s="71" t="str">
        <f>IFERROR(INDEX(刷條碼區!D:G,MATCH(點上線資訊!S93,刷條碼區!F:F,0),2),"")</f>
        <v/>
      </c>
      <c r="AB93" s="20" t="b">
        <f t="shared" si="8"/>
        <v>0</v>
      </c>
      <c r="AC93" s="20" t="b">
        <f t="shared" si="9"/>
        <v>0</v>
      </c>
      <c r="AD93" s="17" t="b">
        <f t="shared" si="10"/>
        <v>0</v>
      </c>
      <c r="AE93" s="17" t="b">
        <f t="shared" si="11"/>
        <v>0</v>
      </c>
    </row>
    <row r="94" spans="1:31" x14ac:dyDescent="0.2">
      <c r="A94" s="16">
        <v>5000480431</v>
      </c>
      <c r="B94" t="s">
        <v>0</v>
      </c>
      <c r="C94" t="s">
        <v>0</v>
      </c>
      <c r="D94" t="s">
        <v>1</v>
      </c>
      <c r="E94" t="s">
        <v>45</v>
      </c>
      <c r="F94" t="s">
        <v>476</v>
      </c>
      <c r="G94" s="2">
        <v>1</v>
      </c>
      <c r="H94" t="s">
        <v>461</v>
      </c>
      <c r="I94" t="s">
        <v>3</v>
      </c>
      <c r="J94" t="s">
        <v>4</v>
      </c>
      <c r="K94" t="s">
        <v>602</v>
      </c>
      <c r="L94" t="s">
        <v>603</v>
      </c>
      <c r="M94" t="s">
        <v>602</v>
      </c>
      <c r="N94" t="s">
        <v>602</v>
      </c>
      <c r="O94" t="s">
        <v>603</v>
      </c>
      <c r="P94" t="s">
        <v>602</v>
      </c>
      <c r="Q94" s="17">
        <f>IFERROR(VLOOKUP(A94,已除帳印單!B:C,1,0),0)*1</f>
        <v>0</v>
      </c>
      <c r="R94" s="67" t="str">
        <f>IFERROR(VLOOKUP(J94,線別!A:B,2,1),"")</f>
        <v>IA線</v>
      </c>
      <c r="S94" s="17" t="str">
        <f>IFERROR(VLOOKUP(A94,已除帳印單!B:C,2,0),"")</f>
        <v/>
      </c>
      <c r="T94" s="68">
        <f t="shared" si="6"/>
        <v>43892</v>
      </c>
      <c r="U94" s="69">
        <f t="shared" si="7"/>
        <v>84.168773148148148</v>
      </c>
      <c r="V94" s="68" t="str">
        <f>IFERROR(VLOOKUP(A94,已除帳印單!B:D,3,0),"")</f>
        <v/>
      </c>
      <c r="W94" s="69" t="str">
        <f>IFERROR(VLOOKUP(A94,已除帳印單!B:E,4,0),"")</f>
        <v/>
      </c>
      <c r="X94" s="68" t="str">
        <f>IFERROR(INDEX(刷條碼區!A:C,MATCH(點上線資訊!S94,刷條碼區!C:C,0),1),"")</f>
        <v/>
      </c>
      <c r="Y94" s="69" t="str">
        <f>IFERROR(INDEX(刷條碼區!A:C,MATCH(點上線資訊!S94,刷條碼區!C:C,0),2),"")</f>
        <v/>
      </c>
      <c r="Z94" s="70" t="str">
        <f>IFERROR(INDEX(刷條碼區!D:G,MATCH(點上線資訊!S94,刷條碼區!F:F,0),1),"")</f>
        <v/>
      </c>
      <c r="AA94" s="71" t="str">
        <f>IFERROR(INDEX(刷條碼區!D:G,MATCH(點上線資訊!S94,刷條碼區!F:F,0),2),"")</f>
        <v/>
      </c>
      <c r="AB94" s="20">
        <f t="shared" si="8"/>
        <v>1</v>
      </c>
      <c r="AC94" s="20" t="b">
        <f t="shared" si="9"/>
        <v>0</v>
      </c>
      <c r="AD94" s="17" t="b">
        <f t="shared" si="10"/>
        <v>0</v>
      </c>
      <c r="AE94" s="17" t="b">
        <f t="shared" si="11"/>
        <v>0</v>
      </c>
    </row>
    <row r="95" spans="1:31" x14ac:dyDescent="0.2">
      <c r="A95" s="16">
        <v>5000480432</v>
      </c>
      <c r="B95" t="s">
        <v>0</v>
      </c>
      <c r="C95" t="s">
        <v>0</v>
      </c>
      <c r="D95" t="s">
        <v>1</v>
      </c>
      <c r="E95" t="s">
        <v>44</v>
      </c>
      <c r="F95" t="s">
        <v>472</v>
      </c>
      <c r="G95" s="2">
        <v>1</v>
      </c>
      <c r="H95" t="s">
        <v>461</v>
      </c>
      <c r="I95" t="s">
        <v>3</v>
      </c>
      <c r="J95" t="s">
        <v>4</v>
      </c>
      <c r="K95" t="s">
        <v>602</v>
      </c>
      <c r="L95" t="s">
        <v>603</v>
      </c>
      <c r="M95" t="s">
        <v>602</v>
      </c>
      <c r="N95" t="s">
        <v>602</v>
      </c>
      <c r="O95" t="s">
        <v>603</v>
      </c>
      <c r="P95" t="s">
        <v>602</v>
      </c>
      <c r="Q95" s="17">
        <f>IFERROR(VLOOKUP(A95,已除帳印單!B:C,1,0),0)*1</f>
        <v>0</v>
      </c>
      <c r="R95" s="67" t="str">
        <f>IFERROR(VLOOKUP(J95,線別!A:B,2,1),"")</f>
        <v>IA線</v>
      </c>
      <c r="S95" s="17" t="str">
        <f>IFERROR(VLOOKUP(A95,已除帳印單!B:C,2,0),"")</f>
        <v/>
      </c>
      <c r="T95" s="68">
        <f t="shared" si="6"/>
        <v>43892</v>
      </c>
      <c r="U95" s="69">
        <f t="shared" si="7"/>
        <v>84.168773148148148</v>
      </c>
      <c r="V95" s="68" t="str">
        <f>IFERROR(VLOOKUP(A95,已除帳印單!B:D,3,0),"")</f>
        <v/>
      </c>
      <c r="W95" s="69" t="str">
        <f>IFERROR(VLOOKUP(A95,已除帳印單!B:E,4,0),"")</f>
        <v/>
      </c>
      <c r="X95" s="68" t="str">
        <f>IFERROR(INDEX(刷條碼區!A:C,MATCH(點上線資訊!S95,刷條碼區!C:C,0),1),"")</f>
        <v/>
      </c>
      <c r="Y95" s="69" t="str">
        <f>IFERROR(INDEX(刷條碼區!A:C,MATCH(點上線資訊!S95,刷條碼區!C:C,0),2),"")</f>
        <v/>
      </c>
      <c r="Z95" s="70" t="str">
        <f>IFERROR(INDEX(刷條碼區!D:G,MATCH(點上線資訊!S95,刷條碼區!F:F,0),1),"")</f>
        <v/>
      </c>
      <c r="AA95" s="71" t="str">
        <f>IFERROR(INDEX(刷條碼區!D:G,MATCH(點上線資訊!S95,刷條碼區!F:F,0),2),"")</f>
        <v/>
      </c>
      <c r="AB95" s="20">
        <f t="shared" si="8"/>
        <v>1</v>
      </c>
      <c r="AC95" s="20" t="b">
        <f t="shared" si="9"/>
        <v>0</v>
      </c>
      <c r="AD95" s="17" t="b">
        <f t="shared" si="10"/>
        <v>0</v>
      </c>
      <c r="AE95" s="17" t="b">
        <f t="shared" si="11"/>
        <v>0</v>
      </c>
    </row>
    <row r="96" spans="1:31" x14ac:dyDescent="0.2">
      <c r="A96" s="16">
        <v>5000480433</v>
      </c>
      <c r="B96" t="s">
        <v>301</v>
      </c>
      <c r="C96" t="s">
        <v>301</v>
      </c>
      <c r="D96" t="s">
        <v>1</v>
      </c>
      <c r="E96" t="s">
        <v>49</v>
      </c>
      <c r="F96" t="s">
        <v>481</v>
      </c>
      <c r="G96" s="2">
        <v>6</v>
      </c>
      <c r="H96" t="s">
        <v>461</v>
      </c>
      <c r="I96" t="s">
        <v>3</v>
      </c>
      <c r="J96" t="s">
        <v>339</v>
      </c>
      <c r="K96" t="s">
        <v>605</v>
      </c>
      <c r="L96" t="s">
        <v>608</v>
      </c>
      <c r="M96" t="s">
        <v>399</v>
      </c>
      <c r="N96" t="s">
        <v>602</v>
      </c>
      <c r="O96" t="s">
        <v>603</v>
      </c>
      <c r="P96" t="s">
        <v>602</v>
      </c>
      <c r="Q96" s="17">
        <f>IFERROR(VLOOKUP(A96,已除帳印單!B:C,1,0),0)*1</f>
        <v>0</v>
      </c>
      <c r="R96" s="67" t="str">
        <f>IFERROR(VLOOKUP(J96,線別!A:B,2,1),"")</f>
        <v>A+線</v>
      </c>
      <c r="S96" s="17" t="str">
        <f>IFERROR(VLOOKUP(A96,已除帳印單!B:C,2,0),"")</f>
        <v/>
      </c>
      <c r="T96" s="68">
        <f t="shared" si="6"/>
        <v>43894</v>
      </c>
      <c r="U96" s="69">
        <f t="shared" si="7"/>
        <v>84.168796296296293</v>
      </c>
      <c r="V96" s="68" t="str">
        <f>IFERROR(VLOOKUP(A96,已除帳印單!B:D,3,0),"")</f>
        <v/>
      </c>
      <c r="W96" s="69" t="str">
        <f>IFERROR(VLOOKUP(A96,已除帳印單!B:E,4,0),"")</f>
        <v/>
      </c>
      <c r="X96" s="68" t="str">
        <f>IFERROR(INDEX(刷條碼區!A:C,MATCH(點上線資訊!S96,刷條碼區!C:C,0),1),"")</f>
        <v/>
      </c>
      <c r="Y96" s="69" t="str">
        <f>IFERROR(INDEX(刷條碼區!A:C,MATCH(點上線資訊!S96,刷條碼區!C:C,0),2),"")</f>
        <v/>
      </c>
      <c r="Z96" s="70" t="str">
        <f>IFERROR(INDEX(刷條碼區!D:G,MATCH(點上線資訊!S96,刷條碼區!F:F,0),1),"")</f>
        <v/>
      </c>
      <c r="AA96" s="71" t="str">
        <f>IFERROR(INDEX(刷條碼區!D:G,MATCH(點上線資訊!S96,刷條碼區!F:F,0),2),"")</f>
        <v/>
      </c>
      <c r="AB96" s="20" t="b">
        <f t="shared" si="8"/>
        <v>0</v>
      </c>
      <c r="AC96" s="20" t="b">
        <f t="shared" si="9"/>
        <v>0</v>
      </c>
      <c r="AD96" s="17" t="b">
        <f t="shared" si="10"/>
        <v>0</v>
      </c>
      <c r="AE96" s="17" t="b">
        <f t="shared" si="11"/>
        <v>0</v>
      </c>
    </row>
    <row r="97" spans="1:31" x14ac:dyDescent="0.2">
      <c r="A97" s="16">
        <v>5000480434</v>
      </c>
      <c r="B97" t="s">
        <v>301</v>
      </c>
      <c r="C97" t="s">
        <v>301</v>
      </c>
      <c r="D97" t="s">
        <v>1</v>
      </c>
      <c r="E97" t="s">
        <v>47</v>
      </c>
      <c r="F97" t="s">
        <v>473</v>
      </c>
      <c r="G97" s="2">
        <v>6</v>
      </c>
      <c r="H97" t="s">
        <v>461</v>
      </c>
      <c r="I97" t="s">
        <v>3</v>
      </c>
      <c r="J97" t="s">
        <v>339</v>
      </c>
      <c r="K97" t="s">
        <v>605</v>
      </c>
      <c r="L97" t="s">
        <v>608</v>
      </c>
      <c r="M97" t="s">
        <v>399</v>
      </c>
      <c r="N97" t="s">
        <v>602</v>
      </c>
      <c r="O97" t="s">
        <v>603</v>
      </c>
      <c r="P97" t="s">
        <v>602</v>
      </c>
      <c r="Q97" s="17">
        <f>IFERROR(VLOOKUP(A97,已除帳印單!B:C,1,0),0)*1</f>
        <v>0</v>
      </c>
      <c r="R97" s="67" t="str">
        <f>IFERROR(VLOOKUP(J97,線別!A:B,2,1),"")</f>
        <v>A+線</v>
      </c>
      <c r="S97" s="17" t="str">
        <f>IFERROR(VLOOKUP(A97,已除帳印單!B:C,2,0),"")</f>
        <v/>
      </c>
      <c r="T97" s="68">
        <f t="shared" si="6"/>
        <v>43894</v>
      </c>
      <c r="U97" s="69">
        <f t="shared" si="7"/>
        <v>84.168796296296293</v>
      </c>
      <c r="V97" s="68" t="str">
        <f>IFERROR(VLOOKUP(A97,已除帳印單!B:D,3,0),"")</f>
        <v/>
      </c>
      <c r="W97" s="69" t="str">
        <f>IFERROR(VLOOKUP(A97,已除帳印單!B:E,4,0),"")</f>
        <v/>
      </c>
      <c r="X97" s="68" t="str">
        <f>IFERROR(INDEX(刷條碼區!A:C,MATCH(點上線資訊!S97,刷條碼區!C:C,0),1),"")</f>
        <v/>
      </c>
      <c r="Y97" s="69" t="str">
        <f>IFERROR(INDEX(刷條碼區!A:C,MATCH(點上線資訊!S97,刷條碼區!C:C,0),2),"")</f>
        <v/>
      </c>
      <c r="Z97" s="70" t="str">
        <f>IFERROR(INDEX(刷條碼區!D:G,MATCH(點上線資訊!S97,刷條碼區!F:F,0),1),"")</f>
        <v/>
      </c>
      <c r="AA97" s="71" t="str">
        <f>IFERROR(INDEX(刷條碼區!D:G,MATCH(點上線資訊!S97,刷條碼區!F:F,0),2),"")</f>
        <v/>
      </c>
      <c r="AB97" s="20" t="b">
        <f t="shared" si="8"/>
        <v>0</v>
      </c>
      <c r="AC97" s="20" t="b">
        <f t="shared" si="9"/>
        <v>0</v>
      </c>
      <c r="AD97" s="17" t="b">
        <f t="shared" si="10"/>
        <v>0</v>
      </c>
      <c r="AE97" s="17" t="b">
        <f t="shared" si="11"/>
        <v>0</v>
      </c>
    </row>
    <row r="98" spans="1:31" x14ac:dyDescent="0.2">
      <c r="A98" s="16">
        <v>5000480435</v>
      </c>
      <c r="B98" t="s">
        <v>0</v>
      </c>
      <c r="C98" t="s">
        <v>0</v>
      </c>
      <c r="D98" t="s">
        <v>1</v>
      </c>
      <c r="E98" t="s">
        <v>43</v>
      </c>
      <c r="F98" t="s">
        <v>466</v>
      </c>
      <c r="G98" s="2">
        <v>5</v>
      </c>
      <c r="H98" t="s">
        <v>461</v>
      </c>
      <c r="I98" t="s">
        <v>3</v>
      </c>
      <c r="J98" t="s">
        <v>4</v>
      </c>
      <c r="K98" t="s">
        <v>602</v>
      </c>
      <c r="L98" t="s">
        <v>603</v>
      </c>
      <c r="M98" t="s">
        <v>602</v>
      </c>
      <c r="N98" t="s">
        <v>602</v>
      </c>
      <c r="O98" t="s">
        <v>603</v>
      </c>
      <c r="P98" t="s">
        <v>602</v>
      </c>
      <c r="Q98" s="17">
        <f>IFERROR(VLOOKUP(A98,已除帳印單!B:C,1,0),0)*1</f>
        <v>0</v>
      </c>
      <c r="R98" s="67" t="str">
        <f>IFERROR(VLOOKUP(J98,線別!A:B,2,1),"")</f>
        <v>IA線</v>
      </c>
      <c r="S98" s="17" t="str">
        <f>IFERROR(VLOOKUP(A98,已除帳印單!B:C,2,0),"")</f>
        <v/>
      </c>
      <c r="T98" s="68">
        <f t="shared" si="6"/>
        <v>43892</v>
      </c>
      <c r="U98" s="69">
        <f t="shared" si="7"/>
        <v>84.168773148148148</v>
      </c>
      <c r="V98" s="68" t="str">
        <f>IFERROR(VLOOKUP(A98,已除帳印單!B:D,3,0),"")</f>
        <v/>
      </c>
      <c r="W98" s="69" t="str">
        <f>IFERROR(VLOOKUP(A98,已除帳印單!B:E,4,0),"")</f>
        <v/>
      </c>
      <c r="X98" s="68" t="str">
        <f>IFERROR(INDEX(刷條碼區!A:C,MATCH(點上線資訊!S98,刷條碼區!C:C,0),1),"")</f>
        <v/>
      </c>
      <c r="Y98" s="69" t="str">
        <f>IFERROR(INDEX(刷條碼區!A:C,MATCH(點上線資訊!S98,刷條碼區!C:C,0),2),"")</f>
        <v/>
      </c>
      <c r="Z98" s="70" t="str">
        <f>IFERROR(INDEX(刷條碼區!D:G,MATCH(點上線資訊!S98,刷條碼區!F:F,0),1),"")</f>
        <v/>
      </c>
      <c r="AA98" s="71" t="str">
        <f>IFERROR(INDEX(刷條碼區!D:G,MATCH(點上線資訊!S98,刷條碼區!F:F,0),2),"")</f>
        <v/>
      </c>
      <c r="AB98" s="20">
        <f t="shared" si="8"/>
        <v>5</v>
      </c>
      <c r="AC98" s="20" t="b">
        <f t="shared" si="9"/>
        <v>0</v>
      </c>
      <c r="AD98" s="17" t="b">
        <f t="shared" si="10"/>
        <v>0</v>
      </c>
      <c r="AE98" s="17" t="b">
        <f t="shared" si="11"/>
        <v>0</v>
      </c>
    </row>
    <row r="99" spans="1:31" x14ac:dyDescent="0.2">
      <c r="A99" s="16">
        <v>5000480436</v>
      </c>
      <c r="B99" t="s">
        <v>301</v>
      </c>
      <c r="C99" t="s">
        <v>301</v>
      </c>
      <c r="D99" t="s">
        <v>1</v>
      </c>
      <c r="E99" t="s">
        <v>650</v>
      </c>
      <c r="F99" t="s">
        <v>651</v>
      </c>
      <c r="G99" s="2">
        <v>1</v>
      </c>
      <c r="H99" t="s">
        <v>461</v>
      </c>
      <c r="I99" t="s">
        <v>3</v>
      </c>
      <c r="J99" t="s">
        <v>339</v>
      </c>
      <c r="K99" t="s">
        <v>605</v>
      </c>
      <c r="L99" t="s">
        <v>608</v>
      </c>
      <c r="M99" t="s">
        <v>400</v>
      </c>
      <c r="N99" t="s">
        <v>602</v>
      </c>
      <c r="O99" t="s">
        <v>603</v>
      </c>
      <c r="P99" t="s">
        <v>602</v>
      </c>
      <c r="Q99" s="17">
        <f>IFERROR(VLOOKUP(A99,已除帳印單!B:C,1,0),0)*1</f>
        <v>0</v>
      </c>
      <c r="R99" s="67" t="str">
        <f>IFERROR(VLOOKUP(J99,線別!A:B,2,1),"")</f>
        <v>A+線</v>
      </c>
      <c r="S99" s="17" t="str">
        <f>IFERROR(VLOOKUP(A99,已除帳印單!B:C,2,0),"")</f>
        <v/>
      </c>
      <c r="T99" s="68">
        <f t="shared" si="6"/>
        <v>43894</v>
      </c>
      <c r="U99" s="69">
        <f t="shared" si="7"/>
        <v>84.168796296296293</v>
      </c>
      <c r="V99" s="68" t="str">
        <f>IFERROR(VLOOKUP(A99,已除帳印單!B:D,3,0),"")</f>
        <v/>
      </c>
      <c r="W99" s="69" t="str">
        <f>IFERROR(VLOOKUP(A99,已除帳印單!B:E,4,0),"")</f>
        <v/>
      </c>
      <c r="X99" s="68" t="str">
        <f>IFERROR(INDEX(刷條碼區!A:C,MATCH(點上線資訊!S99,刷條碼區!C:C,0),1),"")</f>
        <v/>
      </c>
      <c r="Y99" s="69" t="str">
        <f>IFERROR(INDEX(刷條碼區!A:C,MATCH(點上線資訊!S99,刷條碼區!C:C,0),2),"")</f>
        <v/>
      </c>
      <c r="Z99" s="70" t="str">
        <f>IFERROR(INDEX(刷條碼區!D:G,MATCH(點上線資訊!S99,刷條碼區!F:F,0),1),"")</f>
        <v/>
      </c>
      <c r="AA99" s="71" t="str">
        <f>IFERROR(INDEX(刷條碼區!D:G,MATCH(點上線資訊!S99,刷條碼區!F:F,0),2),"")</f>
        <v/>
      </c>
      <c r="AB99" s="20" t="b">
        <f t="shared" si="8"/>
        <v>0</v>
      </c>
      <c r="AC99" s="20" t="b">
        <f t="shared" si="9"/>
        <v>0</v>
      </c>
      <c r="AD99" s="17" t="b">
        <f t="shared" si="10"/>
        <v>0</v>
      </c>
      <c r="AE99" s="17" t="b">
        <f t="shared" si="11"/>
        <v>0</v>
      </c>
    </row>
    <row r="100" spans="1:31" x14ac:dyDescent="0.2">
      <c r="A100" s="16">
        <v>5000480437</v>
      </c>
      <c r="B100" t="s">
        <v>301</v>
      </c>
      <c r="C100" t="s">
        <v>301</v>
      </c>
      <c r="D100" t="s">
        <v>1</v>
      </c>
      <c r="E100" t="s">
        <v>652</v>
      </c>
      <c r="F100" t="s">
        <v>653</v>
      </c>
      <c r="G100" s="2">
        <v>3</v>
      </c>
      <c r="H100" t="s">
        <v>461</v>
      </c>
      <c r="I100" t="s">
        <v>3</v>
      </c>
      <c r="J100" t="s">
        <v>339</v>
      </c>
      <c r="K100" t="s">
        <v>605</v>
      </c>
      <c r="L100" t="s">
        <v>608</v>
      </c>
      <c r="M100" t="s">
        <v>400</v>
      </c>
      <c r="N100" t="s">
        <v>602</v>
      </c>
      <c r="O100" t="s">
        <v>603</v>
      </c>
      <c r="P100" t="s">
        <v>602</v>
      </c>
      <c r="Q100" s="17">
        <f>IFERROR(VLOOKUP(A100,已除帳印單!B:C,1,0),0)*1</f>
        <v>0</v>
      </c>
      <c r="R100" s="67" t="str">
        <f>IFERROR(VLOOKUP(J100,線別!A:B,2,1),"")</f>
        <v>A+線</v>
      </c>
      <c r="S100" s="17" t="str">
        <f>IFERROR(VLOOKUP(A100,已除帳印單!B:C,2,0),"")</f>
        <v/>
      </c>
      <c r="T100" s="68">
        <f t="shared" si="6"/>
        <v>43894</v>
      </c>
      <c r="U100" s="69">
        <f t="shared" si="7"/>
        <v>84.168796296296293</v>
      </c>
      <c r="V100" s="68" t="str">
        <f>IFERROR(VLOOKUP(A100,已除帳印單!B:D,3,0),"")</f>
        <v/>
      </c>
      <c r="W100" s="69" t="str">
        <f>IFERROR(VLOOKUP(A100,已除帳印單!B:E,4,0),"")</f>
        <v/>
      </c>
      <c r="X100" s="68" t="str">
        <f>IFERROR(INDEX(刷條碼區!A:C,MATCH(點上線資訊!S100,刷條碼區!C:C,0),1),"")</f>
        <v/>
      </c>
      <c r="Y100" s="69" t="str">
        <f>IFERROR(INDEX(刷條碼區!A:C,MATCH(點上線資訊!S100,刷條碼區!C:C,0),2),"")</f>
        <v/>
      </c>
      <c r="Z100" s="70" t="str">
        <f>IFERROR(INDEX(刷條碼區!D:G,MATCH(點上線資訊!S100,刷條碼區!F:F,0),1),"")</f>
        <v/>
      </c>
      <c r="AA100" s="71" t="str">
        <f>IFERROR(INDEX(刷條碼區!D:G,MATCH(點上線資訊!S100,刷條碼區!F:F,0),2),"")</f>
        <v/>
      </c>
      <c r="AB100" s="20" t="b">
        <f t="shared" si="8"/>
        <v>0</v>
      </c>
      <c r="AC100" s="20" t="b">
        <f t="shared" si="9"/>
        <v>0</v>
      </c>
      <c r="AD100" s="17" t="b">
        <f t="shared" si="10"/>
        <v>0</v>
      </c>
      <c r="AE100" s="17" t="b">
        <f t="shared" si="11"/>
        <v>0</v>
      </c>
    </row>
    <row r="101" spans="1:31" x14ac:dyDescent="0.2">
      <c r="A101" s="16">
        <v>5000480440</v>
      </c>
      <c r="B101" t="s">
        <v>301</v>
      </c>
      <c r="C101" t="s">
        <v>301</v>
      </c>
      <c r="D101" t="s">
        <v>1</v>
      </c>
      <c r="E101" t="s">
        <v>50</v>
      </c>
      <c r="F101" t="s">
        <v>482</v>
      </c>
      <c r="G101" s="2">
        <v>2</v>
      </c>
      <c r="H101" t="s">
        <v>461</v>
      </c>
      <c r="I101" t="s">
        <v>3</v>
      </c>
      <c r="J101" t="s">
        <v>339</v>
      </c>
      <c r="K101" t="s">
        <v>605</v>
      </c>
      <c r="L101" t="s">
        <v>608</v>
      </c>
      <c r="M101" t="s">
        <v>399</v>
      </c>
      <c r="N101" t="s">
        <v>602</v>
      </c>
      <c r="O101" t="s">
        <v>603</v>
      </c>
      <c r="P101" t="s">
        <v>602</v>
      </c>
      <c r="Q101" s="17">
        <f>IFERROR(VLOOKUP(A101,已除帳印單!B:C,1,0),0)*1</f>
        <v>0</v>
      </c>
      <c r="R101" s="67" t="str">
        <f>IFERROR(VLOOKUP(J101,線別!A:B,2,1),"")</f>
        <v>A+線</v>
      </c>
      <c r="S101" s="17" t="str">
        <f>IFERROR(VLOOKUP(A101,已除帳印單!B:C,2,0),"")</f>
        <v/>
      </c>
      <c r="T101" s="68">
        <f t="shared" si="6"/>
        <v>43894</v>
      </c>
      <c r="U101" s="69">
        <f t="shared" si="7"/>
        <v>84.168796296296293</v>
      </c>
      <c r="V101" s="68" t="str">
        <f>IFERROR(VLOOKUP(A101,已除帳印單!B:D,3,0),"")</f>
        <v/>
      </c>
      <c r="W101" s="69" t="str">
        <f>IFERROR(VLOOKUP(A101,已除帳印單!B:E,4,0),"")</f>
        <v/>
      </c>
      <c r="X101" s="68" t="str">
        <f>IFERROR(INDEX(刷條碼區!A:C,MATCH(點上線資訊!S101,刷條碼區!C:C,0),1),"")</f>
        <v/>
      </c>
      <c r="Y101" s="69" t="str">
        <f>IFERROR(INDEX(刷條碼區!A:C,MATCH(點上線資訊!S101,刷條碼區!C:C,0),2),"")</f>
        <v/>
      </c>
      <c r="Z101" s="70" t="str">
        <f>IFERROR(INDEX(刷條碼區!D:G,MATCH(點上線資訊!S101,刷條碼區!F:F,0),1),"")</f>
        <v/>
      </c>
      <c r="AA101" s="71" t="str">
        <f>IFERROR(INDEX(刷條碼區!D:G,MATCH(點上線資訊!S101,刷條碼區!F:F,0),2),"")</f>
        <v/>
      </c>
      <c r="AB101" s="20" t="b">
        <f t="shared" si="8"/>
        <v>0</v>
      </c>
      <c r="AC101" s="20" t="b">
        <f t="shared" si="9"/>
        <v>0</v>
      </c>
      <c r="AD101" s="17" t="b">
        <f t="shared" si="10"/>
        <v>0</v>
      </c>
      <c r="AE101" s="17" t="b">
        <f t="shared" si="11"/>
        <v>0</v>
      </c>
    </row>
    <row r="102" spans="1:31" x14ac:dyDescent="0.2">
      <c r="A102" s="16">
        <v>5000480441</v>
      </c>
      <c r="B102" t="s">
        <v>301</v>
      </c>
      <c r="C102" t="s">
        <v>301</v>
      </c>
      <c r="D102" t="s">
        <v>1</v>
      </c>
      <c r="E102" t="s">
        <v>654</v>
      </c>
      <c r="F102" t="s">
        <v>655</v>
      </c>
      <c r="G102" s="2">
        <v>6</v>
      </c>
      <c r="H102" t="s">
        <v>461</v>
      </c>
      <c r="I102" t="s">
        <v>3</v>
      </c>
      <c r="J102" t="s">
        <v>339</v>
      </c>
      <c r="K102" t="s">
        <v>605</v>
      </c>
      <c r="L102" t="s">
        <v>608</v>
      </c>
      <c r="M102" t="s">
        <v>400</v>
      </c>
      <c r="N102" t="s">
        <v>602</v>
      </c>
      <c r="O102" t="s">
        <v>603</v>
      </c>
      <c r="P102" t="s">
        <v>602</v>
      </c>
      <c r="Q102" s="17">
        <f>IFERROR(VLOOKUP(A102,已除帳印單!B:C,1,0),0)*1</f>
        <v>0</v>
      </c>
      <c r="R102" s="67" t="str">
        <f>IFERROR(VLOOKUP(J102,線別!A:B,2,1),"")</f>
        <v>A+線</v>
      </c>
      <c r="S102" s="17" t="str">
        <f>IFERROR(VLOOKUP(A102,已除帳印單!B:C,2,0),"")</f>
        <v/>
      </c>
      <c r="T102" s="68">
        <f t="shared" si="6"/>
        <v>43894</v>
      </c>
      <c r="U102" s="69">
        <f t="shared" si="7"/>
        <v>84.168796296296293</v>
      </c>
      <c r="V102" s="68" t="str">
        <f>IFERROR(VLOOKUP(A102,已除帳印單!B:D,3,0),"")</f>
        <v/>
      </c>
      <c r="W102" s="69" t="str">
        <f>IFERROR(VLOOKUP(A102,已除帳印單!B:E,4,0),"")</f>
        <v/>
      </c>
      <c r="X102" s="68" t="str">
        <f>IFERROR(INDEX(刷條碼區!A:C,MATCH(點上線資訊!S102,刷條碼區!C:C,0),1),"")</f>
        <v/>
      </c>
      <c r="Y102" s="69" t="str">
        <f>IFERROR(INDEX(刷條碼區!A:C,MATCH(點上線資訊!S102,刷條碼區!C:C,0),2),"")</f>
        <v/>
      </c>
      <c r="Z102" s="70" t="str">
        <f>IFERROR(INDEX(刷條碼區!D:G,MATCH(點上線資訊!S102,刷條碼區!F:F,0),1),"")</f>
        <v/>
      </c>
      <c r="AA102" s="71" t="str">
        <f>IFERROR(INDEX(刷條碼區!D:G,MATCH(點上線資訊!S102,刷條碼區!F:F,0),2),"")</f>
        <v/>
      </c>
      <c r="AB102" s="20" t="b">
        <f t="shared" si="8"/>
        <v>0</v>
      </c>
      <c r="AC102" s="20" t="b">
        <f t="shared" si="9"/>
        <v>0</v>
      </c>
      <c r="AD102" s="17" t="b">
        <f t="shared" si="10"/>
        <v>0</v>
      </c>
      <c r="AE102" s="17" t="b">
        <f t="shared" si="11"/>
        <v>0</v>
      </c>
    </row>
    <row r="103" spans="1:31" x14ac:dyDescent="0.2">
      <c r="A103" s="16">
        <v>5000480442</v>
      </c>
      <c r="B103" t="s">
        <v>301</v>
      </c>
      <c r="C103" t="s">
        <v>301</v>
      </c>
      <c r="D103" t="s">
        <v>1</v>
      </c>
      <c r="E103" t="s">
        <v>48</v>
      </c>
      <c r="F103" t="s">
        <v>477</v>
      </c>
      <c r="G103" s="2">
        <v>9</v>
      </c>
      <c r="H103" t="s">
        <v>461</v>
      </c>
      <c r="I103" t="s">
        <v>3</v>
      </c>
      <c r="J103" t="s">
        <v>339</v>
      </c>
      <c r="K103" t="s">
        <v>605</v>
      </c>
      <c r="L103" t="s">
        <v>608</v>
      </c>
      <c r="M103" t="s">
        <v>399</v>
      </c>
      <c r="N103" t="s">
        <v>602</v>
      </c>
      <c r="O103" t="s">
        <v>603</v>
      </c>
      <c r="P103" t="s">
        <v>602</v>
      </c>
      <c r="Q103" s="17">
        <f>IFERROR(VLOOKUP(A103,已除帳印單!B:C,1,0),0)*1</f>
        <v>0</v>
      </c>
      <c r="R103" s="67" t="str">
        <f>IFERROR(VLOOKUP(J103,線別!A:B,2,1),"")</f>
        <v>A+線</v>
      </c>
      <c r="S103" s="17" t="str">
        <f>IFERROR(VLOOKUP(A103,已除帳印單!B:C,2,0),"")</f>
        <v/>
      </c>
      <c r="T103" s="68">
        <f t="shared" si="6"/>
        <v>43894</v>
      </c>
      <c r="U103" s="69">
        <f t="shared" si="7"/>
        <v>84.168796296296293</v>
      </c>
      <c r="V103" s="68" t="str">
        <f>IFERROR(VLOOKUP(A103,已除帳印單!B:D,3,0),"")</f>
        <v/>
      </c>
      <c r="W103" s="69" t="str">
        <f>IFERROR(VLOOKUP(A103,已除帳印單!B:E,4,0),"")</f>
        <v/>
      </c>
      <c r="X103" s="68" t="str">
        <f>IFERROR(INDEX(刷條碼區!A:C,MATCH(點上線資訊!S103,刷條碼區!C:C,0),1),"")</f>
        <v/>
      </c>
      <c r="Y103" s="69" t="str">
        <f>IFERROR(INDEX(刷條碼區!A:C,MATCH(點上線資訊!S103,刷條碼區!C:C,0),2),"")</f>
        <v/>
      </c>
      <c r="Z103" s="70" t="str">
        <f>IFERROR(INDEX(刷條碼區!D:G,MATCH(點上線資訊!S103,刷條碼區!F:F,0),1),"")</f>
        <v/>
      </c>
      <c r="AA103" s="71" t="str">
        <f>IFERROR(INDEX(刷條碼區!D:G,MATCH(點上線資訊!S103,刷條碼區!F:F,0),2),"")</f>
        <v/>
      </c>
      <c r="AB103" s="20" t="b">
        <f t="shared" si="8"/>
        <v>0</v>
      </c>
      <c r="AC103" s="20" t="b">
        <f t="shared" si="9"/>
        <v>0</v>
      </c>
      <c r="AD103" s="17" t="b">
        <f t="shared" si="10"/>
        <v>0</v>
      </c>
      <c r="AE103" s="17" t="b">
        <f t="shared" si="11"/>
        <v>0</v>
      </c>
    </row>
    <row r="104" spans="1:31" x14ac:dyDescent="0.2">
      <c r="A104" s="16">
        <v>5000480443</v>
      </c>
      <c r="B104" t="s">
        <v>0</v>
      </c>
      <c r="C104" t="s">
        <v>0</v>
      </c>
      <c r="D104" t="s">
        <v>1</v>
      </c>
      <c r="E104" t="s">
        <v>52</v>
      </c>
      <c r="F104" t="s">
        <v>492</v>
      </c>
      <c r="G104" s="2">
        <v>20</v>
      </c>
      <c r="H104" t="s">
        <v>461</v>
      </c>
      <c r="I104" t="s">
        <v>3</v>
      </c>
      <c r="J104" t="s">
        <v>4</v>
      </c>
      <c r="K104" t="s">
        <v>602</v>
      </c>
      <c r="L104" t="s">
        <v>603</v>
      </c>
      <c r="M104" t="s">
        <v>602</v>
      </c>
      <c r="N104" t="s">
        <v>602</v>
      </c>
      <c r="O104" t="s">
        <v>603</v>
      </c>
      <c r="P104" t="s">
        <v>602</v>
      </c>
      <c r="Q104" s="17">
        <f>IFERROR(VLOOKUP(A104,已除帳印單!B:C,1,0),0)*1</f>
        <v>0</v>
      </c>
      <c r="R104" s="67" t="str">
        <f>IFERROR(VLOOKUP(J104,線別!A:B,2,1),"")</f>
        <v>IA線</v>
      </c>
      <c r="S104" s="17" t="str">
        <f>IFERROR(VLOOKUP(A104,已除帳印單!B:C,2,0),"")</f>
        <v/>
      </c>
      <c r="T104" s="68">
        <f t="shared" si="6"/>
        <v>43892</v>
      </c>
      <c r="U104" s="69">
        <f t="shared" si="7"/>
        <v>84.168773148148148</v>
      </c>
      <c r="V104" s="68" t="str">
        <f>IFERROR(VLOOKUP(A104,已除帳印單!B:D,3,0),"")</f>
        <v/>
      </c>
      <c r="W104" s="69" t="str">
        <f>IFERROR(VLOOKUP(A104,已除帳印單!B:E,4,0),"")</f>
        <v/>
      </c>
      <c r="X104" s="68" t="str">
        <f>IFERROR(INDEX(刷條碼區!A:C,MATCH(點上線資訊!S104,刷條碼區!C:C,0),1),"")</f>
        <v/>
      </c>
      <c r="Y104" s="69" t="str">
        <f>IFERROR(INDEX(刷條碼區!A:C,MATCH(點上線資訊!S104,刷條碼區!C:C,0),2),"")</f>
        <v/>
      </c>
      <c r="Z104" s="70" t="str">
        <f>IFERROR(INDEX(刷條碼區!D:G,MATCH(點上線資訊!S104,刷條碼區!F:F,0),1),"")</f>
        <v/>
      </c>
      <c r="AA104" s="71" t="str">
        <f>IFERROR(INDEX(刷條碼區!D:G,MATCH(點上線資訊!S104,刷條碼區!F:F,0),2),"")</f>
        <v/>
      </c>
      <c r="AB104" s="20">
        <f t="shared" si="8"/>
        <v>20</v>
      </c>
      <c r="AC104" s="20" t="b">
        <f t="shared" si="9"/>
        <v>0</v>
      </c>
      <c r="AD104" s="17" t="b">
        <f t="shared" si="10"/>
        <v>0</v>
      </c>
      <c r="AE104" s="17" t="b">
        <f t="shared" si="11"/>
        <v>0</v>
      </c>
    </row>
    <row r="105" spans="1:31" x14ac:dyDescent="0.2">
      <c r="A105" s="16">
        <v>5000480444</v>
      </c>
      <c r="B105" t="s">
        <v>301</v>
      </c>
      <c r="C105" t="s">
        <v>301</v>
      </c>
      <c r="D105" t="s">
        <v>1</v>
      </c>
      <c r="E105" t="s">
        <v>656</v>
      </c>
      <c r="F105" t="s">
        <v>657</v>
      </c>
      <c r="G105" s="2">
        <v>1</v>
      </c>
      <c r="H105" t="s">
        <v>461</v>
      </c>
      <c r="I105" t="s">
        <v>3</v>
      </c>
      <c r="J105" t="s">
        <v>339</v>
      </c>
      <c r="K105" t="s">
        <v>605</v>
      </c>
      <c r="L105" t="s">
        <v>608</v>
      </c>
      <c r="M105" t="s">
        <v>400</v>
      </c>
      <c r="N105" t="s">
        <v>602</v>
      </c>
      <c r="O105" t="s">
        <v>603</v>
      </c>
      <c r="P105" t="s">
        <v>602</v>
      </c>
      <c r="Q105" s="17">
        <f>IFERROR(VLOOKUP(A105,已除帳印單!B:C,1,0),0)*1</f>
        <v>0</v>
      </c>
      <c r="R105" s="67" t="str">
        <f>IFERROR(VLOOKUP(J105,線別!A:B,2,1),"")</f>
        <v>A+線</v>
      </c>
      <c r="S105" s="17" t="str">
        <f>IFERROR(VLOOKUP(A105,已除帳印單!B:C,2,0),"")</f>
        <v/>
      </c>
      <c r="T105" s="68">
        <f t="shared" si="6"/>
        <v>43894</v>
      </c>
      <c r="U105" s="69">
        <f t="shared" si="7"/>
        <v>84.168796296296293</v>
      </c>
      <c r="V105" s="68" t="str">
        <f>IFERROR(VLOOKUP(A105,已除帳印單!B:D,3,0),"")</f>
        <v/>
      </c>
      <c r="W105" s="69" t="str">
        <f>IFERROR(VLOOKUP(A105,已除帳印單!B:E,4,0),"")</f>
        <v/>
      </c>
      <c r="X105" s="68" t="str">
        <f>IFERROR(INDEX(刷條碼區!A:C,MATCH(點上線資訊!S105,刷條碼區!C:C,0),1),"")</f>
        <v/>
      </c>
      <c r="Y105" s="69" t="str">
        <f>IFERROR(INDEX(刷條碼區!A:C,MATCH(點上線資訊!S105,刷條碼區!C:C,0),2),"")</f>
        <v/>
      </c>
      <c r="Z105" s="70" t="str">
        <f>IFERROR(INDEX(刷條碼區!D:G,MATCH(點上線資訊!S105,刷條碼區!F:F,0),1),"")</f>
        <v/>
      </c>
      <c r="AA105" s="71" t="str">
        <f>IFERROR(INDEX(刷條碼區!D:G,MATCH(點上線資訊!S105,刷條碼區!F:F,0),2),"")</f>
        <v/>
      </c>
      <c r="AB105" s="20" t="b">
        <f t="shared" si="8"/>
        <v>0</v>
      </c>
      <c r="AC105" s="20" t="b">
        <f t="shared" si="9"/>
        <v>0</v>
      </c>
      <c r="AD105" s="17" t="b">
        <f t="shared" si="10"/>
        <v>0</v>
      </c>
      <c r="AE105" s="17" t="b">
        <f t="shared" si="11"/>
        <v>0</v>
      </c>
    </row>
    <row r="106" spans="1:31" x14ac:dyDescent="0.2">
      <c r="A106" s="16">
        <v>5000480446</v>
      </c>
      <c r="B106" t="s">
        <v>301</v>
      </c>
      <c r="C106" t="s">
        <v>301</v>
      </c>
      <c r="D106" t="s">
        <v>1</v>
      </c>
      <c r="E106" t="s">
        <v>51</v>
      </c>
      <c r="F106" t="s">
        <v>478</v>
      </c>
      <c r="G106" s="2">
        <v>1</v>
      </c>
      <c r="H106" t="s">
        <v>461</v>
      </c>
      <c r="I106" t="s">
        <v>3</v>
      </c>
      <c r="J106" t="s">
        <v>339</v>
      </c>
      <c r="K106" t="s">
        <v>605</v>
      </c>
      <c r="L106" t="s">
        <v>608</v>
      </c>
      <c r="M106" t="s">
        <v>399</v>
      </c>
      <c r="N106" t="s">
        <v>602</v>
      </c>
      <c r="O106" t="s">
        <v>603</v>
      </c>
      <c r="P106" t="s">
        <v>602</v>
      </c>
      <c r="Q106" s="17">
        <f>IFERROR(VLOOKUP(A106,已除帳印單!B:C,1,0),0)*1</f>
        <v>0</v>
      </c>
      <c r="R106" s="67" t="str">
        <f>IFERROR(VLOOKUP(J106,線別!A:B,2,1),"")</f>
        <v>A+線</v>
      </c>
      <c r="S106" s="17" t="str">
        <f>IFERROR(VLOOKUP(A106,已除帳印單!B:C,2,0),"")</f>
        <v/>
      </c>
      <c r="T106" s="68">
        <f t="shared" si="6"/>
        <v>43894</v>
      </c>
      <c r="U106" s="69">
        <f t="shared" si="7"/>
        <v>84.168796296296293</v>
      </c>
      <c r="V106" s="68" t="str">
        <f>IFERROR(VLOOKUP(A106,已除帳印單!B:D,3,0),"")</f>
        <v/>
      </c>
      <c r="W106" s="69" t="str">
        <f>IFERROR(VLOOKUP(A106,已除帳印單!B:E,4,0),"")</f>
        <v/>
      </c>
      <c r="X106" s="68" t="str">
        <f>IFERROR(INDEX(刷條碼區!A:C,MATCH(點上線資訊!S106,刷條碼區!C:C,0),1),"")</f>
        <v/>
      </c>
      <c r="Y106" s="69" t="str">
        <f>IFERROR(INDEX(刷條碼區!A:C,MATCH(點上線資訊!S106,刷條碼區!C:C,0),2),"")</f>
        <v/>
      </c>
      <c r="Z106" s="70" t="str">
        <f>IFERROR(INDEX(刷條碼區!D:G,MATCH(點上線資訊!S106,刷條碼區!F:F,0),1),"")</f>
        <v/>
      </c>
      <c r="AA106" s="71" t="str">
        <f>IFERROR(INDEX(刷條碼區!D:G,MATCH(點上線資訊!S106,刷條碼區!F:F,0),2),"")</f>
        <v/>
      </c>
      <c r="AB106" s="20" t="b">
        <f t="shared" si="8"/>
        <v>0</v>
      </c>
      <c r="AC106" s="20" t="b">
        <f t="shared" si="9"/>
        <v>0</v>
      </c>
      <c r="AD106" s="17" t="b">
        <f t="shared" si="10"/>
        <v>0</v>
      </c>
      <c r="AE106" s="17" t="b">
        <f t="shared" si="11"/>
        <v>0</v>
      </c>
    </row>
    <row r="107" spans="1:31" x14ac:dyDescent="0.2">
      <c r="A107" s="16">
        <v>5000480447</v>
      </c>
      <c r="B107" t="s">
        <v>0</v>
      </c>
      <c r="C107" t="s">
        <v>0</v>
      </c>
      <c r="D107" t="s">
        <v>1</v>
      </c>
      <c r="E107" t="s">
        <v>52</v>
      </c>
      <c r="F107" t="s">
        <v>492</v>
      </c>
      <c r="G107" s="2">
        <v>12</v>
      </c>
      <c r="H107" t="s">
        <v>461</v>
      </c>
      <c r="I107" t="s">
        <v>3</v>
      </c>
      <c r="J107" t="s">
        <v>4</v>
      </c>
      <c r="K107" t="s">
        <v>602</v>
      </c>
      <c r="L107" t="s">
        <v>603</v>
      </c>
      <c r="M107" t="s">
        <v>602</v>
      </c>
      <c r="N107" t="s">
        <v>602</v>
      </c>
      <c r="O107" t="s">
        <v>603</v>
      </c>
      <c r="P107" t="s">
        <v>602</v>
      </c>
      <c r="Q107" s="17">
        <f>IFERROR(VLOOKUP(A107,已除帳印單!B:C,1,0),0)*1</f>
        <v>0</v>
      </c>
      <c r="R107" s="67" t="str">
        <f>IFERROR(VLOOKUP(J107,線別!A:B,2,1),"")</f>
        <v>IA線</v>
      </c>
      <c r="S107" s="17" t="str">
        <f>IFERROR(VLOOKUP(A107,已除帳印單!B:C,2,0),"")</f>
        <v/>
      </c>
      <c r="T107" s="68">
        <f t="shared" si="6"/>
        <v>43892</v>
      </c>
      <c r="U107" s="69">
        <f t="shared" si="7"/>
        <v>84.168773148148148</v>
      </c>
      <c r="V107" s="68" t="str">
        <f>IFERROR(VLOOKUP(A107,已除帳印單!B:D,3,0),"")</f>
        <v/>
      </c>
      <c r="W107" s="69" t="str">
        <f>IFERROR(VLOOKUP(A107,已除帳印單!B:E,4,0),"")</f>
        <v/>
      </c>
      <c r="X107" s="68" t="str">
        <f>IFERROR(INDEX(刷條碼區!A:C,MATCH(點上線資訊!S107,刷條碼區!C:C,0),1),"")</f>
        <v/>
      </c>
      <c r="Y107" s="69" t="str">
        <f>IFERROR(INDEX(刷條碼區!A:C,MATCH(點上線資訊!S107,刷條碼區!C:C,0),2),"")</f>
        <v/>
      </c>
      <c r="Z107" s="70" t="str">
        <f>IFERROR(INDEX(刷條碼區!D:G,MATCH(點上線資訊!S107,刷條碼區!F:F,0),1),"")</f>
        <v/>
      </c>
      <c r="AA107" s="71" t="str">
        <f>IFERROR(INDEX(刷條碼區!D:G,MATCH(點上線資訊!S107,刷條碼區!F:F,0),2),"")</f>
        <v/>
      </c>
      <c r="AB107" s="20">
        <f t="shared" si="8"/>
        <v>12</v>
      </c>
      <c r="AC107" s="20" t="b">
        <f t="shared" si="9"/>
        <v>0</v>
      </c>
      <c r="AD107" s="17" t="b">
        <f t="shared" si="10"/>
        <v>0</v>
      </c>
      <c r="AE107" s="17" t="b">
        <f t="shared" si="11"/>
        <v>0</v>
      </c>
    </row>
    <row r="108" spans="1:31" x14ac:dyDescent="0.2">
      <c r="A108" s="16">
        <v>5000480449</v>
      </c>
      <c r="B108" t="s">
        <v>301</v>
      </c>
      <c r="C108" t="s">
        <v>301</v>
      </c>
      <c r="D108" t="s">
        <v>1</v>
      </c>
      <c r="E108" t="s">
        <v>658</v>
      </c>
      <c r="F108" t="s">
        <v>659</v>
      </c>
      <c r="G108" s="2">
        <v>9</v>
      </c>
      <c r="H108" t="s">
        <v>461</v>
      </c>
      <c r="I108" t="s">
        <v>3</v>
      </c>
      <c r="J108" t="s">
        <v>339</v>
      </c>
      <c r="K108" t="s">
        <v>605</v>
      </c>
      <c r="L108" t="s">
        <v>608</v>
      </c>
      <c r="M108" t="s">
        <v>400</v>
      </c>
      <c r="N108" t="s">
        <v>602</v>
      </c>
      <c r="O108" t="s">
        <v>603</v>
      </c>
      <c r="P108" t="s">
        <v>602</v>
      </c>
      <c r="Q108" s="17">
        <f>IFERROR(VLOOKUP(A108,已除帳印單!B:C,1,0),0)*1</f>
        <v>0</v>
      </c>
      <c r="R108" s="67" t="str">
        <f>IFERROR(VLOOKUP(J108,線別!A:B,2,1),"")</f>
        <v>A+線</v>
      </c>
      <c r="S108" s="17" t="str">
        <f>IFERROR(VLOOKUP(A108,已除帳印單!B:C,2,0),"")</f>
        <v/>
      </c>
      <c r="T108" s="68">
        <f t="shared" si="6"/>
        <v>43894</v>
      </c>
      <c r="U108" s="69">
        <f t="shared" si="7"/>
        <v>84.168796296296293</v>
      </c>
      <c r="V108" s="68" t="str">
        <f>IFERROR(VLOOKUP(A108,已除帳印單!B:D,3,0),"")</f>
        <v/>
      </c>
      <c r="W108" s="69" t="str">
        <f>IFERROR(VLOOKUP(A108,已除帳印單!B:E,4,0),"")</f>
        <v/>
      </c>
      <c r="X108" s="68" t="str">
        <f>IFERROR(INDEX(刷條碼區!A:C,MATCH(點上線資訊!S108,刷條碼區!C:C,0),1),"")</f>
        <v/>
      </c>
      <c r="Y108" s="69" t="str">
        <f>IFERROR(INDEX(刷條碼區!A:C,MATCH(點上線資訊!S108,刷條碼區!C:C,0),2),"")</f>
        <v/>
      </c>
      <c r="Z108" s="70" t="str">
        <f>IFERROR(INDEX(刷條碼區!D:G,MATCH(點上線資訊!S108,刷條碼區!F:F,0),1),"")</f>
        <v/>
      </c>
      <c r="AA108" s="71" t="str">
        <f>IFERROR(INDEX(刷條碼區!D:G,MATCH(點上線資訊!S108,刷條碼區!F:F,0),2),"")</f>
        <v/>
      </c>
      <c r="AB108" s="20" t="b">
        <f t="shared" si="8"/>
        <v>0</v>
      </c>
      <c r="AC108" s="20" t="b">
        <f t="shared" si="9"/>
        <v>0</v>
      </c>
      <c r="AD108" s="17" t="b">
        <f t="shared" si="10"/>
        <v>0</v>
      </c>
      <c r="AE108" s="17" t="b">
        <f t="shared" si="11"/>
        <v>0</v>
      </c>
    </row>
    <row r="109" spans="1:31" x14ac:dyDescent="0.2">
      <c r="A109" s="16">
        <v>5000480450</v>
      </c>
      <c r="B109" t="s">
        <v>301</v>
      </c>
      <c r="C109" t="s">
        <v>301</v>
      </c>
      <c r="D109" t="s">
        <v>1</v>
      </c>
      <c r="E109" t="s">
        <v>658</v>
      </c>
      <c r="F109" t="s">
        <v>659</v>
      </c>
      <c r="G109" s="2">
        <v>5</v>
      </c>
      <c r="H109" t="s">
        <v>461</v>
      </c>
      <c r="I109" t="s">
        <v>3</v>
      </c>
      <c r="J109" t="s">
        <v>339</v>
      </c>
      <c r="K109" t="s">
        <v>605</v>
      </c>
      <c r="L109" t="s">
        <v>608</v>
      </c>
      <c r="M109" t="s">
        <v>400</v>
      </c>
      <c r="N109" t="s">
        <v>602</v>
      </c>
      <c r="O109" t="s">
        <v>603</v>
      </c>
      <c r="P109" t="s">
        <v>602</v>
      </c>
      <c r="Q109" s="17">
        <f>IFERROR(VLOOKUP(A109,已除帳印單!B:C,1,0),0)*1</f>
        <v>0</v>
      </c>
      <c r="R109" s="67" t="str">
        <f>IFERROR(VLOOKUP(J109,線別!A:B,2,1),"")</f>
        <v>A+線</v>
      </c>
      <c r="S109" s="17" t="str">
        <f>IFERROR(VLOOKUP(A109,已除帳印單!B:C,2,0),"")</f>
        <v/>
      </c>
      <c r="T109" s="68">
        <f t="shared" si="6"/>
        <v>43894</v>
      </c>
      <c r="U109" s="69">
        <f t="shared" si="7"/>
        <v>84.168796296296293</v>
      </c>
      <c r="V109" s="68" t="str">
        <f>IFERROR(VLOOKUP(A109,已除帳印單!B:D,3,0),"")</f>
        <v/>
      </c>
      <c r="W109" s="69" t="str">
        <f>IFERROR(VLOOKUP(A109,已除帳印單!B:E,4,0),"")</f>
        <v/>
      </c>
      <c r="X109" s="68" t="str">
        <f>IFERROR(INDEX(刷條碼區!A:C,MATCH(點上線資訊!S109,刷條碼區!C:C,0),1),"")</f>
        <v/>
      </c>
      <c r="Y109" s="69" t="str">
        <f>IFERROR(INDEX(刷條碼區!A:C,MATCH(點上線資訊!S109,刷條碼區!C:C,0),2),"")</f>
        <v/>
      </c>
      <c r="Z109" s="70" t="str">
        <f>IFERROR(INDEX(刷條碼區!D:G,MATCH(點上線資訊!S109,刷條碼區!F:F,0),1),"")</f>
        <v/>
      </c>
      <c r="AA109" s="71" t="str">
        <f>IFERROR(INDEX(刷條碼區!D:G,MATCH(點上線資訊!S109,刷條碼區!F:F,0),2),"")</f>
        <v/>
      </c>
      <c r="AB109" s="20" t="b">
        <f t="shared" si="8"/>
        <v>0</v>
      </c>
      <c r="AC109" s="20" t="b">
        <f t="shared" si="9"/>
        <v>0</v>
      </c>
      <c r="AD109" s="17" t="b">
        <f t="shared" si="10"/>
        <v>0</v>
      </c>
      <c r="AE109" s="17" t="b">
        <f t="shared" si="11"/>
        <v>0</v>
      </c>
    </row>
    <row r="110" spans="1:31" x14ac:dyDescent="0.2">
      <c r="A110" s="16">
        <v>5000480757</v>
      </c>
      <c r="B110" t="s">
        <v>301</v>
      </c>
      <c r="C110" t="s">
        <v>301</v>
      </c>
      <c r="D110" t="s">
        <v>1</v>
      </c>
      <c r="E110" t="s">
        <v>350</v>
      </c>
      <c r="F110" t="s">
        <v>351</v>
      </c>
      <c r="G110" s="2">
        <v>20</v>
      </c>
      <c r="H110" t="s">
        <v>461</v>
      </c>
      <c r="I110" t="s">
        <v>3</v>
      </c>
      <c r="J110" t="s">
        <v>339</v>
      </c>
      <c r="K110" t="s">
        <v>605</v>
      </c>
      <c r="L110" t="s">
        <v>608</v>
      </c>
      <c r="M110" t="s">
        <v>660</v>
      </c>
      <c r="N110" t="s">
        <v>602</v>
      </c>
      <c r="O110" t="s">
        <v>603</v>
      </c>
      <c r="P110" t="s">
        <v>602</v>
      </c>
      <c r="Q110" s="17">
        <f>IFERROR(VLOOKUP(A110,已除帳印單!B:C,1,0),0)*1</f>
        <v>0</v>
      </c>
      <c r="R110" s="67" t="str">
        <f>IFERROR(VLOOKUP(J110,線別!A:B,2,1),"")</f>
        <v>A+線</v>
      </c>
      <c r="S110" s="17" t="str">
        <f>IFERROR(VLOOKUP(A110,已除帳印單!B:C,2,0),"")</f>
        <v/>
      </c>
      <c r="T110" s="68">
        <f t="shared" si="6"/>
        <v>43894</v>
      </c>
      <c r="U110" s="69">
        <f t="shared" si="7"/>
        <v>84.168796296296293</v>
      </c>
      <c r="V110" s="68" t="str">
        <f>IFERROR(VLOOKUP(A110,已除帳印單!B:D,3,0),"")</f>
        <v/>
      </c>
      <c r="W110" s="69" t="str">
        <f>IFERROR(VLOOKUP(A110,已除帳印單!B:E,4,0),"")</f>
        <v/>
      </c>
      <c r="X110" s="68" t="str">
        <f>IFERROR(INDEX(刷條碼區!A:C,MATCH(點上線資訊!S110,刷條碼區!C:C,0),1),"")</f>
        <v/>
      </c>
      <c r="Y110" s="69" t="str">
        <f>IFERROR(INDEX(刷條碼區!A:C,MATCH(點上線資訊!S110,刷條碼區!C:C,0),2),"")</f>
        <v/>
      </c>
      <c r="Z110" s="70" t="str">
        <f>IFERROR(INDEX(刷條碼區!D:G,MATCH(點上線資訊!S110,刷條碼區!F:F,0),1),"")</f>
        <v/>
      </c>
      <c r="AA110" s="71" t="str">
        <f>IFERROR(INDEX(刷條碼區!D:G,MATCH(點上線資訊!S110,刷條碼區!F:F,0),2),"")</f>
        <v/>
      </c>
      <c r="AB110" s="20" t="b">
        <f t="shared" si="8"/>
        <v>0</v>
      </c>
      <c r="AC110" s="20" t="b">
        <f t="shared" si="9"/>
        <v>0</v>
      </c>
      <c r="AD110" s="17" t="b">
        <f t="shared" si="10"/>
        <v>0</v>
      </c>
      <c r="AE110" s="17" t="b">
        <f t="shared" si="11"/>
        <v>0</v>
      </c>
    </row>
    <row r="111" spans="1:31" x14ac:dyDescent="0.2">
      <c r="A111" s="16">
        <v>5000482022</v>
      </c>
      <c r="B111" t="s">
        <v>301</v>
      </c>
      <c r="C111" t="s">
        <v>301</v>
      </c>
      <c r="D111" t="s">
        <v>1</v>
      </c>
      <c r="E111" t="s">
        <v>493</v>
      </c>
      <c r="F111" t="s">
        <v>494</v>
      </c>
      <c r="G111" s="2">
        <v>3</v>
      </c>
      <c r="H111" t="s">
        <v>461</v>
      </c>
      <c r="I111" t="s">
        <v>3</v>
      </c>
      <c r="J111" t="s">
        <v>8</v>
      </c>
      <c r="K111" t="s">
        <v>602</v>
      </c>
      <c r="L111" t="s">
        <v>603</v>
      </c>
      <c r="M111" t="s">
        <v>602</v>
      </c>
      <c r="N111" t="s">
        <v>602</v>
      </c>
      <c r="O111" t="s">
        <v>603</v>
      </c>
      <c r="P111" t="s">
        <v>602</v>
      </c>
      <c r="Q111" s="17">
        <f>IFERROR(VLOOKUP(A111,已除帳印單!B:C,1,0),0)*1</f>
        <v>0</v>
      </c>
      <c r="R111" s="67" t="str">
        <f>IFERROR(VLOOKUP(J111,線別!A:B,2,1),"")</f>
        <v>裝一線</v>
      </c>
      <c r="S111" s="17" t="str">
        <f>IFERROR(VLOOKUP(A111,已除帳印單!B:C,2,0),"")</f>
        <v/>
      </c>
      <c r="T111" s="68">
        <f t="shared" si="6"/>
        <v>43894</v>
      </c>
      <c r="U111" s="69">
        <f t="shared" si="7"/>
        <v>84.168796296296293</v>
      </c>
      <c r="V111" s="68" t="str">
        <f>IFERROR(VLOOKUP(A111,已除帳印單!B:D,3,0),"")</f>
        <v/>
      </c>
      <c r="W111" s="69" t="str">
        <f>IFERROR(VLOOKUP(A111,已除帳印單!B:E,4,0),"")</f>
        <v/>
      </c>
      <c r="X111" s="68" t="str">
        <f>IFERROR(INDEX(刷條碼區!A:C,MATCH(點上線資訊!S111,刷條碼區!C:C,0),1),"")</f>
        <v/>
      </c>
      <c r="Y111" s="69" t="str">
        <f>IFERROR(INDEX(刷條碼區!A:C,MATCH(點上線資訊!S111,刷條碼區!C:C,0),2),"")</f>
        <v/>
      </c>
      <c r="Z111" s="70" t="str">
        <f>IFERROR(INDEX(刷條碼區!D:G,MATCH(點上線資訊!S111,刷條碼區!F:F,0),1),"")</f>
        <v/>
      </c>
      <c r="AA111" s="71" t="str">
        <f>IFERROR(INDEX(刷條碼區!D:G,MATCH(點上線資訊!S111,刷條碼區!F:F,0),2),"")</f>
        <v/>
      </c>
      <c r="AB111" s="20">
        <f t="shared" si="8"/>
        <v>3</v>
      </c>
      <c r="AC111" s="20" t="b">
        <f t="shared" si="9"/>
        <v>0</v>
      </c>
      <c r="AD111" s="17" t="b">
        <f t="shared" si="10"/>
        <v>0</v>
      </c>
      <c r="AE111" s="17" t="b">
        <f t="shared" si="11"/>
        <v>0</v>
      </c>
    </row>
    <row r="112" spans="1:31" x14ac:dyDescent="0.2">
      <c r="A112" s="16">
        <v>5000482270</v>
      </c>
      <c r="B112" t="s">
        <v>0</v>
      </c>
      <c r="C112" t="s">
        <v>0</v>
      </c>
      <c r="D112" t="s">
        <v>1</v>
      </c>
      <c r="E112" t="s">
        <v>661</v>
      </c>
      <c r="F112" t="s">
        <v>662</v>
      </c>
      <c r="G112" s="2">
        <v>15</v>
      </c>
      <c r="H112" t="s">
        <v>461</v>
      </c>
      <c r="I112" t="s">
        <v>3</v>
      </c>
      <c r="J112" t="s">
        <v>4</v>
      </c>
      <c r="K112" t="s">
        <v>605</v>
      </c>
      <c r="L112" t="s">
        <v>608</v>
      </c>
      <c r="M112" t="s">
        <v>663</v>
      </c>
      <c r="N112" t="s">
        <v>602</v>
      </c>
      <c r="O112" t="s">
        <v>603</v>
      </c>
      <c r="P112" t="s">
        <v>602</v>
      </c>
      <c r="Q112" s="17">
        <f>IFERROR(VLOOKUP(A112,已除帳印單!B:C,1,0),0)*1</f>
        <v>0</v>
      </c>
      <c r="R112" s="67" t="str">
        <f>IFERROR(VLOOKUP(J112,線別!A:B,2,1),"")</f>
        <v>IA線</v>
      </c>
      <c r="S112" s="17" t="str">
        <f>IFERROR(VLOOKUP(A112,已除帳印單!B:C,2,0),"")</f>
        <v/>
      </c>
      <c r="T112" s="68">
        <f t="shared" si="6"/>
        <v>43892</v>
      </c>
      <c r="U112" s="69">
        <f t="shared" si="7"/>
        <v>84.168773148148148</v>
      </c>
      <c r="V112" s="68" t="str">
        <f>IFERROR(VLOOKUP(A112,已除帳印單!B:D,3,0),"")</f>
        <v/>
      </c>
      <c r="W112" s="69" t="str">
        <f>IFERROR(VLOOKUP(A112,已除帳印單!B:E,4,0),"")</f>
        <v/>
      </c>
      <c r="X112" s="68" t="str">
        <f>IFERROR(INDEX(刷條碼區!A:C,MATCH(點上線資訊!S112,刷條碼區!C:C,0),1),"")</f>
        <v/>
      </c>
      <c r="Y112" s="69" t="str">
        <f>IFERROR(INDEX(刷條碼區!A:C,MATCH(點上線資訊!S112,刷條碼區!C:C,0),2),"")</f>
        <v/>
      </c>
      <c r="Z112" s="70" t="str">
        <f>IFERROR(INDEX(刷條碼區!D:G,MATCH(點上線資訊!S112,刷條碼區!F:F,0),1),"")</f>
        <v/>
      </c>
      <c r="AA112" s="71" t="str">
        <f>IFERROR(INDEX(刷條碼區!D:G,MATCH(點上線資訊!S112,刷條碼區!F:F,0),2),"")</f>
        <v/>
      </c>
      <c r="AB112" s="20" t="b">
        <f t="shared" si="8"/>
        <v>0</v>
      </c>
      <c r="AC112" s="20" t="b">
        <f t="shared" si="9"/>
        <v>0</v>
      </c>
      <c r="AD112" s="17" t="b">
        <f t="shared" si="10"/>
        <v>0</v>
      </c>
      <c r="AE112" s="17" t="b">
        <f t="shared" si="11"/>
        <v>0</v>
      </c>
    </row>
    <row r="113" spans="1:31" x14ac:dyDescent="0.2">
      <c r="A113" s="16">
        <v>5000482309</v>
      </c>
      <c r="B113" t="s">
        <v>301</v>
      </c>
      <c r="C113" t="s">
        <v>301</v>
      </c>
      <c r="D113" t="s">
        <v>1</v>
      </c>
      <c r="E113" t="s">
        <v>302</v>
      </c>
      <c r="F113" t="s">
        <v>664</v>
      </c>
      <c r="G113" s="2">
        <v>10</v>
      </c>
      <c r="H113" t="s">
        <v>461</v>
      </c>
      <c r="I113" t="s">
        <v>3</v>
      </c>
      <c r="J113" t="s">
        <v>8</v>
      </c>
      <c r="K113" t="s">
        <v>605</v>
      </c>
      <c r="L113" t="s">
        <v>608</v>
      </c>
      <c r="M113" t="s">
        <v>665</v>
      </c>
      <c r="N113" t="s">
        <v>602</v>
      </c>
      <c r="O113" t="s">
        <v>603</v>
      </c>
      <c r="P113" t="s">
        <v>602</v>
      </c>
      <c r="Q113" s="17">
        <f>IFERROR(VLOOKUP(A113,已除帳印單!B:C,1,0),0)*1</f>
        <v>0</v>
      </c>
      <c r="R113" s="67" t="str">
        <f>IFERROR(VLOOKUP(J113,線別!A:B,2,1),"")</f>
        <v>裝一線</v>
      </c>
      <c r="S113" s="17" t="str">
        <f>IFERROR(VLOOKUP(A113,已除帳印單!B:C,2,0),"")</f>
        <v/>
      </c>
      <c r="T113" s="68">
        <f t="shared" si="6"/>
        <v>43894</v>
      </c>
      <c r="U113" s="69">
        <f t="shared" si="7"/>
        <v>84.168796296296293</v>
      </c>
      <c r="V113" s="68" t="str">
        <f>IFERROR(VLOOKUP(A113,已除帳印單!B:D,3,0),"")</f>
        <v/>
      </c>
      <c r="W113" s="69" t="str">
        <f>IFERROR(VLOOKUP(A113,已除帳印單!B:E,4,0),"")</f>
        <v/>
      </c>
      <c r="X113" s="68" t="str">
        <f>IFERROR(INDEX(刷條碼區!A:C,MATCH(點上線資訊!S113,刷條碼區!C:C,0),1),"")</f>
        <v/>
      </c>
      <c r="Y113" s="69" t="str">
        <f>IFERROR(INDEX(刷條碼區!A:C,MATCH(點上線資訊!S113,刷條碼區!C:C,0),2),"")</f>
        <v/>
      </c>
      <c r="Z113" s="70" t="str">
        <f>IFERROR(INDEX(刷條碼區!D:G,MATCH(點上線資訊!S113,刷條碼區!F:F,0),1),"")</f>
        <v/>
      </c>
      <c r="AA113" s="71" t="str">
        <f>IFERROR(INDEX(刷條碼區!D:G,MATCH(點上線資訊!S113,刷條碼區!F:F,0),2),"")</f>
        <v/>
      </c>
      <c r="AB113" s="20" t="b">
        <f t="shared" si="8"/>
        <v>0</v>
      </c>
      <c r="AC113" s="20" t="b">
        <f t="shared" si="9"/>
        <v>0</v>
      </c>
      <c r="AD113" s="17" t="b">
        <f t="shared" si="10"/>
        <v>0</v>
      </c>
      <c r="AE113" s="17" t="b">
        <f t="shared" si="11"/>
        <v>0</v>
      </c>
    </row>
    <row r="114" spans="1:31" x14ac:dyDescent="0.2">
      <c r="A114" s="16">
        <v>5000482330</v>
      </c>
      <c r="B114" t="s">
        <v>0</v>
      </c>
      <c r="C114" t="s">
        <v>0</v>
      </c>
      <c r="D114" t="s">
        <v>1</v>
      </c>
      <c r="E114" t="s">
        <v>666</v>
      </c>
      <c r="F114" t="s">
        <v>667</v>
      </c>
      <c r="G114" s="2">
        <v>3</v>
      </c>
      <c r="H114" t="s">
        <v>461</v>
      </c>
      <c r="I114" t="s">
        <v>3</v>
      </c>
      <c r="J114" t="s">
        <v>8</v>
      </c>
      <c r="K114" t="s">
        <v>605</v>
      </c>
      <c r="L114" t="s">
        <v>608</v>
      </c>
      <c r="M114" t="s">
        <v>668</v>
      </c>
      <c r="N114" t="s">
        <v>602</v>
      </c>
      <c r="O114" t="s">
        <v>603</v>
      </c>
      <c r="P114" t="s">
        <v>602</v>
      </c>
      <c r="Q114" s="17">
        <f>IFERROR(VLOOKUP(A114,已除帳印單!B:C,1,0),0)*1</f>
        <v>0</v>
      </c>
      <c r="R114" s="67" t="str">
        <f>IFERROR(VLOOKUP(J114,線別!A:B,2,1),"")</f>
        <v>裝一線</v>
      </c>
      <c r="S114" s="17" t="str">
        <f>IFERROR(VLOOKUP(A114,已除帳印單!B:C,2,0),"")</f>
        <v/>
      </c>
      <c r="T114" s="68">
        <f t="shared" si="6"/>
        <v>43892</v>
      </c>
      <c r="U114" s="69">
        <f t="shared" si="7"/>
        <v>84.168773148148148</v>
      </c>
      <c r="V114" s="68" t="str">
        <f>IFERROR(VLOOKUP(A114,已除帳印單!B:D,3,0),"")</f>
        <v/>
      </c>
      <c r="W114" s="69" t="str">
        <f>IFERROR(VLOOKUP(A114,已除帳印單!B:E,4,0),"")</f>
        <v/>
      </c>
      <c r="X114" s="68" t="str">
        <f>IFERROR(INDEX(刷條碼區!A:C,MATCH(點上線資訊!S114,刷條碼區!C:C,0),1),"")</f>
        <v/>
      </c>
      <c r="Y114" s="69" t="str">
        <f>IFERROR(INDEX(刷條碼區!A:C,MATCH(點上線資訊!S114,刷條碼區!C:C,0),2),"")</f>
        <v/>
      </c>
      <c r="Z114" s="70" t="str">
        <f>IFERROR(INDEX(刷條碼區!D:G,MATCH(點上線資訊!S114,刷條碼區!F:F,0),1),"")</f>
        <v/>
      </c>
      <c r="AA114" s="71" t="str">
        <f>IFERROR(INDEX(刷條碼區!D:G,MATCH(點上線資訊!S114,刷條碼區!F:F,0),2),"")</f>
        <v/>
      </c>
      <c r="AB114" s="20" t="b">
        <f t="shared" si="8"/>
        <v>0</v>
      </c>
      <c r="AC114" s="20" t="b">
        <f t="shared" si="9"/>
        <v>0</v>
      </c>
      <c r="AD114" s="17" t="b">
        <f t="shared" si="10"/>
        <v>0</v>
      </c>
      <c r="AE114" s="17" t="b">
        <f t="shared" si="11"/>
        <v>0</v>
      </c>
    </row>
    <row r="115" spans="1:31" x14ac:dyDescent="0.2">
      <c r="A115" s="16">
        <v>5000482347</v>
      </c>
      <c r="B115" t="s">
        <v>6</v>
      </c>
      <c r="C115" t="s">
        <v>6</v>
      </c>
      <c r="D115" t="s">
        <v>1</v>
      </c>
      <c r="E115" t="s">
        <v>644</v>
      </c>
      <c r="F115" t="s">
        <v>645</v>
      </c>
      <c r="G115" s="2">
        <v>3</v>
      </c>
      <c r="H115" t="s">
        <v>461</v>
      </c>
      <c r="I115" t="s">
        <v>3</v>
      </c>
      <c r="J115" t="s">
        <v>136</v>
      </c>
      <c r="K115" t="s">
        <v>605</v>
      </c>
      <c r="L115" t="s">
        <v>608</v>
      </c>
      <c r="M115" t="s">
        <v>397</v>
      </c>
      <c r="N115" t="s">
        <v>602</v>
      </c>
      <c r="O115" t="s">
        <v>603</v>
      </c>
      <c r="P115" t="s">
        <v>602</v>
      </c>
      <c r="Q115" s="17">
        <f>IFERROR(VLOOKUP(A115,已除帳印單!B:C,1,0),0)*1</f>
        <v>0</v>
      </c>
      <c r="R115" s="67" t="str">
        <f>IFERROR(VLOOKUP(J115,線別!A:B,2,1),"")</f>
        <v>SCB線</v>
      </c>
      <c r="S115" s="17" t="str">
        <f>IFERROR(VLOOKUP(A115,已除帳印單!B:C,2,0),"")</f>
        <v/>
      </c>
      <c r="T115" s="68">
        <f t="shared" si="6"/>
        <v>43893</v>
      </c>
      <c r="U115" s="69">
        <f t="shared" si="7"/>
        <v>84.168784722222213</v>
      </c>
      <c r="V115" s="68" t="str">
        <f>IFERROR(VLOOKUP(A115,已除帳印單!B:D,3,0),"")</f>
        <v/>
      </c>
      <c r="W115" s="69" t="str">
        <f>IFERROR(VLOOKUP(A115,已除帳印單!B:E,4,0),"")</f>
        <v/>
      </c>
      <c r="X115" s="68" t="str">
        <f>IFERROR(INDEX(刷條碼區!A:C,MATCH(點上線資訊!S115,刷條碼區!C:C,0),1),"")</f>
        <v/>
      </c>
      <c r="Y115" s="69" t="str">
        <f>IFERROR(INDEX(刷條碼區!A:C,MATCH(點上線資訊!S115,刷條碼區!C:C,0),2),"")</f>
        <v/>
      </c>
      <c r="Z115" s="70" t="str">
        <f>IFERROR(INDEX(刷條碼區!D:G,MATCH(點上線資訊!S115,刷條碼區!F:F,0),1),"")</f>
        <v/>
      </c>
      <c r="AA115" s="71" t="str">
        <f>IFERROR(INDEX(刷條碼區!D:G,MATCH(點上線資訊!S115,刷條碼區!F:F,0),2),"")</f>
        <v/>
      </c>
      <c r="AB115" s="20" t="b">
        <f t="shared" si="8"/>
        <v>0</v>
      </c>
      <c r="AC115" s="20" t="b">
        <f t="shared" si="9"/>
        <v>0</v>
      </c>
      <c r="AD115" s="17" t="b">
        <f t="shared" si="10"/>
        <v>0</v>
      </c>
      <c r="AE115" s="17" t="b">
        <f t="shared" si="11"/>
        <v>0</v>
      </c>
    </row>
    <row r="116" spans="1:31" x14ac:dyDescent="0.2">
      <c r="A116" s="16">
        <v>5000482387</v>
      </c>
      <c r="B116" t="s">
        <v>301</v>
      </c>
      <c r="C116" t="s">
        <v>301</v>
      </c>
      <c r="D116" t="s">
        <v>1</v>
      </c>
      <c r="E116" t="s">
        <v>344</v>
      </c>
      <c r="F116" t="s">
        <v>345</v>
      </c>
      <c r="G116" s="2">
        <v>5</v>
      </c>
      <c r="H116" t="s">
        <v>461</v>
      </c>
      <c r="I116" t="s">
        <v>3</v>
      </c>
      <c r="J116" t="s">
        <v>339</v>
      </c>
      <c r="K116" t="s">
        <v>605</v>
      </c>
      <c r="L116" t="s">
        <v>608</v>
      </c>
      <c r="M116" t="s">
        <v>669</v>
      </c>
      <c r="N116" t="s">
        <v>602</v>
      </c>
      <c r="O116" t="s">
        <v>603</v>
      </c>
      <c r="P116" t="s">
        <v>602</v>
      </c>
      <c r="Q116" s="17">
        <f>IFERROR(VLOOKUP(A116,已除帳印單!B:C,1,0),0)*1</f>
        <v>0</v>
      </c>
      <c r="R116" s="67" t="str">
        <f>IFERROR(VLOOKUP(J116,線別!A:B,2,1),"")</f>
        <v>A+線</v>
      </c>
      <c r="S116" s="17" t="str">
        <f>IFERROR(VLOOKUP(A116,已除帳印單!B:C,2,0),"")</f>
        <v/>
      </c>
      <c r="T116" s="68">
        <f t="shared" si="6"/>
        <v>43894</v>
      </c>
      <c r="U116" s="69">
        <f t="shared" si="7"/>
        <v>84.168796296296293</v>
      </c>
      <c r="V116" s="68" t="str">
        <f>IFERROR(VLOOKUP(A116,已除帳印單!B:D,3,0),"")</f>
        <v/>
      </c>
      <c r="W116" s="69" t="str">
        <f>IFERROR(VLOOKUP(A116,已除帳印單!B:E,4,0),"")</f>
        <v/>
      </c>
      <c r="X116" s="68" t="str">
        <f>IFERROR(INDEX(刷條碼區!A:C,MATCH(點上線資訊!S116,刷條碼區!C:C,0),1),"")</f>
        <v/>
      </c>
      <c r="Y116" s="69" t="str">
        <f>IFERROR(INDEX(刷條碼區!A:C,MATCH(點上線資訊!S116,刷條碼區!C:C,0),2),"")</f>
        <v/>
      </c>
      <c r="Z116" s="70" t="str">
        <f>IFERROR(INDEX(刷條碼區!D:G,MATCH(點上線資訊!S116,刷條碼區!F:F,0),1),"")</f>
        <v/>
      </c>
      <c r="AA116" s="71" t="str">
        <f>IFERROR(INDEX(刷條碼區!D:G,MATCH(點上線資訊!S116,刷條碼區!F:F,0),2),"")</f>
        <v/>
      </c>
      <c r="AB116" s="20" t="b">
        <f t="shared" si="8"/>
        <v>0</v>
      </c>
      <c r="AC116" s="20" t="b">
        <f t="shared" si="9"/>
        <v>0</v>
      </c>
      <c r="AD116" s="17" t="b">
        <f t="shared" si="10"/>
        <v>0</v>
      </c>
      <c r="AE116" s="17" t="b">
        <f t="shared" si="11"/>
        <v>0</v>
      </c>
    </row>
    <row r="117" spans="1:31" x14ac:dyDescent="0.2">
      <c r="A117" s="16">
        <v>5000482388</v>
      </c>
      <c r="B117" t="s">
        <v>301</v>
      </c>
      <c r="C117" t="s">
        <v>301</v>
      </c>
      <c r="D117" t="s">
        <v>1</v>
      </c>
      <c r="E117" t="s">
        <v>346</v>
      </c>
      <c r="F117" t="s">
        <v>347</v>
      </c>
      <c r="G117" s="2">
        <v>15</v>
      </c>
      <c r="H117" t="s">
        <v>461</v>
      </c>
      <c r="I117" t="s">
        <v>3</v>
      </c>
      <c r="J117" t="s">
        <v>339</v>
      </c>
      <c r="K117" t="s">
        <v>605</v>
      </c>
      <c r="L117" t="s">
        <v>608</v>
      </c>
      <c r="M117" t="s">
        <v>669</v>
      </c>
      <c r="N117" t="s">
        <v>602</v>
      </c>
      <c r="O117" t="s">
        <v>603</v>
      </c>
      <c r="P117" t="s">
        <v>602</v>
      </c>
      <c r="Q117" s="17">
        <f>IFERROR(VLOOKUP(A117,已除帳印單!B:C,1,0),0)*1</f>
        <v>0</v>
      </c>
      <c r="R117" s="67" t="str">
        <f>IFERROR(VLOOKUP(J117,線別!A:B,2,1),"")</f>
        <v>A+線</v>
      </c>
      <c r="S117" s="17" t="str">
        <f>IFERROR(VLOOKUP(A117,已除帳印單!B:C,2,0),"")</f>
        <v/>
      </c>
      <c r="T117" s="68">
        <f t="shared" si="6"/>
        <v>43894</v>
      </c>
      <c r="U117" s="69">
        <f t="shared" si="7"/>
        <v>84.168796296296293</v>
      </c>
      <c r="V117" s="68" t="str">
        <f>IFERROR(VLOOKUP(A117,已除帳印單!B:D,3,0),"")</f>
        <v/>
      </c>
      <c r="W117" s="69" t="str">
        <f>IFERROR(VLOOKUP(A117,已除帳印單!B:E,4,0),"")</f>
        <v/>
      </c>
      <c r="X117" s="68" t="str">
        <f>IFERROR(INDEX(刷條碼區!A:C,MATCH(點上線資訊!S117,刷條碼區!C:C,0),1),"")</f>
        <v/>
      </c>
      <c r="Y117" s="69" t="str">
        <f>IFERROR(INDEX(刷條碼區!A:C,MATCH(點上線資訊!S117,刷條碼區!C:C,0),2),"")</f>
        <v/>
      </c>
      <c r="Z117" s="70" t="str">
        <f>IFERROR(INDEX(刷條碼區!D:G,MATCH(點上線資訊!S117,刷條碼區!F:F,0),1),"")</f>
        <v/>
      </c>
      <c r="AA117" s="71" t="str">
        <f>IFERROR(INDEX(刷條碼區!D:G,MATCH(點上線資訊!S117,刷條碼區!F:F,0),2),"")</f>
        <v/>
      </c>
      <c r="AB117" s="20" t="b">
        <f t="shared" si="8"/>
        <v>0</v>
      </c>
      <c r="AC117" s="20" t="b">
        <f t="shared" si="9"/>
        <v>0</v>
      </c>
      <c r="AD117" s="17" t="b">
        <f t="shared" si="10"/>
        <v>0</v>
      </c>
      <c r="AE117" s="17" t="b">
        <f t="shared" si="11"/>
        <v>0</v>
      </c>
    </row>
    <row r="118" spans="1:31" x14ac:dyDescent="0.2">
      <c r="A118" s="16">
        <v>5000482389</v>
      </c>
      <c r="B118" t="s">
        <v>301</v>
      </c>
      <c r="C118" t="s">
        <v>301</v>
      </c>
      <c r="D118" t="s">
        <v>1</v>
      </c>
      <c r="E118" t="s">
        <v>348</v>
      </c>
      <c r="F118" t="s">
        <v>349</v>
      </c>
      <c r="G118" s="2">
        <v>5</v>
      </c>
      <c r="H118" t="s">
        <v>461</v>
      </c>
      <c r="I118" t="s">
        <v>3</v>
      </c>
      <c r="J118" t="s">
        <v>339</v>
      </c>
      <c r="K118" t="s">
        <v>605</v>
      </c>
      <c r="L118" t="s">
        <v>608</v>
      </c>
      <c r="M118" t="s">
        <v>669</v>
      </c>
      <c r="N118" t="s">
        <v>602</v>
      </c>
      <c r="O118" t="s">
        <v>603</v>
      </c>
      <c r="P118" t="s">
        <v>602</v>
      </c>
      <c r="Q118" s="17">
        <f>IFERROR(VLOOKUP(A118,已除帳印單!B:C,1,0),0)*1</f>
        <v>0</v>
      </c>
      <c r="R118" s="67" t="str">
        <f>IFERROR(VLOOKUP(J118,線別!A:B,2,1),"")</f>
        <v>A+線</v>
      </c>
      <c r="S118" s="17" t="str">
        <f>IFERROR(VLOOKUP(A118,已除帳印單!B:C,2,0),"")</f>
        <v/>
      </c>
      <c r="T118" s="68">
        <f t="shared" si="6"/>
        <v>43894</v>
      </c>
      <c r="U118" s="69">
        <f t="shared" si="7"/>
        <v>84.168796296296293</v>
      </c>
      <c r="V118" s="68" t="str">
        <f>IFERROR(VLOOKUP(A118,已除帳印單!B:D,3,0),"")</f>
        <v/>
      </c>
      <c r="W118" s="69" t="str">
        <f>IFERROR(VLOOKUP(A118,已除帳印單!B:E,4,0),"")</f>
        <v/>
      </c>
      <c r="X118" s="68" t="str">
        <f>IFERROR(INDEX(刷條碼區!A:C,MATCH(點上線資訊!S118,刷條碼區!C:C,0),1),"")</f>
        <v/>
      </c>
      <c r="Y118" s="69" t="str">
        <f>IFERROR(INDEX(刷條碼區!A:C,MATCH(點上線資訊!S118,刷條碼區!C:C,0),2),"")</f>
        <v/>
      </c>
      <c r="Z118" s="70" t="str">
        <f>IFERROR(INDEX(刷條碼區!D:G,MATCH(點上線資訊!S118,刷條碼區!F:F,0),1),"")</f>
        <v/>
      </c>
      <c r="AA118" s="71" t="str">
        <f>IFERROR(INDEX(刷條碼區!D:G,MATCH(點上線資訊!S118,刷條碼區!F:F,0),2),"")</f>
        <v/>
      </c>
      <c r="AB118" s="20" t="b">
        <f t="shared" si="8"/>
        <v>0</v>
      </c>
      <c r="AC118" s="20" t="b">
        <f t="shared" si="9"/>
        <v>0</v>
      </c>
      <c r="AD118" s="17" t="b">
        <f t="shared" si="10"/>
        <v>0</v>
      </c>
      <c r="AE118" s="17" t="b">
        <f t="shared" si="11"/>
        <v>0</v>
      </c>
    </row>
    <row r="119" spans="1:31" x14ac:dyDescent="0.2">
      <c r="A119" s="16">
        <v>5000483254</v>
      </c>
      <c r="B119" t="s">
        <v>301</v>
      </c>
      <c r="C119" t="s">
        <v>301</v>
      </c>
      <c r="D119" t="s">
        <v>1</v>
      </c>
      <c r="E119" t="s">
        <v>334</v>
      </c>
      <c r="F119" t="s">
        <v>488</v>
      </c>
      <c r="G119" s="2">
        <v>10</v>
      </c>
      <c r="H119" t="s">
        <v>461</v>
      </c>
      <c r="I119" t="s">
        <v>3</v>
      </c>
      <c r="J119" t="s">
        <v>53</v>
      </c>
      <c r="K119" t="s">
        <v>602</v>
      </c>
      <c r="L119" t="s">
        <v>603</v>
      </c>
      <c r="M119" t="s">
        <v>602</v>
      </c>
      <c r="N119" t="s">
        <v>602</v>
      </c>
      <c r="O119" t="s">
        <v>603</v>
      </c>
      <c r="P119" t="s">
        <v>602</v>
      </c>
      <c r="Q119" s="17">
        <f>IFERROR(VLOOKUP(A119,已除帳印單!B:C,1,0),0)*1</f>
        <v>0</v>
      </c>
      <c r="R119" s="67" t="str">
        <f>IFERROR(VLOOKUP(J119,線別!A:B,2,1),"")</f>
        <v>裝二線</v>
      </c>
      <c r="S119" s="17" t="str">
        <f>IFERROR(VLOOKUP(A119,已除帳印單!B:C,2,0),"")</f>
        <v/>
      </c>
      <c r="T119" s="68">
        <f t="shared" si="6"/>
        <v>43894</v>
      </c>
      <c r="U119" s="69">
        <f t="shared" si="7"/>
        <v>84.168796296296293</v>
      </c>
      <c r="V119" s="68" t="str">
        <f>IFERROR(VLOOKUP(A119,已除帳印單!B:D,3,0),"")</f>
        <v/>
      </c>
      <c r="W119" s="69" t="str">
        <f>IFERROR(VLOOKUP(A119,已除帳印單!B:E,4,0),"")</f>
        <v/>
      </c>
      <c r="X119" s="68" t="str">
        <f>IFERROR(INDEX(刷條碼區!A:C,MATCH(點上線資訊!S119,刷條碼區!C:C,0),1),"")</f>
        <v/>
      </c>
      <c r="Y119" s="69" t="str">
        <f>IFERROR(INDEX(刷條碼區!A:C,MATCH(點上線資訊!S119,刷條碼區!C:C,0),2),"")</f>
        <v/>
      </c>
      <c r="Z119" s="70" t="str">
        <f>IFERROR(INDEX(刷條碼區!D:G,MATCH(點上線資訊!S119,刷條碼區!F:F,0),1),"")</f>
        <v/>
      </c>
      <c r="AA119" s="71" t="str">
        <f>IFERROR(INDEX(刷條碼區!D:G,MATCH(點上線資訊!S119,刷條碼區!F:F,0),2),"")</f>
        <v/>
      </c>
      <c r="AB119" s="20">
        <f t="shared" si="8"/>
        <v>10</v>
      </c>
      <c r="AC119" s="20" t="b">
        <f t="shared" si="9"/>
        <v>0</v>
      </c>
      <c r="AD119" s="17" t="b">
        <f t="shared" si="10"/>
        <v>0</v>
      </c>
      <c r="AE119" s="17" t="b">
        <f t="shared" si="11"/>
        <v>0</v>
      </c>
    </row>
    <row r="120" spans="1:31" x14ac:dyDescent="0.2">
      <c r="A120" s="16">
        <v>5000485915</v>
      </c>
      <c r="B120" t="s">
        <v>0</v>
      </c>
      <c r="C120" t="s">
        <v>0</v>
      </c>
      <c r="D120" t="s">
        <v>1</v>
      </c>
      <c r="E120" t="s">
        <v>670</v>
      </c>
      <c r="F120" t="s">
        <v>671</v>
      </c>
      <c r="G120" s="2">
        <v>15</v>
      </c>
      <c r="H120" t="s">
        <v>461</v>
      </c>
      <c r="I120" t="s">
        <v>3</v>
      </c>
      <c r="J120" t="s">
        <v>19</v>
      </c>
      <c r="K120" t="s">
        <v>605</v>
      </c>
      <c r="L120" t="s">
        <v>608</v>
      </c>
      <c r="M120" t="s">
        <v>672</v>
      </c>
      <c r="N120" t="s">
        <v>602</v>
      </c>
      <c r="O120" t="s">
        <v>603</v>
      </c>
      <c r="P120" t="s">
        <v>602</v>
      </c>
      <c r="Q120" s="17">
        <f>IFERROR(VLOOKUP(A120,已除帳印單!B:C,1,0),0)*1</f>
        <v>0</v>
      </c>
      <c r="R120" s="67" t="str">
        <f>IFERROR(VLOOKUP(J120,線別!A:B,2,1),"")</f>
        <v>FM_IA預組</v>
      </c>
      <c r="S120" s="17" t="str">
        <f>IFERROR(VLOOKUP(A120,已除帳印單!B:C,2,0),"")</f>
        <v/>
      </c>
      <c r="T120" s="68">
        <f t="shared" si="6"/>
        <v>43892</v>
      </c>
      <c r="U120" s="69">
        <f t="shared" si="7"/>
        <v>84.168773148148148</v>
      </c>
      <c r="V120" s="68" t="str">
        <f>IFERROR(VLOOKUP(A120,已除帳印單!B:D,3,0),"")</f>
        <v/>
      </c>
      <c r="W120" s="69" t="str">
        <f>IFERROR(VLOOKUP(A120,已除帳印單!B:E,4,0),"")</f>
        <v/>
      </c>
      <c r="X120" s="68" t="str">
        <f>IFERROR(INDEX(刷條碼區!A:C,MATCH(點上線資訊!S120,刷條碼區!C:C,0),1),"")</f>
        <v/>
      </c>
      <c r="Y120" s="69" t="str">
        <f>IFERROR(INDEX(刷條碼區!A:C,MATCH(點上線資訊!S120,刷條碼區!C:C,0),2),"")</f>
        <v/>
      </c>
      <c r="Z120" s="70" t="str">
        <f>IFERROR(INDEX(刷條碼區!D:G,MATCH(點上線資訊!S120,刷條碼區!F:F,0),1),"")</f>
        <v/>
      </c>
      <c r="AA120" s="71" t="str">
        <f>IFERROR(INDEX(刷條碼區!D:G,MATCH(點上線資訊!S120,刷條碼區!F:F,0),2),"")</f>
        <v/>
      </c>
      <c r="AB120" s="20" t="b">
        <f t="shared" si="8"/>
        <v>0</v>
      </c>
      <c r="AC120" s="20" t="b">
        <f t="shared" si="9"/>
        <v>0</v>
      </c>
      <c r="AD120" s="17" t="b">
        <f t="shared" si="10"/>
        <v>0</v>
      </c>
      <c r="AE120" s="17" t="b">
        <f t="shared" si="11"/>
        <v>0</v>
      </c>
    </row>
    <row r="121" spans="1:31" x14ac:dyDescent="0.2">
      <c r="A121" s="16">
        <v>5000485922</v>
      </c>
      <c r="B121" t="s">
        <v>0</v>
      </c>
      <c r="C121" t="s">
        <v>0</v>
      </c>
      <c r="D121" t="s">
        <v>1</v>
      </c>
      <c r="E121" t="s">
        <v>673</v>
      </c>
      <c r="F121" t="s">
        <v>674</v>
      </c>
      <c r="G121" s="2">
        <v>20</v>
      </c>
      <c r="H121" t="s">
        <v>461</v>
      </c>
      <c r="I121" t="s">
        <v>3</v>
      </c>
      <c r="J121" t="s">
        <v>19</v>
      </c>
      <c r="K121" t="s">
        <v>605</v>
      </c>
      <c r="L121" t="s">
        <v>608</v>
      </c>
      <c r="M121" t="s">
        <v>672</v>
      </c>
      <c r="N121" t="s">
        <v>602</v>
      </c>
      <c r="O121" t="s">
        <v>603</v>
      </c>
      <c r="P121" t="s">
        <v>602</v>
      </c>
      <c r="Q121" s="17">
        <f>IFERROR(VLOOKUP(A121,已除帳印單!B:C,1,0),0)*1</f>
        <v>0</v>
      </c>
      <c r="R121" s="67" t="str">
        <f>IFERROR(VLOOKUP(J121,線別!A:B,2,1),"")</f>
        <v>FM_IA預組</v>
      </c>
      <c r="S121" s="17" t="str">
        <f>IFERROR(VLOOKUP(A121,已除帳印單!B:C,2,0),"")</f>
        <v/>
      </c>
      <c r="T121" s="68">
        <f t="shared" si="6"/>
        <v>43892</v>
      </c>
      <c r="U121" s="69">
        <f t="shared" si="7"/>
        <v>84.168773148148148</v>
      </c>
      <c r="V121" s="68" t="str">
        <f>IFERROR(VLOOKUP(A121,已除帳印單!B:D,3,0),"")</f>
        <v/>
      </c>
      <c r="W121" s="69" t="str">
        <f>IFERROR(VLOOKUP(A121,已除帳印單!B:E,4,0),"")</f>
        <v/>
      </c>
      <c r="X121" s="68" t="str">
        <f>IFERROR(INDEX(刷條碼區!A:C,MATCH(點上線資訊!S121,刷條碼區!C:C,0),1),"")</f>
        <v/>
      </c>
      <c r="Y121" s="69" t="str">
        <f>IFERROR(INDEX(刷條碼區!A:C,MATCH(點上線資訊!S121,刷條碼區!C:C,0),2),"")</f>
        <v/>
      </c>
      <c r="Z121" s="70" t="str">
        <f>IFERROR(INDEX(刷條碼區!D:G,MATCH(點上線資訊!S121,刷條碼區!F:F,0),1),"")</f>
        <v/>
      </c>
      <c r="AA121" s="71" t="str">
        <f>IFERROR(INDEX(刷條碼區!D:G,MATCH(點上線資訊!S121,刷條碼區!F:F,0),2),"")</f>
        <v/>
      </c>
      <c r="AB121" s="20" t="b">
        <f t="shared" si="8"/>
        <v>0</v>
      </c>
      <c r="AC121" s="20" t="b">
        <f t="shared" si="9"/>
        <v>0</v>
      </c>
      <c r="AD121" s="17" t="b">
        <f t="shared" si="10"/>
        <v>0</v>
      </c>
      <c r="AE121" s="17" t="b">
        <f t="shared" si="11"/>
        <v>0</v>
      </c>
    </row>
    <row r="122" spans="1:31" x14ac:dyDescent="0.2">
      <c r="A122" s="16">
        <v>5000485923</v>
      </c>
      <c r="B122" t="s">
        <v>0</v>
      </c>
      <c r="C122" t="s">
        <v>0</v>
      </c>
      <c r="D122" t="s">
        <v>1</v>
      </c>
      <c r="E122" t="s">
        <v>675</v>
      </c>
      <c r="F122" t="s">
        <v>676</v>
      </c>
      <c r="G122" s="2">
        <v>20</v>
      </c>
      <c r="H122" t="s">
        <v>461</v>
      </c>
      <c r="I122" t="s">
        <v>3</v>
      </c>
      <c r="J122" t="s">
        <v>19</v>
      </c>
      <c r="K122" t="s">
        <v>605</v>
      </c>
      <c r="L122" t="s">
        <v>608</v>
      </c>
      <c r="M122" t="s">
        <v>672</v>
      </c>
      <c r="N122" t="s">
        <v>602</v>
      </c>
      <c r="O122" t="s">
        <v>603</v>
      </c>
      <c r="P122" t="s">
        <v>602</v>
      </c>
      <c r="Q122" s="17">
        <f>IFERROR(VLOOKUP(A122,已除帳印單!B:C,1,0),0)*1</f>
        <v>0</v>
      </c>
      <c r="R122" s="67" t="str">
        <f>IFERROR(VLOOKUP(J122,線別!A:B,2,1),"")</f>
        <v>FM_IA預組</v>
      </c>
      <c r="S122" s="17" t="str">
        <f>IFERROR(VLOOKUP(A122,已除帳印單!B:C,2,0),"")</f>
        <v/>
      </c>
      <c r="T122" s="68">
        <f t="shared" si="6"/>
        <v>43892</v>
      </c>
      <c r="U122" s="69">
        <f t="shared" si="7"/>
        <v>84.168773148148148</v>
      </c>
      <c r="V122" s="68" t="str">
        <f>IFERROR(VLOOKUP(A122,已除帳印單!B:D,3,0),"")</f>
        <v/>
      </c>
      <c r="W122" s="69" t="str">
        <f>IFERROR(VLOOKUP(A122,已除帳印單!B:E,4,0),"")</f>
        <v/>
      </c>
      <c r="X122" s="68" t="str">
        <f>IFERROR(INDEX(刷條碼區!A:C,MATCH(點上線資訊!S122,刷條碼區!C:C,0),1),"")</f>
        <v/>
      </c>
      <c r="Y122" s="69" t="str">
        <f>IFERROR(INDEX(刷條碼區!A:C,MATCH(點上線資訊!S122,刷條碼區!C:C,0),2),"")</f>
        <v/>
      </c>
      <c r="Z122" s="70" t="str">
        <f>IFERROR(INDEX(刷條碼區!D:G,MATCH(點上線資訊!S122,刷條碼區!F:F,0),1),"")</f>
        <v/>
      </c>
      <c r="AA122" s="71" t="str">
        <f>IFERROR(INDEX(刷條碼區!D:G,MATCH(點上線資訊!S122,刷條碼區!F:F,0),2),"")</f>
        <v/>
      </c>
      <c r="AB122" s="20" t="b">
        <f t="shared" si="8"/>
        <v>0</v>
      </c>
      <c r="AC122" s="20" t="b">
        <f t="shared" si="9"/>
        <v>0</v>
      </c>
      <c r="AD122" s="17" t="b">
        <f t="shared" si="10"/>
        <v>0</v>
      </c>
      <c r="AE122" s="17" t="b">
        <f t="shared" si="11"/>
        <v>0</v>
      </c>
    </row>
    <row r="123" spans="1:31" x14ac:dyDescent="0.2">
      <c r="A123" s="16">
        <v>5000486001</v>
      </c>
      <c r="B123" t="s">
        <v>0</v>
      </c>
      <c r="C123" t="s">
        <v>0</v>
      </c>
      <c r="D123" t="s">
        <v>1</v>
      </c>
      <c r="E123" t="s">
        <v>677</v>
      </c>
      <c r="F123" t="s">
        <v>678</v>
      </c>
      <c r="G123" s="2">
        <v>20</v>
      </c>
      <c r="H123" t="s">
        <v>461</v>
      </c>
      <c r="I123" t="s">
        <v>3</v>
      </c>
      <c r="J123" t="s">
        <v>8</v>
      </c>
      <c r="K123" t="s">
        <v>605</v>
      </c>
      <c r="L123" t="s">
        <v>608</v>
      </c>
      <c r="M123" t="s">
        <v>401</v>
      </c>
      <c r="N123" t="s">
        <v>602</v>
      </c>
      <c r="O123" t="s">
        <v>603</v>
      </c>
      <c r="P123" t="s">
        <v>602</v>
      </c>
      <c r="Q123" s="17">
        <f>IFERROR(VLOOKUP(A123,已除帳印單!B:C,1,0),0)*1</f>
        <v>0</v>
      </c>
      <c r="R123" s="67" t="str">
        <f>IFERROR(VLOOKUP(J123,線別!A:B,2,1),"")</f>
        <v>裝一線</v>
      </c>
      <c r="S123" s="17" t="str">
        <f>IFERROR(VLOOKUP(A123,已除帳印單!B:C,2,0),"")</f>
        <v/>
      </c>
      <c r="T123" s="68">
        <f t="shared" si="6"/>
        <v>43892</v>
      </c>
      <c r="U123" s="69">
        <f t="shared" si="7"/>
        <v>84.168773148148148</v>
      </c>
      <c r="V123" s="68" t="str">
        <f>IFERROR(VLOOKUP(A123,已除帳印單!B:D,3,0),"")</f>
        <v/>
      </c>
      <c r="W123" s="69" t="str">
        <f>IFERROR(VLOOKUP(A123,已除帳印單!B:E,4,0),"")</f>
        <v/>
      </c>
      <c r="X123" s="68" t="str">
        <f>IFERROR(INDEX(刷條碼區!A:C,MATCH(點上線資訊!S123,刷條碼區!C:C,0),1),"")</f>
        <v/>
      </c>
      <c r="Y123" s="69" t="str">
        <f>IFERROR(INDEX(刷條碼區!A:C,MATCH(點上線資訊!S123,刷條碼區!C:C,0),2),"")</f>
        <v/>
      </c>
      <c r="Z123" s="70" t="str">
        <f>IFERROR(INDEX(刷條碼區!D:G,MATCH(點上線資訊!S123,刷條碼區!F:F,0),1),"")</f>
        <v/>
      </c>
      <c r="AA123" s="71" t="str">
        <f>IFERROR(INDEX(刷條碼區!D:G,MATCH(點上線資訊!S123,刷條碼區!F:F,0),2),"")</f>
        <v/>
      </c>
      <c r="AB123" s="20" t="b">
        <f t="shared" si="8"/>
        <v>0</v>
      </c>
      <c r="AC123" s="20" t="b">
        <f t="shared" si="9"/>
        <v>0</v>
      </c>
      <c r="AD123" s="17" t="b">
        <f t="shared" si="10"/>
        <v>0</v>
      </c>
      <c r="AE123" s="17" t="b">
        <f t="shared" si="11"/>
        <v>0</v>
      </c>
    </row>
    <row r="124" spans="1:31" x14ac:dyDescent="0.2">
      <c r="A124" s="16">
        <v>5000486080</v>
      </c>
      <c r="B124" t="s">
        <v>6</v>
      </c>
      <c r="C124" t="s">
        <v>6</v>
      </c>
      <c r="D124" t="s">
        <v>1</v>
      </c>
      <c r="E124" t="s">
        <v>282</v>
      </c>
      <c r="F124" t="s">
        <v>495</v>
      </c>
      <c r="G124" s="2">
        <v>6</v>
      </c>
      <c r="H124" t="s">
        <v>461</v>
      </c>
      <c r="I124" t="s">
        <v>3</v>
      </c>
      <c r="J124" t="s">
        <v>283</v>
      </c>
      <c r="K124" t="s">
        <v>602</v>
      </c>
      <c r="L124" t="s">
        <v>603</v>
      </c>
      <c r="M124" t="s">
        <v>602</v>
      </c>
      <c r="N124" t="s">
        <v>602</v>
      </c>
      <c r="O124" t="s">
        <v>603</v>
      </c>
      <c r="P124" t="s">
        <v>602</v>
      </c>
      <c r="Q124" s="17">
        <f>IFERROR(VLOOKUP(A124,已除帳印單!B:C,1,0),0)*1</f>
        <v>0</v>
      </c>
      <c r="R124" s="67" t="str">
        <f>IFERROR(VLOOKUP(J124,線別!A:B,2,1),"")</f>
        <v>裝二線AGV</v>
      </c>
      <c r="S124" s="17" t="str">
        <f>IFERROR(VLOOKUP(A124,已除帳印單!B:C,2,0),"")</f>
        <v/>
      </c>
      <c r="T124" s="68">
        <f t="shared" si="6"/>
        <v>43893</v>
      </c>
      <c r="U124" s="69">
        <f t="shared" si="7"/>
        <v>84.168784722222213</v>
      </c>
      <c r="V124" s="68" t="str">
        <f>IFERROR(VLOOKUP(A124,已除帳印單!B:D,3,0),"")</f>
        <v/>
      </c>
      <c r="W124" s="69" t="str">
        <f>IFERROR(VLOOKUP(A124,已除帳印單!B:E,4,0),"")</f>
        <v/>
      </c>
      <c r="X124" s="68" t="str">
        <f>IFERROR(INDEX(刷條碼區!A:C,MATCH(點上線資訊!S124,刷條碼區!C:C,0),1),"")</f>
        <v/>
      </c>
      <c r="Y124" s="69" t="str">
        <f>IFERROR(INDEX(刷條碼區!A:C,MATCH(點上線資訊!S124,刷條碼區!C:C,0),2),"")</f>
        <v/>
      </c>
      <c r="Z124" s="70" t="str">
        <f>IFERROR(INDEX(刷條碼區!D:G,MATCH(點上線資訊!S124,刷條碼區!F:F,0),1),"")</f>
        <v/>
      </c>
      <c r="AA124" s="71" t="str">
        <f>IFERROR(INDEX(刷條碼區!D:G,MATCH(點上線資訊!S124,刷條碼區!F:F,0),2),"")</f>
        <v/>
      </c>
      <c r="AB124" s="20">
        <f t="shared" si="8"/>
        <v>6</v>
      </c>
      <c r="AC124" s="20" t="b">
        <f t="shared" si="9"/>
        <v>0</v>
      </c>
      <c r="AD124" s="17" t="b">
        <f t="shared" si="10"/>
        <v>0</v>
      </c>
      <c r="AE124" s="17" t="b">
        <f t="shared" si="11"/>
        <v>0</v>
      </c>
    </row>
    <row r="125" spans="1:31" x14ac:dyDescent="0.2">
      <c r="A125" s="16">
        <v>5000486081</v>
      </c>
      <c r="B125" t="s">
        <v>6</v>
      </c>
      <c r="C125" t="s">
        <v>6</v>
      </c>
      <c r="D125" t="s">
        <v>1</v>
      </c>
      <c r="E125" t="s">
        <v>285</v>
      </c>
      <c r="F125" t="s">
        <v>496</v>
      </c>
      <c r="G125" s="2">
        <v>2</v>
      </c>
      <c r="H125" t="s">
        <v>461</v>
      </c>
      <c r="I125" t="s">
        <v>3</v>
      </c>
      <c r="J125" t="s">
        <v>283</v>
      </c>
      <c r="K125" t="s">
        <v>602</v>
      </c>
      <c r="L125" t="s">
        <v>603</v>
      </c>
      <c r="M125" t="s">
        <v>602</v>
      </c>
      <c r="N125" t="s">
        <v>602</v>
      </c>
      <c r="O125" t="s">
        <v>603</v>
      </c>
      <c r="P125" t="s">
        <v>602</v>
      </c>
      <c r="Q125" s="17">
        <f>IFERROR(VLOOKUP(A125,已除帳印單!B:C,1,0),0)*1</f>
        <v>0</v>
      </c>
      <c r="R125" s="67" t="str">
        <f>IFERROR(VLOOKUP(J125,線別!A:B,2,1),"")</f>
        <v>裝二線AGV</v>
      </c>
      <c r="S125" s="17" t="str">
        <f>IFERROR(VLOOKUP(A125,已除帳印單!B:C,2,0),"")</f>
        <v/>
      </c>
      <c r="T125" s="68">
        <f t="shared" si="6"/>
        <v>43893</v>
      </c>
      <c r="U125" s="69">
        <f t="shared" si="7"/>
        <v>84.168784722222213</v>
      </c>
      <c r="V125" s="68" t="str">
        <f>IFERROR(VLOOKUP(A125,已除帳印單!B:D,3,0),"")</f>
        <v/>
      </c>
      <c r="W125" s="69" t="str">
        <f>IFERROR(VLOOKUP(A125,已除帳印單!B:E,4,0),"")</f>
        <v/>
      </c>
      <c r="X125" s="68" t="str">
        <f>IFERROR(INDEX(刷條碼區!A:C,MATCH(點上線資訊!S125,刷條碼區!C:C,0),1),"")</f>
        <v/>
      </c>
      <c r="Y125" s="69" t="str">
        <f>IFERROR(INDEX(刷條碼區!A:C,MATCH(點上線資訊!S125,刷條碼區!C:C,0),2),"")</f>
        <v/>
      </c>
      <c r="Z125" s="70" t="str">
        <f>IFERROR(INDEX(刷條碼區!D:G,MATCH(點上線資訊!S125,刷條碼區!F:F,0),1),"")</f>
        <v/>
      </c>
      <c r="AA125" s="71" t="str">
        <f>IFERROR(INDEX(刷條碼區!D:G,MATCH(點上線資訊!S125,刷條碼區!F:F,0),2),"")</f>
        <v/>
      </c>
      <c r="AB125" s="20">
        <f t="shared" si="8"/>
        <v>2</v>
      </c>
      <c r="AC125" s="20" t="b">
        <f t="shared" si="9"/>
        <v>0</v>
      </c>
      <c r="AD125" s="17" t="b">
        <f t="shared" si="10"/>
        <v>0</v>
      </c>
      <c r="AE125" s="17" t="b">
        <f t="shared" si="11"/>
        <v>0</v>
      </c>
    </row>
    <row r="126" spans="1:31" x14ac:dyDescent="0.2">
      <c r="A126" s="16">
        <v>5000486083</v>
      </c>
      <c r="B126" t="s">
        <v>6</v>
      </c>
      <c r="C126" t="s">
        <v>6</v>
      </c>
      <c r="D126" t="s">
        <v>1</v>
      </c>
      <c r="E126" t="s">
        <v>284</v>
      </c>
      <c r="F126" t="s">
        <v>497</v>
      </c>
      <c r="G126" s="2">
        <v>1</v>
      </c>
      <c r="H126" t="s">
        <v>461</v>
      </c>
      <c r="I126" t="s">
        <v>3</v>
      </c>
      <c r="J126" t="s">
        <v>283</v>
      </c>
      <c r="K126" t="s">
        <v>602</v>
      </c>
      <c r="L126" t="s">
        <v>603</v>
      </c>
      <c r="M126" t="s">
        <v>602</v>
      </c>
      <c r="N126" t="s">
        <v>602</v>
      </c>
      <c r="O126" t="s">
        <v>603</v>
      </c>
      <c r="P126" t="s">
        <v>602</v>
      </c>
      <c r="Q126" s="17">
        <f>IFERROR(VLOOKUP(A126,已除帳印單!B:C,1,0),0)*1</f>
        <v>0</v>
      </c>
      <c r="R126" s="67" t="str">
        <f>IFERROR(VLOOKUP(J126,線別!A:B,2,1),"")</f>
        <v>裝二線AGV</v>
      </c>
      <c r="S126" s="17" t="str">
        <f>IFERROR(VLOOKUP(A126,已除帳印單!B:C,2,0),"")</f>
        <v/>
      </c>
      <c r="T126" s="68">
        <f t="shared" si="6"/>
        <v>43893</v>
      </c>
      <c r="U126" s="69">
        <f t="shared" si="7"/>
        <v>84.168784722222213</v>
      </c>
      <c r="V126" s="68" t="str">
        <f>IFERROR(VLOOKUP(A126,已除帳印單!B:D,3,0),"")</f>
        <v/>
      </c>
      <c r="W126" s="69" t="str">
        <f>IFERROR(VLOOKUP(A126,已除帳印單!B:E,4,0),"")</f>
        <v/>
      </c>
      <c r="X126" s="68" t="str">
        <f>IFERROR(INDEX(刷條碼區!A:C,MATCH(點上線資訊!S126,刷條碼區!C:C,0),1),"")</f>
        <v/>
      </c>
      <c r="Y126" s="69" t="str">
        <f>IFERROR(INDEX(刷條碼區!A:C,MATCH(點上線資訊!S126,刷條碼區!C:C,0),2),"")</f>
        <v/>
      </c>
      <c r="Z126" s="70" t="str">
        <f>IFERROR(INDEX(刷條碼區!D:G,MATCH(點上線資訊!S126,刷條碼區!F:F,0),1),"")</f>
        <v/>
      </c>
      <c r="AA126" s="71" t="str">
        <f>IFERROR(INDEX(刷條碼區!D:G,MATCH(點上線資訊!S126,刷條碼區!F:F,0),2),"")</f>
        <v/>
      </c>
      <c r="AB126" s="20">
        <f t="shared" si="8"/>
        <v>1</v>
      </c>
      <c r="AC126" s="20" t="b">
        <f t="shared" si="9"/>
        <v>0</v>
      </c>
      <c r="AD126" s="17" t="b">
        <f t="shared" si="10"/>
        <v>0</v>
      </c>
      <c r="AE126" s="17" t="b">
        <f t="shared" si="11"/>
        <v>0</v>
      </c>
    </row>
    <row r="127" spans="1:31" x14ac:dyDescent="0.2">
      <c r="A127" s="16">
        <v>5000486085</v>
      </c>
      <c r="B127" t="s">
        <v>6</v>
      </c>
      <c r="C127" t="s">
        <v>6</v>
      </c>
      <c r="D127" t="s">
        <v>1</v>
      </c>
      <c r="E127" t="s">
        <v>284</v>
      </c>
      <c r="F127" t="s">
        <v>497</v>
      </c>
      <c r="G127" s="2">
        <v>2</v>
      </c>
      <c r="H127" t="s">
        <v>461</v>
      </c>
      <c r="I127" t="s">
        <v>3</v>
      </c>
      <c r="J127" t="s">
        <v>283</v>
      </c>
      <c r="K127" t="s">
        <v>602</v>
      </c>
      <c r="L127" t="s">
        <v>603</v>
      </c>
      <c r="M127" t="s">
        <v>602</v>
      </c>
      <c r="N127" t="s">
        <v>602</v>
      </c>
      <c r="O127" t="s">
        <v>603</v>
      </c>
      <c r="P127" t="s">
        <v>602</v>
      </c>
      <c r="Q127" s="17">
        <f>IFERROR(VLOOKUP(A127,已除帳印單!B:C,1,0),0)*1</f>
        <v>0</v>
      </c>
      <c r="R127" s="67" t="str">
        <f>IFERROR(VLOOKUP(J127,線別!A:B,2,1),"")</f>
        <v>裝二線AGV</v>
      </c>
      <c r="S127" s="17" t="str">
        <f>IFERROR(VLOOKUP(A127,已除帳印單!B:C,2,0),"")</f>
        <v/>
      </c>
      <c r="T127" s="68">
        <f t="shared" si="6"/>
        <v>43893</v>
      </c>
      <c r="U127" s="69">
        <f t="shared" si="7"/>
        <v>84.168784722222213</v>
      </c>
      <c r="V127" s="68" t="str">
        <f>IFERROR(VLOOKUP(A127,已除帳印單!B:D,3,0),"")</f>
        <v/>
      </c>
      <c r="W127" s="69" t="str">
        <f>IFERROR(VLOOKUP(A127,已除帳印單!B:E,4,0),"")</f>
        <v/>
      </c>
      <c r="X127" s="68" t="str">
        <f>IFERROR(INDEX(刷條碼區!A:C,MATCH(點上線資訊!S127,刷條碼區!C:C,0),1),"")</f>
        <v/>
      </c>
      <c r="Y127" s="69" t="str">
        <f>IFERROR(INDEX(刷條碼區!A:C,MATCH(點上線資訊!S127,刷條碼區!C:C,0),2),"")</f>
        <v/>
      </c>
      <c r="Z127" s="70" t="str">
        <f>IFERROR(INDEX(刷條碼區!D:G,MATCH(點上線資訊!S127,刷條碼區!F:F,0),1),"")</f>
        <v/>
      </c>
      <c r="AA127" s="71" t="str">
        <f>IFERROR(INDEX(刷條碼區!D:G,MATCH(點上線資訊!S127,刷條碼區!F:F,0),2),"")</f>
        <v/>
      </c>
      <c r="AB127" s="20">
        <f t="shared" si="8"/>
        <v>2</v>
      </c>
      <c r="AC127" s="20" t="b">
        <f t="shared" si="9"/>
        <v>0</v>
      </c>
      <c r="AD127" s="17" t="b">
        <f t="shared" si="10"/>
        <v>0</v>
      </c>
      <c r="AE127" s="17" t="b">
        <f t="shared" si="11"/>
        <v>0</v>
      </c>
    </row>
    <row r="128" spans="1:31" x14ac:dyDescent="0.2">
      <c r="A128" s="16">
        <v>5000487109</v>
      </c>
      <c r="B128" t="s">
        <v>301</v>
      </c>
      <c r="C128" t="s">
        <v>301</v>
      </c>
      <c r="D128" t="s">
        <v>1</v>
      </c>
      <c r="E128" t="s">
        <v>341</v>
      </c>
      <c r="F128" t="s">
        <v>679</v>
      </c>
      <c r="G128" s="2">
        <v>3</v>
      </c>
      <c r="H128" t="s">
        <v>461</v>
      </c>
      <c r="I128" t="s">
        <v>3</v>
      </c>
      <c r="J128" t="s">
        <v>339</v>
      </c>
      <c r="K128" t="s">
        <v>605</v>
      </c>
      <c r="L128" t="s">
        <v>608</v>
      </c>
      <c r="M128" t="s">
        <v>680</v>
      </c>
      <c r="N128" t="s">
        <v>602</v>
      </c>
      <c r="O128" t="s">
        <v>603</v>
      </c>
      <c r="P128" t="s">
        <v>602</v>
      </c>
      <c r="Q128" s="17">
        <f>IFERROR(VLOOKUP(A128,已除帳印單!B:C,1,0),0)*1</f>
        <v>0</v>
      </c>
      <c r="R128" s="67" t="str">
        <f>IFERROR(VLOOKUP(J128,線別!A:B,2,1),"")</f>
        <v>A+線</v>
      </c>
      <c r="S128" s="17" t="str">
        <f>IFERROR(VLOOKUP(A128,已除帳印單!B:C,2,0),"")</f>
        <v/>
      </c>
      <c r="T128" s="68">
        <f t="shared" si="6"/>
        <v>43894</v>
      </c>
      <c r="U128" s="69">
        <f t="shared" si="7"/>
        <v>84.168796296296293</v>
      </c>
      <c r="V128" s="68" t="str">
        <f>IFERROR(VLOOKUP(A128,已除帳印單!B:D,3,0),"")</f>
        <v/>
      </c>
      <c r="W128" s="69" t="str">
        <f>IFERROR(VLOOKUP(A128,已除帳印單!B:E,4,0),"")</f>
        <v/>
      </c>
      <c r="X128" s="68" t="str">
        <f>IFERROR(INDEX(刷條碼區!A:C,MATCH(點上線資訊!S128,刷條碼區!C:C,0),1),"")</f>
        <v/>
      </c>
      <c r="Y128" s="69" t="str">
        <f>IFERROR(INDEX(刷條碼區!A:C,MATCH(點上線資訊!S128,刷條碼區!C:C,0),2),"")</f>
        <v/>
      </c>
      <c r="Z128" s="70" t="str">
        <f>IFERROR(INDEX(刷條碼區!D:G,MATCH(點上線資訊!S128,刷條碼區!F:F,0),1),"")</f>
        <v/>
      </c>
      <c r="AA128" s="71" t="str">
        <f>IFERROR(INDEX(刷條碼區!D:G,MATCH(點上線資訊!S128,刷條碼區!F:F,0),2),"")</f>
        <v/>
      </c>
      <c r="AB128" s="20" t="b">
        <f t="shared" si="8"/>
        <v>0</v>
      </c>
      <c r="AC128" s="20" t="b">
        <f t="shared" si="9"/>
        <v>0</v>
      </c>
      <c r="AD128" s="17" t="b">
        <f t="shared" si="10"/>
        <v>0</v>
      </c>
      <c r="AE128" s="17" t="b">
        <f t="shared" si="11"/>
        <v>0</v>
      </c>
    </row>
    <row r="129" spans="1:31" x14ac:dyDescent="0.2">
      <c r="A129" s="16">
        <v>5000487110</v>
      </c>
      <c r="B129" t="s">
        <v>301</v>
      </c>
      <c r="C129" t="s">
        <v>301</v>
      </c>
      <c r="D129" t="s">
        <v>1</v>
      </c>
      <c r="E129" t="s">
        <v>342</v>
      </c>
      <c r="F129" t="s">
        <v>681</v>
      </c>
      <c r="G129" s="2">
        <v>2</v>
      </c>
      <c r="H129" t="s">
        <v>461</v>
      </c>
      <c r="I129" t="s">
        <v>3</v>
      </c>
      <c r="J129" t="s">
        <v>339</v>
      </c>
      <c r="K129" t="s">
        <v>605</v>
      </c>
      <c r="L129" t="s">
        <v>608</v>
      </c>
      <c r="M129" t="s">
        <v>680</v>
      </c>
      <c r="N129" t="s">
        <v>602</v>
      </c>
      <c r="O129" t="s">
        <v>603</v>
      </c>
      <c r="P129" t="s">
        <v>602</v>
      </c>
      <c r="Q129" s="17">
        <f>IFERROR(VLOOKUP(A129,已除帳印單!B:C,1,0),0)*1</f>
        <v>0</v>
      </c>
      <c r="R129" s="67" t="str">
        <f>IFERROR(VLOOKUP(J129,線別!A:B,2,1),"")</f>
        <v>A+線</v>
      </c>
      <c r="S129" s="17" t="str">
        <f>IFERROR(VLOOKUP(A129,已除帳印單!B:C,2,0),"")</f>
        <v/>
      </c>
      <c r="T129" s="68">
        <f t="shared" si="6"/>
        <v>43894</v>
      </c>
      <c r="U129" s="69">
        <f t="shared" si="7"/>
        <v>84.168796296296293</v>
      </c>
      <c r="V129" s="68" t="str">
        <f>IFERROR(VLOOKUP(A129,已除帳印單!B:D,3,0),"")</f>
        <v/>
      </c>
      <c r="W129" s="69" t="str">
        <f>IFERROR(VLOOKUP(A129,已除帳印單!B:E,4,0),"")</f>
        <v/>
      </c>
      <c r="X129" s="68" t="str">
        <f>IFERROR(INDEX(刷條碼區!A:C,MATCH(點上線資訊!S129,刷條碼區!C:C,0),1),"")</f>
        <v/>
      </c>
      <c r="Y129" s="69" t="str">
        <f>IFERROR(INDEX(刷條碼區!A:C,MATCH(點上線資訊!S129,刷條碼區!C:C,0),2),"")</f>
        <v/>
      </c>
      <c r="Z129" s="70" t="str">
        <f>IFERROR(INDEX(刷條碼區!D:G,MATCH(點上線資訊!S129,刷條碼區!F:F,0),1),"")</f>
        <v/>
      </c>
      <c r="AA129" s="71" t="str">
        <f>IFERROR(INDEX(刷條碼區!D:G,MATCH(點上線資訊!S129,刷條碼區!F:F,0),2),"")</f>
        <v/>
      </c>
      <c r="AB129" s="20" t="b">
        <f t="shared" si="8"/>
        <v>0</v>
      </c>
      <c r="AC129" s="20" t="b">
        <f t="shared" si="9"/>
        <v>0</v>
      </c>
      <c r="AD129" s="17" t="b">
        <f t="shared" si="10"/>
        <v>0</v>
      </c>
      <c r="AE129" s="17" t="b">
        <f t="shared" si="11"/>
        <v>0</v>
      </c>
    </row>
    <row r="130" spans="1:31" x14ac:dyDescent="0.2">
      <c r="A130" s="16">
        <v>5000487111</v>
      </c>
      <c r="B130" t="s">
        <v>301</v>
      </c>
      <c r="C130" t="s">
        <v>301</v>
      </c>
      <c r="D130" t="s">
        <v>1</v>
      </c>
      <c r="E130" t="s">
        <v>338</v>
      </c>
      <c r="F130" t="s">
        <v>682</v>
      </c>
      <c r="G130" s="2">
        <v>2</v>
      </c>
      <c r="H130" t="s">
        <v>461</v>
      </c>
      <c r="I130" t="s">
        <v>3</v>
      </c>
      <c r="J130" t="s">
        <v>339</v>
      </c>
      <c r="K130" t="s">
        <v>605</v>
      </c>
      <c r="L130" t="s">
        <v>608</v>
      </c>
      <c r="M130" t="s">
        <v>680</v>
      </c>
      <c r="N130" t="s">
        <v>602</v>
      </c>
      <c r="O130" t="s">
        <v>603</v>
      </c>
      <c r="P130" t="s">
        <v>602</v>
      </c>
      <c r="Q130" s="17">
        <f>IFERROR(VLOOKUP(A130,已除帳印單!B:C,1,0),0)*1</f>
        <v>0</v>
      </c>
      <c r="R130" s="67" t="str">
        <f>IFERROR(VLOOKUP(J130,線別!A:B,2,1),"")</f>
        <v>A+線</v>
      </c>
      <c r="S130" s="17" t="str">
        <f>IFERROR(VLOOKUP(A130,已除帳印單!B:C,2,0),"")</f>
        <v/>
      </c>
      <c r="T130" s="68">
        <f t="shared" si="6"/>
        <v>43894</v>
      </c>
      <c r="U130" s="69">
        <f t="shared" si="7"/>
        <v>84.168796296296293</v>
      </c>
      <c r="V130" s="68" t="str">
        <f>IFERROR(VLOOKUP(A130,已除帳印單!B:D,3,0),"")</f>
        <v/>
      </c>
      <c r="W130" s="69" t="str">
        <f>IFERROR(VLOOKUP(A130,已除帳印單!B:E,4,0),"")</f>
        <v/>
      </c>
      <c r="X130" s="68" t="str">
        <f>IFERROR(INDEX(刷條碼區!A:C,MATCH(點上線資訊!S130,刷條碼區!C:C,0),1),"")</f>
        <v/>
      </c>
      <c r="Y130" s="69" t="str">
        <f>IFERROR(INDEX(刷條碼區!A:C,MATCH(點上線資訊!S130,刷條碼區!C:C,0),2),"")</f>
        <v/>
      </c>
      <c r="Z130" s="70" t="str">
        <f>IFERROR(INDEX(刷條碼區!D:G,MATCH(點上線資訊!S130,刷條碼區!F:F,0),1),"")</f>
        <v/>
      </c>
      <c r="AA130" s="71" t="str">
        <f>IFERROR(INDEX(刷條碼區!D:G,MATCH(點上線資訊!S130,刷條碼區!F:F,0),2),"")</f>
        <v/>
      </c>
      <c r="AB130" s="20" t="b">
        <f t="shared" si="8"/>
        <v>0</v>
      </c>
      <c r="AC130" s="20" t="b">
        <f t="shared" si="9"/>
        <v>0</v>
      </c>
      <c r="AD130" s="17" t="b">
        <f t="shared" si="10"/>
        <v>0</v>
      </c>
      <c r="AE130" s="17" t="b">
        <f t="shared" si="11"/>
        <v>0</v>
      </c>
    </row>
    <row r="131" spans="1:31" x14ac:dyDescent="0.2">
      <c r="A131" s="16">
        <v>5000487113</v>
      </c>
      <c r="B131" t="s">
        <v>6</v>
      </c>
      <c r="C131" t="s">
        <v>6</v>
      </c>
      <c r="D131" t="s">
        <v>1</v>
      </c>
      <c r="E131" t="s">
        <v>59</v>
      </c>
      <c r="F131" t="s">
        <v>498</v>
      </c>
      <c r="G131" s="2">
        <v>5</v>
      </c>
      <c r="H131" t="s">
        <v>461</v>
      </c>
      <c r="I131" t="s">
        <v>3</v>
      </c>
      <c r="J131" t="s">
        <v>53</v>
      </c>
      <c r="K131" t="s">
        <v>602</v>
      </c>
      <c r="L131" t="s">
        <v>603</v>
      </c>
      <c r="M131" t="s">
        <v>602</v>
      </c>
      <c r="N131" t="s">
        <v>602</v>
      </c>
      <c r="O131" t="s">
        <v>603</v>
      </c>
      <c r="P131" t="s">
        <v>602</v>
      </c>
      <c r="Q131" s="17">
        <f>IFERROR(VLOOKUP(A131,已除帳印單!B:C,1,0),0)*1</f>
        <v>0</v>
      </c>
      <c r="R131" s="67" t="str">
        <f>IFERROR(VLOOKUP(J131,線別!A:B,2,1),"")</f>
        <v>裝二線</v>
      </c>
      <c r="S131" s="17" t="str">
        <f>IFERROR(VLOOKUP(A131,已除帳印單!B:C,2,0),"")</f>
        <v/>
      </c>
      <c r="T131" s="68">
        <f t="shared" ref="T131:T194" si="12">--TEXT(B131,"0000-00-00")</f>
        <v>43893</v>
      </c>
      <c r="U131" s="69">
        <f t="shared" ref="U131:U194" si="13">--TEXT(C131,"00\:00\:00")</f>
        <v>84.168784722222213</v>
      </c>
      <c r="V131" s="68" t="str">
        <f>IFERROR(VLOOKUP(A131,已除帳印單!B:D,3,0),"")</f>
        <v/>
      </c>
      <c r="W131" s="69" t="str">
        <f>IFERROR(VLOOKUP(A131,已除帳印單!B:E,4,0),"")</f>
        <v/>
      </c>
      <c r="X131" s="68" t="str">
        <f>IFERROR(INDEX(刷條碼區!A:C,MATCH(點上線資訊!S131,刷條碼區!C:C,0),1),"")</f>
        <v/>
      </c>
      <c r="Y131" s="69" t="str">
        <f>IFERROR(INDEX(刷條碼區!A:C,MATCH(點上線資訊!S131,刷條碼區!C:C,0),2),"")</f>
        <v/>
      </c>
      <c r="Z131" s="70" t="str">
        <f>IFERROR(INDEX(刷條碼區!D:G,MATCH(點上線資訊!S131,刷條碼區!F:F,0),1),"")</f>
        <v/>
      </c>
      <c r="AA131" s="71" t="str">
        <f>IFERROR(INDEX(刷條碼區!D:G,MATCH(點上線資訊!S131,刷條碼區!F:F,0),2),"")</f>
        <v/>
      </c>
      <c r="AB131" s="20">
        <f t="shared" ref="AB131:AB194" si="14">IF(K131&amp;N131="",G131)</f>
        <v>5</v>
      </c>
      <c r="AC131" s="20" t="b">
        <f t="shared" ref="AC131:AC194" si="15">IF(S131&lt;&gt;"",G131)</f>
        <v>0</v>
      </c>
      <c r="AD131" s="17" t="b">
        <f t="shared" ref="AD131:AD194" si="16">IF(X131&lt;&gt;"",G131)</f>
        <v>0</v>
      </c>
      <c r="AE131" s="17" t="b">
        <f t="shared" ref="AE131:AE194" si="17">IF(Z131&lt;&gt;"",G131)</f>
        <v>0</v>
      </c>
    </row>
    <row r="132" spans="1:31" x14ac:dyDescent="0.2">
      <c r="A132" s="16">
        <v>5000487115</v>
      </c>
      <c r="B132" t="s">
        <v>301</v>
      </c>
      <c r="C132" t="s">
        <v>301</v>
      </c>
      <c r="D132" t="s">
        <v>1</v>
      </c>
      <c r="E132" t="s">
        <v>338</v>
      </c>
      <c r="F132" t="s">
        <v>682</v>
      </c>
      <c r="G132" s="2">
        <v>2</v>
      </c>
      <c r="H132" t="s">
        <v>461</v>
      </c>
      <c r="I132" t="s">
        <v>3</v>
      </c>
      <c r="J132" t="s">
        <v>339</v>
      </c>
      <c r="K132" t="s">
        <v>605</v>
      </c>
      <c r="L132" t="s">
        <v>608</v>
      </c>
      <c r="M132" t="s">
        <v>680</v>
      </c>
      <c r="N132" t="s">
        <v>602</v>
      </c>
      <c r="O132" t="s">
        <v>603</v>
      </c>
      <c r="P132" t="s">
        <v>602</v>
      </c>
      <c r="Q132" s="17">
        <f>IFERROR(VLOOKUP(A132,已除帳印單!B:C,1,0),0)*1</f>
        <v>0</v>
      </c>
      <c r="R132" s="67" t="str">
        <f>IFERROR(VLOOKUP(J132,線別!A:B,2,1),"")</f>
        <v>A+線</v>
      </c>
      <c r="S132" s="17" t="str">
        <f>IFERROR(VLOOKUP(A132,已除帳印單!B:C,2,0),"")</f>
        <v/>
      </c>
      <c r="T132" s="68">
        <f t="shared" si="12"/>
        <v>43894</v>
      </c>
      <c r="U132" s="69">
        <f t="shared" si="13"/>
        <v>84.168796296296293</v>
      </c>
      <c r="V132" s="68" t="str">
        <f>IFERROR(VLOOKUP(A132,已除帳印單!B:D,3,0),"")</f>
        <v/>
      </c>
      <c r="W132" s="69" t="str">
        <f>IFERROR(VLOOKUP(A132,已除帳印單!B:E,4,0),"")</f>
        <v/>
      </c>
      <c r="X132" s="68" t="str">
        <f>IFERROR(INDEX(刷條碼區!A:C,MATCH(點上線資訊!S132,刷條碼區!C:C,0),1),"")</f>
        <v/>
      </c>
      <c r="Y132" s="69" t="str">
        <f>IFERROR(INDEX(刷條碼區!A:C,MATCH(點上線資訊!S132,刷條碼區!C:C,0),2),"")</f>
        <v/>
      </c>
      <c r="Z132" s="70" t="str">
        <f>IFERROR(INDEX(刷條碼區!D:G,MATCH(點上線資訊!S132,刷條碼區!F:F,0),1),"")</f>
        <v/>
      </c>
      <c r="AA132" s="71" t="str">
        <f>IFERROR(INDEX(刷條碼區!D:G,MATCH(點上線資訊!S132,刷條碼區!F:F,0),2),"")</f>
        <v/>
      </c>
      <c r="AB132" s="20" t="b">
        <f t="shared" si="14"/>
        <v>0</v>
      </c>
      <c r="AC132" s="20" t="b">
        <f t="shared" si="15"/>
        <v>0</v>
      </c>
      <c r="AD132" s="17" t="b">
        <f t="shared" si="16"/>
        <v>0</v>
      </c>
      <c r="AE132" s="17" t="b">
        <f t="shared" si="17"/>
        <v>0</v>
      </c>
    </row>
    <row r="133" spans="1:31" x14ac:dyDescent="0.2">
      <c r="A133" s="16">
        <v>5000488050</v>
      </c>
      <c r="B133" t="s">
        <v>6</v>
      </c>
      <c r="C133" t="s">
        <v>6</v>
      </c>
      <c r="D133" t="s">
        <v>1</v>
      </c>
      <c r="E133" t="s">
        <v>499</v>
      </c>
      <c r="F133" t="s">
        <v>500</v>
      </c>
      <c r="G133" s="2">
        <v>2</v>
      </c>
      <c r="H133" t="s">
        <v>461</v>
      </c>
      <c r="I133" t="s">
        <v>3</v>
      </c>
      <c r="J133" t="s">
        <v>8</v>
      </c>
      <c r="K133" t="s">
        <v>605</v>
      </c>
      <c r="L133" t="s">
        <v>608</v>
      </c>
      <c r="M133" t="s">
        <v>402</v>
      </c>
      <c r="N133" t="s">
        <v>602</v>
      </c>
      <c r="O133" t="s">
        <v>603</v>
      </c>
      <c r="P133" t="s">
        <v>602</v>
      </c>
      <c r="Q133" s="17">
        <f>IFERROR(VLOOKUP(A133,已除帳印單!B:C,1,0),0)*1</f>
        <v>0</v>
      </c>
      <c r="R133" s="67" t="str">
        <f>IFERROR(VLOOKUP(J133,線別!A:B,2,1),"")</f>
        <v>裝一線</v>
      </c>
      <c r="S133" s="17" t="str">
        <f>IFERROR(VLOOKUP(A133,已除帳印單!B:C,2,0),"")</f>
        <v/>
      </c>
      <c r="T133" s="68">
        <f t="shared" si="12"/>
        <v>43893</v>
      </c>
      <c r="U133" s="69">
        <f t="shared" si="13"/>
        <v>84.168784722222213</v>
      </c>
      <c r="V133" s="68" t="str">
        <f>IFERROR(VLOOKUP(A133,已除帳印單!B:D,3,0),"")</f>
        <v/>
      </c>
      <c r="W133" s="69" t="str">
        <f>IFERROR(VLOOKUP(A133,已除帳印單!B:E,4,0),"")</f>
        <v/>
      </c>
      <c r="X133" s="68" t="str">
        <f>IFERROR(INDEX(刷條碼區!A:C,MATCH(點上線資訊!S133,刷條碼區!C:C,0),1),"")</f>
        <v/>
      </c>
      <c r="Y133" s="69" t="str">
        <f>IFERROR(INDEX(刷條碼區!A:C,MATCH(點上線資訊!S133,刷條碼區!C:C,0),2),"")</f>
        <v/>
      </c>
      <c r="Z133" s="70" t="str">
        <f>IFERROR(INDEX(刷條碼區!D:G,MATCH(點上線資訊!S133,刷條碼區!F:F,0),1),"")</f>
        <v/>
      </c>
      <c r="AA133" s="71" t="str">
        <f>IFERROR(INDEX(刷條碼區!D:G,MATCH(點上線資訊!S133,刷條碼區!F:F,0),2),"")</f>
        <v/>
      </c>
      <c r="AB133" s="20" t="b">
        <f t="shared" si="14"/>
        <v>0</v>
      </c>
      <c r="AC133" s="20" t="b">
        <f t="shared" si="15"/>
        <v>0</v>
      </c>
      <c r="AD133" s="17" t="b">
        <f t="shared" si="16"/>
        <v>0</v>
      </c>
      <c r="AE133" s="17" t="b">
        <f t="shared" si="17"/>
        <v>0</v>
      </c>
    </row>
    <row r="134" spans="1:31" x14ac:dyDescent="0.2">
      <c r="A134" s="16">
        <v>5000488050</v>
      </c>
      <c r="B134" t="s">
        <v>301</v>
      </c>
      <c r="C134" t="s">
        <v>301</v>
      </c>
      <c r="D134" t="s">
        <v>1</v>
      </c>
      <c r="E134" t="s">
        <v>499</v>
      </c>
      <c r="F134" t="s">
        <v>500</v>
      </c>
      <c r="G134" s="2">
        <v>1</v>
      </c>
      <c r="H134" t="s">
        <v>461</v>
      </c>
      <c r="I134" t="s">
        <v>3</v>
      </c>
      <c r="J134" t="s">
        <v>8</v>
      </c>
      <c r="K134" t="s">
        <v>602</v>
      </c>
      <c r="L134" t="s">
        <v>603</v>
      </c>
      <c r="M134" t="s">
        <v>602</v>
      </c>
      <c r="N134" t="s">
        <v>602</v>
      </c>
      <c r="O134" t="s">
        <v>603</v>
      </c>
      <c r="P134" t="s">
        <v>602</v>
      </c>
      <c r="Q134" s="17">
        <f>IFERROR(VLOOKUP(A134,已除帳印單!B:C,1,0),0)*1</f>
        <v>0</v>
      </c>
      <c r="R134" s="67" t="str">
        <f>IFERROR(VLOOKUP(J134,線別!A:B,2,1),"")</f>
        <v>裝一線</v>
      </c>
      <c r="S134" s="17" t="str">
        <f>IFERROR(VLOOKUP(A134,已除帳印單!B:C,2,0),"")</f>
        <v/>
      </c>
      <c r="T134" s="68">
        <f t="shared" si="12"/>
        <v>43894</v>
      </c>
      <c r="U134" s="69">
        <f t="shared" si="13"/>
        <v>84.168796296296293</v>
      </c>
      <c r="V134" s="68" t="str">
        <f>IFERROR(VLOOKUP(A134,已除帳印單!B:D,3,0),"")</f>
        <v/>
      </c>
      <c r="W134" s="69" t="str">
        <f>IFERROR(VLOOKUP(A134,已除帳印單!B:E,4,0),"")</f>
        <v/>
      </c>
      <c r="X134" s="68" t="str">
        <f>IFERROR(INDEX(刷條碼區!A:C,MATCH(點上線資訊!S134,刷條碼區!C:C,0),1),"")</f>
        <v/>
      </c>
      <c r="Y134" s="69" t="str">
        <f>IFERROR(INDEX(刷條碼區!A:C,MATCH(點上線資訊!S134,刷條碼區!C:C,0),2),"")</f>
        <v/>
      </c>
      <c r="Z134" s="70" t="str">
        <f>IFERROR(INDEX(刷條碼區!D:G,MATCH(點上線資訊!S134,刷條碼區!F:F,0),1),"")</f>
        <v/>
      </c>
      <c r="AA134" s="71" t="str">
        <f>IFERROR(INDEX(刷條碼區!D:G,MATCH(點上線資訊!S134,刷條碼區!F:F,0),2),"")</f>
        <v/>
      </c>
      <c r="AB134" s="20">
        <f t="shared" si="14"/>
        <v>1</v>
      </c>
      <c r="AC134" s="20" t="b">
        <f t="shared" si="15"/>
        <v>0</v>
      </c>
      <c r="AD134" s="17" t="b">
        <f t="shared" si="16"/>
        <v>0</v>
      </c>
      <c r="AE134" s="17" t="b">
        <f t="shared" si="17"/>
        <v>0</v>
      </c>
    </row>
    <row r="135" spans="1:31" x14ac:dyDescent="0.2">
      <c r="A135" s="16">
        <v>5000488080</v>
      </c>
      <c r="B135" t="s">
        <v>6</v>
      </c>
      <c r="C135" t="s">
        <v>6</v>
      </c>
      <c r="D135" t="s">
        <v>1</v>
      </c>
      <c r="E135" t="s">
        <v>683</v>
      </c>
      <c r="F135" t="s">
        <v>684</v>
      </c>
      <c r="G135" s="2">
        <v>1</v>
      </c>
      <c r="H135" t="s">
        <v>461</v>
      </c>
      <c r="I135" t="s">
        <v>3</v>
      </c>
      <c r="J135" t="s">
        <v>136</v>
      </c>
      <c r="K135" t="s">
        <v>605</v>
      </c>
      <c r="L135" t="s">
        <v>608</v>
      </c>
      <c r="M135" t="s">
        <v>403</v>
      </c>
      <c r="N135" t="s">
        <v>602</v>
      </c>
      <c r="O135" t="s">
        <v>603</v>
      </c>
      <c r="P135" t="s">
        <v>602</v>
      </c>
      <c r="Q135" s="17">
        <f>IFERROR(VLOOKUP(A135,已除帳印單!B:C,1,0),0)*1</f>
        <v>0</v>
      </c>
      <c r="R135" s="67" t="str">
        <f>IFERROR(VLOOKUP(J135,線別!A:B,2,1),"")</f>
        <v>SCB線</v>
      </c>
      <c r="S135" s="17" t="str">
        <f>IFERROR(VLOOKUP(A135,已除帳印單!B:C,2,0),"")</f>
        <v/>
      </c>
      <c r="T135" s="68">
        <f t="shared" si="12"/>
        <v>43893</v>
      </c>
      <c r="U135" s="69">
        <f t="shared" si="13"/>
        <v>84.168784722222213</v>
      </c>
      <c r="V135" s="68" t="str">
        <f>IFERROR(VLOOKUP(A135,已除帳印單!B:D,3,0),"")</f>
        <v/>
      </c>
      <c r="W135" s="69" t="str">
        <f>IFERROR(VLOOKUP(A135,已除帳印單!B:E,4,0),"")</f>
        <v/>
      </c>
      <c r="X135" s="68" t="str">
        <f>IFERROR(INDEX(刷條碼區!A:C,MATCH(點上線資訊!S135,刷條碼區!C:C,0),1),"")</f>
        <v/>
      </c>
      <c r="Y135" s="69" t="str">
        <f>IFERROR(INDEX(刷條碼區!A:C,MATCH(點上線資訊!S135,刷條碼區!C:C,0),2),"")</f>
        <v/>
      </c>
      <c r="Z135" s="70" t="str">
        <f>IFERROR(INDEX(刷條碼區!D:G,MATCH(點上線資訊!S135,刷條碼區!F:F,0),1),"")</f>
        <v/>
      </c>
      <c r="AA135" s="71" t="str">
        <f>IFERROR(INDEX(刷條碼區!D:G,MATCH(點上線資訊!S135,刷條碼區!F:F,0),2),"")</f>
        <v/>
      </c>
      <c r="AB135" s="20" t="b">
        <f t="shared" si="14"/>
        <v>0</v>
      </c>
      <c r="AC135" s="20" t="b">
        <f t="shared" si="15"/>
        <v>0</v>
      </c>
      <c r="AD135" s="17" t="b">
        <f t="shared" si="16"/>
        <v>0</v>
      </c>
      <c r="AE135" s="17" t="b">
        <f t="shared" si="17"/>
        <v>0</v>
      </c>
    </row>
    <row r="136" spans="1:31" x14ac:dyDescent="0.2">
      <c r="A136" s="16">
        <v>5000488085</v>
      </c>
      <c r="B136" t="s">
        <v>6</v>
      </c>
      <c r="C136" t="s">
        <v>6</v>
      </c>
      <c r="D136" t="s">
        <v>1</v>
      </c>
      <c r="E136" t="s">
        <v>685</v>
      </c>
      <c r="F136" t="s">
        <v>686</v>
      </c>
      <c r="G136" s="2">
        <v>2</v>
      </c>
      <c r="H136" t="s">
        <v>461</v>
      </c>
      <c r="I136" t="s">
        <v>3</v>
      </c>
      <c r="J136" t="s">
        <v>8</v>
      </c>
      <c r="K136" t="s">
        <v>605</v>
      </c>
      <c r="L136" t="s">
        <v>608</v>
      </c>
      <c r="M136" t="s">
        <v>404</v>
      </c>
      <c r="N136" t="s">
        <v>602</v>
      </c>
      <c r="O136" t="s">
        <v>603</v>
      </c>
      <c r="P136" t="s">
        <v>602</v>
      </c>
      <c r="Q136" s="17">
        <f>IFERROR(VLOOKUP(A136,已除帳印單!B:C,1,0),0)*1</f>
        <v>0</v>
      </c>
      <c r="R136" s="67" t="str">
        <f>IFERROR(VLOOKUP(J136,線別!A:B,2,1),"")</f>
        <v>裝一線</v>
      </c>
      <c r="S136" s="17" t="str">
        <f>IFERROR(VLOOKUP(A136,已除帳印單!B:C,2,0),"")</f>
        <v/>
      </c>
      <c r="T136" s="68">
        <f t="shared" si="12"/>
        <v>43893</v>
      </c>
      <c r="U136" s="69">
        <f t="shared" si="13"/>
        <v>84.168784722222213</v>
      </c>
      <c r="V136" s="68" t="str">
        <f>IFERROR(VLOOKUP(A136,已除帳印單!B:D,3,0),"")</f>
        <v/>
      </c>
      <c r="W136" s="69" t="str">
        <f>IFERROR(VLOOKUP(A136,已除帳印單!B:E,4,0),"")</f>
        <v/>
      </c>
      <c r="X136" s="68" t="str">
        <f>IFERROR(INDEX(刷條碼區!A:C,MATCH(點上線資訊!S136,刷條碼區!C:C,0),1),"")</f>
        <v/>
      </c>
      <c r="Y136" s="69" t="str">
        <f>IFERROR(INDEX(刷條碼區!A:C,MATCH(點上線資訊!S136,刷條碼區!C:C,0),2),"")</f>
        <v/>
      </c>
      <c r="Z136" s="70" t="str">
        <f>IFERROR(INDEX(刷條碼區!D:G,MATCH(點上線資訊!S136,刷條碼區!F:F,0),1),"")</f>
        <v/>
      </c>
      <c r="AA136" s="71" t="str">
        <f>IFERROR(INDEX(刷條碼區!D:G,MATCH(點上線資訊!S136,刷條碼區!F:F,0),2),"")</f>
        <v/>
      </c>
      <c r="AB136" s="20" t="b">
        <f t="shared" si="14"/>
        <v>0</v>
      </c>
      <c r="AC136" s="20" t="b">
        <f t="shared" si="15"/>
        <v>0</v>
      </c>
      <c r="AD136" s="17" t="b">
        <f t="shared" si="16"/>
        <v>0</v>
      </c>
      <c r="AE136" s="17" t="b">
        <f t="shared" si="17"/>
        <v>0</v>
      </c>
    </row>
    <row r="137" spans="1:31" x14ac:dyDescent="0.2">
      <c r="A137" s="16">
        <v>5000488091</v>
      </c>
      <c r="B137" t="s">
        <v>6</v>
      </c>
      <c r="C137" t="s">
        <v>6</v>
      </c>
      <c r="D137" t="s">
        <v>1</v>
      </c>
      <c r="E137" t="s">
        <v>7</v>
      </c>
      <c r="F137" t="s">
        <v>687</v>
      </c>
      <c r="G137" s="2">
        <v>2</v>
      </c>
      <c r="H137" t="s">
        <v>461</v>
      </c>
      <c r="I137" t="s">
        <v>3</v>
      </c>
      <c r="J137" t="s">
        <v>8</v>
      </c>
      <c r="K137" t="s">
        <v>605</v>
      </c>
      <c r="L137" t="s">
        <v>608</v>
      </c>
      <c r="M137" t="s">
        <v>688</v>
      </c>
      <c r="N137" t="s">
        <v>602</v>
      </c>
      <c r="O137" t="s">
        <v>603</v>
      </c>
      <c r="P137" t="s">
        <v>602</v>
      </c>
      <c r="Q137" s="17">
        <f>IFERROR(VLOOKUP(A137,已除帳印單!B:C,1,0),0)*1</f>
        <v>0</v>
      </c>
      <c r="R137" s="67" t="str">
        <f>IFERROR(VLOOKUP(J137,線別!A:B,2,1),"")</f>
        <v>裝一線</v>
      </c>
      <c r="S137" s="17" t="str">
        <f>IFERROR(VLOOKUP(A137,已除帳印單!B:C,2,0),"")</f>
        <v/>
      </c>
      <c r="T137" s="68">
        <f t="shared" si="12"/>
        <v>43893</v>
      </c>
      <c r="U137" s="69">
        <f t="shared" si="13"/>
        <v>84.168784722222213</v>
      </c>
      <c r="V137" s="68" t="str">
        <f>IFERROR(VLOOKUP(A137,已除帳印單!B:D,3,0),"")</f>
        <v/>
      </c>
      <c r="W137" s="69" t="str">
        <f>IFERROR(VLOOKUP(A137,已除帳印單!B:E,4,0),"")</f>
        <v/>
      </c>
      <c r="X137" s="68" t="str">
        <f>IFERROR(INDEX(刷條碼區!A:C,MATCH(點上線資訊!S137,刷條碼區!C:C,0),1),"")</f>
        <v/>
      </c>
      <c r="Y137" s="69" t="str">
        <f>IFERROR(INDEX(刷條碼區!A:C,MATCH(點上線資訊!S137,刷條碼區!C:C,0),2),"")</f>
        <v/>
      </c>
      <c r="Z137" s="70" t="str">
        <f>IFERROR(INDEX(刷條碼區!D:G,MATCH(點上線資訊!S137,刷條碼區!F:F,0),1),"")</f>
        <v/>
      </c>
      <c r="AA137" s="71" t="str">
        <f>IFERROR(INDEX(刷條碼區!D:G,MATCH(點上線資訊!S137,刷條碼區!F:F,0),2),"")</f>
        <v/>
      </c>
      <c r="AB137" s="20" t="b">
        <f t="shared" si="14"/>
        <v>0</v>
      </c>
      <c r="AC137" s="20" t="b">
        <f t="shared" si="15"/>
        <v>0</v>
      </c>
      <c r="AD137" s="17" t="b">
        <f t="shared" si="16"/>
        <v>0</v>
      </c>
      <c r="AE137" s="17" t="b">
        <f t="shared" si="17"/>
        <v>0</v>
      </c>
    </row>
    <row r="138" spans="1:31" x14ac:dyDescent="0.2">
      <c r="A138" s="16">
        <v>5000489825</v>
      </c>
      <c r="B138" t="s">
        <v>301</v>
      </c>
      <c r="C138" t="s">
        <v>301</v>
      </c>
      <c r="D138" t="s">
        <v>1</v>
      </c>
      <c r="E138" t="s">
        <v>340</v>
      </c>
      <c r="F138" t="s">
        <v>689</v>
      </c>
      <c r="G138" s="2">
        <v>10</v>
      </c>
      <c r="H138" t="s">
        <v>461</v>
      </c>
      <c r="I138" t="s">
        <v>3</v>
      </c>
      <c r="J138" t="s">
        <v>339</v>
      </c>
      <c r="K138" t="s">
        <v>605</v>
      </c>
      <c r="L138" t="s">
        <v>608</v>
      </c>
      <c r="M138" t="s">
        <v>680</v>
      </c>
      <c r="N138" t="s">
        <v>602</v>
      </c>
      <c r="O138" t="s">
        <v>603</v>
      </c>
      <c r="P138" t="s">
        <v>602</v>
      </c>
      <c r="Q138" s="17">
        <f>IFERROR(VLOOKUP(A138,已除帳印單!B:C,1,0),0)*1</f>
        <v>0</v>
      </c>
      <c r="R138" s="67" t="str">
        <f>IFERROR(VLOOKUP(J138,線別!A:B,2,1),"")</f>
        <v>A+線</v>
      </c>
      <c r="S138" s="17" t="str">
        <f>IFERROR(VLOOKUP(A138,已除帳印單!B:C,2,0),"")</f>
        <v/>
      </c>
      <c r="T138" s="68">
        <f t="shared" si="12"/>
        <v>43894</v>
      </c>
      <c r="U138" s="69">
        <f t="shared" si="13"/>
        <v>84.168796296296293</v>
      </c>
      <c r="V138" s="68" t="str">
        <f>IFERROR(VLOOKUP(A138,已除帳印單!B:D,3,0),"")</f>
        <v/>
      </c>
      <c r="W138" s="69" t="str">
        <f>IFERROR(VLOOKUP(A138,已除帳印單!B:E,4,0),"")</f>
        <v/>
      </c>
      <c r="X138" s="68" t="str">
        <f>IFERROR(INDEX(刷條碼區!A:C,MATCH(點上線資訊!S138,刷條碼區!C:C,0),1),"")</f>
        <v/>
      </c>
      <c r="Y138" s="69" t="str">
        <f>IFERROR(INDEX(刷條碼區!A:C,MATCH(點上線資訊!S138,刷條碼區!C:C,0),2),"")</f>
        <v/>
      </c>
      <c r="Z138" s="70" t="str">
        <f>IFERROR(INDEX(刷條碼區!D:G,MATCH(點上線資訊!S138,刷條碼區!F:F,0),1),"")</f>
        <v/>
      </c>
      <c r="AA138" s="71" t="str">
        <f>IFERROR(INDEX(刷條碼區!D:G,MATCH(點上線資訊!S138,刷條碼區!F:F,0),2),"")</f>
        <v/>
      </c>
      <c r="AB138" s="20" t="b">
        <f t="shared" si="14"/>
        <v>0</v>
      </c>
      <c r="AC138" s="20" t="b">
        <f t="shared" si="15"/>
        <v>0</v>
      </c>
      <c r="AD138" s="17" t="b">
        <f t="shared" si="16"/>
        <v>0</v>
      </c>
      <c r="AE138" s="17" t="b">
        <f t="shared" si="17"/>
        <v>0</v>
      </c>
    </row>
    <row r="139" spans="1:31" x14ac:dyDescent="0.2">
      <c r="A139" s="16">
        <v>5000489826</v>
      </c>
      <c r="B139" t="s">
        <v>301</v>
      </c>
      <c r="C139" t="s">
        <v>301</v>
      </c>
      <c r="D139" t="s">
        <v>1</v>
      </c>
      <c r="E139" t="s">
        <v>340</v>
      </c>
      <c r="F139" t="s">
        <v>689</v>
      </c>
      <c r="G139" s="2">
        <v>5</v>
      </c>
      <c r="H139" t="s">
        <v>461</v>
      </c>
      <c r="I139" t="s">
        <v>3</v>
      </c>
      <c r="J139" t="s">
        <v>339</v>
      </c>
      <c r="K139" t="s">
        <v>605</v>
      </c>
      <c r="L139" t="s">
        <v>608</v>
      </c>
      <c r="M139" t="s">
        <v>680</v>
      </c>
      <c r="N139" t="s">
        <v>602</v>
      </c>
      <c r="O139" t="s">
        <v>603</v>
      </c>
      <c r="P139" t="s">
        <v>602</v>
      </c>
      <c r="Q139" s="17">
        <f>IFERROR(VLOOKUP(A139,已除帳印單!B:C,1,0),0)*1</f>
        <v>0</v>
      </c>
      <c r="R139" s="67" t="str">
        <f>IFERROR(VLOOKUP(J139,線別!A:B,2,1),"")</f>
        <v>A+線</v>
      </c>
      <c r="S139" s="17" t="str">
        <f>IFERROR(VLOOKUP(A139,已除帳印單!B:C,2,0),"")</f>
        <v/>
      </c>
      <c r="T139" s="68">
        <f t="shared" si="12"/>
        <v>43894</v>
      </c>
      <c r="U139" s="69">
        <f t="shared" si="13"/>
        <v>84.168796296296293</v>
      </c>
      <c r="V139" s="68" t="str">
        <f>IFERROR(VLOOKUP(A139,已除帳印單!B:D,3,0),"")</f>
        <v/>
      </c>
      <c r="W139" s="69" t="str">
        <f>IFERROR(VLOOKUP(A139,已除帳印單!B:E,4,0),"")</f>
        <v/>
      </c>
      <c r="X139" s="68" t="str">
        <f>IFERROR(INDEX(刷條碼區!A:C,MATCH(點上線資訊!S139,刷條碼區!C:C,0),1),"")</f>
        <v/>
      </c>
      <c r="Y139" s="69" t="str">
        <f>IFERROR(INDEX(刷條碼區!A:C,MATCH(點上線資訊!S139,刷條碼區!C:C,0),2),"")</f>
        <v/>
      </c>
      <c r="Z139" s="70" t="str">
        <f>IFERROR(INDEX(刷條碼區!D:G,MATCH(點上線資訊!S139,刷條碼區!F:F,0),1),"")</f>
        <v/>
      </c>
      <c r="AA139" s="71" t="str">
        <f>IFERROR(INDEX(刷條碼區!D:G,MATCH(點上線資訊!S139,刷條碼區!F:F,0),2),"")</f>
        <v/>
      </c>
      <c r="AB139" s="20" t="b">
        <f t="shared" si="14"/>
        <v>0</v>
      </c>
      <c r="AC139" s="20" t="b">
        <f t="shared" si="15"/>
        <v>0</v>
      </c>
      <c r="AD139" s="17" t="b">
        <f t="shared" si="16"/>
        <v>0</v>
      </c>
      <c r="AE139" s="17" t="b">
        <f t="shared" si="17"/>
        <v>0</v>
      </c>
    </row>
    <row r="140" spans="1:31" x14ac:dyDescent="0.2">
      <c r="A140" s="16">
        <v>5000489830</v>
      </c>
      <c r="B140" t="s">
        <v>0</v>
      </c>
      <c r="C140" t="s">
        <v>0</v>
      </c>
      <c r="D140" t="s">
        <v>1</v>
      </c>
      <c r="E140" t="s">
        <v>690</v>
      </c>
      <c r="F140" t="s">
        <v>691</v>
      </c>
      <c r="G140" s="2">
        <v>2</v>
      </c>
      <c r="H140" t="s">
        <v>461</v>
      </c>
      <c r="I140" t="s">
        <v>3</v>
      </c>
      <c r="J140" t="s">
        <v>53</v>
      </c>
      <c r="K140" t="s">
        <v>605</v>
      </c>
      <c r="L140" t="s">
        <v>608</v>
      </c>
      <c r="M140" t="s">
        <v>692</v>
      </c>
      <c r="N140" t="s">
        <v>602</v>
      </c>
      <c r="O140" t="s">
        <v>603</v>
      </c>
      <c r="P140" t="s">
        <v>602</v>
      </c>
      <c r="Q140" s="17">
        <f>IFERROR(VLOOKUP(A140,已除帳印單!B:C,1,0),0)*1</f>
        <v>0</v>
      </c>
      <c r="R140" s="67" t="str">
        <f>IFERROR(VLOOKUP(J140,線別!A:B,2,1),"")</f>
        <v>裝二線</v>
      </c>
      <c r="S140" s="17" t="str">
        <f>IFERROR(VLOOKUP(A140,已除帳印單!B:C,2,0),"")</f>
        <v/>
      </c>
      <c r="T140" s="68">
        <f t="shared" si="12"/>
        <v>43892</v>
      </c>
      <c r="U140" s="69">
        <f t="shared" si="13"/>
        <v>84.168773148148148</v>
      </c>
      <c r="V140" s="68" t="str">
        <f>IFERROR(VLOOKUP(A140,已除帳印單!B:D,3,0),"")</f>
        <v/>
      </c>
      <c r="W140" s="69" t="str">
        <f>IFERROR(VLOOKUP(A140,已除帳印單!B:E,4,0),"")</f>
        <v/>
      </c>
      <c r="X140" s="68" t="str">
        <f>IFERROR(INDEX(刷條碼區!A:C,MATCH(點上線資訊!S140,刷條碼區!C:C,0),1),"")</f>
        <v/>
      </c>
      <c r="Y140" s="69" t="str">
        <f>IFERROR(INDEX(刷條碼區!A:C,MATCH(點上線資訊!S140,刷條碼區!C:C,0),2),"")</f>
        <v/>
      </c>
      <c r="Z140" s="70" t="str">
        <f>IFERROR(INDEX(刷條碼區!D:G,MATCH(點上線資訊!S140,刷條碼區!F:F,0),1),"")</f>
        <v/>
      </c>
      <c r="AA140" s="71" t="str">
        <f>IFERROR(INDEX(刷條碼區!D:G,MATCH(點上線資訊!S140,刷條碼區!F:F,0),2),"")</f>
        <v/>
      </c>
      <c r="AB140" s="20" t="b">
        <f t="shared" si="14"/>
        <v>0</v>
      </c>
      <c r="AC140" s="20" t="b">
        <f t="shared" si="15"/>
        <v>0</v>
      </c>
      <c r="AD140" s="17" t="b">
        <f t="shared" si="16"/>
        <v>0</v>
      </c>
      <c r="AE140" s="17" t="b">
        <f t="shared" si="17"/>
        <v>0</v>
      </c>
    </row>
    <row r="141" spans="1:31" x14ac:dyDescent="0.2">
      <c r="A141" s="16">
        <v>5000489846</v>
      </c>
      <c r="B141" t="s">
        <v>0</v>
      </c>
      <c r="C141" t="s">
        <v>0</v>
      </c>
      <c r="D141" t="s">
        <v>1</v>
      </c>
      <c r="E141" t="s">
        <v>693</v>
      </c>
      <c r="F141" t="s">
        <v>694</v>
      </c>
      <c r="G141" s="2">
        <v>10</v>
      </c>
      <c r="H141" t="s">
        <v>461</v>
      </c>
      <c r="I141" t="s">
        <v>3</v>
      </c>
      <c r="J141" t="s">
        <v>53</v>
      </c>
      <c r="K141" t="s">
        <v>605</v>
      </c>
      <c r="L141" t="s">
        <v>608</v>
      </c>
      <c r="M141" t="s">
        <v>248</v>
      </c>
      <c r="N141" t="s">
        <v>602</v>
      </c>
      <c r="O141" t="s">
        <v>603</v>
      </c>
      <c r="P141" t="s">
        <v>602</v>
      </c>
      <c r="Q141" s="17">
        <f>IFERROR(VLOOKUP(A141,已除帳印單!B:C,1,0),0)*1</f>
        <v>0</v>
      </c>
      <c r="R141" s="67" t="str">
        <f>IFERROR(VLOOKUP(J141,線別!A:B,2,1),"")</f>
        <v>裝二線</v>
      </c>
      <c r="S141" s="17" t="str">
        <f>IFERROR(VLOOKUP(A141,已除帳印單!B:C,2,0),"")</f>
        <v/>
      </c>
      <c r="T141" s="68">
        <f t="shared" si="12"/>
        <v>43892</v>
      </c>
      <c r="U141" s="69">
        <f t="shared" si="13"/>
        <v>84.168773148148148</v>
      </c>
      <c r="V141" s="68" t="str">
        <f>IFERROR(VLOOKUP(A141,已除帳印單!B:D,3,0),"")</f>
        <v/>
      </c>
      <c r="W141" s="69" t="str">
        <f>IFERROR(VLOOKUP(A141,已除帳印單!B:E,4,0),"")</f>
        <v/>
      </c>
      <c r="X141" s="68" t="str">
        <f>IFERROR(INDEX(刷條碼區!A:C,MATCH(點上線資訊!S141,刷條碼區!C:C,0),1),"")</f>
        <v/>
      </c>
      <c r="Y141" s="69" t="str">
        <f>IFERROR(INDEX(刷條碼區!A:C,MATCH(點上線資訊!S141,刷條碼區!C:C,0),2),"")</f>
        <v/>
      </c>
      <c r="Z141" s="70" t="str">
        <f>IFERROR(INDEX(刷條碼區!D:G,MATCH(點上線資訊!S141,刷條碼區!F:F,0),1),"")</f>
        <v/>
      </c>
      <c r="AA141" s="71" t="str">
        <f>IFERROR(INDEX(刷條碼區!D:G,MATCH(點上線資訊!S141,刷條碼區!F:F,0),2),"")</f>
        <v/>
      </c>
      <c r="AB141" s="20" t="b">
        <f t="shared" si="14"/>
        <v>0</v>
      </c>
      <c r="AC141" s="20" t="b">
        <f t="shared" si="15"/>
        <v>0</v>
      </c>
      <c r="AD141" s="17" t="b">
        <f t="shared" si="16"/>
        <v>0</v>
      </c>
      <c r="AE141" s="17" t="b">
        <f t="shared" si="17"/>
        <v>0</v>
      </c>
    </row>
    <row r="142" spans="1:31" x14ac:dyDescent="0.2">
      <c r="A142" s="16">
        <v>5000489868</v>
      </c>
      <c r="B142" t="s">
        <v>0</v>
      </c>
      <c r="C142" t="s">
        <v>0</v>
      </c>
      <c r="D142" t="s">
        <v>1</v>
      </c>
      <c r="E142" t="s">
        <v>690</v>
      </c>
      <c r="F142" t="s">
        <v>691</v>
      </c>
      <c r="G142" s="2">
        <v>8</v>
      </c>
      <c r="H142" t="s">
        <v>461</v>
      </c>
      <c r="I142" t="s">
        <v>3</v>
      </c>
      <c r="J142" t="s">
        <v>53</v>
      </c>
      <c r="K142" t="s">
        <v>605</v>
      </c>
      <c r="L142" t="s">
        <v>608</v>
      </c>
      <c r="M142" t="s">
        <v>692</v>
      </c>
      <c r="N142" t="s">
        <v>602</v>
      </c>
      <c r="O142" t="s">
        <v>603</v>
      </c>
      <c r="P142" t="s">
        <v>602</v>
      </c>
      <c r="Q142" s="17">
        <f>IFERROR(VLOOKUP(A142,已除帳印單!B:C,1,0),0)*1</f>
        <v>0</v>
      </c>
      <c r="R142" s="67" t="str">
        <f>IFERROR(VLOOKUP(J142,線別!A:B,2,1),"")</f>
        <v>裝二線</v>
      </c>
      <c r="S142" s="17" t="str">
        <f>IFERROR(VLOOKUP(A142,已除帳印單!B:C,2,0),"")</f>
        <v/>
      </c>
      <c r="T142" s="68">
        <f t="shared" si="12"/>
        <v>43892</v>
      </c>
      <c r="U142" s="69">
        <f t="shared" si="13"/>
        <v>84.168773148148148</v>
      </c>
      <c r="V142" s="68" t="str">
        <f>IFERROR(VLOOKUP(A142,已除帳印單!B:D,3,0),"")</f>
        <v/>
      </c>
      <c r="W142" s="69" t="str">
        <f>IFERROR(VLOOKUP(A142,已除帳印單!B:E,4,0),"")</f>
        <v/>
      </c>
      <c r="X142" s="68" t="str">
        <f>IFERROR(INDEX(刷條碼區!A:C,MATCH(點上線資訊!S142,刷條碼區!C:C,0),1),"")</f>
        <v/>
      </c>
      <c r="Y142" s="69" t="str">
        <f>IFERROR(INDEX(刷條碼區!A:C,MATCH(點上線資訊!S142,刷條碼區!C:C,0),2),"")</f>
        <v/>
      </c>
      <c r="Z142" s="70" t="str">
        <f>IFERROR(INDEX(刷條碼區!D:G,MATCH(點上線資訊!S142,刷條碼區!F:F,0),1),"")</f>
        <v/>
      </c>
      <c r="AA142" s="71" t="str">
        <f>IFERROR(INDEX(刷條碼區!D:G,MATCH(點上線資訊!S142,刷條碼區!F:F,0),2),"")</f>
        <v/>
      </c>
      <c r="AB142" s="20" t="b">
        <f t="shared" si="14"/>
        <v>0</v>
      </c>
      <c r="AC142" s="20" t="b">
        <f t="shared" si="15"/>
        <v>0</v>
      </c>
      <c r="AD142" s="17" t="b">
        <f t="shared" si="16"/>
        <v>0</v>
      </c>
      <c r="AE142" s="17" t="b">
        <f t="shared" si="17"/>
        <v>0</v>
      </c>
    </row>
    <row r="143" spans="1:31" x14ac:dyDescent="0.2">
      <c r="A143" s="16">
        <v>5000489883</v>
      </c>
      <c r="B143" t="s">
        <v>0</v>
      </c>
      <c r="C143" t="s">
        <v>0</v>
      </c>
      <c r="D143" t="s">
        <v>1</v>
      </c>
      <c r="E143" t="s">
        <v>695</v>
      </c>
      <c r="F143" t="s">
        <v>696</v>
      </c>
      <c r="G143" s="2">
        <v>2</v>
      </c>
      <c r="H143" t="s">
        <v>461</v>
      </c>
      <c r="I143" t="s">
        <v>3</v>
      </c>
      <c r="J143" t="s">
        <v>107</v>
      </c>
      <c r="K143" t="s">
        <v>605</v>
      </c>
      <c r="L143" t="s">
        <v>608</v>
      </c>
      <c r="M143" t="s">
        <v>663</v>
      </c>
      <c r="N143" t="s">
        <v>602</v>
      </c>
      <c r="O143" t="s">
        <v>603</v>
      </c>
      <c r="P143" t="s">
        <v>602</v>
      </c>
      <c r="Q143" s="17">
        <f>IFERROR(VLOOKUP(A143,已除帳印單!B:C,1,0),0)*1</f>
        <v>0</v>
      </c>
      <c r="R143" s="67" t="str">
        <f>IFERROR(VLOOKUP(J143,線別!A:B,2,1),"")</f>
        <v>IA線</v>
      </c>
      <c r="S143" s="17" t="str">
        <f>IFERROR(VLOOKUP(A143,已除帳印單!B:C,2,0),"")</f>
        <v/>
      </c>
      <c r="T143" s="68">
        <f t="shared" si="12"/>
        <v>43892</v>
      </c>
      <c r="U143" s="69">
        <f t="shared" si="13"/>
        <v>84.168773148148148</v>
      </c>
      <c r="V143" s="68" t="str">
        <f>IFERROR(VLOOKUP(A143,已除帳印單!B:D,3,0),"")</f>
        <v/>
      </c>
      <c r="W143" s="69" t="str">
        <f>IFERROR(VLOOKUP(A143,已除帳印單!B:E,4,0),"")</f>
        <v/>
      </c>
      <c r="X143" s="68" t="str">
        <f>IFERROR(INDEX(刷條碼區!A:C,MATCH(點上線資訊!S143,刷條碼區!C:C,0),1),"")</f>
        <v/>
      </c>
      <c r="Y143" s="69" t="str">
        <f>IFERROR(INDEX(刷條碼區!A:C,MATCH(點上線資訊!S143,刷條碼區!C:C,0),2),"")</f>
        <v/>
      </c>
      <c r="Z143" s="70" t="str">
        <f>IFERROR(INDEX(刷條碼區!D:G,MATCH(點上線資訊!S143,刷條碼區!F:F,0),1),"")</f>
        <v/>
      </c>
      <c r="AA143" s="71" t="str">
        <f>IFERROR(INDEX(刷條碼區!D:G,MATCH(點上線資訊!S143,刷條碼區!F:F,0),2),"")</f>
        <v/>
      </c>
      <c r="AB143" s="20" t="b">
        <f t="shared" si="14"/>
        <v>0</v>
      </c>
      <c r="AC143" s="20" t="b">
        <f t="shared" si="15"/>
        <v>0</v>
      </c>
      <c r="AD143" s="17" t="b">
        <f t="shared" si="16"/>
        <v>0</v>
      </c>
      <c r="AE143" s="17" t="b">
        <f t="shared" si="17"/>
        <v>0</v>
      </c>
    </row>
    <row r="144" spans="1:31" x14ac:dyDescent="0.2">
      <c r="A144" s="16">
        <v>5000489884</v>
      </c>
      <c r="B144" t="s">
        <v>301</v>
      </c>
      <c r="C144" t="s">
        <v>301</v>
      </c>
      <c r="D144" t="s">
        <v>1</v>
      </c>
      <c r="E144" t="s">
        <v>306</v>
      </c>
      <c r="F144" t="s">
        <v>486</v>
      </c>
      <c r="G144" s="2">
        <v>13</v>
      </c>
      <c r="H144" t="s">
        <v>461</v>
      </c>
      <c r="I144" t="s">
        <v>3</v>
      </c>
      <c r="J144" t="s">
        <v>307</v>
      </c>
      <c r="K144" t="s">
        <v>602</v>
      </c>
      <c r="L144" t="s">
        <v>603</v>
      </c>
      <c r="M144" t="s">
        <v>602</v>
      </c>
      <c r="N144" t="s">
        <v>602</v>
      </c>
      <c r="O144" t="s">
        <v>603</v>
      </c>
      <c r="P144" t="s">
        <v>602</v>
      </c>
      <c r="Q144" s="17">
        <f>IFERROR(VLOOKUP(A144,已除帳印單!B:C,1,0),0)*1</f>
        <v>0</v>
      </c>
      <c r="R144" s="67" t="str">
        <f>IFERROR(VLOOKUP(J144,線別!A:B,2,1),"")</f>
        <v>裝一線</v>
      </c>
      <c r="S144" s="17" t="str">
        <f>IFERROR(VLOOKUP(A144,已除帳印單!B:C,2,0),"")</f>
        <v/>
      </c>
      <c r="T144" s="68">
        <f t="shared" si="12"/>
        <v>43894</v>
      </c>
      <c r="U144" s="69">
        <f t="shared" si="13"/>
        <v>84.168796296296293</v>
      </c>
      <c r="V144" s="68" t="str">
        <f>IFERROR(VLOOKUP(A144,已除帳印單!B:D,3,0),"")</f>
        <v/>
      </c>
      <c r="W144" s="69" t="str">
        <f>IFERROR(VLOOKUP(A144,已除帳印單!B:E,4,0),"")</f>
        <v/>
      </c>
      <c r="X144" s="68" t="str">
        <f>IFERROR(INDEX(刷條碼區!A:C,MATCH(點上線資訊!S144,刷條碼區!C:C,0),1),"")</f>
        <v/>
      </c>
      <c r="Y144" s="69" t="str">
        <f>IFERROR(INDEX(刷條碼區!A:C,MATCH(點上線資訊!S144,刷條碼區!C:C,0),2),"")</f>
        <v/>
      </c>
      <c r="Z144" s="70" t="str">
        <f>IFERROR(INDEX(刷條碼區!D:G,MATCH(點上線資訊!S144,刷條碼區!F:F,0),1),"")</f>
        <v/>
      </c>
      <c r="AA144" s="71" t="str">
        <f>IFERROR(INDEX(刷條碼區!D:G,MATCH(點上線資訊!S144,刷條碼區!F:F,0),2),"")</f>
        <v/>
      </c>
      <c r="AB144" s="20">
        <f t="shared" si="14"/>
        <v>13</v>
      </c>
      <c r="AC144" s="20" t="b">
        <f t="shared" si="15"/>
        <v>0</v>
      </c>
      <c r="AD144" s="17" t="b">
        <f t="shared" si="16"/>
        <v>0</v>
      </c>
      <c r="AE144" s="17" t="b">
        <f t="shared" si="17"/>
        <v>0</v>
      </c>
    </row>
    <row r="145" spans="1:31" x14ac:dyDescent="0.2">
      <c r="A145" s="16">
        <v>5000489885</v>
      </c>
      <c r="B145" t="s">
        <v>301</v>
      </c>
      <c r="C145" t="s">
        <v>301</v>
      </c>
      <c r="D145" t="s">
        <v>1</v>
      </c>
      <c r="E145" t="s">
        <v>306</v>
      </c>
      <c r="F145" t="s">
        <v>486</v>
      </c>
      <c r="G145" s="2">
        <v>6</v>
      </c>
      <c r="H145" t="s">
        <v>461</v>
      </c>
      <c r="I145" t="s">
        <v>3</v>
      </c>
      <c r="J145" t="s">
        <v>307</v>
      </c>
      <c r="K145" t="s">
        <v>602</v>
      </c>
      <c r="L145" t="s">
        <v>603</v>
      </c>
      <c r="M145" t="s">
        <v>602</v>
      </c>
      <c r="N145" t="s">
        <v>602</v>
      </c>
      <c r="O145" t="s">
        <v>603</v>
      </c>
      <c r="P145" t="s">
        <v>602</v>
      </c>
      <c r="Q145" s="17">
        <f>IFERROR(VLOOKUP(A145,已除帳印單!B:C,1,0),0)*1</f>
        <v>0</v>
      </c>
      <c r="R145" s="67" t="str">
        <f>IFERROR(VLOOKUP(J145,線別!A:B,2,1),"")</f>
        <v>裝一線</v>
      </c>
      <c r="S145" s="17" t="str">
        <f>IFERROR(VLOOKUP(A145,已除帳印單!B:C,2,0),"")</f>
        <v/>
      </c>
      <c r="T145" s="68">
        <f t="shared" si="12"/>
        <v>43894</v>
      </c>
      <c r="U145" s="69">
        <f t="shared" si="13"/>
        <v>84.168796296296293</v>
      </c>
      <c r="V145" s="68" t="str">
        <f>IFERROR(VLOOKUP(A145,已除帳印單!B:D,3,0),"")</f>
        <v/>
      </c>
      <c r="W145" s="69" t="str">
        <f>IFERROR(VLOOKUP(A145,已除帳印單!B:E,4,0),"")</f>
        <v/>
      </c>
      <c r="X145" s="68" t="str">
        <f>IFERROR(INDEX(刷條碼區!A:C,MATCH(點上線資訊!S145,刷條碼區!C:C,0),1),"")</f>
        <v/>
      </c>
      <c r="Y145" s="69" t="str">
        <f>IFERROR(INDEX(刷條碼區!A:C,MATCH(點上線資訊!S145,刷條碼區!C:C,0),2),"")</f>
        <v/>
      </c>
      <c r="Z145" s="70" t="str">
        <f>IFERROR(INDEX(刷條碼區!D:G,MATCH(點上線資訊!S145,刷條碼區!F:F,0),1),"")</f>
        <v/>
      </c>
      <c r="AA145" s="71" t="str">
        <f>IFERROR(INDEX(刷條碼區!D:G,MATCH(點上線資訊!S145,刷條碼區!F:F,0),2),"")</f>
        <v/>
      </c>
      <c r="AB145" s="20">
        <f t="shared" si="14"/>
        <v>6</v>
      </c>
      <c r="AC145" s="20" t="b">
        <f t="shared" si="15"/>
        <v>0</v>
      </c>
      <c r="AD145" s="17" t="b">
        <f t="shared" si="16"/>
        <v>0</v>
      </c>
      <c r="AE145" s="17" t="b">
        <f t="shared" si="17"/>
        <v>0</v>
      </c>
    </row>
    <row r="146" spans="1:31" x14ac:dyDescent="0.2">
      <c r="A146" s="16">
        <v>5000489887</v>
      </c>
      <c r="B146" t="s">
        <v>301</v>
      </c>
      <c r="C146" t="s">
        <v>301</v>
      </c>
      <c r="D146" t="s">
        <v>1</v>
      </c>
      <c r="E146" t="s">
        <v>306</v>
      </c>
      <c r="F146" t="s">
        <v>486</v>
      </c>
      <c r="G146" s="2">
        <v>13</v>
      </c>
      <c r="H146" t="s">
        <v>461</v>
      </c>
      <c r="I146" t="s">
        <v>3</v>
      </c>
      <c r="J146" t="s">
        <v>307</v>
      </c>
      <c r="K146" t="s">
        <v>602</v>
      </c>
      <c r="L146" t="s">
        <v>603</v>
      </c>
      <c r="M146" t="s">
        <v>602</v>
      </c>
      <c r="N146" t="s">
        <v>602</v>
      </c>
      <c r="O146" t="s">
        <v>603</v>
      </c>
      <c r="P146" t="s">
        <v>602</v>
      </c>
      <c r="Q146" s="17">
        <f>IFERROR(VLOOKUP(A146,已除帳印單!B:C,1,0),0)*1</f>
        <v>0</v>
      </c>
      <c r="R146" s="67" t="str">
        <f>IFERROR(VLOOKUP(J146,線別!A:B,2,1),"")</f>
        <v>裝一線</v>
      </c>
      <c r="S146" s="17" t="str">
        <f>IFERROR(VLOOKUP(A146,已除帳印單!B:C,2,0),"")</f>
        <v/>
      </c>
      <c r="T146" s="68">
        <f t="shared" si="12"/>
        <v>43894</v>
      </c>
      <c r="U146" s="69">
        <f t="shared" si="13"/>
        <v>84.168796296296293</v>
      </c>
      <c r="V146" s="68" t="str">
        <f>IFERROR(VLOOKUP(A146,已除帳印單!B:D,3,0),"")</f>
        <v/>
      </c>
      <c r="W146" s="69" t="str">
        <f>IFERROR(VLOOKUP(A146,已除帳印單!B:E,4,0),"")</f>
        <v/>
      </c>
      <c r="X146" s="68" t="str">
        <f>IFERROR(INDEX(刷條碼區!A:C,MATCH(點上線資訊!S146,刷條碼區!C:C,0),1),"")</f>
        <v/>
      </c>
      <c r="Y146" s="69" t="str">
        <f>IFERROR(INDEX(刷條碼區!A:C,MATCH(點上線資訊!S146,刷條碼區!C:C,0),2),"")</f>
        <v/>
      </c>
      <c r="Z146" s="70" t="str">
        <f>IFERROR(INDEX(刷條碼區!D:G,MATCH(點上線資訊!S146,刷條碼區!F:F,0),1),"")</f>
        <v/>
      </c>
      <c r="AA146" s="71" t="str">
        <f>IFERROR(INDEX(刷條碼區!D:G,MATCH(點上線資訊!S146,刷條碼區!F:F,0),2),"")</f>
        <v/>
      </c>
      <c r="AB146" s="20">
        <f t="shared" si="14"/>
        <v>13</v>
      </c>
      <c r="AC146" s="20" t="b">
        <f t="shared" si="15"/>
        <v>0</v>
      </c>
      <c r="AD146" s="17" t="b">
        <f t="shared" si="16"/>
        <v>0</v>
      </c>
      <c r="AE146" s="17" t="b">
        <f t="shared" si="17"/>
        <v>0</v>
      </c>
    </row>
    <row r="147" spans="1:31" x14ac:dyDescent="0.2">
      <c r="A147" s="16">
        <v>5000489888</v>
      </c>
      <c r="B147" t="s">
        <v>301</v>
      </c>
      <c r="C147" t="s">
        <v>301</v>
      </c>
      <c r="D147" t="s">
        <v>1</v>
      </c>
      <c r="E147" t="s">
        <v>306</v>
      </c>
      <c r="F147" t="s">
        <v>486</v>
      </c>
      <c r="G147" s="2">
        <v>13</v>
      </c>
      <c r="H147" t="s">
        <v>461</v>
      </c>
      <c r="I147" t="s">
        <v>3</v>
      </c>
      <c r="J147" t="s">
        <v>307</v>
      </c>
      <c r="K147" t="s">
        <v>602</v>
      </c>
      <c r="L147" t="s">
        <v>603</v>
      </c>
      <c r="M147" t="s">
        <v>602</v>
      </c>
      <c r="N147" t="s">
        <v>602</v>
      </c>
      <c r="O147" t="s">
        <v>603</v>
      </c>
      <c r="P147" t="s">
        <v>602</v>
      </c>
      <c r="Q147" s="17">
        <f>IFERROR(VLOOKUP(A147,已除帳印單!B:C,1,0),0)*1</f>
        <v>0</v>
      </c>
      <c r="R147" s="67" t="str">
        <f>IFERROR(VLOOKUP(J147,線別!A:B,2,1),"")</f>
        <v>裝一線</v>
      </c>
      <c r="S147" s="17" t="str">
        <f>IFERROR(VLOOKUP(A147,已除帳印單!B:C,2,0),"")</f>
        <v/>
      </c>
      <c r="T147" s="68">
        <f t="shared" si="12"/>
        <v>43894</v>
      </c>
      <c r="U147" s="69">
        <f t="shared" si="13"/>
        <v>84.168796296296293</v>
      </c>
      <c r="V147" s="68" t="str">
        <f>IFERROR(VLOOKUP(A147,已除帳印單!B:D,3,0),"")</f>
        <v/>
      </c>
      <c r="W147" s="69" t="str">
        <f>IFERROR(VLOOKUP(A147,已除帳印單!B:E,4,0),"")</f>
        <v/>
      </c>
      <c r="X147" s="68" t="str">
        <f>IFERROR(INDEX(刷條碼區!A:C,MATCH(點上線資訊!S147,刷條碼區!C:C,0),1),"")</f>
        <v/>
      </c>
      <c r="Y147" s="69" t="str">
        <f>IFERROR(INDEX(刷條碼區!A:C,MATCH(點上線資訊!S147,刷條碼區!C:C,0),2),"")</f>
        <v/>
      </c>
      <c r="Z147" s="70" t="str">
        <f>IFERROR(INDEX(刷條碼區!D:G,MATCH(點上線資訊!S147,刷條碼區!F:F,0),1),"")</f>
        <v/>
      </c>
      <c r="AA147" s="71" t="str">
        <f>IFERROR(INDEX(刷條碼區!D:G,MATCH(點上線資訊!S147,刷條碼區!F:F,0),2),"")</f>
        <v/>
      </c>
      <c r="AB147" s="20">
        <f t="shared" si="14"/>
        <v>13</v>
      </c>
      <c r="AC147" s="20" t="b">
        <f t="shared" si="15"/>
        <v>0</v>
      </c>
      <c r="AD147" s="17" t="b">
        <f t="shared" si="16"/>
        <v>0</v>
      </c>
      <c r="AE147" s="17" t="b">
        <f t="shared" si="17"/>
        <v>0</v>
      </c>
    </row>
    <row r="148" spans="1:31" x14ac:dyDescent="0.2">
      <c r="A148" s="16">
        <v>5000489889</v>
      </c>
      <c r="B148" t="s">
        <v>301</v>
      </c>
      <c r="C148" t="s">
        <v>301</v>
      </c>
      <c r="D148" t="s">
        <v>1</v>
      </c>
      <c r="E148" t="s">
        <v>306</v>
      </c>
      <c r="F148" t="s">
        <v>486</v>
      </c>
      <c r="G148" s="2">
        <v>6</v>
      </c>
      <c r="H148" t="s">
        <v>461</v>
      </c>
      <c r="I148" t="s">
        <v>3</v>
      </c>
      <c r="J148" t="s">
        <v>307</v>
      </c>
      <c r="K148" t="s">
        <v>602</v>
      </c>
      <c r="L148" t="s">
        <v>603</v>
      </c>
      <c r="M148" t="s">
        <v>602</v>
      </c>
      <c r="N148" t="s">
        <v>602</v>
      </c>
      <c r="O148" t="s">
        <v>603</v>
      </c>
      <c r="P148" t="s">
        <v>602</v>
      </c>
      <c r="Q148" s="17">
        <f>IFERROR(VLOOKUP(A148,已除帳印單!B:C,1,0),0)*1</f>
        <v>0</v>
      </c>
      <c r="R148" s="67" t="str">
        <f>IFERROR(VLOOKUP(J148,線別!A:B,2,1),"")</f>
        <v>裝一線</v>
      </c>
      <c r="S148" s="17" t="str">
        <f>IFERROR(VLOOKUP(A148,已除帳印單!B:C,2,0),"")</f>
        <v/>
      </c>
      <c r="T148" s="68">
        <f t="shared" si="12"/>
        <v>43894</v>
      </c>
      <c r="U148" s="69">
        <f t="shared" si="13"/>
        <v>84.168796296296293</v>
      </c>
      <c r="V148" s="68" t="str">
        <f>IFERROR(VLOOKUP(A148,已除帳印單!B:D,3,0),"")</f>
        <v/>
      </c>
      <c r="W148" s="69" t="str">
        <f>IFERROR(VLOOKUP(A148,已除帳印單!B:E,4,0),"")</f>
        <v/>
      </c>
      <c r="X148" s="68" t="str">
        <f>IFERROR(INDEX(刷條碼區!A:C,MATCH(點上線資訊!S148,刷條碼區!C:C,0),1),"")</f>
        <v/>
      </c>
      <c r="Y148" s="69" t="str">
        <f>IFERROR(INDEX(刷條碼區!A:C,MATCH(點上線資訊!S148,刷條碼區!C:C,0),2),"")</f>
        <v/>
      </c>
      <c r="Z148" s="70" t="str">
        <f>IFERROR(INDEX(刷條碼區!D:G,MATCH(點上線資訊!S148,刷條碼區!F:F,0),1),"")</f>
        <v/>
      </c>
      <c r="AA148" s="71" t="str">
        <f>IFERROR(INDEX(刷條碼區!D:G,MATCH(點上線資訊!S148,刷條碼區!F:F,0),2),"")</f>
        <v/>
      </c>
      <c r="AB148" s="20">
        <f t="shared" si="14"/>
        <v>6</v>
      </c>
      <c r="AC148" s="20" t="b">
        <f t="shared" si="15"/>
        <v>0</v>
      </c>
      <c r="AD148" s="17" t="b">
        <f t="shared" si="16"/>
        <v>0</v>
      </c>
      <c r="AE148" s="17" t="b">
        <f t="shared" si="17"/>
        <v>0</v>
      </c>
    </row>
    <row r="149" spans="1:31" x14ac:dyDescent="0.2">
      <c r="A149" s="16">
        <v>5000490479</v>
      </c>
      <c r="B149" t="s">
        <v>6</v>
      </c>
      <c r="C149" t="s">
        <v>6</v>
      </c>
      <c r="D149" t="s">
        <v>1</v>
      </c>
      <c r="E149" t="s">
        <v>697</v>
      </c>
      <c r="F149" t="s">
        <v>698</v>
      </c>
      <c r="G149" s="2">
        <v>6</v>
      </c>
      <c r="H149" t="s">
        <v>461</v>
      </c>
      <c r="I149" t="s">
        <v>3</v>
      </c>
      <c r="J149" t="s">
        <v>8</v>
      </c>
      <c r="K149" t="s">
        <v>605</v>
      </c>
      <c r="L149" t="s">
        <v>608</v>
      </c>
      <c r="M149" t="s">
        <v>405</v>
      </c>
      <c r="N149" t="s">
        <v>602</v>
      </c>
      <c r="O149" t="s">
        <v>603</v>
      </c>
      <c r="P149" t="s">
        <v>602</v>
      </c>
      <c r="Q149" s="17">
        <f>IFERROR(VLOOKUP(A149,已除帳印單!B:C,1,0),0)*1</f>
        <v>0</v>
      </c>
      <c r="R149" s="67" t="str">
        <f>IFERROR(VLOOKUP(J149,線別!A:B,2,1),"")</f>
        <v>裝一線</v>
      </c>
      <c r="S149" s="17" t="str">
        <f>IFERROR(VLOOKUP(A149,已除帳印單!B:C,2,0),"")</f>
        <v/>
      </c>
      <c r="T149" s="68">
        <f t="shared" si="12"/>
        <v>43893</v>
      </c>
      <c r="U149" s="69">
        <f t="shared" si="13"/>
        <v>84.168784722222213</v>
      </c>
      <c r="V149" s="68" t="str">
        <f>IFERROR(VLOOKUP(A149,已除帳印單!B:D,3,0),"")</f>
        <v/>
      </c>
      <c r="W149" s="69" t="str">
        <f>IFERROR(VLOOKUP(A149,已除帳印單!B:E,4,0),"")</f>
        <v/>
      </c>
      <c r="X149" s="68" t="str">
        <f>IFERROR(INDEX(刷條碼區!A:C,MATCH(點上線資訊!S149,刷條碼區!C:C,0),1),"")</f>
        <v/>
      </c>
      <c r="Y149" s="69" t="str">
        <f>IFERROR(INDEX(刷條碼區!A:C,MATCH(點上線資訊!S149,刷條碼區!C:C,0),2),"")</f>
        <v/>
      </c>
      <c r="Z149" s="70" t="str">
        <f>IFERROR(INDEX(刷條碼區!D:G,MATCH(點上線資訊!S149,刷條碼區!F:F,0),1),"")</f>
        <v/>
      </c>
      <c r="AA149" s="71" t="str">
        <f>IFERROR(INDEX(刷條碼區!D:G,MATCH(點上線資訊!S149,刷條碼區!F:F,0),2),"")</f>
        <v/>
      </c>
      <c r="AB149" s="20" t="b">
        <f t="shared" si="14"/>
        <v>0</v>
      </c>
      <c r="AC149" s="20" t="b">
        <f t="shared" si="15"/>
        <v>0</v>
      </c>
      <c r="AD149" s="17" t="b">
        <f t="shared" si="16"/>
        <v>0</v>
      </c>
      <c r="AE149" s="17" t="b">
        <f t="shared" si="17"/>
        <v>0</v>
      </c>
    </row>
    <row r="150" spans="1:31" x14ac:dyDescent="0.2">
      <c r="A150" s="16">
        <v>5000490486</v>
      </c>
      <c r="B150" t="s">
        <v>6</v>
      </c>
      <c r="C150" t="s">
        <v>6</v>
      </c>
      <c r="D150" t="s">
        <v>1</v>
      </c>
      <c r="E150" t="s">
        <v>699</v>
      </c>
      <c r="F150" t="s">
        <v>700</v>
      </c>
      <c r="G150" s="2">
        <v>4</v>
      </c>
      <c r="H150" t="s">
        <v>461</v>
      </c>
      <c r="I150" t="s">
        <v>3</v>
      </c>
      <c r="J150" t="s">
        <v>8</v>
      </c>
      <c r="K150" t="s">
        <v>605</v>
      </c>
      <c r="L150" t="s">
        <v>608</v>
      </c>
      <c r="M150" t="s">
        <v>406</v>
      </c>
      <c r="N150" t="s">
        <v>602</v>
      </c>
      <c r="O150" t="s">
        <v>603</v>
      </c>
      <c r="P150" t="s">
        <v>602</v>
      </c>
      <c r="Q150" s="17">
        <f>IFERROR(VLOOKUP(A150,已除帳印單!B:C,1,0),0)*1</f>
        <v>0</v>
      </c>
      <c r="R150" s="67" t="str">
        <f>IFERROR(VLOOKUP(J150,線別!A:B,2,1),"")</f>
        <v>裝一線</v>
      </c>
      <c r="S150" s="17" t="str">
        <f>IFERROR(VLOOKUP(A150,已除帳印單!B:C,2,0),"")</f>
        <v/>
      </c>
      <c r="T150" s="68">
        <f t="shared" si="12"/>
        <v>43893</v>
      </c>
      <c r="U150" s="69">
        <f t="shared" si="13"/>
        <v>84.168784722222213</v>
      </c>
      <c r="V150" s="68" t="str">
        <f>IFERROR(VLOOKUP(A150,已除帳印單!B:D,3,0),"")</f>
        <v/>
      </c>
      <c r="W150" s="69" t="str">
        <f>IFERROR(VLOOKUP(A150,已除帳印單!B:E,4,0),"")</f>
        <v/>
      </c>
      <c r="X150" s="68" t="str">
        <f>IFERROR(INDEX(刷條碼區!A:C,MATCH(點上線資訊!S150,刷條碼區!C:C,0),1),"")</f>
        <v/>
      </c>
      <c r="Y150" s="69" t="str">
        <f>IFERROR(INDEX(刷條碼區!A:C,MATCH(點上線資訊!S150,刷條碼區!C:C,0),2),"")</f>
        <v/>
      </c>
      <c r="Z150" s="70" t="str">
        <f>IFERROR(INDEX(刷條碼區!D:G,MATCH(點上線資訊!S150,刷條碼區!F:F,0),1),"")</f>
        <v/>
      </c>
      <c r="AA150" s="71" t="str">
        <f>IFERROR(INDEX(刷條碼區!D:G,MATCH(點上線資訊!S150,刷條碼區!F:F,0),2),"")</f>
        <v/>
      </c>
      <c r="AB150" s="20" t="b">
        <f t="shared" si="14"/>
        <v>0</v>
      </c>
      <c r="AC150" s="20" t="b">
        <f t="shared" si="15"/>
        <v>0</v>
      </c>
      <c r="AD150" s="17" t="b">
        <f t="shared" si="16"/>
        <v>0</v>
      </c>
      <c r="AE150" s="17" t="b">
        <f t="shared" si="17"/>
        <v>0</v>
      </c>
    </row>
    <row r="151" spans="1:31" x14ac:dyDescent="0.2">
      <c r="A151" s="16">
        <v>5000490497</v>
      </c>
      <c r="B151" t="s">
        <v>6</v>
      </c>
      <c r="C151" t="s">
        <v>6</v>
      </c>
      <c r="D151" t="s">
        <v>1</v>
      </c>
      <c r="E151" t="s">
        <v>701</v>
      </c>
      <c r="F151" t="s">
        <v>698</v>
      </c>
      <c r="G151" s="2">
        <v>10</v>
      </c>
      <c r="H151" t="s">
        <v>461</v>
      </c>
      <c r="I151" t="s">
        <v>3</v>
      </c>
      <c r="J151" t="s">
        <v>8</v>
      </c>
      <c r="K151" t="s">
        <v>605</v>
      </c>
      <c r="L151" t="s">
        <v>608</v>
      </c>
      <c r="M151" t="s">
        <v>405</v>
      </c>
      <c r="N151" t="s">
        <v>602</v>
      </c>
      <c r="O151" t="s">
        <v>603</v>
      </c>
      <c r="P151" t="s">
        <v>602</v>
      </c>
      <c r="Q151" s="17">
        <f>IFERROR(VLOOKUP(A151,已除帳印單!B:C,1,0),0)*1</f>
        <v>0</v>
      </c>
      <c r="R151" s="67" t="str">
        <f>IFERROR(VLOOKUP(J151,線別!A:B,2,1),"")</f>
        <v>裝一線</v>
      </c>
      <c r="S151" s="17" t="str">
        <f>IFERROR(VLOOKUP(A151,已除帳印單!B:C,2,0),"")</f>
        <v/>
      </c>
      <c r="T151" s="68">
        <f t="shared" si="12"/>
        <v>43893</v>
      </c>
      <c r="U151" s="69">
        <f t="shared" si="13"/>
        <v>84.168784722222213</v>
      </c>
      <c r="V151" s="68" t="str">
        <f>IFERROR(VLOOKUP(A151,已除帳印單!B:D,3,0),"")</f>
        <v/>
      </c>
      <c r="W151" s="69" t="str">
        <f>IFERROR(VLOOKUP(A151,已除帳印單!B:E,4,0),"")</f>
        <v/>
      </c>
      <c r="X151" s="68" t="str">
        <f>IFERROR(INDEX(刷條碼區!A:C,MATCH(點上線資訊!S151,刷條碼區!C:C,0),1),"")</f>
        <v/>
      </c>
      <c r="Y151" s="69" t="str">
        <f>IFERROR(INDEX(刷條碼區!A:C,MATCH(點上線資訊!S151,刷條碼區!C:C,0),2),"")</f>
        <v/>
      </c>
      <c r="Z151" s="70" t="str">
        <f>IFERROR(INDEX(刷條碼區!D:G,MATCH(點上線資訊!S151,刷條碼區!F:F,0),1),"")</f>
        <v/>
      </c>
      <c r="AA151" s="71" t="str">
        <f>IFERROR(INDEX(刷條碼區!D:G,MATCH(點上線資訊!S151,刷條碼區!F:F,0),2),"")</f>
        <v/>
      </c>
      <c r="AB151" s="20" t="b">
        <f t="shared" si="14"/>
        <v>0</v>
      </c>
      <c r="AC151" s="20" t="b">
        <f t="shared" si="15"/>
        <v>0</v>
      </c>
      <c r="AD151" s="17" t="b">
        <f t="shared" si="16"/>
        <v>0</v>
      </c>
      <c r="AE151" s="17" t="b">
        <f t="shared" si="17"/>
        <v>0</v>
      </c>
    </row>
    <row r="152" spans="1:31" x14ac:dyDescent="0.2">
      <c r="A152" s="16">
        <v>5000490503</v>
      </c>
      <c r="B152" t="s">
        <v>6</v>
      </c>
      <c r="C152" t="s">
        <v>6</v>
      </c>
      <c r="D152" t="s">
        <v>1</v>
      </c>
      <c r="E152" t="s">
        <v>526</v>
      </c>
      <c r="F152" t="s">
        <v>527</v>
      </c>
      <c r="G152" s="2">
        <v>10</v>
      </c>
      <c r="H152" t="s">
        <v>461</v>
      </c>
      <c r="I152" t="s">
        <v>3</v>
      </c>
      <c r="J152" t="s">
        <v>8</v>
      </c>
      <c r="K152" t="s">
        <v>605</v>
      </c>
      <c r="L152" t="s">
        <v>608</v>
      </c>
      <c r="M152" t="s">
        <v>402</v>
      </c>
      <c r="N152" t="s">
        <v>602</v>
      </c>
      <c r="O152" t="s">
        <v>603</v>
      </c>
      <c r="P152" t="s">
        <v>602</v>
      </c>
      <c r="Q152" s="17">
        <f>IFERROR(VLOOKUP(A152,已除帳印單!B:C,1,0),0)*1</f>
        <v>0</v>
      </c>
      <c r="R152" s="67" t="str">
        <f>IFERROR(VLOOKUP(J152,線別!A:B,2,1),"")</f>
        <v>裝一線</v>
      </c>
      <c r="S152" s="17" t="str">
        <f>IFERROR(VLOOKUP(A152,已除帳印單!B:C,2,0),"")</f>
        <v/>
      </c>
      <c r="T152" s="68">
        <f t="shared" si="12"/>
        <v>43893</v>
      </c>
      <c r="U152" s="69">
        <f t="shared" si="13"/>
        <v>84.168784722222213</v>
      </c>
      <c r="V152" s="68" t="str">
        <f>IFERROR(VLOOKUP(A152,已除帳印單!B:D,3,0),"")</f>
        <v/>
      </c>
      <c r="W152" s="69" t="str">
        <f>IFERROR(VLOOKUP(A152,已除帳印單!B:E,4,0),"")</f>
        <v/>
      </c>
      <c r="X152" s="68" t="str">
        <f>IFERROR(INDEX(刷條碼區!A:C,MATCH(點上線資訊!S152,刷條碼區!C:C,0),1),"")</f>
        <v/>
      </c>
      <c r="Y152" s="69" t="str">
        <f>IFERROR(INDEX(刷條碼區!A:C,MATCH(點上線資訊!S152,刷條碼區!C:C,0),2),"")</f>
        <v/>
      </c>
      <c r="Z152" s="70" t="str">
        <f>IFERROR(INDEX(刷條碼區!D:G,MATCH(點上線資訊!S152,刷條碼區!F:F,0),1),"")</f>
        <v/>
      </c>
      <c r="AA152" s="71" t="str">
        <f>IFERROR(INDEX(刷條碼區!D:G,MATCH(點上線資訊!S152,刷條碼區!F:F,0),2),"")</f>
        <v/>
      </c>
      <c r="AB152" s="20" t="b">
        <f t="shared" si="14"/>
        <v>0</v>
      </c>
      <c r="AC152" s="20" t="b">
        <f t="shared" si="15"/>
        <v>0</v>
      </c>
      <c r="AD152" s="17" t="b">
        <f t="shared" si="16"/>
        <v>0</v>
      </c>
      <c r="AE152" s="17" t="b">
        <f t="shared" si="17"/>
        <v>0</v>
      </c>
    </row>
    <row r="153" spans="1:31" x14ac:dyDescent="0.2">
      <c r="A153" s="16">
        <v>5000490515</v>
      </c>
      <c r="B153" t="s">
        <v>6</v>
      </c>
      <c r="C153" t="s">
        <v>6</v>
      </c>
      <c r="D153" t="s">
        <v>1</v>
      </c>
      <c r="E153" t="s">
        <v>702</v>
      </c>
      <c r="F153" t="s">
        <v>703</v>
      </c>
      <c r="G153" s="2">
        <v>6</v>
      </c>
      <c r="H153" t="s">
        <v>461</v>
      </c>
      <c r="I153" t="s">
        <v>3</v>
      </c>
      <c r="J153" t="s">
        <v>19</v>
      </c>
      <c r="K153" t="s">
        <v>605</v>
      </c>
      <c r="L153" t="s">
        <v>608</v>
      </c>
      <c r="M153" t="s">
        <v>407</v>
      </c>
      <c r="N153" t="s">
        <v>602</v>
      </c>
      <c r="O153" t="s">
        <v>603</v>
      </c>
      <c r="P153" t="s">
        <v>602</v>
      </c>
      <c r="Q153" s="17">
        <f>IFERROR(VLOOKUP(A153,已除帳印單!B:C,1,0),0)*1</f>
        <v>0</v>
      </c>
      <c r="R153" s="67" t="str">
        <f>IFERROR(VLOOKUP(J153,線別!A:B,2,1),"")</f>
        <v>FM_IA預組</v>
      </c>
      <c r="S153" s="17" t="str">
        <f>IFERROR(VLOOKUP(A153,已除帳印單!B:C,2,0),"")</f>
        <v/>
      </c>
      <c r="T153" s="68">
        <f t="shared" si="12"/>
        <v>43893</v>
      </c>
      <c r="U153" s="69">
        <f t="shared" si="13"/>
        <v>84.168784722222213</v>
      </c>
      <c r="V153" s="68" t="str">
        <f>IFERROR(VLOOKUP(A153,已除帳印單!B:D,3,0),"")</f>
        <v/>
      </c>
      <c r="W153" s="69" t="str">
        <f>IFERROR(VLOOKUP(A153,已除帳印單!B:E,4,0),"")</f>
        <v/>
      </c>
      <c r="X153" s="68" t="str">
        <f>IFERROR(INDEX(刷條碼區!A:C,MATCH(點上線資訊!S153,刷條碼區!C:C,0),1),"")</f>
        <v/>
      </c>
      <c r="Y153" s="69" t="str">
        <f>IFERROR(INDEX(刷條碼區!A:C,MATCH(點上線資訊!S153,刷條碼區!C:C,0),2),"")</f>
        <v/>
      </c>
      <c r="Z153" s="70" t="str">
        <f>IFERROR(INDEX(刷條碼區!D:G,MATCH(點上線資訊!S153,刷條碼區!F:F,0),1),"")</f>
        <v/>
      </c>
      <c r="AA153" s="71" t="str">
        <f>IFERROR(INDEX(刷條碼區!D:G,MATCH(點上線資訊!S153,刷條碼區!F:F,0),2),"")</f>
        <v/>
      </c>
      <c r="AB153" s="20" t="b">
        <f t="shared" si="14"/>
        <v>0</v>
      </c>
      <c r="AC153" s="20" t="b">
        <f t="shared" si="15"/>
        <v>0</v>
      </c>
      <c r="AD153" s="17" t="b">
        <f t="shared" si="16"/>
        <v>0</v>
      </c>
      <c r="AE153" s="17" t="b">
        <f t="shared" si="17"/>
        <v>0</v>
      </c>
    </row>
    <row r="154" spans="1:31" x14ac:dyDescent="0.2">
      <c r="A154" s="16">
        <v>5000490516</v>
      </c>
      <c r="B154" t="s">
        <v>6</v>
      </c>
      <c r="C154" t="s">
        <v>6</v>
      </c>
      <c r="D154" t="s">
        <v>1</v>
      </c>
      <c r="E154" t="s">
        <v>704</v>
      </c>
      <c r="F154" t="s">
        <v>705</v>
      </c>
      <c r="G154" s="2">
        <v>3</v>
      </c>
      <c r="H154" t="s">
        <v>461</v>
      </c>
      <c r="I154" t="s">
        <v>3</v>
      </c>
      <c r="J154" t="s">
        <v>19</v>
      </c>
      <c r="K154" t="s">
        <v>605</v>
      </c>
      <c r="L154" t="s">
        <v>608</v>
      </c>
      <c r="M154" t="s">
        <v>407</v>
      </c>
      <c r="N154" t="s">
        <v>602</v>
      </c>
      <c r="O154" t="s">
        <v>603</v>
      </c>
      <c r="P154" t="s">
        <v>602</v>
      </c>
      <c r="Q154" s="17">
        <f>IFERROR(VLOOKUP(A154,已除帳印單!B:C,1,0),0)*1</f>
        <v>0</v>
      </c>
      <c r="R154" s="67" t="str">
        <f>IFERROR(VLOOKUP(J154,線別!A:B,2,1),"")</f>
        <v>FM_IA預組</v>
      </c>
      <c r="S154" s="17" t="str">
        <f>IFERROR(VLOOKUP(A154,已除帳印單!B:C,2,0),"")</f>
        <v/>
      </c>
      <c r="T154" s="68">
        <f t="shared" si="12"/>
        <v>43893</v>
      </c>
      <c r="U154" s="69">
        <f t="shared" si="13"/>
        <v>84.168784722222213</v>
      </c>
      <c r="V154" s="68" t="str">
        <f>IFERROR(VLOOKUP(A154,已除帳印單!B:D,3,0),"")</f>
        <v/>
      </c>
      <c r="W154" s="69" t="str">
        <f>IFERROR(VLOOKUP(A154,已除帳印單!B:E,4,0),"")</f>
        <v/>
      </c>
      <c r="X154" s="68" t="str">
        <f>IFERROR(INDEX(刷條碼區!A:C,MATCH(點上線資訊!S154,刷條碼區!C:C,0),1),"")</f>
        <v/>
      </c>
      <c r="Y154" s="69" t="str">
        <f>IFERROR(INDEX(刷條碼區!A:C,MATCH(點上線資訊!S154,刷條碼區!C:C,0),2),"")</f>
        <v/>
      </c>
      <c r="Z154" s="70" t="str">
        <f>IFERROR(INDEX(刷條碼區!D:G,MATCH(點上線資訊!S154,刷條碼區!F:F,0),1),"")</f>
        <v/>
      </c>
      <c r="AA154" s="71" t="str">
        <f>IFERROR(INDEX(刷條碼區!D:G,MATCH(點上線資訊!S154,刷條碼區!F:F,0),2),"")</f>
        <v/>
      </c>
      <c r="AB154" s="20" t="b">
        <f t="shared" si="14"/>
        <v>0</v>
      </c>
      <c r="AC154" s="20" t="b">
        <f t="shared" si="15"/>
        <v>0</v>
      </c>
      <c r="AD154" s="17" t="b">
        <f t="shared" si="16"/>
        <v>0</v>
      </c>
      <c r="AE154" s="17" t="b">
        <f t="shared" si="17"/>
        <v>0</v>
      </c>
    </row>
    <row r="155" spans="1:31" x14ac:dyDescent="0.2">
      <c r="A155" s="16">
        <v>5000490518</v>
      </c>
      <c r="B155" t="s">
        <v>6</v>
      </c>
      <c r="C155" t="s">
        <v>6</v>
      </c>
      <c r="D155" t="s">
        <v>1</v>
      </c>
      <c r="E155" t="s">
        <v>706</v>
      </c>
      <c r="F155" t="s">
        <v>707</v>
      </c>
      <c r="G155" s="2">
        <v>1</v>
      </c>
      <c r="H155" t="s">
        <v>461</v>
      </c>
      <c r="I155" t="s">
        <v>3</v>
      </c>
      <c r="J155" t="s">
        <v>19</v>
      </c>
      <c r="K155" t="s">
        <v>605</v>
      </c>
      <c r="L155" t="s">
        <v>608</v>
      </c>
      <c r="M155" t="s">
        <v>407</v>
      </c>
      <c r="N155" t="s">
        <v>602</v>
      </c>
      <c r="O155" t="s">
        <v>603</v>
      </c>
      <c r="P155" t="s">
        <v>602</v>
      </c>
      <c r="Q155" s="17">
        <f>IFERROR(VLOOKUP(A155,已除帳印單!B:C,1,0),0)*1</f>
        <v>0</v>
      </c>
      <c r="R155" s="67" t="str">
        <f>IFERROR(VLOOKUP(J155,線別!A:B,2,1),"")</f>
        <v>FM_IA預組</v>
      </c>
      <c r="S155" s="17" t="str">
        <f>IFERROR(VLOOKUP(A155,已除帳印單!B:C,2,0),"")</f>
        <v/>
      </c>
      <c r="T155" s="68">
        <f t="shared" si="12"/>
        <v>43893</v>
      </c>
      <c r="U155" s="69">
        <f t="shared" si="13"/>
        <v>84.168784722222213</v>
      </c>
      <c r="V155" s="68" t="str">
        <f>IFERROR(VLOOKUP(A155,已除帳印單!B:D,3,0),"")</f>
        <v/>
      </c>
      <c r="W155" s="69" t="str">
        <f>IFERROR(VLOOKUP(A155,已除帳印單!B:E,4,0),"")</f>
        <v/>
      </c>
      <c r="X155" s="68" t="str">
        <f>IFERROR(INDEX(刷條碼區!A:C,MATCH(點上線資訊!S155,刷條碼區!C:C,0),1),"")</f>
        <v/>
      </c>
      <c r="Y155" s="69" t="str">
        <f>IFERROR(INDEX(刷條碼區!A:C,MATCH(點上線資訊!S155,刷條碼區!C:C,0),2),"")</f>
        <v/>
      </c>
      <c r="Z155" s="70" t="str">
        <f>IFERROR(INDEX(刷條碼區!D:G,MATCH(點上線資訊!S155,刷條碼區!F:F,0),1),"")</f>
        <v/>
      </c>
      <c r="AA155" s="71" t="str">
        <f>IFERROR(INDEX(刷條碼區!D:G,MATCH(點上線資訊!S155,刷條碼區!F:F,0),2),"")</f>
        <v/>
      </c>
      <c r="AB155" s="20" t="b">
        <f t="shared" si="14"/>
        <v>0</v>
      </c>
      <c r="AC155" s="20" t="b">
        <f t="shared" si="15"/>
        <v>0</v>
      </c>
      <c r="AD155" s="17" t="b">
        <f t="shared" si="16"/>
        <v>0</v>
      </c>
      <c r="AE155" s="17" t="b">
        <f t="shared" si="17"/>
        <v>0</v>
      </c>
    </row>
    <row r="156" spans="1:31" x14ac:dyDescent="0.2">
      <c r="A156" s="16">
        <v>5000490519</v>
      </c>
      <c r="B156" t="s">
        <v>6</v>
      </c>
      <c r="C156" t="s">
        <v>6</v>
      </c>
      <c r="D156" t="s">
        <v>1</v>
      </c>
      <c r="E156" t="s">
        <v>708</v>
      </c>
      <c r="F156" t="s">
        <v>703</v>
      </c>
      <c r="G156" s="2">
        <v>3</v>
      </c>
      <c r="H156" t="s">
        <v>461</v>
      </c>
      <c r="I156" t="s">
        <v>3</v>
      </c>
      <c r="J156" t="s">
        <v>19</v>
      </c>
      <c r="K156" t="s">
        <v>605</v>
      </c>
      <c r="L156" t="s">
        <v>608</v>
      </c>
      <c r="M156" t="s">
        <v>407</v>
      </c>
      <c r="N156" t="s">
        <v>602</v>
      </c>
      <c r="O156" t="s">
        <v>603</v>
      </c>
      <c r="P156" t="s">
        <v>602</v>
      </c>
      <c r="Q156" s="17">
        <f>IFERROR(VLOOKUP(A156,已除帳印單!B:C,1,0),0)*1</f>
        <v>0</v>
      </c>
      <c r="R156" s="67" t="str">
        <f>IFERROR(VLOOKUP(J156,線別!A:B,2,1),"")</f>
        <v>FM_IA預組</v>
      </c>
      <c r="S156" s="17" t="str">
        <f>IFERROR(VLOOKUP(A156,已除帳印單!B:C,2,0),"")</f>
        <v/>
      </c>
      <c r="T156" s="68">
        <f t="shared" si="12"/>
        <v>43893</v>
      </c>
      <c r="U156" s="69">
        <f t="shared" si="13"/>
        <v>84.168784722222213</v>
      </c>
      <c r="V156" s="68" t="str">
        <f>IFERROR(VLOOKUP(A156,已除帳印單!B:D,3,0),"")</f>
        <v/>
      </c>
      <c r="W156" s="69" t="str">
        <f>IFERROR(VLOOKUP(A156,已除帳印單!B:E,4,0),"")</f>
        <v/>
      </c>
      <c r="X156" s="68" t="str">
        <f>IFERROR(INDEX(刷條碼區!A:C,MATCH(點上線資訊!S156,刷條碼區!C:C,0),1),"")</f>
        <v/>
      </c>
      <c r="Y156" s="69" t="str">
        <f>IFERROR(INDEX(刷條碼區!A:C,MATCH(點上線資訊!S156,刷條碼區!C:C,0),2),"")</f>
        <v/>
      </c>
      <c r="Z156" s="70" t="str">
        <f>IFERROR(INDEX(刷條碼區!D:G,MATCH(點上線資訊!S156,刷條碼區!F:F,0),1),"")</f>
        <v/>
      </c>
      <c r="AA156" s="71" t="str">
        <f>IFERROR(INDEX(刷條碼區!D:G,MATCH(點上線資訊!S156,刷條碼區!F:F,0),2),"")</f>
        <v/>
      </c>
      <c r="AB156" s="20" t="b">
        <f t="shared" si="14"/>
        <v>0</v>
      </c>
      <c r="AC156" s="20" t="b">
        <f t="shared" si="15"/>
        <v>0</v>
      </c>
      <c r="AD156" s="17" t="b">
        <f t="shared" si="16"/>
        <v>0</v>
      </c>
      <c r="AE156" s="17" t="b">
        <f t="shared" si="17"/>
        <v>0</v>
      </c>
    </row>
    <row r="157" spans="1:31" x14ac:dyDescent="0.2">
      <c r="A157" s="16">
        <v>5000490521</v>
      </c>
      <c r="B157" t="s">
        <v>0</v>
      </c>
      <c r="C157" t="s">
        <v>0</v>
      </c>
      <c r="D157" t="s">
        <v>1</v>
      </c>
      <c r="E157" t="s">
        <v>127</v>
      </c>
      <c r="F157" t="s">
        <v>128</v>
      </c>
      <c r="G157" s="2">
        <v>8</v>
      </c>
      <c r="H157" t="s">
        <v>461</v>
      </c>
      <c r="I157" t="s">
        <v>3</v>
      </c>
      <c r="J157" t="s">
        <v>4</v>
      </c>
      <c r="K157" t="s">
        <v>605</v>
      </c>
      <c r="L157" t="s">
        <v>608</v>
      </c>
      <c r="M157" t="s">
        <v>709</v>
      </c>
      <c r="N157" t="s">
        <v>602</v>
      </c>
      <c r="O157" t="s">
        <v>603</v>
      </c>
      <c r="P157" t="s">
        <v>602</v>
      </c>
      <c r="Q157" s="17">
        <f>IFERROR(VLOOKUP(A157,已除帳印單!B:C,1,0),0)*1</f>
        <v>0</v>
      </c>
      <c r="R157" s="67" t="str">
        <f>IFERROR(VLOOKUP(J157,線別!A:B,2,1),"")</f>
        <v>IA線</v>
      </c>
      <c r="S157" s="17" t="str">
        <f>IFERROR(VLOOKUP(A157,已除帳印單!B:C,2,0),"")</f>
        <v/>
      </c>
      <c r="T157" s="68">
        <f t="shared" si="12"/>
        <v>43892</v>
      </c>
      <c r="U157" s="69">
        <f t="shared" si="13"/>
        <v>84.168773148148148</v>
      </c>
      <c r="V157" s="68" t="str">
        <f>IFERROR(VLOOKUP(A157,已除帳印單!B:D,3,0),"")</f>
        <v/>
      </c>
      <c r="W157" s="69" t="str">
        <f>IFERROR(VLOOKUP(A157,已除帳印單!B:E,4,0),"")</f>
        <v/>
      </c>
      <c r="X157" s="68" t="str">
        <f>IFERROR(INDEX(刷條碼區!A:C,MATCH(點上線資訊!S157,刷條碼區!C:C,0),1),"")</f>
        <v/>
      </c>
      <c r="Y157" s="69" t="str">
        <f>IFERROR(INDEX(刷條碼區!A:C,MATCH(點上線資訊!S157,刷條碼區!C:C,0),2),"")</f>
        <v/>
      </c>
      <c r="Z157" s="70" t="str">
        <f>IFERROR(INDEX(刷條碼區!D:G,MATCH(點上線資訊!S157,刷條碼區!F:F,0),1),"")</f>
        <v/>
      </c>
      <c r="AA157" s="71" t="str">
        <f>IFERROR(INDEX(刷條碼區!D:G,MATCH(點上線資訊!S157,刷條碼區!F:F,0),2),"")</f>
        <v/>
      </c>
      <c r="AB157" s="20" t="b">
        <f t="shared" si="14"/>
        <v>0</v>
      </c>
      <c r="AC157" s="20" t="b">
        <f t="shared" si="15"/>
        <v>0</v>
      </c>
      <c r="AD157" s="17" t="b">
        <f t="shared" si="16"/>
        <v>0</v>
      </c>
      <c r="AE157" s="17" t="b">
        <f t="shared" si="17"/>
        <v>0</v>
      </c>
    </row>
    <row r="158" spans="1:31" x14ac:dyDescent="0.2">
      <c r="A158" s="16">
        <v>5000490540</v>
      </c>
      <c r="B158" t="s">
        <v>0</v>
      </c>
      <c r="C158" t="s">
        <v>0</v>
      </c>
      <c r="D158" t="s">
        <v>1</v>
      </c>
      <c r="E158" t="s">
        <v>710</v>
      </c>
      <c r="F158" t="s">
        <v>711</v>
      </c>
      <c r="G158" s="2">
        <v>4</v>
      </c>
      <c r="H158" t="s">
        <v>461</v>
      </c>
      <c r="I158" t="s">
        <v>3</v>
      </c>
      <c r="J158" t="s">
        <v>8</v>
      </c>
      <c r="K158" t="s">
        <v>605</v>
      </c>
      <c r="L158" t="s">
        <v>608</v>
      </c>
      <c r="M158" t="s">
        <v>249</v>
      </c>
      <c r="N158" t="s">
        <v>602</v>
      </c>
      <c r="O158" t="s">
        <v>603</v>
      </c>
      <c r="P158" t="s">
        <v>602</v>
      </c>
      <c r="Q158" s="17">
        <f>IFERROR(VLOOKUP(A158,已除帳印單!B:C,1,0),0)*1</f>
        <v>0</v>
      </c>
      <c r="R158" s="67" t="str">
        <f>IFERROR(VLOOKUP(J158,線別!A:B,2,1),"")</f>
        <v>裝一線</v>
      </c>
      <c r="S158" s="17" t="str">
        <f>IFERROR(VLOOKUP(A158,已除帳印單!B:C,2,0),"")</f>
        <v/>
      </c>
      <c r="T158" s="68">
        <f t="shared" si="12"/>
        <v>43892</v>
      </c>
      <c r="U158" s="69">
        <f t="shared" si="13"/>
        <v>84.168773148148148</v>
      </c>
      <c r="V158" s="68" t="str">
        <f>IFERROR(VLOOKUP(A158,已除帳印單!B:D,3,0),"")</f>
        <v/>
      </c>
      <c r="W158" s="69" t="str">
        <f>IFERROR(VLOOKUP(A158,已除帳印單!B:E,4,0),"")</f>
        <v/>
      </c>
      <c r="X158" s="68" t="str">
        <f>IFERROR(INDEX(刷條碼區!A:C,MATCH(點上線資訊!S158,刷條碼區!C:C,0),1),"")</f>
        <v/>
      </c>
      <c r="Y158" s="69" t="str">
        <f>IFERROR(INDEX(刷條碼區!A:C,MATCH(點上線資訊!S158,刷條碼區!C:C,0),2),"")</f>
        <v/>
      </c>
      <c r="Z158" s="70" t="str">
        <f>IFERROR(INDEX(刷條碼區!D:G,MATCH(點上線資訊!S158,刷條碼區!F:F,0),1),"")</f>
        <v/>
      </c>
      <c r="AA158" s="71" t="str">
        <f>IFERROR(INDEX(刷條碼區!D:G,MATCH(點上線資訊!S158,刷條碼區!F:F,0),2),"")</f>
        <v/>
      </c>
      <c r="AB158" s="20" t="b">
        <f t="shared" si="14"/>
        <v>0</v>
      </c>
      <c r="AC158" s="20" t="b">
        <f t="shared" si="15"/>
        <v>0</v>
      </c>
      <c r="AD158" s="17" t="b">
        <f t="shared" si="16"/>
        <v>0</v>
      </c>
      <c r="AE158" s="17" t="b">
        <f t="shared" si="17"/>
        <v>0</v>
      </c>
    </row>
    <row r="159" spans="1:31" x14ac:dyDescent="0.2">
      <c r="A159" s="16">
        <v>5000490576</v>
      </c>
      <c r="B159" t="s">
        <v>0</v>
      </c>
      <c r="C159" t="s">
        <v>0</v>
      </c>
      <c r="D159" t="s">
        <v>1</v>
      </c>
      <c r="E159" t="s">
        <v>712</v>
      </c>
      <c r="F159" t="s">
        <v>713</v>
      </c>
      <c r="G159" s="2">
        <v>2</v>
      </c>
      <c r="H159" t="s">
        <v>461</v>
      </c>
      <c r="I159" t="s">
        <v>3</v>
      </c>
      <c r="J159" t="s">
        <v>339</v>
      </c>
      <c r="K159" t="s">
        <v>605</v>
      </c>
      <c r="L159" t="s">
        <v>608</v>
      </c>
      <c r="M159" t="s">
        <v>714</v>
      </c>
      <c r="N159" t="s">
        <v>602</v>
      </c>
      <c r="O159" t="s">
        <v>603</v>
      </c>
      <c r="P159" t="s">
        <v>602</v>
      </c>
      <c r="Q159" s="17">
        <f>IFERROR(VLOOKUP(A159,已除帳印單!B:C,1,0),0)*1</f>
        <v>0</v>
      </c>
      <c r="R159" s="67" t="str">
        <f>IFERROR(VLOOKUP(J159,線別!A:B,2,1),"")</f>
        <v>A+線</v>
      </c>
      <c r="S159" s="17" t="str">
        <f>IFERROR(VLOOKUP(A159,已除帳印單!B:C,2,0),"")</f>
        <v/>
      </c>
      <c r="T159" s="68">
        <f t="shared" si="12"/>
        <v>43892</v>
      </c>
      <c r="U159" s="69">
        <f t="shared" si="13"/>
        <v>84.168773148148148</v>
      </c>
      <c r="V159" s="68" t="str">
        <f>IFERROR(VLOOKUP(A159,已除帳印單!B:D,3,0),"")</f>
        <v/>
      </c>
      <c r="W159" s="69" t="str">
        <f>IFERROR(VLOOKUP(A159,已除帳印單!B:E,4,0),"")</f>
        <v/>
      </c>
      <c r="X159" s="68" t="str">
        <f>IFERROR(INDEX(刷條碼區!A:C,MATCH(點上線資訊!S159,刷條碼區!C:C,0),1),"")</f>
        <v/>
      </c>
      <c r="Y159" s="69" t="str">
        <f>IFERROR(INDEX(刷條碼區!A:C,MATCH(點上線資訊!S159,刷條碼區!C:C,0),2),"")</f>
        <v/>
      </c>
      <c r="Z159" s="70" t="str">
        <f>IFERROR(INDEX(刷條碼區!D:G,MATCH(點上線資訊!S159,刷條碼區!F:F,0),1),"")</f>
        <v/>
      </c>
      <c r="AA159" s="71" t="str">
        <f>IFERROR(INDEX(刷條碼區!D:G,MATCH(點上線資訊!S159,刷條碼區!F:F,0),2),"")</f>
        <v/>
      </c>
      <c r="AB159" s="20" t="b">
        <f t="shared" si="14"/>
        <v>0</v>
      </c>
      <c r="AC159" s="20" t="b">
        <f t="shared" si="15"/>
        <v>0</v>
      </c>
      <c r="AD159" s="17" t="b">
        <f t="shared" si="16"/>
        <v>0</v>
      </c>
      <c r="AE159" s="17" t="b">
        <f t="shared" si="17"/>
        <v>0</v>
      </c>
    </row>
    <row r="160" spans="1:31" x14ac:dyDescent="0.2">
      <c r="A160" s="16">
        <v>5000490577</v>
      </c>
      <c r="B160" t="s">
        <v>0</v>
      </c>
      <c r="C160" t="s">
        <v>0</v>
      </c>
      <c r="D160" t="s">
        <v>1</v>
      </c>
      <c r="E160" t="s">
        <v>712</v>
      </c>
      <c r="F160" t="s">
        <v>713</v>
      </c>
      <c r="G160" s="2">
        <v>3</v>
      </c>
      <c r="H160" t="s">
        <v>461</v>
      </c>
      <c r="I160" t="s">
        <v>3</v>
      </c>
      <c r="J160" t="s">
        <v>339</v>
      </c>
      <c r="K160" t="s">
        <v>605</v>
      </c>
      <c r="L160" t="s">
        <v>608</v>
      </c>
      <c r="M160" t="s">
        <v>714</v>
      </c>
      <c r="N160" t="s">
        <v>602</v>
      </c>
      <c r="O160" t="s">
        <v>603</v>
      </c>
      <c r="P160" t="s">
        <v>602</v>
      </c>
      <c r="Q160" s="17">
        <f>IFERROR(VLOOKUP(A160,已除帳印單!B:C,1,0),0)*1</f>
        <v>0</v>
      </c>
      <c r="R160" s="67" t="str">
        <f>IFERROR(VLOOKUP(J160,線別!A:B,2,1),"")</f>
        <v>A+線</v>
      </c>
      <c r="S160" s="17" t="str">
        <f>IFERROR(VLOOKUP(A160,已除帳印單!B:C,2,0),"")</f>
        <v/>
      </c>
      <c r="T160" s="68">
        <f t="shared" si="12"/>
        <v>43892</v>
      </c>
      <c r="U160" s="69">
        <f t="shared" si="13"/>
        <v>84.168773148148148</v>
      </c>
      <c r="V160" s="68" t="str">
        <f>IFERROR(VLOOKUP(A160,已除帳印單!B:D,3,0),"")</f>
        <v/>
      </c>
      <c r="W160" s="69" t="str">
        <f>IFERROR(VLOOKUP(A160,已除帳印單!B:E,4,0),"")</f>
        <v/>
      </c>
      <c r="X160" s="68" t="str">
        <f>IFERROR(INDEX(刷條碼區!A:C,MATCH(點上線資訊!S160,刷條碼區!C:C,0),1),"")</f>
        <v/>
      </c>
      <c r="Y160" s="69" t="str">
        <f>IFERROR(INDEX(刷條碼區!A:C,MATCH(點上線資訊!S160,刷條碼區!C:C,0),2),"")</f>
        <v/>
      </c>
      <c r="Z160" s="70" t="str">
        <f>IFERROR(INDEX(刷條碼區!D:G,MATCH(點上線資訊!S160,刷條碼區!F:F,0),1),"")</f>
        <v/>
      </c>
      <c r="AA160" s="71" t="str">
        <f>IFERROR(INDEX(刷條碼區!D:G,MATCH(點上線資訊!S160,刷條碼區!F:F,0),2),"")</f>
        <v/>
      </c>
      <c r="AB160" s="20" t="b">
        <f t="shared" si="14"/>
        <v>0</v>
      </c>
      <c r="AC160" s="20" t="b">
        <f t="shared" si="15"/>
        <v>0</v>
      </c>
      <c r="AD160" s="17" t="b">
        <f t="shared" si="16"/>
        <v>0</v>
      </c>
      <c r="AE160" s="17" t="b">
        <f t="shared" si="17"/>
        <v>0</v>
      </c>
    </row>
    <row r="161" spans="1:31" x14ac:dyDescent="0.2">
      <c r="A161" s="16">
        <v>5000490646</v>
      </c>
      <c r="B161" t="s">
        <v>301</v>
      </c>
      <c r="C161" t="s">
        <v>301</v>
      </c>
      <c r="D161" t="s">
        <v>1</v>
      </c>
      <c r="E161" t="s">
        <v>715</v>
      </c>
      <c r="F161" t="s">
        <v>716</v>
      </c>
      <c r="G161" s="2">
        <v>5</v>
      </c>
      <c r="H161" t="s">
        <v>461</v>
      </c>
      <c r="I161" t="s">
        <v>3</v>
      </c>
      <c r="J161" t="s">
        <v>339</v>
      </c>
      <c r="K161" t="s">
        <v>605</v>
      </c>
      <c r="L161" t="s">
        <v>608</v>
      </c>
      <c r="M161" t="s">
        <v>408</v>
      </c>
      <c r="N161" t="s">
        <v>602</v>
      </c>
      <c r="O161" t="s">
        <v>603</v>
      </c>
      <c r="P161" t="s">
        <v>602</v>
      </c>
      <c r="Q161" s="17">
        <f>IFERROR(VLOOKUP(A161,已除帳印單!B:C,1,0),0)*1</f>
        <v>0</v>
      </c>
      <c r="R161" s="67" t="str">
        <f>IFERROR(VLOOKUP(J161,線別!A:B,2,1),"")</f>
        <v>A+線</v>
      </c>
      <c r="S161" s="17" t="str">
        <f>IFERROR(VLOOKUP(A161,已除帳印單!B:C,2,0),"")</f>
        <v/>
      </c>
      <c r="T161" s="68">
        <f t="shared" si="12"/>
        <v>43894</v>
      </c>
      <c r="U161" s="69">
        <f t="shared" si="13"/>
        <v>84.168796296296293</v>
      </c>
      <c r="V161" s="68" t="str">
        <f>IFERROR(VLOOKUP(A161,已除帳印單!B:D,3,0),"")</f>
        <v/>
      </c>
      <c r="W161" s="69" t="str">
        <f>IFERROR(VLOOKUP(A161,已除帳印單!B:E,4,0),"")</f>
        <v/>
      </c>
      <c r="X161" s="68" t="str">
        <f>IFERROR(INDEX(刷條碼區!A:C,MATCH(點上線資訊!S161,刷條碼區!C:C,0),1),"")</f>
        <v/>
      </c>
      <c r="Y161" s="69" t="str">
        <f>IFERROR(INDEX(刷條碼區!A:C,MATCH(點上線資訊!S161,刷條碼區!C:C,0),2),"")</f>
        <v/>
      </c>
      <c r="Z161" s="70" t="str">
        <f>IFERROR(INDEX(刷條碼區!D:G,MATCH(點上線資訊!S161,刷條碼區!F:F,0),1),"")</f>
        <v/>
      </c>
      <c r="AA161" s="71" t="str">
        <f>IFERROR(INDEX(刷條碼區!D:G,MATCH(點上線資訊!S161,刷條碼區!F:F,0),2),"")</f>
        <v/>
      </c>
      <c r="AB161" s="20" t="b">
        <f t="shared" si="14"/>
        <v>0</v>
      </c>
      <c r="AC161" s="20" t="b">
        <f t="shared" si="15"/>
        <v>0</v>
      </c>
      <c r="AD161" s="17" t="b">
        <f t="shared" si="16"/>
        <v>0</v>
      </c>
      <c r="AE161" s="17" t="b">
        <f t="shared" si="17"/>
        <v>0</v>
      </c>
    </row>
    <row r="162" spans="1:31" x14ac:dyDescent="0.2">
      <c r="A162" s="16">
        <v>5000490647</v>
      </c>
      <c r="B162" t="s">
        <v>0</v>
      </c>
      <c r="C162" t="s">
        <v>0</v>
      </c>
      <c r="D162" t="s">
        <v>1</v>
      </c>
      <c r="E162" t="s">
        <v>717</v>
      </c>
      <c r="F162" t="s">
        <v>718</v>
      </c>
      <c r="G162" s="2">
        <v>5</v>
      </c>
      <c r="H162" t="s">
        <v>461</v>
      </c>
      <c r="I162" t="s">
        <v>3</v>
      </c>
      <c r="J162" t="s">
        <v>339</v>
      </c>
      <c r="K162" t="s">
        <v>605</v>
      </c>
      <c r="L162" t="s">
        <v>608</v>
      </c>
      <c r="M162" t="s">
        <v>719</v>
      </c>
      <c r="N162" t="s">
        <v>602</v>
      </c>
      <c r="O162" t="s">
        <v>603</v>
      </c>
      <c r="P162" t="s">
        <v>602</v>
      </c>
      <c r="Q162" s="17">
        <f>IFERROR(VLOOKUP(A162,已除帳印單!B:C,1,0),0)*1</f>
        <v>0</v>
      </c>
      <c r="R162" s="67" t="str">
        <f>IFERROR(VLOOKUP(J162,線別!A:B,2,1),"")</f>
        <v>A+線</v>
      </c>
      <c r="S162" s="17" t="str">
        <f>IFERROR(VLOOKUP(A162,已除帳印單!B:C,2,0),"")</f>
        <v/>
      </c>
      <c r="T162" s="68">
        <f t="shared" si="12"/>
        <v>43892</v>
      </c>
      <c r="U162" s="69">
        <f t="shared" si="13"/>
        <v>84.168773148148148</v>
      </c>
      <c r="V162" s="68" t="str">
        <f>IFERROR(VLOOKUP(A162,已除帳印單!B:D,3,0),"")</f>
        <v/>
      </c>
      <c r="W162" s="69" t="str">
        <f>IFERROR(VLOOKUP(A162,已除帳印單!B:E,4,0),"")</f>
        <v/>
      </c>
      <c r="X162" s="68" t="str">
        <f>IFERROR(INDEX(刷條碼區!A:C,MATCH(點上線資訊!S162,刷條碼區!C:C,0),1),"")</f>
        <v/>
      </c>
      <c r="Y162" s="69" t="str">
        <f>IFERROR(INDEX(刷條碼區!A:C,MATCH(點上線資訊!S162,刷條碼區!C:C,0),2),"")</f>
        <v/>
      </c>
      <c r="Z162" s="70" t="str">
        <f>IFERROR(INDEX(刷條碼區!D:G,MATCH(點上線資訊!S162,刷條碼區!F:F,0),1),"")</f>
        <v/>
      </c>
      <c r="AA162" s="71" t="str">
        <f>IFERROR(INDEX(刷條碼區!D:G,MATCH(點上線資訊!S162,刷條碼區!F:F,0),2),"")</f>
        <v/>
      </c>
      <c r="AB162" s="20" t="b">
        <f t="shared" si="14"/>
        <v>0</v>
      </c>
      <c r="AC162" s="20" t="b">
        <f t="shared" si="15"/>
        <v>0</v>
      </c>
      <c r="AD162" s="17" t="b">
        <f t="shared" si="16"/>
        <v>0</v>
      </c>
      <c r="AE162" s="17" t="b">
        <f t="shared" si="17"/>
        <v>0</v>
      </c>
    </row>
    <row r="163" spans="1:31" x14ac:dyDescent="0.2">
      <c r="A163" s="16">
        <v>5000490651</v>
      </c>
      <c r="B163" t="s">
        <v>0</v>
      </c>
      <c r="C163" t="s">
        <v>0</v>
      </c>
      <c r="D163" t="s">
        <v>1</v>
      </c>
      <c r="E163" t="s">
        <v>720</v>
      </c>
      <c r="F163" t="s">
        <v>721</v>
      </c>
      <c r="G163" s="2">
        <v>5</v>
      </c>
      <c r="H163" t="s">
        <v>461</v>
      </c>
      <c r="I163" t="s">
        <v>3</v>
      </c>
      <c r="J163" t="s">
        <v>339</v>
      </c>
      <c r="K163" t="s">
        <v>605</v>
      </c>
      <c r="L163" t="s">
        <v>608</v>
      </c>
      <c r="M163" t="s">
        <v>719</v>
      </c>
      <c r="N163" t="s">
        <v>602</v>
      </c>
      <c r="O163" t="s">
        <v>603</v>
      </c>
      <c r="P163" t="s">
        <v>602</v>
      </c>
      <c r="Q163" s="17">
        <f>IFERROR(VLOOKUP(A163,已除帳印單!B:C,1,0),0)*1</f>
        <v>0</v>
      </c>
      <c r="R163" s="67" t="str">
        <f>IFERROR(VLOOKUP(J163,線別!A:B,2,1),"")</f>
        <v>A+線</v>
      </c>
      <c r="S163" s="17" t="str">
        <f>IFERROR(VLOOKUP(A163,已除帳印單!B:C,2,0),"")</f>
        <v/>
      </c>
      <c r="T163" s="68">
        <f t="shared" si="12"/>
        <v>43892</v>
      </c>
      <c r="U163" s="69">
        <f t="shared" si="13"/>
        <v>84.168773148148148</v>
      </c>
      <c r="V163" s="68" t="str">
        <f>IFERROR(VLOOKUP(A163,已除帳印單!B:D,3,0),"")</f>
        <v/>
      </c>
      <c r="W163" s="69" t="str">
        <f>IFERROR(VLOOKUP(A163,已除帳印單!B:E,4,0),"")</f>
        <v/>
      </c>
      <c r="X163" s="68" t="str">
        <f>IFERROR(INDEX(刷條碼區!A:C,MATCH(點上線資訊!S163,刷條碼區!C:C,0),1),"")</f>
        <v/>
      </c>
      <c r="Y163" s="69" t="str">
        <f>IFERROR(INDEX(刷條碼區!A:C,MATCH(點上線資訊!S163,刷條碼區!C:C,0),2),"")</f>
        <v/>
      </c>
      <c r="Z163" s="70" t="str">
        <f>IFERROR(INDEX(刷條碼區!D:G,MATCH(點上線資訊!S163,刷條碼區!F:F,0),1),"")</f>
        <v/>
      </c>
      <c r="AA163" s="71" t="str">
        <f>IFERROR(INDEX(刷條碼區!D:G,MATCH(點上線資訊!S163,刷條碼區!F:F,0),2),"")</f>
        <v/>
      </c>
      <c r="AB163" s="20" t="b">
        <f t="shared" si="14"/>
        <v>0</v>
      </c>
      <c r="AC163" s="20" t="b">
        <f t="shared" si="15"/>
        <v>0</v>
      </c>
      <c r="AD163" s="17" t="b">
        <f t="shared" si="16"/>
        <v>0</v>
      </c>
      <c r="AE163" s="17" t="b">
        <f t="shared" si="17"/>
        <v>0</v>
      </c>
    </row>
    <row r="164" spans="1:31" x14ac:dyDescent="0.2">
      <c r="A164" s="16">
        <v>5000490652</v>
      </c>
      <c r="B164" t="s">
        <v>0</v>
      </c>
      <c r="C164" t="s">
        <v>0</v>
      </c>
      <c r="D164" t="s">
        <v>1</v>
      </c>
      <c r="E164" t="s">
        <v>722</v>
      </c>
      <c r="F164" t="s">
        <v>723</v>
      </c>
      <c r="G164" s="2">
        <v>5</v>
      </c>
      <c r="H164" t="s">
        <v>461</v>
      </c>
      <c r="I164" t="s">
        <v>3</v>
      </c>
      <c r="J164" t="s">
        <v>339</v>
      </c>
      <c r="K164" t="s">
        <v>605</v>
      </c>
      <c r="L164" t="s">
        <v>608</v>
      </c>
      <c r="M164" t="s">
        <v>724</v>
      </c>
      <c r="N164" t="s">
        <v>602</v>
      </c>
      <c r="O164" t="s">
        <v>603</v>
      </c>
      <c r="P164" t="s">
        <v>602</v>
      </c>
      <c r="Q164" s="17">
        <f>IFERROR(VLOOKUP(A164,已除帳印單!B:C,1,0),0)*1</f>
        <v>0</v>
      </c>
      <c r="R164" s="67" t="str">
        <f>IFERROR(VLOOKUP(J164,線別!A:B,2,1),"")</f>
        <v>A+線</v>
      </c>
      <c r="S164" s="17" t="str">
        <f>IFERROR(VLOOKUP(A164,已除帳印單!B:C,2,0),"")</f>
        <v/>
      </c>
      <c r="T164" s="68">
        <f t="shared" si="12"/>
        <v>43892</v>
      </c>
      <c r="U164" s="69">
        <f t="shared" si="13"/>
        <v>84.168773148148148</v>
      </c>
      <c r="V164" s="68" t="str">
        <f>IFERROR(VLOOKUP(A164,已除帳印單!B:D,3,0),"")</f>
        <v/>
      </c>
      <c r="W164" s="69" t="str">
        <f>IFERROR(VLOOKUP(A164,已除帳印單!B:E,4,0),"")</f>
        <v/>
      </c>
      <c r="X164" s="68" t="str">
        <f>IFERROR(INDEX(刷條碼區!A:C,MATCH(點上線資訊!S164,刷條碼區!C:C,0),1),"")</f>
        <v/>
      </c>
      <c r="Y164" s="69" t="str">
        <f>IFERROR(INDEX(刷條碼區!A:C,MATCH(點上線資訊!S164,刷條碼區!C:C,0),2),"")</f>
        <v/>
      </c>
      <c r="Z164" s="70" t="str">
        <f>IFERROR(INDEX(刷條碼區!D:G,MATCH(點上線資訊!S164,刷條碼區!F:F,0),1),"")</f>
        <v/>
      </c>
      <c r="AA164" s="71" t="str">
        <f>IFERROR(INDEX(刷條碼區!D:G,MATCH(點上線資訊!S164,刷條碼區!F:F,0),2),"")</f>
        <v/>
      </c>
      <c r="AB164" s="20" t="b">
        <f t="shared" si="14"/>
        <v>0</v>
      </c>
      <c r="AC164" s="20" t="b">
        <f t="shared" si="15"/>
        <v>0</v>
      </c>
      <c r="AD164" s="17" t="b">
        <f t="shared" si="16"/>
        <v>0</v>
      </c>
      <c r="AE164" s="17" t="b">
        <f t="shared" si="17"/>
        <v>0</v>
      </c>
    </row>
    <row r="165" spans="1:31" x14ac:dyDescent="0.2">
      <c r="A165" s="16">
        <v>5000490665</v>
      </c>
      <c r="B165" t="s">
        <v>0</v>
      </c>
      <c r="C165" t="s">
        <v>0</v>
      </c>
      <c r="D165" t="s">
        <v>1</v>
      </c>
      <c r="E165" t="s">
        <v>725</v>
      </c>
      <c r="F165" t="s">
        <v>726</v>
      </c>
      <c r="G165" s="2">
        <v>20</v>
      </c>
      <c r="H165" t="s">
        <v>461</v>
      </c>
      <c r="I165" t="s">
        <v>3</v>
      </c>
      <c r="J165" t="s">
        <v>19</v>
      </c>
      <c r="K165" t="s">
        <v>605</v>
      </c>
      <c r="L165" t="s">
        <v>608</v>
      </c>
      <c r="M165" t="s">
        <v>672</v>
      </c>
      <c r="N165" t="s">
        <v>602</v>
      </c>
      <c r="O165" t="s">
        <v>603</v>
      </c>
      <c r="P165" t="s">
        <v>602</v>
      </c>
      <c r="Q165" s="17">
        <f>IFERROR(VLOOKUP(A165,已除帳印單!B:C,1,0),0)*1</f>
        <v>0</v>
      </c>
      <c r="R165" s="67" t="str">
        <f>IFERROR(VLOOKUP(J165,線別!A:B,2,1),"")</f>
        <v>FM_IA預組</v>
      </c>
      <c r="S165" s="17" t="str">
        <f>IFERROR(VLOOKUP(A165,已除帳印單!B:C,2,0),"")</f>
        <v/>
      </c>
      <c r="T165" s="68">
        <f t="shared" si="12"/>
        <v>43892</v>
      </c>
      <c r="U165" s="69">
        <f t="shared" si="13"/>
        <v>84.168773148148148</v>
      </c>
      <c r="V165" s="68" t="str">
        <f>IFERROR(VLOOKUP(A165,已除帳印單!B:D,3,0),"")</f>
        <v/>
      </c>
      <c r="W165" s="69" t="str">
        <f>IFERROR(VLOOKUP(A165,已除帳印單!B:E,4,0),"")</f>
        <v/>
      </c>
      <c r="X165" s="68" t="str">
        <f>IFERROR(INDEX(刷條碼區!A:C,MATCH(點上線資訊!S165,刷條碼區!C:C,0),1),"")</f>
        <v/>
      </c>
      <c r="Y165" s="69" t="str">
        <f>IFERROR(INDEX(刷條碼區!A:C,MATCH(點上線資訊!S165,刷條碼區!C:C,0),2),"")</f>
        <v/>
      </c>
      <c r="Z165" s="70" t="str">
        <f>IFERROR(INDEX(刷條碼區!D:G,MATCH(點上線資訊!S165,刷條碼區!F:F,0),1),"")</f>
        <v/>
      </c>
      <c r="AA165" s="71" t="str">
        <f>IFERROR(INDEX(刷條碼區!D:G,MATCH(點上線資訊!S165,刷條碼區!F:F,0),2),"")</f>
        <v/>
      </c>
      <c r="AB165" s="20" t="b">
        <f t="shared" si="14"/>
        <v>0</v>
      </c>
      <c r="AC165" s="20" t="b">
        <f t="shared" si="15"/>
        <v>0</v>
      </c>
      <c r="AD165" s="17" t="b">
        <f t="shared" si="16"/>
        <v>0</v>
      </c>
      <c r="AE165" s="17" t="b">
        <f t="shared" si="17"/>
        <v>0</v>
      </c>
    </row>
    <row r="166" spans="1:31" x14ac:dyDescent="0.2">
      <c r="A166" s="16">
        <v>5000490824</v>
      </c>
      <c r="B166" t="s">
        <v>0</v>
      </c>
      <c r="C166" t="s">
        <v>0</v>
      </c>
      <c r="D166" t="s">
        <v>1</v>
      </c>
      <c r="E166" t="s">
        <v>727</v>
      </c>
      <c r="F166" t="s">
        <v>728</v>
      </c>
      <c r="G166" s="2">
        <v>1</v>
      </c>
      <c r="H166" t="s">
        <v>461</v>
      </c>
      <c r="I166" t="s">
        <v>3</v>
      </c>
      <c r="J166" t="s">
        <v>339</v>
      </c>
      <c r="K166" t="s">
        <v>605</v>
      </c>
      <c r="L166" t="s">
        <v>608</v>
      </c>
      <c r="M166" t="s">
        <v>724</v>
      </c>
      <c r="N166" t="s">
        <v>602</v>
      </c>
      <c r="O166" t="s">
        <v>603</v>
      </c>
      <c r="P166" t="s">
        <v>602</v>
      </c>
      <c r="Q166" s="17">
        <f>IFERROR(VLOOKUP(A166,已除帳印單!B:C,1,0),0)*1</f>
        <v>0</v>
      </c>
      <c r="R166" s="67" t="str">
        <f>IFERROR(VLOOKUP(J166,線別!A:B,2,1),"")</f>
        <v>A+線</v>
      </c>
      <c r="S166" s="17" t="str">
        <f>IFERROR(VLOOKUP(A166,已除帳印單!B:C,2,0),"")</f>
        <v/>
      </c>
      <c r="T166" s="68">
        <f t="shared" si="12"/>
        <v>43892</v>
      </c>
      <c r="U166" s="69">
        <f t="shared" si="13"/>
        <v>84.168773148148148</v>
      </c>
      <c r="V166" s="68" t="str">
        <f>IFERROR(VLOOKUP(A166,已除帳印單!B:D,3,0),"")</f>
        <v/>
      </c>
      <c r="W166" s="69" t="str">
        <f>IFERROR(VLOOKUP(A166,已除帳印單!B:E,4,0),"")</f>
        <v/>
      </c>
      <c r="X166" s="68" t="str">
        <f>IFERROR(INDEX(刷條碼區!A:C,MATCH(點上線資訊!S166,刷條碼區!C:C,0),1),"")</f>
        <v/>
      </c>
      <c r="Y166" s="69" t="str">
        <f>IFERROR(INDEX(刷條碼區!A:C,MATCH(點上線資訊!S166,刷條碼區!C:C,0),2),"")</f>
        <v/>
      </c>
      <c r="Z166" s="70" t="str">
        <f>IFERROR(INDEX(刷條碼區!D:G,MATCH(點上線資訊!S166,刷條碼區!F:F,0),1),"")</f>
        <v/>
      </c>
      <c r="AA166" s="71" t="str">
        <f>IFERROR(INDEX(刷條碼區!D:G,MATCH(點上線資訊!S166,刷條碼區!F:F,0),2),"")</f>
        <v/>
      </c>
      <c r="AB166" s="20" t="b">
        <f t="shared" si="14"/>
        <v>0</v>
      </c>
      <c r="AC166" s="20" t="b">
        <f t="shared" si="15"/>
        <v>0</v>
      </c>
      <c r="AD166" s="17" t="b">
        <f t="shared" si="16"/>
        <v>0</v>
      </c>
      <c r="AE166" s="17" t="b">
        <f t="shared" si="17"/>
        <v>0</v>
      </c>
    </row>
    <row r="167" spans="1:31" x14ac:dyDescent="0.2">
      <c r="A167" s="16">
        <v>5000490960</v>
      </c>
      <c r="B167" t="s">
        <v>6</v>
      </c>
      <c r="C167" t="s">
        <v>6</v>
      </c>
      <c r="D167" t="s">
        <v>1</v>
      </c>
      <c r="E167" t="s">
        <v>290</v>
      </c>
      <c r="F167" t="s">
        <v>291</v>
      </c>
      <c r="G167" s="2">
        <v>5</v>
      </c>
      <c r="H167" t="s">
        <v>461</v>
      </c>
      <c r="I167" t="s">
        <v>3</v>
      </c>
      <c r="J167" t="s">
        <v>8</v>
      </c>
      <c r="K167" t="s">
        <v>605</v>
      </c>
      <c r="L167" t="s">
        <v>608</v>
      </c>
      <c r="M167" t="s">
        <v>729</v>
      </c>
      <c r="N167" t="s">
        <v>602</v>
      </c>
      <c r="O167" t="s">
        <v>603</v>
      </c>
      <c r="P167" t="s">
        <v>602</v>
      </c>
      <c r="Q167" s="17">
        <f>IFERROR(VLOOKUP(A167,已除帳印單!B:C,1,0),0)*1</f>
        <v>0</v>
      </c>
      <c r="R167" s="67" t="str">
        <f>IFERROR(VLOOKUP(J167,線別!A:B,2,1),"")</f>
        <v>裝一線</v>
      </c>
      <c r="S167" s="17" t="str">
        <f>IFERROR(VLOOKUP(A167,已除帳印單!B:C,2,0),"")</f>
        <v/>
      </c>
      <c r="T167" s="68">
        <f t="shared" si="12"/>
        <v>43893</v>
      </c>
      <c r="U167" s="69">
        <f t="shared" si="13"/>
        <v>84.168784722222213</v>
      </c>
      <c r="V167" s="68" t="str">
        <f>IFERROR(VLOOKUP(A167,已除帳印單!B:D,3,0),"")</f>
        <v/>
      </c>
      <c r="W167" s="69" t="str">
        <f>IFERROR(VLOOKUP(A167,已除帳印單!B:E,4,0),"")</f>
        <v/>
      </c>
      <c r="X167" s="68" t="str">
        <f>IFERROR(INDEX(刷條碼區!A:C,MATCH(點上線資訊!S167,刷條碼區!C:C,0),1),"")</f>
        <v/>
      </c>
      <c r="Y167" s="69" t="str">
        <f>IFERROR(INDEX(刷條碼區!A:C,MATCH(點上線資訊!S167,刷條碼區!C:C,0),2),"")</f>
        <v/>
      </c>
      <c r="Z167" s="70" t="str">
        <f>IFERROR(INDEX(刷條碼區!D:G,MATCH(點上線資訊!S167,刷條碼區!F:F,0),1),"")</f>
        <v/>
      </c>
      <c r="AA167" s="71" t="str">
        <f>IFERROR(INDEX(刷條碼區!D:G,MATCH(點上線資訊!S167,刷條碼區!F:F,0),2),"")</f>
        <v/>
      </c>
      <c r="AB167" s="20" t="b">
        <f t="shared" si="14"/>
        <v>0</v>
      </c>
      <c r="AC167" s="20" t="b">
        <f t="shared" si="15"/>
        <v>0</v>
      </c>
      <c r="AD167" s="17" t="b">
        <f t="shared" si="16"/>
        <v>0</v>
      </c>
      <c r="AE167" s="17" t="b">
        <f t="shared" si="17"/>
        <v>0</v>
      </c>
    </row>
    <row r="168" spans="1:31" x14ac:dyDescent="0.2">
      <c r="A168" s="16">
        <v>5000490983</v>
      </c>
      <c r="B168" t="s">
        <v>0</v>
      </c>
      <c r="C168" t="s">
        <v>0</v>
      </c>
      <c r="D168" t="s">
        <v>1</v>
      </c>
      <c r="E168" t="s">
        <v>9</v>
      </c>
      <c r="F168" t="s">
        <v>10</v>
      </c>
      <c r="G168" s="2">
        <v>1</v>
      </c>
      <c r="H168" t="s">
        <v>461</v>
      </c>
      <c r="I168" t="s">
        <v>3</v>
      </c>
      <c r="J168" t="s">
        <v>4</v>
      </c>
      <c r="K168" t="s">
        <v>605</v>
      </c>
      <c r="L168" t="s">
        <v>608</v>
      </c>
      <c r="M168" t="s">
        <v>730</v>
      </c>
      <c r="N168" t="s">
        <v>602</v>
      </c>
      <c r="O168" t="s">
        <v>603</v>
      </c>
      <c r="P168" t="s">
        <v>602</v>
      </c>
      <c r="Q168" s="17">
        <f>IFERROR(VLOOKUP(A168,已除帳印單!B:C,1,0),0)*1</f>
        <v>0</v>
      </c>
      <c r="R168" s="67" t="str">
        <f>IFERROR(VLOOKUP(J168,線別!A:B,2,1),"")</f>
        <v>IA線</v>
      </c>
      <c r="S168" s="17" t="str">
        <f>IFERROR(VLOOKUP(A168,已除帳印單!B:C,2,0),"")</f>
        <v/>
      </c>
      <c r="T168" s="68">
        <f t="shared" si="12"/>
        <v>43892</v>
      </c>
      <c r="U168" s="69">
        <f t="shared" si="13"/>
        <v>84.168773148148148</v>
      </c>
      <c r="V168" s="68" t="str">
        <f>IFERROR(VLOOKUP(A168,已除帳印單!B:D,3,0),"")</f>
        <v/>
      </c>
      <c r="W168" s="69" t="str">
        <f>IFERROR(VLOOKUP(A168,已除帳印單!B:E,4,0),"")</f>
        <v/>
      </c>
      <c r="X168" s="68" t="str">
        <f>IFERROR(INDEX(刷條碼區!A:C,MATCH(點上線資訊!S168,刷條碼區!C:C,0),1),"")</f>
        <v/>
      </c>
      <c r="Y168" s="69" t="str">
        <f>IFERROR(INDEX(刷條碼區!A:C,MATCH(點上線資訊!S168,刷條碼區!C:C,0),2),"")</f>
        <v/>
      </c>
      <c r="Z168" s="70" t="str">
        <f>IFERROR(INDEX(刷條碼區!D:G,MATCH(點上線資訊!S168,刷條碼區!F:F,0),1),"")</f>
        <v/>
      </c>
      <c r="AA168" s="71" t="str">
        <f>IFERROR(INDEX(刷條碼區!D:G,MATCH(點上線資訊!S168,刷條碼區!F:F,0),2),"")</f>
        <v/>
      </c>
      <c r="AB168" s="20" t="b">
        <f t="shared" si="14"/>
        <v>0</v>
      </c>
      <c r="AC168" s="20" t="b">
        <f t="shared" si="15"/>
        <v>0</v>
      </c>
      <c r="AD168" s="17" t="b">
        <f t="shared" si="16"/>
        <v>0</v>
      </c>
      <c r="AE168" s="17" t="b">
        <f t="shared" si="17"/>
        <v>0</v>
      </c>
    </row>
    <row r="169" spans="1:31" x14ac:dyDescent="0.2">
      <c r="A169" s="16">
        <v>5000490996</v>
      </c>
      <c r="B169" t="s">
        <v>0</v>
      </c>
      <c r="C169" t="s">
        <v>0</v>
      </c>
      <c r="D169" t="s">
        <v>1</v>
      </c>
      <c r="E169" t="s">
        <v>17</v>
      </c>
      <c r="F169" t="s">
        <v>731</v>
      </c>
      <c r="G169" s="2">
        <v>8</v>
      </c>
      <c r="H169" t="s">
        <v>461</v>
      </c>
      <c r="I169" t="s">
        <v>3</v>
      </c>
      <c r="J169" t="s">
        <v>4</v>
      </c>
      <c r="K169" t="s">
        <v>605</v>
      </c>
      <c r="L169" t="s">
        <v>608</v>
      </c>
      <c r="M169" t="s">
        <v>732</v>
      </c>
      <c r="N169" t="s">
        <v>602</v>
      </c>
      <c r="O169" t="s">
        <v>603</v>
      </c>
      <c r="P169" t="s">
        <v>602</v>
      </c>
      <c r="Q169" s="17">
        <f>IFERROR(VLOOKUP(A169,已除帳印單!B:C,1,0),0)*1</f>
        <v>0</v>
      </c>
      <c r="R169" s="67" t="str">
        <f>IFERROR(VLOOKUP(J169,線別!A:B,2,1),"")</f>
        <v>IA線</v>
      </c>
      <c r="S169" s="17" t="str">
        <f>IFERROR(VLOOKUP(A169,已除帳印單!B:C,2,0),"")</f>
        <v/>
      </c>
      <c r="T169" s="68">
        <f t="shared" si="12"/>
        <v>43892</v>
      </c>
      <c r="U169" s="69">
        <f t="shared" si="13"/>
        <v>84.168773148148148</v>
      </c>
      <c r="V169" s="68" t="str">
        <f>IFERROR(VLOOKUP(A169,已除帳印單!B:D,3,0),"")</f>
        <v/>
      </c>
      <c r="W169" s="69" t="str">
        <f>IFERROR(VLOOKUP(A169,已除帳印單!B:E,4,0),"")</f>
        <v/>
      </c>
      <c r="X169" s="68" t="str">
        <f>IFERROR(INDEX(刷條碼區!A:C,MATCH(點上線資訊!S169,刷條碼區!C:C,0),1),"")</f>
        <v/>
      </c>
      <c r="Y169" s="69" t="str">
        <f>IFERROR(INDEX(刷條碼區!A:C,MATCH(點上線資訊!S169,刷條碼區!C:C,0),2),"")</f>
        <v/>
      </c>
      <c r="Z169" s="70" t="str">
        <f>IFERROR(INDEX(刷條碼區!D:G,MATCH(點上線資訊!S169,刷條碼區!F:F,0),1),"")</f>
        <v/>
      </c>
      <c r="AA169" s="71" t="str">
        <f>IFERROR(INDEX(刷條碼區!D:G,MATCH(點上線資訊!S169,刷條碼區!F:F,0),2),"")</f>
        <v/>
      </c>
      <c r="AB169" s="20" t="b">
        <f t="shared" si="14"/>
        <v>0</v>
      </c>
      <c r="AC169" s="20" t="b">
        <f t="shared" si="15"/>
        <v>0</v>
      </c>
      <c r="AD169" s="17" t="b">
        <f t="shared" si="16"/>
        <v>0</v>
      </c>
      <c r="AE169" s="17" t="b">
        <f t="shared" si="17"/>
        <v>0</v>
      </c>
    </row>
    <row r="170" spans="1:31" x14ac:dyDescent="0.2">
      <c r="A170" s="16">
        <v>5000491015</v>
      </c>
      <c r="B170" t="s">
        <v>0</v>
      </c>
      <c r="C170" t="s">
        <v>0</v>
      </c>
      <c r="D170" t="s">
        <v>1</v>
      </c>
      <c r="E170" t="s">
        <v>106</v>
      </c>
      <c r="F170" t="s">
        <v>513</v>
      </c>
      <c r="G170" s="2">
        <v>20</v>
      </c>
      <c r="H170" t="s">
        <v>461</v>
      </c>
      <c r="I170" t="s">
        <v>3</v>
      </c>
      <c r="J170" t="s">
        <v>53</v>
      </c>
      <c r="K170" t="s">
        <v>605</v>
      </c>
      <c r="L170" t="s">
        <v>608</v>
      </c>
      <c r="M170" t="s">
        <v>248</v>
      </c>
      <c r="N170" t="s">
        <v>602</v>
      </c>
      <c r="O170" t="s">
        <v>603</v>
      </c>
      <c r="P170" t="s">
        <v>602</v>
      </c>
      <c r="Q170" s="17">
        <f>IFERROR(VLOOKUP(A170,已除帳印單!B:C,1,0),0)*1</f>
        <v>0</v>
      </c>
      <c r="R170" s="67" t="str">
        <f>IFERROR(VLOOKUP(J170,線別!A:B,2,1),"")</f>
        <v>裝二線</v>
      </c>
      <c r="S170" s="17" t="str">
        <f>IFERROR(VLOOKUP(A170,已除帳印單!B:C,2,0),"")</f>
        <v/>
      </c>
      <c r="T170" s="68">
        <f t="shared" si="12"/>
        <v>43892</v>
      </c>
      <c r="U170" s="69">
        <f t="shared" si="13"/>
        <v>84.168773148148148</v>
      </c>
      <c r="V170" s="68" t="str">
        <f>IFERROR(VLOOKUP(A170,已除帳印單!B:D,3,0),"")</f>
        <v/>
      </c>
      <c r="W170" s="69" t="str">
        <f>IFERROR(VLOOKUP(A170,已除帳印單!B:E,4,0),"")</f>
        <v/>
      </c>
      <c r="X170" s="68" t="str">
        <f>IFERROR(INDEX(刷條碼區!A:C,MATCH(點上線資訊!S170,刷條碼區!C:C,0),1),"")</f>
        <v/>
      </c>
      <c r="Y170" s="69" t="str">
        <f>IFERROR(INDEX(刷條碼區!A:C,MATCH(點上線資訊!S170,刷條碼區!C:C,0),2),"")</f>
        <v/>
      </c>
      <c r="Z170" s="70" t="str">
        <f>IFERROR(INDEX(刷條碼區!D:G,MATCH(點上線資訊!S170,刷條碼區!F:F,0),1),"")</f>
        <v/>
      </c>
      <c r="AA170" s="71" t="str">
        <f>IFERROR(INDEX(刷條碼區!D:G,MATCH(點上線資訊!S170,刷條碼區!F:F,0),2),"")</f>
        <v/>
      </c>
      <c r="AB170" s="20" t="b">
        <f t="shared" si="14"/>
        <v>0</v>
      </c>
      <c r="AC170" s="20" t="b">
        <f t="shared" si="15"/>
        <v>0</v>
      </c>
      <c r="AD170" s="17" t="b">
        <f t="shared" si="16"/>
        <v>0</v>
      </c>
      <c r="AE170" s="17" t="b">
        <f t="shared" si="17"/>
        <v>0</v>
      </c>
    </row>
    <row r="171" spans="1:31" x14ac:dyDescent="0.2">
      <c r="A171" s="16">
        <v>5000491040</v>
      </c>
      <c r="B171" t="s">
        <v>0</v>
      </c>
      <c r="C171" t="s">
        <v>0</v>
      </c>
      <c r="D171" t="s">
        <v>1</v>
      </c>
      <c r="E171" t="s">
        <v>733</v>
      </c>
      <c r="F171" t="s">
        <v>734</v>
      </c>
      <c r="G171" s="2">
        <v>3</v>
      </c>
      <c r="H171" t="s">
        <v>461</v>
      </c>
      <c r="I171" t="s">
        <v>3</v>
      </c>
      <c r="J171" t="s">
        <v>4</v>
      </c>
      <c r="K171" t="s">
        <v>605</v>
      </c>
      <c r="L171" t="s">
        <v>608</v>
      </c>
      <c r="M171" t="s">
        <v>735</v>
      </c>
      <c r="N171" t="s">
        <v>602</v>
      </c>
      <c r="O171" t="s">
        <v>603</v>
      </c>
      <c r="P171" t="s">
        <v>602</v>
      </c>
      <c r="Q171" s="17">
        <f>IFERROR(VLOOKUP(A171,已除帳印單!B:C,1,0),0)*1</f>
        <v>0</v>
      </c>
      <c r="R171" s="67" t="str">
        <f>IFERROR(VLOOKUP(J171,線別!A:B,2,1),"")</f>
        <v>IA線</v>
      </c>
      <c r="S171" s="17" t="str">
        <f>IFERROR(VLOOKUP(A171,已除帳印單!B:C,2,0),"")</f>
        <v/>
      </c>
      <c r="T171" s="68">
        <f t="shared" si="12"/>
        <v>43892</v>
      </c>
      <c r="U171" s="69">
        <f t="shared" si="13"/>
        <v>84.168773148148148</v>
      </c>
      <c r="V171" s="68" t="str">
        <f>IFERROR(VLOOKUP(A171,已除帳印單!B:D,3,0),"")</f>
        <v/>
      </c>
      <c r="W171" s="69" t="str">
        <f>IFERROR(VLOOKUP(A171,已除帳印單!B:E,4,0),"")</f>
        <v/>
      </c>
      <c r="X171" s="68" t="str">
        <f>IFERROR(INDEX(刷條碼區!A:C,MATCH(點上線資訊!S171,刷條碼區!C:C,0),1),"")</f>
        <v/>
      </c>
      <c r="Y171" s="69" t="str">
        <f>IFERROR(INDEX(刷條碼區!A:C,MATCH(點上線資訊!S171,刷條碼區!C:C,0),2),"")</f>
        <v/>
      </c>
      <c r="Z171" s="70" t="str">
        <f>IFERROR(INDEX(刷條碼區!D:G,MATCH(點上線資訊!S171,刷條碼區!F:F,0),1),"")</f>
        <v/>
      </c>
      <c r="AA171" s="71" t="str">
        <f>IFERROR(INDEX(刷條碼區!D:G,MATCH(點上線資訊!S171,刷條碼區!F:F,0),2),"")</f>
        <v/>
      </c>
      <c r="AB171" s="20" t="b">
        <f t="shared" si="14"/>
        <v>0</v>
      </c>
      <c r="AC171" s="20" t="b">
        <f t="shared" si="15"/>
        <v>0</v>
      </c>
      <c r="AD171" s="17" t="b">
        <f t="shared" si="16"/>
        <v>0</v>
      </c>
      <c r="AE171" s="17" t="b">
        <f t="shared" si="17"/>
        <v>0</v>
      </c>
    </row>
    <row r="172" spans="1:31" x14ac:dyDescent="0.2">
      <c r="A172" s="16">
        <v>5000491072</v>
      </c>
      <c r="B172" t="s">
        <v>301</v>
      </c>
      <c r="C172" t="s">
        <v>301</v>
      </c>
      <c r="D172" t="s">
        <v>1</v>
      </c>
      <c r="E172" t="s">
        <v>736</v>
      </c>
      <c r="F172" t="s">
        <v>480</v>
      </c>
      <c r="G172" s="2">
        <v>3</v>
      </c>
      <c r="H172" t="s">
        <v>461</v>
      </c>
      <c r="I172" t="s">
        <v>3</v>
      </c>
      <c r="J172" t="s">
        <v>339</v>
      </c>
      <c r="K172" t="s">
        <v>605</v>
      </c>
      <c r="L172" t="s">
        <v>608</v>
      </c>
      <c r="M172" t="s">
        <v>398</v>
      </c>
      <c r="N172" t="s">
        <v>602</v>
      </c>
      <c r="O172" t="s">
        <v>603</v>
      </c>
      <c r="P172" t="s">
        <v>602</v>
      </c>
      <c r="Q172" s="17">
        <f>IFERROR(VLOOKUP(A172,已除帳印單!B:C,1,0),0)*1</f>
        <v>0</v>
      </c>
      <c r="R172" s="67" t="str">
        <f>IFERROR(VLOOKUP(J172,線別!A:B,2,1),"")</f>
        <v>A+線</v>
      </c>
      <c r="S172" s="17" t="str">
        <f>IFERROR(VLOOKUP(A172,已除帳印單!B:C,2,0),"")</f>
        <v/>
      </c>
      <c r="T172" s="68">
        <f t="shared" si="12"/>
        <v>43894</v>
      </c>
      <c r="U172" s="69">
        <f t="shared" si="13"/>
        <v>84.168796296296293</v>
      </c>
      <c r="V172" s="68" t="str">
        <f>IFERROR(VLOOKUP(A172,已除帳印單!B:D,3,0),"")</f>
        <v/>
      </c>
      <c r="W172" s="69" t="str">
        <f>IFERROR(VLOOKUP(A172,已除帳印單!B:E,4,0),"")</f>
        <v/>
      </c>
      <c r="X172" s="68" t="str">
        <f>IFERROR(INDEX(刷條碼區!A:C,MATCH(點上線資訊!S172,刷條碼區!C:C,0),1),"")</f>
        <v/>
      </c>
      <c r="Y172" s="69" t="str">
        <f>IFERROR(INDEX(刷條碼區!A:C,MATCH(點上線資訊!S172,刷條碼區!C:C,0),2),"")</f>
        <v/>
      </c>
      <c r="Z172" s="70" t="str">
        <f>IFERROR(INDEX(刷條碼區!D:G,MATCH(點上線資訊!S172,刷條碼區!F:F,0),1),"")</f>
        <v/>
      </c>
      <c r="AA172" s="71" t="str">
        <f>IFERROR(INDEX(刷條碼區!D:G,MATCH(點上線資訊!S172,刷條碼區!F:F,0),2),"")</f>
        <v/>
      </c>
      <c r="AB172" s="20" t="b">
        <f t="shared" si="14"/>
        <v>0</v>
      </c>
      <c r="AC172" s="20" t="b">
        <f t="shared" si="15"/>
        <v>0</v>
      </c>
      <c r="AD172" s="17" t="b">
        <f t="shared" si="16"/>
        <v>0</v>
      </c>
      <c r="AE172" s="17" t="b">
        <f t="shared" si="17"/>
        <v>0</v>
      </c>
    </row>
    <row r="173" spans="1:31" x14ac:dyDescent="0.2">
      <c r="A173" s="16">
        <v>5000491079</v>
      </c>
      <c r="B173" t="s">
        <v>301</v>
      </c>
      <c r="C173" t="s">
        <v>301</v>
      </c>
      <c r="D173" t="s">
        <v>1</v>
      </c>
      <c r="E173" t="s">
        <v>737</v>
      </c>
      <c r="F173" t="s">
        <v>475</v>
      </c>
      <c r="G173" s="2">
        <v>2</v>
      </c>
      <c r="H173" t="s">
        <v>461</v>
      </c>
      <c r="I173" t="s">
        <v>3</v>
      </c>
      <c r="J173" t="s">
        <v>339</v>
      </c>
      <c r="K173" t="s">
        <v>605</v>
      </c>
      <c r="L173" t="s">
        <v>608</v>
      </c>
      <c r="M173" t="s">
        <v>398</v>
      </c>
      <c r="N173" t="s">
        <v>602</v>
      </c>
      <c r="O173" t="s">
        <v>603</v>
      </c>
      <c r="P173" t="s">
        <v>602</v>
      </c>
      <c r="Q173" s="17">
        <f>IFERROR(VLOOKUP(A173,已除帳印單!B:C,1,0),0)*1</f>
        <v>0</v>
      </c>
      <c r="R173" s="67" t="str">
        <f>IFERROR(VLOOKUP(J173,線別!A:B,2,1),"")</f>
        <v>A+線</v>
      </c>
      <c r="S173" s="17" t="str">
        <f>IFERROR(VLOOKUP(A173,已除帳印單!B:C,2,0),"")</f>
        <v/>
      </c>
      <c r="T173" s="68">
        <f t="shared" si="12"/>
        <v>43894</v>
      </c>
      <c r="U173" s="69">
        <f t="shared" si="13"/>
        <v>84.168796296296293</v>
      </c>
      <c r="V173" s="68" t="str">
        <f>IFERROR(VLOOKUP(A173,已除帳印單!B:D,3,0),"")</f>
        <v/>
      </c>
      <c r="W173" s="69" t="str">
        <f>IFERROR(VLOOKUP(A173,已除帳印單!B:E,4,0),"")</f>
        <v/>
      </c>
      <c r="X173" s="68" t="str">
        <f>IFERROR(INDEX(刷條碼區!A:C,MATCH(點上線資訊!S173,刷條碼區!C:C,0),1),"")</f>
        <v/>
      </c>
      <c r="Y173" s="69" t="str">
        <f>IFERROR(INDEX(刷條碼區!A:C,MATCH(點上線資訊!S173,刷條碼區!C:C,0),2),"")</f>
        <v/>
      </c>
      <c r="Z173" s="70" t="str">
        <f>IFERROR(INDEX(刷條碼區!D:G,MATCH(點上線資訊!S173,刷條碼區!F:F,0),1),"")</f>
        <v/>
      </c>
      <c r="AA173" s="71" t="str">
        <f>IFERROR(INDEX(刷條碼區!D:G,MATCH(點上線資訊!S173,刷條碼區!F:F,0),2),"")</f>
        <v/>
      </c>
      <c r="AB173" s="20" t="b">
        <f t="shared" si="14"/>
        <v>0</v>
      </c>
      <c r="AC173" s="20" t="b">
        <f t="shared" si="15"/>
        <v>0</v>
      </c>
      <c r="AD173" s="17" t="b">
        <f t="shared" si="16"/>
        <v>0</v>
      </c>
      <c r="AE173" s="17" t="b">
        <f t="shared" si="17"/>
        <v>0</v>
      </c>
    </row>
    <row r="174" spans="1:31" x14ac:dyDescent="0.2">
      <c r="A174" s="16">
        <v>5000491090</v>
      </c>
      <c r="B174" t="s">
        <v>0</v>
      </c>
      <c r="C174" t="s">
        <v>0</v>
      </c>
      <c r="D174" t="s">
        <v>1</v>
      </c>
      <c r="E174" t="s">
        <v>738</v>
      </c>
      <c r="F174" t="s">
        <v>739</v>
      </c>
      <c r="G174" s="2">
        <v>6</v>
      </c>
      <c r="H174" t="s">
        <v>461</v>
      </c>
      <c r="I174" t="s">
        <v>3</v>
      </c>
      <c r="J174" t="s">
        <v>4</v>
      </c>
      <c r="K174" t="s">
        <v>605</v>
      </c>
      <c r="L174" t="s">
        <v>608</v>
      </c>
      <c r="M174" t="s">
        <v>740</v>
      </c>
      <c r="N174" t="s">
        <v>602</v>
      </c>
      <c r="O174" t="s">
        <v>603</v>
      </c>
      <c r="P174" t="s">
        <v>602</v>
      </c>
      <c r="Q174" s="17">
        <f>IFERROR(VLOOKUP(A174,已除帳印單!B:C,1,0),0)*1</f>
        <v>0</v>
      </c>
      <c r="R174" s="67" t="str">
        <f>IFERROR(VLOOKUP(J174,線別!A:B,2,1),"")</f>
        <v>IA線</v>
      </c>
      <c r="S174" s="17" t="str">
        <f>IFERROR(VLOOKUP(A174,已除帳印單!B:C,2,0),"")</f>
        <v/>
      </c>
      <c r="T174" s="68">
        <f t="shared" si="12"/>
        <v>43892</v>
      </c>
      <c r="U174" s="69">
        <f t="shared" si="13"/>
        <v>84.168773148148148</v>
      </c>
      <c r="V174" s="68" t="str">
        <f>IFERROR(VLOOKUP(A174,已除帳印單!B:D,3,0),"")</f>
        <v/>
      </c>
      <c r="W174" s="69" t="str">
        <f>IFERROR(VLOOKUP(A174,已除帳印單!B:E,4,0),"")</f>
        <v/>
      </c>
      <c r="X174" s="68" t="str">
        <f>IFERROR(INDEX(刷條碼區!A:C,MATCH(點上線資訊!S174,刷條碼區!C:C,0),1),"")</f>
        <v/>
      </c>
      <c r="Y174" s="69" t="str">
        <f>IFERROR(INDEX(刷條碼區!A:C,MATCH(點上線資訊!S174,刷條碼區!C:C,0),2),"")</f>
        <v/>
      </c>
      <c r="Z174" s="70" t="str">
        <f>IFERROR(INDEX(刷條碼區!D:G,MATCH(點上線資訊!S174,刷條碼區!F:F,0),1),"")</f>
        <v/>
      </c>
      <c r="AA174" s="71" t="str">
        <f>IFERROR(INDEX(刷條碼區!D:G,MATCH(點上線資訊!S174,刷條碼區!F:F,0),2),"")</f>
        <v/>
      </c>
      <c r="AB174" s="20" t="b">
        <f t="shared" si="14"/>
        <v>0</v>
      </c>
      <c r="AC174" s="20" t="b">
        <f t="shared" si="15"/>
        <v>0</v>
      </c>
      <c r="AD174" s="17" t="b">
        <f t="shared" si="16"/>
        <v>0</v>
      </c>
      <c r="AE174" s="17" t="b">
        <f t="shared" si="17"/>
        <v>0</v>
      </c>
    </row>
    <row r="175" spans="1:31" x14ac:dyDescent="0.2">
      <c r="A175" s="16">
        <v>5000491106</v>
      </c>
      <c r="B175" t="s">
        <v>0</v>
      </c>
      <c r="C175" t="s">
        <v>0</v>
      </c>
      <c r="D175" t="s">
        <v>1</v>
      </c>
      <c r="E175" t="s">
        <v>741</v>
      </c>
      <c r="F175" t="s">
        <v>742</v>
      </c>
      <c r="G175" s="2">
        <v>5</v>
      </c>
      <c r="H175" t="s">
        <v>461</v>
      </c>
      <c r="I175" t="s">
        <v>3</v>
      </c>
      <c r="J175" t="s">
        <v>4</v>
      </c>
      <c r="K175" t="s">
        <v>605</v>
      </c>
      <c r="L175" t="s">
        <v>608</v>
      </c>
      <c r="M175" t="s">
        <v>743</v>
      </c>
      <c r="N175" t="s">
        <v>602</v>
      </c>
      <c r="O175" t="s">
        <v>603</v>
      </c>
      <c r="P175" t="s">
        <v>602</v>
      </c>
      <c r="Q175" s="17">
        <f>IFERROR(VLOOKUP(A175,已除帳印單!B:C,1,0),0)*1</f>
        <v>0</v>
      </c>
      <c r="R175" s="67" t="str">
        <f>IFERROR(VLOOKUP(J175,線別!A:B,2,1),"")</f>
        <v>IA線</v>
      </c>
      <c r="S175" s="17" t="str">
        <f>IFERROR(VLOOKUP(A175,已除帳印單!B:C,2,0),"")</f>
        <v/>
      </c>
      <c r="T175" s="68">
        <f t="shared" si="12"/>
        <v>43892</v>
      </c>
      <c r="U175" s="69">
        <f t="shared" si="13"/>
        <v>84.168773148148148</v>
      </c>
      <c r="V175" s="68" t="str">
        <f>IFERROR(VLOOKUP(A175,已除帳印單!B:D,3,0),"")</f>
        <v/>
      </c>
      <c r="W175" s="69" t="str">
        <f>IFERROR(VLOOKUP(A175,已除帳印單!B:E,4,0),"")</f>
        <v/>
      </c>
      <c r="X175" s="68" t="str">
        <f>IFERROR(INDEX(刷條碼區!A:C,MATCH(點上線資訊!S175,刷條碼區!C:C,0),1),"")</f>
        <v/>
      </c>
      <c r="Y175" s="69" t="str">
        <f>IFERROR(INDEX(刷條碼區!A:C,MATCH(點上線資訊!S175,刷條碼區!C:C,0),2),"")</f>
        <v/>
      </c>
      <c r="Z175" s="70" t="str">
        <f>IFERROR(INDEX(刷條碼區!D:G,MATCH(點上線資訊!S175,刷條碼區!F:F,0),1),"")</f>
        <v/>
      </c>
      <c r="AA175" s="71" t="str">
        <f>IFERROR(INDEX(刷條碼區!D:G,MATCH(點上線資訊!S175,刷條碼區!F:F,0),2),"")</f>
        <v/>
      </c>
      <c r="AB175" s="20" t="b">
        <f t="shared" si="14"/>
        <v>0</v>
      </c>
      <c r="AC175" s="20" t="b">
        <f t="shared" si="15"/>
        <v>0</v>
      </c>
      <c r="AD175" s="17" t="b">
        <f t="shared" si="16"/>
        <v>0</v>
      </c>
      <c r="AE175" s="17" t="b">
        <f t="shared" si="17"/>
        <v>0</v>
      </c>
    </row>
    <row r="176" spans="1:31" x14ac:dyDescent="0.2">
      <c r="A176" s="16">
        <v>5000491107</v>
      </c>
      <c r="B176" t="s">
        <v>0</v>
      </c>
      <c r="C176" t="s">
        <v>0</v>
      </c>
      <c r="D176" t="s">
        <v>1</v>
      </c>
      <c r="E176" t="s">
        <v>744</v>
      </c>
      <c r="F176" t="s">
        <v>745</v>
      </c>
      <c r="G176" s="2">
        <v>3</v>
      </c>
      <c r="H176" t="s">
        <v>461</v>
      </c>
      <c r="I176" t="s">
        <v>3</v>
      </c>
      <c r="J176" t="s">
        <v>4</v>
      </c>
      <c r="K176" t="s">
        <v>605</v>
      </c>
      <c r="L176" t="s">
        <v>608</v>
      </c>
      <c r="M176" t="s">
        <v>746</v>
      </c>
      <c r="N176" t="s">
        <v>602</v>
      </c>
      <c r="O176" t="s">
        <v>603</v>
      </c>
      <c r="P176" t="s">
        <v>602</v>
      </c>
      <c r="Q176" s="17">
        <f>IFERROR(VLOOKUP(A176,已除帳印單!B:C,1,0),0)*1</f>
        <v>0</v>
      </c>
      <c r="R176" s="67" t="str">
        <f>IFERROR(VLOOKUP(J176,線別!A:B,2,1),"")</f>
        <v>IA線</v>
      </c>
      <c r="S176" s="17" t="str">
        <f>IFERROR(VLOOKUP(A176,已除帳印單!B:C,2,0),"")</f>
        <v/>
      </c>
      <c r="T176" s="68">
        <f t="shared" si="12"/>
        <v>43892</v>
      </c>
      <c r="U176" s="69">
        <f t="shared" si="13"/>
        <v>84.168773148148148</v>
      </c>
      <c r="V176" s="68" t="str">
        <f>IFERROR(VLOOKUP(A176,已除帳印單!B:D,3,0),"")</f>
        <v/>
      </c>
      <c r="W176" s="69" t="str">
        <f>IFERROR(VLOOKUP(A176,已除帳印單!B:E,4,0),"")</f>
        <v/>
      </c>
      <c r="X176" s="68" t="str">
        <f>IFERROR(INDEX(刷條碼區!A:C,MATCH(點上線資訊!S176,刷條碼區!C:C,0),1),"")</f>
        <v/>
      </c>
      <c r="Y176" s="69" t="str">
        <f>IFERROR(INDEX(刷條碼區!A:C,MATCH(點上線資訊!S176,刷條碼區!C:C,0),2),"")</f>
        <v/>
      </c>
      <c r="Z176" s="70" t="str">
        <f>IFERROR(INDEX(刷條碼區!D:G,MATCH(點上線資訊!S176,刷條碼區!F:F,0),1),"")</f>
        <v/>
      </c>
      <c r="AA176" s="71" t="str">
        <f>IFERROR(INDEX(刷條碼區!D:G,MATCH(點上線資訊!S176,刷條碼區!F:F,0),2),"")</f>
        <v/>
      </c>
      <c r="AB176" s="20" t="b">
        <f t="shared" si="14"/>
        <v>0</v>
      </c>
      <c r="AC176" s="20" t="b">
        <f t="shared" si="15"/>
        <v>0</v>
      </c>
      <c r="AD176" s="17" t="b">
        <f t="shared" si="16"/>
        <v>0</v>
      </c>
      <c r="AE176" s="17" t="b">
        <f t="shared" si="17"/>
        <v>0</v>
      </c>
    </row>
    <row r="177" spans="1:31" x14ac:dyDescent="0.2">
      <c r="A177" s="16">
        <v>5000491111</v>
      </c>
      <c r="B177" t="s">
        <v>0</v>
      </c>
      <c r="C177" t="s">
        <v>0</v>
      </c>
      <c r="D177" t="s">
        <v>1</v>
      </c>
      <c r="E177" t="s">
        <v>747</v>
      </c>
      <c r="F177" t="s">
        <v>748</v>
      </c>
      <c r="G177" s="2">
        <v>15</v>
      </c>
      <c r="H177" t="s">
        <v>461</v>
      </c>
      <c r="I177" t="s">
        <v>3</v>
      </c>
      <c r="J177" t="s">
        <v>19</v>
      </c>
      <c r="K177" t="s">
        <v>605</v>
      </c>
      <c r="L177" t="s">
        <v>608</v>
      </c>
      <c r="M177" t="s">
        <v>672</v>
      </c>
      <c r="N177" t="s">
        <v>602</v>
      </c>
      <c r="O177" t="s">
        <v>603</v>
      </c>
      <c r="P177" t="s">
        <v>602</v>
      </c>
      <c r="Q177" s="17">
        <f>IFERROR(VLOOKUP(A177,已除帳印單!B:C,1,0),0)*1</f>
        <v>0</v>
      </c>
      <c r="R177" s="67" t="str">
        <f>IFERROR(VLOOKUP(J177,線別!A:B,2,1),"")</f>
        <v>FM_IA預組</v>
      </c>
      <c r="S177" s="17" t="str">
        <f>IFERROR(VLOOKUP(A177,已除帳印單!B:C,2,0),"")</f>
        <v/>
      </c>
      <c r="T177" s="68">
        <f t="shared" si="12"/>
        <v>43892</v>
      </c>
      <c r="U177" s="69">
        <f t="shared" si="13"/>
        <v>84.168773148148148</v>
      </c>
      <c r="V177" s="68" t="str">
        <f>IFERROR(VLOOKUP(A177,已除帳印單!B:D,3,0),"")</f>
        <v/>
      </c>
      <c r="W177" s="69" t="str">
        <f>IFERROR(VLOOKUP(A177,已除帳印單!B:E,4,0),"")</f>
        <v/>
      </c>
      <c r="X177" s="68" t="str">
        <f>IFERROR(INDEX(刷條碼區!A:C,MATCH(點上線資訊!S177,刷條碼區!C:C,0),1),"")</f>
        <v/>
      </c>
      <c r="Y177" s="69" t="str">
        <f>IFERROR(INDEX(刷條碼區!A:C,MATCH(點上線資訊!S177,刷條碼區!C:C,0),2),"")</f>
        <v/>
      </c>
      <c r="Z177" s="70" t="str">
        <f>IFERROR(INDEX(刷條碼區!D:G,MATCH(點上線資訊!S177,刷條碼區!F:F,0),1),"")</f>
        <v/>
      </c>
      <c r="AA177" s="71" t="str">
        <f>IFERROR(INDEX(刷條碼區!D:G,MATCH(點上線資訊!S177,刷條碼區!F:F,0),2),"")</f>
        <v/>
      </c>
      <c r="AB177" s="20" t="b">
        <f t="shared" si="14"/>
        <v>0</v>
      </c>
      <c r="AC177" s="20" t="b">
        <f t="shared" si="15"/>
        <v>0</v>
      </c>
      <c r="AD177" s="17" t="b">
        <f t="shared" si="16"/>
        <v>0</v>
      </c>
      <c r="AE177" s="17" t="b">
        <f t="shared" si="17"/>
        <v>0</v>
      </c>
    </row>
    <row r="178" spans="1:31" x14ac:dyDescent="0.2">
      <c r="A178" s="16">
        <v>5000491119</v>
      </c>
      <c r="B178" t="s">
        <v>0</v>
      </c>
      <c r="C178" t="s">
        <v>0</v>
      </c>
      <c r="D178" t="s">
        <v>1</v>
      </c>
      <c r="E178" t="s">
        <v>749</v>
      </c>
      <c r="F178" t="s">
        <v>750</v>
      </c>
      <c r="G178" s="2">
        <v>5</v>
      </c>
      <c r="H178" t="s">
        <v>461</v>
      </c>
      <c r="I178" t="s">
        <v>3</v>
      </c>
      <c r="J178" t="s">
        <v>8</v>
      </c>
      <c r="K178" t="s">
        <v>605</v>
      </c>
      <c r="L178" t="s">
        <v>608</v>
      </c>
      <c r="M178" t="s">
        <v>401</v>
      </c>
      <c r="N178" t="s">
        <v>602</v>
      </c>
      <c r="O178" t="s">
        <v>603</v>
      </c>
      <c r="P178" t="s">
        <v>602</v>
      </c>
      <c r="Q178" s="17">
        <f>IFERROR(VLOOKUP(A178,已除帳印單!B:C,1,0),0)*1</f>
        <v>0</v>
      </c>
      <c r="R178" s="67" t="str">
        <f>IFERROR(VLOOKUP(J178,線別!A:B,2,1),"")</f>
        <v>裝一線</v>
      </c>
      <c r="S178" s="17" t="str">
        <f>IFERROR(VLOOKUP(A178,已除帳印單!B:C,2,0),"")</f>
        <v/>
      </c>
      <c r="T178" s="68">
        <f t="shared" si="12"/>
        <v>43892</v>
      </c>
      <c r="U178" s="69">
        <f t="shared" si="13"/>
        <v>84.168773148148148</v>
      </c>
      <c r="V178" s="68" t="str">
        <f>IFERROR(VLOOKUP(A178,已除帳印單!B:D,3,0),"")</f>
        <v/>
      </c>
      <c r="W178" s="69" t="str">
        <f>IFERROR(VLOOKUP(A178,已除帳印單!B:E,4,0),"")</f>
        <v/>
      </c>
      <c r="X178" s="68" t="str">
        <f>IFERROR(INDEX(刷條碼區!A:C,MATCH(點上線資訊!S178,刷條碼區!C:C,0),1),"")</f>
        <v/>
      </c>
      <c r="Y178" s="69" t="str">
        <f>IFERROR(INDEX(刷條碼區!A:C,MATCH(點上線資訊!S178,刷條碼區!C:C,0),2),"")</f>
        <v/>
      </c>
      <c r="Z178" s="70" t="str">
        <f>IFERROR(INDEX(刷條碼區!D:G,MATCH(點上線資訊!S178,刷條碼區!F:F,0),1),"")</f>
        <v/>
      </c>
      <c r="AA178" s="71" t="str">
        <f>IFERROR(INDEX(刷條碼區!D:G,MATCH(點上線資訊!S178,刷條碼區!F:F,0),2),"")</f>
        <v/>
      </c>
      <c r="AB178" s="20" t="b">
        <f t="shared" si="14"/>
        <v>0</v>
      </c>
      <c r="AC178" s="20" t="b">
        <f t="shared" si="15"/>
        <v>0</v>
      </c>
      <c r="AD178" s="17" t="b">
        <f t="shared" si="16"/>
        <v>0</v>
      </c>
      <c r="AE178" s="17" t="b">
        <f t="shared" si="17"/>
        <v>0</v>
      </c>
    </row>
    <row r="179" spans="1:31" x14ac:dyDescent="0.2">
      <c r="A179" s="16">
        <v>5000491120</v>
      </c>
      <c r="B179" t="s">
        <v>0</v>
      </c>
      <c r="C179" t="s">
        <v>0</v>
      </c>
      <c r="D179" t="s">
        <v>1</v>
      </c>
      <c r="E179" t="s">
        <v>751</v>
      </c>
      <c r="F179" t="s">
        <v>752</v>
      </c>
      <c r="G179" s="2">
        <v>20</v>
      </c>
      <c r="H179" t="s">
        <v>461</v>
      </c>
      <c r="I179" t="s">
        <v>3</v>
      </c>
      <c r="J179" t="s">
        <v>8</v>
      </c>
      <c r="K179" t="s">
        <v>605</v>
      </c>
      <c r="L179" t="s">
        <v>608</v>
      </c>
      <c r="M179" t="s">
        <v>753</v>
      </c>
      <c r="N179" t="s">
        <v>602</v>
      </c>
      <c r="O179" t="s">
        <v>603</v>
      </c>
      <c r="P179" t="s">
        <v>602</v>
      </c>
      <c r="Q179" s="17">
        <f>IFERROR(VLOOKUP(A179,已除帳印單!B:C,1,0),0)*1</f>
        <v>0</v>
      </c>
      <c r="R179" s="67" t="str">
        <f>IFERROR(VLOOKUP(J179,線別!A:B,2,1),"")</f>
        <v>裝一線</v>
      </c>
      <c r="S179" s="17" t="str">
        <f>IFERROR(VLOOKUP(A179,已除帳印單!B:C,2,0),"")</f>
        <v/>
      </c>
      <c r="T179" s="68">
        <f t="shared" si="12"/>
        <v>43892</v>
      </c>
      <c r="U179" s="69">
        <f t="shared" si="13"/>
        <v>84.168773148148148</v>
      </c>
      <c r="V179" s="68" t="str">
        <f>IFERROR(VLOOKUP(A179,已除帳印單!B:D,3,0),"")</f>
        <v/>
      </c>
      <c r="W179" s="69" t="str">
        <f>IFERROR(VLOOKUP(A179,已除帳印單!B:E,4,0),"")</f>
        <v/>
      </c>
      <c r="X179" s="68" t="str">
        <f>IFERROR(INDEX(刷條碼區!A:C,MATCH(點上線資訊!S179,刷條碼區!C:C,0),1),"")</f>
        <v/>
      </c>
      <c r="Y179" s="69" t="str">
        <f>IFERROR(INDEX(刷條碼區!A:C,MATCH(點上線資訊!S179,刷條碼區!C:C,0),2),"")</f>
        <v/>
      </c>
      <c r="Z179" s="70" t="str">
        <f>IFERROR(INDEX(刷條碼區!D:G,MATCH(點上線資訊!S179,刷條碼區!F:F,0),1),"")</f>
        <v/>
      </c>
      <c r="AA179" s="71" t="str">
        <f>IFERROR(INDEX(刷條碼區!D:G,MATCH(點上線資訊!S179,刷條碼區!F:F,0),2),"")</f>
        <v/>
      </c>
      <c r="AB179" s="20" t="b">
        <f t="shared" si="14"/>
        <v>0</v>
      </c>
      <c r="AC179" s="20" t="b">
        <f t="shared" si="15"/>
        <v>0</v>
      </c>
      <c r="AD179" s="17" t="b">
        <f t="shared" si="16"/>
        <v>0</v>
      </c>
      <c r="AE179" s="17" t="b">
        <f t="shared" si="17"/>
        <v>0</v>
      </c>
    </row>
    <row r="180" spans="1:31" x14ac:dyDescent="0.2">
      <c r="A180" s="16">
        <v>5000491121</v>
      </c>
      <c r="B180" t="s">
        <v>0</v>
      </c>
      <c r="C180" t="s">
        <v>0</v>
      </c>
      <c r="D180" t="s">
        <v>1</v>
      </c>
      <c r="E180" t="s">
        <v>751</v>
      </c>
      <c r="F180" t="s">
        <v>752</v>
      </c>
      <c r="G180" s="2">
        <v>15</v>
      </c>
      <c r="H180" t="s">
        <v>461</v>
      </c>
      <c r="I180" t="s">
        <v>3</v>
      </c>
      <c r="J180" t="s">
        <v>8</v>
      </c>
      <c r="K180" t="s">
        <v>605</v>
      </c>
      <c r="L180" t="s">
        <v>608</v>
      </c>
      <c r="M180" t="s">
        <v>753</v>
      </c>
      <c r="N180" t="s">
        <v>602</v>
      </c>
      <c r="O180" t="s">
        <v>603</v>
      </c>
      <c r="P180" t="s">
        <v>602</v>
      </c>
      <c r="Q180" s="17">
        <f>IFERROR(VLOOKUP(A180,已除帳印單!B:C,1,0),0)*1</f>
        <v>0</v>
      </c>
      <c r="R180" s="67" t="str">
        <f>IFERROR(VLOOKUP(J180,線別!A:B,2,1),"")</f>
        <v>裝一線</v>
      </c>
      <c r="S180" s="17" t="str">
        <f>IFERROR(VLOOKUP(A180,已除帳印單!B:C,2,0),"")</f>
        <v/>
      </c>
      <c r="T180" s="68">
        <f t="shared" si="12"/>
        <v>43892</v>
      </c>
      <c r="U180" s="69">
        <f t="shared" si="13"/>
        <v>84.168773148148148</v>
      </c>
      <c r="V180" s="68" t="str">
        <f>IFERROR(VLOOKUP(A180,已除帳印單!B:D,3,0),"")</f>
        <v/>
      </c>
      <c r="W180" s="69" t="str">
        <f>IFERROR(VLOOKUP(A180,已除帳印單!B:E,4,0),"")</f>
        <v/>
      </c>
      <c r="X180" s="68" t="str">
        <f>IFERROR(INDEX(刷條碼區!A:C,MATCH(點上線資訊!S180,刷條碼區!C:C,0),1),"")</f>
        <v/>
      </c>
      <c r="Y180" s="69" t="str">
        <f>IFERROR(INDEX(刷條碼區!A:C,MATCH(點上線資訊!S180,刷條碼區!C:C,0),2),"")</f>
        <v/>
      </c>
      <c r="Z180" s="70" t="str">
        <f>IFERROR(INDEX(刷條碼區!D:G,MATCH(點上線資訊!S180,刷條碼區!F:F,0),1),"")</f>
        <v/>
      </c>
      <c r="AA180" s="71" t="str">
        <f>IFERROR(INDEX(刷條碼區!D:G,MATCH(點上線資訊!S180,刷條碼區!F:F,0),2),"")</f>
        <v/>
      </c>
      <c r="AB180" s="20" t="b">
        <f t="shared" si="14"/>
        <v>0</v>
      </c>
      <c r="AC180" s="20" t="b">
        <f t="shared" si="15"/>
        <v>0</v>
      </c>
      <c r="AD180" s="17" t="b">
        <f t="shared" si="16"/>
        <v>0</v>
      </c>
      <c r="AE180" s="17" t="b">
        <f t="shared" si="17"/>
        <v>0</v>
      </c>
    </row>
    <row r="181" spans="1:31" x14ac:dyDescent="0.2">
      <c r="A181" s="16">
        <v>5000491125</v>
      </c>
      <c r="B181" t="s">
        <v>301</v>
      </c>
      <c r="C181" t="s">
        <v>301</v>
      </c>
      <c r="D181" t="s">
        <v>1</v>
      </c>
      <c r="E181" t="s">
        <v>356</v>
      </c>
      <c r="F181" t="s">
        <v>501</v>
      </c>
      <c r="G181" s="2">
        <v>5</v>
      </c>
      <c r="H181" t="s">
        <v>461</v>
      </c>
      <c r="I181" t="s">
        <v>3</v>
      </c>
      <c r="J181" t="s">
        <v>8</v>
      </c>
      <c r="K181" t="s">
        <v>602</v>
      </c>
      <c r="L181" t="s">
        <v>603</v>
      </c>
      <c r="M181" t="s">
        <v>602</v>
      </c>
      <c r="N181" t="s">
        <v>602</v>
      </c>
      <c r="O181" t="s">
        <v>603</v>
      </c>
      <c r="P181" t="s">
        <v>602</v>
      </c>
      <c r="Q181" s="17">
        <f>IFERROR(VLOOKUP(A181,已除帳印單!B:C,1,0),0)*1</f>
        <v>0</v>
      </c>
      <c r="R181" s="67" t="str">
        <f>IFERROR(VLOOKUP(J181,線別!A:B,2,1),"")</f>
        <v>裝一線</v>
      </c>
      <c r="S181" s="17" t="str">
        <f>IFERROR(VLOOKUP(A181,已除帳印單!B:C,2,0),"")</f>
        <v/>
      </c>
      <c r="T181" s="68">
        <f t="shared" si="12"/>
        <v>43894</v>
      </c>
      <c r="U181" s="69">
        <f t="shared" si="13"/>
        <v>84.168796296296293</v>
      </c>
      <c r="V181" s="68" t="str">
        <f>IFERROR(VLOOKUP(A181,已除帳印單!B:D,3,0),"")</f>
        <v/>
      </c>
      <c r="W181" s="69" t="str">
        <f>IFERROR(VLOOKUP(A181,已除帳印單!B:E,4,0),"")</f>
        <v/>
      </c>
      <c r="X181" s="68" t="str">
        <f>IFERROR(INDEX(刷條碼區!A:C,MATCH(點上線資訊!S181,刷條碼區!C:C,0),1),"")</f>
        <v/>
      </c>
      <c r="Y181" s="69" t="str">
        <f>IFERROR(INDEX(刷條碼區!A:C,MATCH(點上線資訊!S181,刷條碼區!C:C,0),2),"")</f>
        <v/>
      </c>
      <c r="Z181" s="70" t="str">
        <f>IFERROR(INDEX(刷條碼區!D:G,MATCH(點上線資訊!S181,刷條碼區!F:F,0),1),"")</f>
        <v/>
      </c>
      <c r="AA181" s="71" t="str">
        <f>IFERROR(INDEX(刷條碼區!D:G,MATCH(點上線資訊!S181,刷條碼區!F:F,0),2),"")</f>
        <v/>
      </c>
      <c r="AB181" s="20">
        <f t="shared" si="14"/>
        <v>5</v>
      </c>
      <c r="AC181" s="20" t="b">
        <f t="shared" si="15"/>
        <v>0</v>
      </c>
      <c r="AD181" s="17" t="b">
        <f t="shared" si="16"/>
        <v>0</v>
      </c>
      <c r="AE181" s="17" t="b">
        <f t="shared" si="17"/>
        <v>0</v>
      </c>
    </row>
    <row r="182" spans="1:31" x14ac:dyDescent="0.2">
      <c r="A182" s="16">
        <v>5000491126</v>
      </c>
      <c r="B182" t="s">
        <v>301</v>
      </c>
      <c r="C182" t="s">
        <v>301</v>
      </c>
      <c r="D182" t="s">
        <v>1</v>
      </c>
      <c r="E182" t="s">
        <v>356</v>
      </c>
      <c r="F182" t="s">
        <v>501</v>
      </c>
      <c r="G182" s="2">
        <v>20</v>
      </c>
      <c r="H182" t="s">
        <v>461</v>
      </c>
      <c r="I182" t="s">
        <v>3</v>
      </c>
      <c r="J182" t="s">
        <v>8</v>
      </c>
      <c r="K182" t="s">
        <v>602</v>
      </c>
      <c r="L182" t="s">
        <v>603</v>
      </c>
      <c r="M182" t="s">
        <v>602</v>
      </c>
      <c r="N182" t="s">
        <v>602</v>
      </c>
      <c r="O182" t="s">
        <v>603</v>
      </c>
      <c r="P182" t="s">
        <v>602</v>
      </c>
      <c r="Q182" s="17">
        <f>IFERROR(VLOOKUP(A182,已除帳印單!B:C,1,0),0)*1</f>
        <v>0</v>
      </c>
      <c r="R182" s="67" t="str">
        <f>IFERROR(VLOOKUP(J182,線別!A:B,2,1),"")</f>
        <v>裝一線</v>
      </c>
      <c r="S182" s="17" t="str">
        <f>IFERROR(VLOOKUP(A182,已除帳印單!B:C,2,0),"")</f>
        <v/>
      </c>
      <c r="T182" s="68">
        <f t="shared" si="12"/>
        <v>43894</v>
      </c>
      <c r="U182" s="69">
        <f t="shared" si="13"/>
        <v>84.168796296296293</v>
      </c>
      <c r="V182" s="68" t="str">
        <f>IFERROR(VLOOKUP(A182,已除帳印單!B:D,3,0),"")</f>
        <v/>
      </c>
      <c r="W182" s="69" t="str">
        <f>IFERROR(VLOOKUP(A182,已除帳印單!B:E,4,0),"")</f>
        <v/>
      </c>
      <c r="X182" s="68" t="str">
        <f>IFERROR(INDEX(刷條碼區!A:C,MATCH(點上線資訊!S182,刷條碼區!C:C,0),1),"")</f>
        <v/>
      </c>
      <c r="Y182" s="69" t="str">
        <f>IFERROR(INDEX(刷條碼區!A:C,MATCH(點上線資訊!S182,刷條碼區!C:C,0),2),"")</f>
        <v/>
      </c>
      <c r="Z182" s="70" t="str">
        <f>IFERROR(INDEX(刷條碼區!D:G,MATCH(點上線資訊!S182,刷條碼區!F:F,0),1),"")</f>
        <v/>
      </c>
      <c r="AA182" s="71" t="str">
        <f>IFERROR(INDEX(刷條碼區!D:G,MATCH(點上線資訊!S182,刷條碼區!F:F,0),2),"")</f>
        <v/>
      </c>
      <c r="AB182" s="20">
        <f t="shared" si="14"/>
        <v>20</v>
      </c>
      <c r="AC182" s="20" t="b">
        <f t="shared" si="15"/>
        <v>0</v>
      </c>
      <c r="AD182" s="17" t="b">
        <f t="shared" si="16"/>
        <v>0</v>
      </c>
      <c r="AE182" s="17" t="b">
        <f t="shared" si="17"/>
        <v>0</v>
      </c>
    </row>
    <row r="183" spans="1:31" x14ac:dyDescent="0.2">
      <c r="A183" s="16">
        <v>5000491129</v>
      </c>
      <c r="B183" t="s">
        <v>301</v>
      </c>
      <c r="C183" t="s">
        <v>301</v>
      </c>
      <c r="D183" t="s">
        <v>1</v>
      </c>
      <c r="E183" t="s">
        <v>356</v>
      </c>
      <c r="F183" t="s">
        <v>501</v>
      </c>
      <c r="G183" s="2">
        <v>20</v>
      </c>
      <c r="H183" t="s">
        <v>461</v>
      </c>
      <c r="I183" t="s">
        <v>3</v>
      </c>
      <c r="J183" t="s">
        <v>8</v>
      </c>
      <c r="K183" t="s">
        <v>602</v>
      </c>
      <c r="L183" t="s">
        <v>603</v>
      </c>
      <c r="M183" t="s">
        <v>602</v>
      </c>
      <c r="N183" t="s">
        <v>602</v>
      </c>
      <c r="O183" t="s">
        <v>603</v>
      </c>
      <c r="P183" t="s">
        <v>602</v>
      </c>
      <c r="Q183" s="17">
        <f>IFERROR(VLOOKUP(A183,已除帳印單!B:C,1,0),0)*1</f>
        <v>0</v>
      </c>
      <c r="R183" s="67" t="str">
        <f>IFERROR(VLOOKUP(J183,線別!A:B,2,1),"")</f>
        <v>裝一線</v>
      </c>
      <c r="S183" s="17" t="str">
        <f>IFERROR(VLOOKUP(A183,已除帳印單!B:C,2,0),"")</f>
        <v/>
      </c>
      <c r="T183" s="68">
        <f t="shared" si="12"/>
        <v>43894</v>
      </c>
      <c r="U183" s="69">
        <f t="shared" si="13"/>
        <v>84.168796296296293</v>
      </c>
      <c r="V183" s="68" t="str">
        <f>IFERROR(VLOOKUP(A183,已除帳印單!B:D,3,0),"")</f>
        <v/>
      </c>
      <c r="W183" s="69" t="str">
        <f>IFERROR(VLOOKUP(A183,已除帳印單!B:E,4,0),"")</f>
        <v/>
      </c>
      <c r="X183" s="68" t="str">
        <f>IFERROR(INDEX(刷條碼區!A:C,MATCH(點上線資訊!S183,刷條碼區!C:C,0),1),"")</f>
        <v/>
      </c>
      <c r="Y183" s="69" t="str">
        <f>IFERROR(INDEX(刷條碼區!A:C,MATCH(點上線資訊!S183,刷條碼區!C:C,0),2),"")</f>
        <v/>
      </c>
      <c r="Z183" s="70" t="str">
        <f>IFERROR(INDEX(刷條碼區!D:G,MATCH(點上線資訊!S183,刷條碼區!F:F,0),1),"")</f>
        <v/>
      </c>
      <c r="AA183" s="71" t="str">
        <f>IFERROR(INDEX(刷條碼區!D:G,MATCH(點上線資訊!S183,刷條碼區!F:F,0),2),"")</f>
        <v/>
      </c>
      <c r="AB183" s="20">
        <f t="shared" si="14"/>
        <v>20</v>
      </c>
      <c r="AC183" s="20" t="b">
        <f t="shared" si="15"/>
        <v>0</v>
      </c>
      <c r="AD183" s="17" t="b">
        <f t="shared" si="16"/>
        <v>0</v>
      </c>
      <c r="AE183" s="17" t="b">
        <f t="shared" si="17"/>
        <v>0</v>
      </c>
    </row>
    <row r="184" spans="1:31" x14ac:dyDescent="0.2">
      <c r="A184" s="16">
        <v>5000491609</v>
      </c>
      <c r="B184" t="s">
        <v>0</v>
      </c>
      <c r="C184" t="s">
        <v>0</v>
      </c>
      <c r="D184" t="s">
        <v>1</v>
      </c>
      <c r="E184" t="s">
        <v>754</v>
      </c>
      <c r="F184" t="s">
        <v>755</v>
      </c>
      <c r="G184" s="2">
        <v>2</v>
      </c>
      <c r="H184" t="s">
        <v>461</v>
      </c>
      <c r="I184" t="s">
        <v>3</v>
      </c>
      <c r="J184" t="s">
        <v>339</v>
      </c>
      <c r="K184" t="s">
        <v>605</v>
      </c>
      <c r="L184" t="s">
        <v>608</v>
      </c>
      <c r="M184" t="s">
        <v>756</v>
      </c>
      <c r="N184" t="s">
        <v>602</v>
      </c>
      <c r="O184" t="s">
        <v>603</v>
      </c>
      <c r="P184" t="s">
        <v>602</v>
      </c>
      <c r="Q184" s="17">
        <f>IFERROR(VLOOKUP(A184,已除帳印單!B:C,1,0),0)*1</f>
        <v>0</v>
      </c>
      <c r="R184" s="67" t="str">
        <f>IFERROR(VLOOKUP(J184,線別!A:B,2,1),"")</f>
        <v>A+線</v>
      </c>
      <c r="S184" s="17" t="str">
        <f>IFERROR(VLOOKUP(A184,已除帳印單!B:C,2,0),"")</f>
        <v/>
      </c>
      <c r="T184" s="68">
        <f t="shared" si="12"/>
        <v>43892</v>
      </c>
      <c r="U184" s="69">
        <f t="shared" si="13"/>
        <v>84.168773148148148</v>
      </c>
      <c r="V184" s="68" t="str">
        <f>IFERROR(VLOOKUP(A184,已除帳印單!B:D,3,0),"")</f>
        <v/>
      </c>
      <c r="W184" s="69" t="str">
        <f>IFERROR(VLOOKUP(A184,已除帳印單!B:E,4,0),"")</f>
        <v/>
      </c>
      <c r="X184" s="68" t="str">
        <f>IFERROR(INDEX(刷條碼區!A:C,MATCH(點上線資訊!S184,刷條碼區!C:C,0),1),"")</f>
        <v/>
      </c>
      <c r="Y184" s="69" t="str">
        <f>IFERROR(INDEX(刷條碼區!A:C,MATCH(點上線資訊!S184,刷條碼區!C:C,0),2),"")</f>
        <v/>
      </c>
      <c r="Z184" s="70" t="str">
        <f>IFERROR(INDEX(刷條碼區!D:G,MATCH(點上線資訊!S184,刷條碼區!F:F,0),1),"")</f>
        <v/>
      </c>
      <c r="AA184" s="71" t="str">
        <f>IFERROR(INDEX(刷條碼區!D:G,MATCH(點上線資訊!S184,刷條碼區!F:F,0),2),"")</f>
        <v/>
      </c>
      <c r="AB184" s="20" t="b">
        <f t="shared" si="14"/>
        <v>0</v>
      </c>
      <c r="AC184" s="20" t="b">
        <f t="shared" si="15"/>
        <v>0</v>
      </c>
      <c r="AD184" s="17" t="b">
        <f t="shared" si="16"/>
        <v>0</v>
      </c>
      <c r="AE184" s="17" t="b">
        <f t="shared" si="17"/>
        <v>0</v>
      </c>
    </row>
    <row r="185" spans="1:31" x14ac:dyDescent="0.2">
      <c r="A185" s="16">
        <v>5000491612</v>
      </c>
      <c r="B185" t="s">
        <v>6</v>
      </c>
      <c r="C185" t="s">
        <v>6</v>
      </c>
      <c r="D185" t="s">
        <v>1</v>
      </c>
      <c r="E185" t="s">
        <v>72</v>
      </c>
      <c r="F185" t="s">
        <v>757</v>
      </c>
      <c r="G185" s="2">
        <v>3</v>
      </c>
      <c r="H185" t="s">
        <v>461</v>
      </c>
      <c r="I185" t="s">
        <v>3</v>
      </c>
      <c r="J185" t="s">
        <v>8</v>
      </c>
      <c r="K185" t="s">
        <v>605</v>
      </c>
      <c r="L185" t="s">
        <v>608</v>
      </c>
      <c r="M185" t="s">
        <v>758</v>
      </c>
      <c r="N185" t="s">
        <v>602</v>
      </c>
      <c r="O185" t="s">
        <v>603</v>
      </c>
      <c r="P185" t="s">
        <v>602</v>
      </c>
      <c r="Q185" s="17">
        <f>IFERROR(VLOOKUP(A185,已除帳印單!B:C,1,0),0)*1</f>
        <v>0</v>
      </c>
      <c r="R185" s="67" t="str">
        <f>IFERROR(VLOOKUP(J185,線別!A:B,2,1),"")</f>
        <v>裝一線</v>
      </c>
      <c r="S185" s="17" t="str">
        <f>IFERROR(VLOOKUP(A185,已除帳印單!B:C,2,0),"")</f>
        <v/>
      </c>
      <c r="T185" s="68">
        <f t="shared" si="12"/>
        <v>43893</v>
      </c>
      <c r="U185" s="69">
        <f t="shared" si="13"/>
        <v>84.168784722222213</v>
      </c>
      <c r="V185" s="68" t="str">
        <f>IFERROR(VLOOKUP(A185,已除帳印單!B:D,3,0),"")</f>
        <v/>
      </c>
      <c r="W185" s="69" t="str">
        <f>IFERROR(VLOOKUP(A185,已除帳印單!B:E,4,0),"")</f>
        <v/>
      </c>
      <c r="X185" s="68" t="str">
        <f>IFERROR(INDEX(刷條碼區!A:C,MATCH(點上線資訊!S185,刷條碼區!C:C,0),1),"")</f>
        <v/>
      </c>
      <c r="Y185" s="69" t="str">
        <f>IFERROR(INDEX(刷條碼區!A:C,MATCH(點上線資訊!S185,刷條碼區!C:C,0),2),"")</f>
        <v/>
      </c>
      <c r="Z185" s="70" t="str">
        <f>IFERROR(INDEX(刷條碼區!D:G,MATCH(點上線資訊!S185,刷條碼區!F:F,0),1),"")</f>
        <v/>
      </c>
      <c r="AA185" s="71" t="str">
        <f>IFERROR(INDEX(刷條碼區!D:G,MATCH(點上線資訊!S185,刷條碼區!F:F,0),2),"")</f>
        <v/>
      </c>
      <c r="AB185" s="20" t="b">
        <f t="shared" si="14"/>
        <v>0</v>
      </c>
      <c r="AC185" s="20" t="b">
        <f t="shared" si="15"/>
        <v>0</v>
      </c>
      <c r="AD185" s="17" t="b">
        <f t="shared" si="16"/>
        <v>0</v>
      </c>
      <c r="AE185" s="17" t="b">
        <f t="shared" si="17"/>
        <v>0</v>
      </c>
    </row>
    <row r="186" spans="1:31" x14ac:dyDescent="0.2">
      <c r="A186" s="16">
        <v>5000491613</v>
      </c>
      <c r="B186" t="s">
        <v>6</v>
      </c>
      <c r="C186" t="s">
        <v>6</v>
      </c>
      <c r="D186" t="s">
        <v>1</v>
      </c>
      <c r="E186" t="s">
        <v>74</v>
      </c>
      <c r="F186" t="s">
        <v>759</v>
      </c>
      <c r="G186" s="2">
        <v>1</v>
      </c>
      <c r="H186" t="s">
        <v>461</v>
      </c>
      <c r="I186" t="s">
        <v>3</v>
      </c>
      <c r="J186" t="s">
        <v>8</v>
      </c>
      <c r="K186" t="s">
        <v>605</v>
      </c>
      <c r="L186" t="s">
        <v>608</v>
      </c>
      <c r="M186" t="s">
        <v>758</v>
      </c>
      <c r="N186" t="s">
        <v>602</v>
      </c>
      <c r="O186" t="s">
        <v>603</v>
      </c>
      <c r="P186" t="s">
        <v>602</v>
      </c>
      <c r="Q186" s="17">
        <f>IFERROR(VLOOKUP(A186,已除帳印單!B:C,1,0),0)*1</f>
        <v>0</v>
      </c>
      <c r="R186" s="67" t="str">
        <f>IFERROR(VLOOKUP(J186,線別!A:B,2,1),"")</f>
        <v>裝一線</v>
      </c>
      <c r="S186" s="17" t="str">
        <f>IFERROR(VLOOKUP(A186,已除帳印單!B:C,2,0),"")</f>
        <v/>
      </c>
      <c r="T186" s="68">
        <f t="shared" si="12"/>
        <v>43893</v>
      </c>
      <c r="U186" s="69">
        <f t="shared" si="13"/>
        <v>84.168784722222213</v>
      </c>
      <c r="V186" s="68" t="str">
        <f>IFERROR(VLOOKUP(A186,已除帳印單!B:D,3,0),"")</f>
        <v/>
      </c>
      <c r="W186" s="69" t="str">
        <f>IFERROR(VLOOKUP(A186,已除帳印單!B:E,4,0),"")</f>
        <v/>
      </c>
      <c r="X186" s="68" t="str">
        <f>IFERROR(INDEX(刷條碼區!A:C,MATCH(點上線資訊!S186,刷條碼區!C:C,0),1),"")</f>
        <v/>
      </c>
      <c r="Y186" s="69" t="str">
        <f>IFERROR(INDEX(刷條碼區!A:C,MATCH(點上線資訊!S186,刷條碼區!C:C,0),2),"")</f>
        <v/>
      </c>
      <c r="Z186" s="70" t="str">
        <f>IFERROR(INDEX(刷條碼區!D:G,MATCH(點上線資訊!S186,刷條碼區!F:F,0),1),"")</f>
        <v/>
      </c>
      <c r="AA186" s="71" t="str">
        <f>IFERROR(INDEX(刷條碼區!D:G,MATCH(點上線資訊!S186,刷條碼區!F:F,0),2),"")</f>
        <v/>
      </c>
      <c r="AB186" s="20" t="b">
        <f t="shared" si="14"/>
        <v>0</v>
      </c>
      <c r="AC186" s="20" t="b">
        <f t="shared" si="15"/>
        <v>0</v>
      </c>
      <c r="AD186" s="17" t="b">
        <f t="shared" si="16"/>
        <v>0</v>
      </c>
      <c r="AE186" s="17" t="b">
        <f t="shared" si="17"/>
        <v>0</v>
      </c>
    </row>
    <row r="187" spans="1:31" x14ac:dyDescent="0.2">
      <c r="A187" s="16">
        <v>5000491614</v>
      </c>
      <c r="B187" t="s">
        <v>6</v>
      </c>
      <c r="C187" t="s">
        <v>6</v>
      </c>
      <c r="D187" t="s">
        <v>1</v>
      </c>
      <c r="E187" t="s">
        <v>70</v>
      </c>
      <c r="F187" t="s">
        <v>760</v>
      </c>
      <c r="G187" s="2">
        <v>2</v>
      </c>
      <c r="H187" t="s">
        <v>461</v>
      </c>
      <c r="I187" t="s">
        <v>3</v>
      </c>
      <c r="J187" t="s">
        <v>8</v>
      </c>
      <c r="K187" t="s">
        <v>605</v>
      </c>
      <c r="L187" t="s">
        <v>608</v>
      </c>
      <c r="M187" t="s">
        <v>758</v>
      </c>
      <c r="N187" t="s">
        <v>602</v>
      </c>
      <c r="O187" t="s">
        <v>603</v>
      </c>
      <c r="P187" t="s">
        <v>602</v>
      </c>
      <c r="Q187" s="17">
        <f>IFERROR(VLOOKUP(A187,已除帳印單!B:C,1,0),0)*1</f>
        <v>0</v>
      </c>
      <c r="R187" s="67" t="str">
        <f>IFERROR(VLOOKUP(J187,線別!A:B,2,1),"")</f>
        <v>裝一線</v>
      </c>
      <c r="S187" s="17" t="str">
        <f>IFERROR(VLOOKUP(A187,已除帳印單!B:C,2,0),"")</f>
        <v/>
      </c>
      <c r="T187" s="68">
        <f t="shared" si="12"/>
        <v>43893</v>
      </c>
      <c r="U187" s="69">
        <f t="shared" si="13"/>
        <v>84.168784722222213</v>
      </c>
      <c r="V187" s="68" t="str">
        <f>IFERROR(VLOOKUP(A187,已除帳印單!B:D,3,0),"")</f>
        <v/>
      </c>
      <c r="W187" s="69" t="str">
        <f>IFERROR(VLOOKUP(A187,已除帳印單!B:E,4,0),"")</f>
        <v/>
      </c>
      <c r="X187" s="68" t="str">
        <f>IFERROR(INDEX(刷條碼區!A:C,MATCH(點上線資訊!S187,刷條碼區!C:C,0),1),"")</f>
        <v/>
      </c>
      <c r="Y187" s="69" t="str">
        <f>IFERROR(INDEX(刷條碼區!A:C,MATCH(點上線資訊!S187,刷條碼區!C:C,0),2),"")</f>
        <v/>
      </c>
      <c r="Z187" s="70" t="str">
        <f>IFERROR(INDEX(刷條碼區!D:G,MATCH(點上線資訊!S187,刷條碼區!F:F,0),1),"")</f>
        <v/>
      </c>
      <c r="AA187" s="71" t="str">
        <f>IFERROR(INDEX(刷條碼區!D:G,MATCH(點上線資訊!S187,刷條碼區!F:F,0),2),"")</f>
        <v/>
      </c>
      <c r="AB187" s="20" t="b">
        <f t="shared" si="14"/>
        <v>0</v>
      </c>
      <c r="AC187" s="20" t="b">
        <f t="shared" si="15"/>
        <v>0</v>
      </c>
      <c r="AD187" s="17" t="b">
        <f t="shared" si="16"/>
        <v>0</v>
      </c>
      <c r="AE187" s="17" t="b">
        <f t="shared" si="17"/>
        <v>0</v>
      </c>
    </row>
    <row r="188" spans="1:31" x14ac:dyDescent="0.2">
      <c r="A188" s="16">
        <v>5000491615</v>
      </c>
      <c r="B188" t="s">
        <v>6</v>
      </c>
      <c r="C188" t="s">
        <v>6</v>
      </c>
      <c r="D188" t="s">
        <v>1</v>
      </c>
      <c r="E188" t="s">
        <v>72</v>
      </c>
      <c r="F188" t="s">
        <v>757</v>
      </c>
      <c r="G188" s="2">
        <v>5</v>
      </c>
      <c r="H188" t="s">
        <v>461</v>
      </c>
      <c r="I188" t="s">
        <v>3</v>
      </c>
      <c r="J188" t="s">
        <v>8</v>
      </c>
      <c r="K188" t="s">
        <v>605</v>
      </c>
      <c r="L188" t="s">
        <v>608</v>
      </c>
      <c r="M188" t="s">
        <v>758</v>
      </c>
      <c r="N188" t="s">
        <v>602</v>
      </c>
      <c r="O188" t="s">
        <v>603</v>
      </c>
      <c r="P188" t="s">
        <v>602</v>
      </c>
      <c r="Q188" s="17">
        <f>IFERROR(VLOOKUP(A188,已除帳印單!B:C,1,0),0)*1</f>
        <v>0</v>
      </c>
      <c r="R188" s="67" t="str">
        <f>IFERROR(VLOOKUP(J188,線別!A:B,2,1),"")</f>
        <v>裝一線</v>
      </c>
      <c r="S188" s="17" t="str">
        <f>IFERROR(VLOOKUP(A188,已除帳印單!B:C,2,0),"")</f>
        <v/>
      </c>
      <c r="T188" s="68">
        <f t="shared" si="12"/>
        <v>43893</v>
      </c>
      <c r="U188" s="69">
        <f t="shared" si="13"/>
        <v>84.168784722222213</v>
      </c>
      <c r="V188" s="68" t="str">
        <f>IFERROR(VLOOKUP(A188,已除帳印單!B:D,3,0),"")</f>
        <v/>
      </c>
      <c r="W188" s="69" t="str">
        <f>IFERROR(VLOOKUP(A188,已除帳印單!B:E,4,0),"")</f>
        <v/>
      </c>
      <c r="X188" s="68" t="str">
        <f>IFERROR(INDEX(刷條碼區!A:C,MATCH(點上線資訊!S188,刷條碼區!C:C,0),1),"")</f>
        <v/>
      </c>
      <c r="Y188" s="69" t="str">
        <f>IFERROR(INDEX(刷條碼區!A:C,MATCH(點上線資訊!S188,刷條碼區!C:C,0),2),"")</f>
        <v/>
      </c>
      <c r="Z188" s="70" t="str">
        <f>IFERROR(INDEX(刷條碼區!D:G,MATCH(點上線資訊!S188,刷條碼區!F:F,0),1),"")</f>
        <v/>
      </c>
      <c r="AA188" s="71" t="str">
        <f>IFERROR(INDEX(刷條碼區!D:G,MATCH(點上線資訊!S188,刷條碼區!F:F,0),2),"")</f>
        <v/>
      </c>
      <c r="AB188" s="20" t="b">
        <f t="shared" si="14"/>
        <v>0</v>
      </c>
      <c r="AC188" s="20" t="b">
        <f t="shared" si="15"/>
        <v>0</v>
      </c>
      <c r="AD188" s="17" t="b">
        <f t="shared" si="16"/>
        <v>0</v>
      </c>
      <c r="AE188" s="17" t="b">
        <f t="shared" si="17"/>
        <v>0</v>
      </c>
    </row>
    <row r="189" spans="1:31" x14ac:dyDescent="0.2">
      <c r="A189" s="16">
        <v>5000491616</v>
      </c>
      <c r="B189" t="s">
        <v>6</v>
      </c>
      <c r="C189" t="s">
        <v>6</v>
      </c>
      <c r="D189" t="s">
        <v>1</v>
      </c>
      <c r="E189" t="s">
        <v>72</v>
      </c>
      <c r="F189" t="s">
        <v>757</v>
      </c>
      <c r="G189" s="2">
        <v>2</v>
      </c>
      <c r="H189" t="s">
        <v>461</v>
      </c>
      <c r="I189" t="s">
        <v>3</v>
      </c>
      <c r="J189" t="s">
        <v>8</v>
      </c>
      <c r="K189" t="s">
        <v>605</v>
      </c>
      <c r="L189" t="s">
        <v>608</v>
      </c>
      <c r="M189" t="s">
        <v>758</v>
      </c>
      <c r="N189" t="s">
        <v>602</v>
      </c>
      <c r="O189" t="s">
        <v>603</v>
      </c>
      <c r="P189" t="s">
        <v>602</v>
      </c>
      <c r="Q189" s="17">
        <f>IFERROR(VLOOKUP(A189,已除帳印單!B:C,1,0),0)*1</f>
        <v>0</v>
      </c>
      <c r="R189" s="67" t="str">
        <f>IFERROR(VLOOKUP(J189,線別!A:B,2,1),"")</f>
        <v>裝一線</v>
      </c>
      <c r="S189" s="17" t="str">
        <f>IFERROR(VLOOKUP(A189,已除帳印單!B:C,2,0),"")</f>
        <v/>
      </c>
      <c r="T189" s="68">
        <f t="shared" si="12"/>
        <v>43893</v>
      </c>
      <c r="U189" s="69">
        <f t="shared" si="13"/>
        <v>84.168784722222213</v>
      </c>
      <c r="V189" s="68" t="str">
        <f>IFERROR(VLOOKUP(A189,已除帳印單!B:D,3,0),"")</f>
        <v/>
      </c>
      <c r="W189" s="69" t="str">
        <f>IFERROR(VLOOKUP(A189,已除帳印單!B:E,4,0),"")</f>
        <v/>
      </c>
      <c r="X189" s="68" t="str">
        <f>IFERROR(INDEX(刷條碼區!A:C,MATCH(點上線資訊!S189,刷條碼區!C:C,0),1),"")</f>
        <v/>
      </c>
      <c r="Y189" s="69" t="str">
        <f>IFERROR(INDEX(刷條碼區!A:C,MATCH(點上線資訊!S189,刷條碼區!C:C,0),2),"")</f>
        <v/>
      </c>
      <c r="Z189" s="70" t="str">
        <f>IFERROR(INDEX(刷條碼區!D:G,MATCH(點上線資訊!S189,刷條碼區!F:F,0),1),"")</f>
        <v/>
      </c>
      <c r="AA189" s="71" t="str">
        <f>IFERROR(INDEX(刷條碼區!D:G,MATCH(點上線資訊!S189,刷條碼區!F:F,0),2),"")</f>
        <v/>
      </c>
      <c r="AB189" s="20" t="b">
        <f t="shared" si="14"/>
        <v>0</v>
      </c>
      <c r="AC189" s="20" t="b">
        <f t="shared" si="15"/>
        <v>0</v>
      </c>
      <c r="AD189" s="17" t="b">
        <f t="shared" si="16"/>
        <v>0</v>
      </c>
      <c r="AE189" s="17" t="b">
        <f t="shared" si="17"/>
        <v>0</v>
      </c>
    </row>
    <row r="190" spans="1:31" x14ac:dyDescent="0.2">
      <c r="A190" s="16">
        <v>5000491617</v>
      </c>
      <c r="B190" t="s">
        <v>6</v>
      </c>
      <c r="C190" t="s">
        <v>6</v>
      </c>
      <c r="D190" t="s">
        <v>1</v>
      </c>
      <c r="E190" t="s">
        <v>73</v>
      </c>
      <c r="F190" t="s">
        <v>761</v>
      </c>
      <c r="G190" s="2">
        <v>4</v>
      </c>
      <c r="H190" t="s">
        <v>461</v>
      </c>
      <c r="I190" t="s">
        <v>3</v>
      </c>
      <c r="J190" t="s">
        <v>8</v>
      </c>
      <c r="K190" t="s">
        <v>605</v>
      </c>
      <c r="L190" t="s">
        <v>608</v>
      </c>
      <c r="M190" t="s">
        <v>758</v>
      </c>
      <c r="N190" t="s">
        <v>602</v>
      </c>
      <c r="O190" t="s">
        <v>603</v>
      </c>
      <c r="P190" t="s">
        <v>602</v>
      </c>
      <c r="Q190" s="17">
        <f>IFERROR(VLOOKUP(A190,已除帳印單!B:C,1,0),0)*1</f>
        <v>0</v>
      </c>
      <c r="R190" s="67" t="str">
        <f>IFERROR(VLOOKUP(J190,線別!A:B,2,1),"")</f>
        <v>裝一線</v>
      </c>
      <c r="S190" s="17" t="str">
        <f>IFERROR(VLOOKUP(A190,已除帳印單!B:C,2,0),"")</f>
        <v/>
      </c>
      <c r="T190" s="68">
        <f t="shared" si="12"/>
        <v>43893</v>
      </c>
      <c r="U190" s="69">
        <f t="shared" si="13"/>
        <v>84.168784722222213</v>
      </c>
      <c r="V190" s="68" t="str">
        <f>IFERROR(VLOOKUP(A190,已除帳印單!B:D,3,0),"")</f>
        <v/>
      </c>
      <c r="W190" s="69" t="str">
        <f>IFERROR(VLOOKUP(A190,已除帳印單!B:E,4,0),"")</f>
        <v/>
      </c>
      <c r="X190" s="68" t="str">
        <f>IFERROR(INDEX(刷條碼區!A:C,MATCH(點上線資訊!S190,刷條碼區!C:C,0),1),"")</f>
        <v/>
      </c>
      <c r="Y190" s="69" t="str">
        <f>IFERROR(INDEX(刷條碼區!A:C,MATCH(點上線資訊!S190,刷條碼區!C:C,0),2),"")</f>
        <v/>
      </c>
      <c r="Z190" s="70" t="str">
        <f>IFERROR(INDEX(刷條碼區!D:G,MATCH(點上線資訊!S190,刷條碼區!F:F,0),1),"")</f>
        <v/>
      </c>
      <c r="AA190" s="71" t="str">
        <f>IFERROR(INDEX(刷條碼區!D:G,MATCH(點上線資訊!S190,刷條碼區!F:F,0),2),"")</f>
        <v/>
      </c>
      <c r="AB190" s="20" t="b">
        <f t="shared" si="14"/>
        <v>0</v>
      </c>
      <c r="AC190" s="20" t="b">
        <f t="shared" si="15"/>
        <v>0</v>
      </c>
      <c r="AD190" s="17" t="b">
        <f t="shared" si="16"/>
        <v>0</v>
      </c>
      <c r="AE190" s="17" t="b">
        <f t="shared" si="17"/>
        <v>0</v>
      </c>
    </row>
    <row r="191" spans="1:31" x14ac:dyDescent="0.2">
      <c r="A191" s="16">
        <v>5000492346</v>
      </c>
      <c r="B191" t="s">
        <v>6</v>
      </c>
      <c r="C191" t="s">
        <v>6</v>
      </c>
      <c r="D191" t="s">
        <v>1</v>
      </c>
      <c r="E191" t="s">
        <v>98</v>
      </c>
      <c r="F191" t="s">
        <v>544</v>
      </c>
      <c r="G191" s="2">
        <v>6</v>
      </c>
      <c r="H191" t="s">
        <v>461</v>
      </c>
      <c r="I191" t="s">
        <v>3</v>
      </c>
      <c r="J191" t="s">
        <v>8</v>
      </c>
      <c r="K191" t="s">
        <v>605</v>
      </c>
      <c r="L191" t="s">
        <v>608</v>
      </c>
      <c r="M191" t="s">
        <v>762</v>
      </c>
      <c r="N191" t="s">
        <v>602</v>
      </c>
      <c r="O191" t="s">
        <v>603</v>
      </c>
      <c r="P191" t="s">
        <v>602</v>
      </c>
      <c r="Q191" s="17">
        <f>IFERROR(VLOOKUP(A191,已除帳印單!B:C,1,0),0)*1</f>
        <v>0</v>
      </c>
      <c r="R191" s="67" t="str">
        <f>IFERROR(VLOOKUP(J191,線別!A:B,2,1),"")</f>
        <v>裝一線</v>
      </c>
      <c r="S191" s="17" t="str">
        <f>IFERROR(VLOOKUP(A191,已除帳印單!B:C,2,0),"")</f>
        <v/>
      </c>
      <c r="T191" s="68">
        <f t="shared" si="12"/>
        <v>43893</v>
      </c>
      <c r="U191" s="69">
        <f t="shared" si="13"/>
        <v>84.168784722222213</v>
      </c>
      <c r="V191" s="68" t="str">
        <f>IFERROR(VLOOKUP(A191,已除帳印單!B:D,3,0),"")</f>
        <v/>
      </c>
      <c r="W191" s="69" t="str">
        <f>IFERROR(VLOOKUP(A191,已除帳印單!B:E,4,0),"")</f>
        <v/>
      </c>
      <c r="X191" s="68" t="str">
        <f>IFERROR(INDEX(刷條碼區!A:C,MATCH(點上線資訊!S191,刷條碼區!C:C,0),1),"")</f>
        <v/>
      </c>
      <c r="Y191" s="69" t="str">
        <f>IFERROR(INDEX(刷條碼區!A:C,MATCH(點上線資訊!S191,刷條碼區!C:C,0),2),"")</f>
        <v/>
      </c>
      <c r="Z191" s="70" t="str">
        <f>IFERROR(INDEX(刷條碼區!D:G,MATCH(點上線資訊!S191,刷條碼區!F:F,0),1),"")</f>
        <v/>
      </c>
      <c r="AA191" s="71" t="str">
        <f>IFERROR(INDEX(刷條碼區!D:G,MATCH(點上線資訊!S191,刷條碼區!F:F,0),2),"")</f>
        <v/>
      </c>
      <c r="AB191" s="20" t="b">
        <f t="shared" si="14"/>
        <v>0</v>
      </c>
      <c r="AC191" s="20" t="b">
        <f t="shared" si="15"/>
        <v>0</v>
      </c>
      <c r="AD191" s="17" t="b">
        <f t="shared" si="16"/>
        <v>0</v>
      </c>
      <c r="AE191" s="17" t="b">
        <f t="shared" si="17"/>
        <v>0</v>
      </c>
    </row>
    <row r="192" spans="1:31" x14ac:dyDescent="0.2">
      <c r="A192" s="16">
        <v>5000492347</v>
      </c>
      <c r="B192" t="s">
        <v>6</v>
      </c>
      <c r="C192" t="s">
        <v>6</v>
      </c>
      <c r="D192" t="s">
        <v>1</v>
      </c>
      <c r="E192" t="s">
        <v>763</v>
      </c>
      <c r="F192" t="s">
        <v>764</v>
      </c>
      <c r="G192" s="2">
        <v>6</v>
      </c>
      <c r="H192" t="s">
        <v>461</v>
      </c>
      <c r="I192" t="s">
        <v>3</v>
      </c>
      <c r="J192" t="s">
        <v>8</v>
      </c>
      <c r="K192" t="s">
        <v>605</v>
      </c>
      <c r="L192" t="s">
        <v>608</v>
      </c>
      <c r="M192" t="s">
        <v>404</v>
      </c>
      <c r="N192" t="s">
        <v>602</v>
      </c>
      <c r="O192" t="s">
        <v>603</v>
      </c>
      <c r="P192" t="s">
        <v>602</v>
      </c>
      <c r="Q192" s="17">
        <f>IFERROR(VLOOKUP(A192,已除帳印單!B:C,1,0),0)*1</f>
        <v>0</v>
      </c>
      <c r="R192" s="67" t="str">
        <f>IFERROR(VLOOKUP(J192,線別!A:B,2,1),"")</f>
        <v>裝一線</v>
      </c>
      <c r="S192" s="17" t="str">
        <f>IFERROR(VLOOKUP(A192,已除帳印單!B:C,2,0),"")</f>
        <v/>
      </c>
      <c r="T192" s="68">
        <f t="shared" si="12"/>
        <v>43893</v>
      </c>
      <c r="U192" s="69">
        <f t="shared" si="13"/>
        <v>84.168784722222213</v>
      </c>
      <c r="V192" s="68" t="str">
        <f>IFERROR(VLOOKUP(A192,已除帳印單!B:D,3,0),"")</f>
        <v/>
      </c>
      <c r="W192" s="69" t="str">
        <f>IFERROR(VLOOKUP(A192,已除帳印單!B:E,4,0),"")</f>
        <v/>
      </c>
      <c r="X192" s="68" t="str">
        <f>IFERROR(INDEX(刷條碼區!A:C,MATCH(點上線資訊!S192,刷條碼區!C:C,0),1),"")</f>
        <v/>
      </c>
      <c r="Y192" s="69" t="str">
        <f>IFERROR(INDEX(刷條碼區!A:C,MATCH(點上線資訊!S192,刷條碼區!C:C,0),2),"")</f>
        <v/>
      </c>
      <c r="Z192" s="70" t="str">
        <f>IFERROR(INDEX(刷條碼區!D:G,MATCH(點上線資訊!S192,刷條碼區!F:F,0),1),"")</f>
        <v/>
      </c>
      <c r="AA192" s="71" t="str">
        <f>IFERROR(INDEX(刷條碼區!D:G,MATCH(點上線資訊!S192,刷條碼區!F:F,0),2),"")</f>
        <v/>
      </c>
      <c r="AB192" s="20" t="b">
        <f t="shared" si="14"/>
        <v>0</v>
      </c>
      <c r="AC192" s="20" t="b">
        <f t="shared" si="15"/>
        <v>0</v>
      </c>
      <c r="AD192" s="17" t="b">
        <f t="shared" si="16"/>
        <v>0</v>
      </c>
      <c r="AE192" s="17" t="b">
        <f t="shared" si="17"/>
        <v>0</v>
      </c>
    </row>
    <row r="193" spans="1:31" x14ac:dyDescent="0.2">
      <c r="A193" s="16">
        <v>5000492348</v>
      </c>
      <c r="B193" t="s">
        <v>6</v>
      </c>
      <c r="C193" t="s">
        <v>6</v>
      </c>
      <c r="D193" t="s">
        <v>1</v>
      </c>
      <c r="E193" t="s">
        <v>765</v>
      </c>
      <c r="F193" t="s">
        <v>766</v>
      </c>
      <c r="G193" s="2">
        <v>4</v>
      </c>
      <c r="H193" t="s">
        <v>461</v>
      </c>
      <c r="I193" t="s">
        <v>3</v>
      </c>
      <c r="J193" t="s">
        <v>8</v>
      </c>
      <c r="K193" t="s">
        <v>605</v>
      </c>
      <c r="L193" t="s">
        <v>608</v>
      </c>
      <c r="M193" t="s">
        <v>409</v>
      </c>
      <c r="N193" t="s">
        <v>602</v>
      </c>
      <c r="O193" t="s">
        <v>603</v>
      </c>
      <c r="P193" t="s">
        <v>602</v>
      </c>
      <c r="Q193" s="17">
        <f>IFERROR(VLOOKUP(A193,已除帳印單!B:C,1,0),0)*1</f>
        <v>0</v>
      </c>
      <c r="R193" s="67" t="str">
        <f>IFERROR(VLOOKUP(J193,線別!A:B,2,1),"")</f>
        <v>裝一線</v>
      </c>
      <c r="S193" s="17" t="str">
        <f>IFERROR(VLOOKUP(A193,已除帳印單!B:C,2,0),"")</f>
        <v/>
      </c>
      <c r="T193" s="68">
        <f t="shared" si="12"/>
        <v>43893</v>
      </c>
      <c r="U193" s="69">
        <f t="shared" si="13"/>
        <v>84.168784722222213</v>
      </c>
      <c r="V193" s="68" t="str">
        <f>IFERROR(VLOOKUP(A193,已除帳印單!B:D,3,0),"")</f>
        <v/>
      </c>
      <c r="W193" s="69" t="str">
        <f>IFERROR(VLOOKUP(A193,已除帳印單!B:E,4,0),"")</f>
        <v/>
      </c>
      <c r="X193" s="68" t="str">
        <f>IFERROR(INDEX(刷條碼區!A:C,MATCH(點上線資訊!S193,刷條碼區!C:C,0),1),"")</f>
        <v/>
      </c>
      <c r="Y193" s="69" t="str">
        <f>IFERROR(INDEX(刷條碼區!A:C,MATCH(點上線資訊!S193,刷條碼區!C:C,0),2),"")</f>
        <v/>
      </c>
      <c r="Z193" s="70" t="str">
        <f>IFERROR(INDEX(刷條碼區!D:G,MATCH(點上線資訊!S193,刷條碼區!F:F,0),1),"")</f>
        <v/>
      </c>
      <c r="AA193" s="71" t="str">
        <f>IFERROR(INDEX(刷條碼區!D:G,MATCH(點上線資訊!S193,刷條碼區!F:F,0),2),"")</f>
        <v/>
      </c>
      <c r="AB193" s="20" t="b">
        <f t="shared" si="14"/>
        <v>0</v>
      </c>
      <c r="AC193" s="20" t="b">
        <f t="shared" si="15"/>
        <v>0</v>
      </c>
      <c r="AD193" s="17" t="b">
        <f t="shared" si="16"/>
        <v>0</v>
      </c>
      <c r="AE193" s="17" t="b">
        <f t="shared" si="17"/>
        <v>0</v>
      </c>
    </row>
    <row r="194" spans="1:31" x14ac:dyDescent="0.2">
      <c r="A194" s="16">
        <v>5000492349</v>
      </c>
      <c r="B194" t="s">
        <v>6</v>
      </c>
      <c r="C194" t="s">
        <v>6</v>
      </c>
      <c r="D194" t="s">
        <v>1</v>
      </c>
      <c r="E194" t="s">
        <v>103</v>
      </c>
      <c r="F194" t="s">
        <v>767</v>
      </c>
      <c r="G194" s="2">
        <v>3</v>
      </c>
      <c r="H194" t="s">
        <v>461</v>
      </c>
      <c r="I194" t="s">
        <v>3</v>
      </c>
      <c r="J194" t="s">
        <v>8</v>
      </c>
      <c r="K194" t="s">
        <v>605</v>
      </c>
      <c r="L194" t="s">
        <v>608</v>
      </c>
      <c r="M194" t="s">
        <v>768</v>
      </c>
      <c r="N194" t="s">
        <v>602</v>
      </c>
      <c r="O194" t="s">
        <v>603</v>
      </c>
      <c r="P194" t="s">
        <v>602</v>
      </c>
      <c r="Q194" s="17">
        <f>IFERROR(VLOOKUP(A194,已除帳印單!B:C,1,0),0)*1</f>
        <v>0</v>
      </c>
      <c r="R194" s="67" t="str">
        <f>IFERROR(VLOOKUP(J194,線別!A:B,2,1),"")</f>
        <v>裝一線</v>
      </c>
      <c r="S194" s="17" t="str">
        <f>IFERROR(VLOOKUP(A194,已除帳印單!B:C,2,0),"")</f>
        <v/>
      </c>
      <c r="T194" s="68">
        <f t="shared" si="12"/>
        <v>43893</v>
      </c>
      <c r="U194" s="69">
        <f t="shared" si="13"/>
        <v>84.168784722222213</v>
      </c>
      <c r="V194" s="68" t="str">
        <f>IFERROR(VLOOKUP(A194,已除帳印單!B:D,3,0),"")</f>
        <v/>
      </c>
      <c r="W194" s="69" t="str">
        <f>IFERROR(VLOOKUP(A194,已除帳印單!B:E,4,0),"")</f>
        <v/>
      </c>
      <c r="X194" s="68" t="str">
        <f>IFERROR(INDEX(刷條碼區!A:C,MATCH(點上線資訊!S194,刷條碼區!C:C,0),1),"")</f>
        <v/>
      </c>
      <c r="Y194" s="69" t="str">
        <f>IFERROR(INDEX(刷條碼區!A:C,MATCH(點上線資訊!S194,刷條碼區!C:C,0),2),"")</f>
        <v/>
      </c>
      <c r="Z194" s="70" t="str">
        <f>IFERROR(INDEX(刷條碼區!D:G,MATCH(點上線資訊!S194,刷條碼區!F:F,0),1),"")</f>
        <v/>
      </c>
      <c r="AA194" s="71" t="str">
        <f>IFERROR(INDEX(刷條碼區!D:G,MATCH(點上線資訊!S194,刷條碼區!F:F,0),2),"")</f>
        <v/>
      </c>
      <c r="AB194" s="20" t="b">
        <f t="shared" si="14"/>
        <v>0</v>
      </c>
      <c r="AC194" s="20" t="b">
        <f t="shared" si="15"/>
        <v>0</v>
      </c>
      <c r="AD194" s="17" t="b">
        <f t="shared" si="16"/>
        <v>0</v>
      </c>
      <c r="AE194" s="17" t="b">
        <f t="shared" si="17"/>
        <v>0</v>
      </c>
    </row>
    <row r="195" spans="1:31" x14ac:dyDescent="0.2">
      <c r="A195" s="16">
        <v>5000492350</v>
      </c>
      <c r="B195" t="s">
        <v>6</v>
      </c>
      <c r="C195" t="s">
        <v>6</v>
      </c>
      <c r="D195" t="s">
        <v>1</v>
      </c>
      <c r="E195" t="s">
        <v>769</v>
      </c>
      <c r="F195" t="s">
        <v>770</v>
      </c>
      <c r="G195" s="2">
        <v>6</v>
      </c>
      <c r="H195" t="s">
        <v>461</v>
      </c>
      <c r="I195" t="s">
        <v>3</v>
      </c>
      <c r="J195" t="s">
        <v>8</v>
      </c>
      <c r="K195" t="s">
        <v>605</v>
      </c>
      <c r="L195" t="s">
        <v>608</v>
      </c>
      <c r="M195" t="s">
        <v>409</v>
      </c>
      <c r="N195" t="s">
        <v>602</v>
      </c>
      <c r="O195" t="s">
        <v>603</v>
      </c>
      <c r="P195" t="s">
        <v>602</v>
      </c>
      <c r="Q195" s="17">
        <f>IFERROR(VLOOKUP(A195,已除帳印單!B:C,1,0),0)*1</f>
        <v>0</v>
      </c>
      <c r="R195" s="67" t="str">
        <f>IFERROR(VLOOKUP(J195,線別!A:B,2,1),"")</f>
        <v>裝一線</v>
      </c>
      <c r="S195" s="17" t="str">
        <f>IFERROR(VLOOKUP(A195,已除帳印單!B:C,2,0),"")</f>
        <v/>
      </c>
      <c r="T195" s="68">
        <f t="shared" ref="T195:T258" si="18">--TEXT(B195,"0000-00-00")</f>
        <v>43893</v>
      </c>
      <c r="U195" s="69">
        <f t="shared" ref="U195:U258" si="19">--TEXT(C195,"00\:00\:00")</f>
        <v>84.168784722222213</v>
      </c>
      <c r="V195" s="68" t="str">
        <f>IFERROR(VLOOKUP(A195,已除帳印單!B:D,3,0),"")</f>
        <v/>
      </c>
      <c r="W195" s="69" t="str">
        <f>IFERROR(VLOOKUP(A195,已除帳印單!B:E,4,0),"")</f>
        <v/>
      </c>
      <c r="X195" s="68" t="str">
        <f>IFERROR(INDEX(刷條碼區!A:C,MATCH(點上線資訊!S195,刷條碼區!C:C,0),1),"")</f>
        <v/>
      </c>
      <c r="Y195" s="69" t="str">
        <f>IFERROR(INDEX(刷條碼區!A:C,MATCH(點上線資訊!S195,刷條碼區!C:C,0),2),"")</f>
        <v/>
      </c>
      <c r="Z195" s="70" t="str">
        <f>IFERROR(INDEX(刷條碼區!D:G,MATCH(點上線資訊!S195,刷條碼區!F:F,0),1),"")</f>
        <v/>
      </c>
      <c r="AA195" s="71" t="str">
        <f>IFERROR(INDEX(刷條碼區!D:G,MATCH(點上線資訊!S195,刷條碼區!F:F,0),2),"")</f>
        <v/>
      </c>
      <c r="AB195" s="20" t="b">
        <f t="shared" ref="AB195:AB258" si="20">IF(K195&amp;N195="",G195)</f>
        <v>0</v>
      </c>
      <c r="AC195" s="20" t="b">
        <f t="shared" ref="AC195:AC258" si="21">IF(S195&lt;&gt;"",G195)</f>
        <v>0</v>
      </c>
      <c r="AD195" s="17" t="b">
        <f t="shared" ref="AD195:AD258" si="22">IF(X195&lt;&gt;"",G195)</f>
        <v>0</v>
      </c>
      <c r="AE195" s="17" t="b">
        <f t="shared" ref="AE195:AE258" si="23">IF(Z195&lt;&gt;"",G195)</f>
        <v>0</v>
      </c>
    </row>
    <row r="196" spans="1:31" x14ac:dyDescent="0.2">
      <c r="A196" s="16">
        <v>5000492351</v>
      </c>
      <c r="B196" t="s">
        <v>0</v>
      </c>
      <c r="C196" t="s">
        <v>0</v>
      </c>
      <c r="D196" t="s">
        <v>1</v>
      </c>
      <c r="E196" t="s">
        <v>771</v>
      </c>
      <c r="F196" t="s">
        <v>772</v>
      </c>
      <c r="G196" s="2">
        <v>4</v>
      </c>
      <c r="H196" t="s">
        <v>461</v>
      </c>
      <c r="I196" t="s">
        <v>3</v>
      </c>
      <c r="J196" t="s">
        <v>19</v>
      </c>
      <c r="K196" t="s">
        <v>605</v>
      </c>
      <c r="L196" t="s">
        <v>608</v>
      </c>
      <c r="M196" t="s">
        <v>773</v>
      </c>
      <c r="N196" t="s">
        <v>602</v>
      </c>
      <c r="O196" t="s">
        <v>603</v>
      </c>
      <c r="P196" t="s">
        <v>602</v>
      </c>
      <c r="Q196" s="17">
        <f>IFERROR(VLOOKUP(A196,已除帳印單!B:C,1,0),0)*1</f>
        <v>0</v>
      </c>
      <c r="R196" s="67" t="str">
        <f>IFERROR(VLOOKUP(J196,線別!A:B,2,1),"")</f>
        <v>FM_IA預組</v>
      </c>
      <c r="S196" s="17" t="str">
        <f>IFERROR(VLOOKUP(A196,已除帳印單!B:C,2,0),"")</f>
        <v/>
      </c>
      <c r="T196" s="68">
        <f t="shared" si="18"/>
        <v>43892</v>
      </c>
      <c r="U196" s="69">
        <f t="shared" si="19"/>
        <v>84.168773148148148</v>
      </c>
      <c r="V196" s="68" t="str">
        <f>IFERROR(VLOOKUP(A196,已除帳印單!B:D,3,0),"")</f>
        <v/>
      </c>
      <c r="W196" s="69" t="str">
        <f>IFERROR(VLOOKUP(A196,已除帳印單!B:E,4,0),"")</f>
        <v/>
      </c>
      <c r="X196" s="68" t="str">
        <f>IFERROR(INDEX(刷條碼區!A:C,MATCH(點上線資訊!S196,刷條碼區!C:C,0),1),"")</f>
        <v/>
      </c>
      <c r="Y196" s="69" t="str">
        <f>IFERROR(INDEX(刷條碼區!A:C,MATCH(點上線資訊!S196,刷條碼區!C:C,0),2),"")</f>
        <v/>
      </c>
      <c r="Z196" s="70" t="str">
        <f>IFERROR(INDEX(刷條碼區!D:G,MATCH(點上線資訊!S196,刷條碼區!F:F,0),1),"")</f>
        <v/>
      </c>
      <c r="AA196" s="71" t="str">
        <f>IFERROR(INDEX(刷條碼區!D:G,MATCH(點上線資訊!S196,刷條碼區!F:F,0),2),"")</f>
        <v/>
      </c>
      <c r="AB196" s="20" t="b">
        <f t="shared" si="20"/>
        <v>0</v>
      </c>
      <c r="AC196" s="20" t="b">
        <f t="shared" si="21"/>
        <v>0</v>
      </c>
      <c r="AD196" s="17" t="b">
        <f t="shared" si="22"/>
        <v>0</v>
      </c>
      <c r="AE196" s="17" t="b">
        <f t="shared" si="23"/>
        <v>0</v>
      </c>
    </row>
    <row r="197" spans="1:31" x14ac:dyDescent="0.2">
      <c r="A197" s="16">
        <v>5000492354</v>
      </c>
      <c r="B197" t="s">
        <v>0</v>
      </c>
      <c r="C197" t="s">
        <v>0</v>
      </c>
      <c r="D197" t="s">
        <v>1</v>
      </c>
      <c r="E197" t="s">
        <v>774</v>
      </c>
      <c r="F197" t="s">
        <v>775</v>
      </c>
      <c r="G197" s="2">
        <v>1</v>
      </c>
      <c r="H197" t="s">
        <v>461</v>
      </c>
      <c r="I197" t="s">
        <v>3</v>
      </c>
      <c r="J197" t="s">
        <v>19</v>
      </c>
      <c r="K197" t="s">
        <v>605</v>
      </c>
      <c r="L197" t="s">
        <v>608</v>
      </c>
      <c r="M197" t="s">
        <v>776</v>
      </c>
      <c r="N197" t="s">
        <v>602</v>
      </c>
      <c r="O197" t="s">
        <v>603</v>
      </c>
      <c r="P197" t="s">
        <v>602</v>
      </c>
      <c r="Q197" s="17">
        <f>IFERROR(VLOOKUP(A197,已除帳印單!B:C,1,0),0)*1</f>
        <v>0</v>
      </c>
      <c r="R197" s="67" t="str">
        <f>IFERROR(VLOOKUP(J197,線別!A:B,2,1),"")</f>
        <v>FM_IA預組</v>
      </c>
      <c r="S197" s="17" t="str">
        <f>IFERROR(VLOOKUP(A197,已除帳印單!B:C,2,0),"")</f>
        <v/>
      </c>
      <c r="T197" s="68">
        <f t="shared" si="18"/>
        <v>43892</v>
      </c>
      <c r="U197" s="69">
        <f t="shared" si="19"/>
        <v>84.168773148148148</v>
      </c>
      <c r="V197" s="68" t="str">
        <f>IFERROR(VLOOKUP(A197,已除帳印單!B:D,3,0),"")</f>
        <v/>
      </c>
      <c r="W197" s="69" t="str">
        <f>IFERROR(VLOOKUP(A197,已除帳印單!B:E,4,0),"")</f>
        <v/>
      </c>
      <c r="X197" s="68" t="str">
        <f>IFERROR(INDEX(刷條碼區!A:C,MATCH(點上線資訊!S197,刷條碼區!C:C,0),1),"")</f>
        <v/>
      </c>
      <c r="Y197" s="69" t="str">
        <f>IFERROR(INDEX(刷條碼區!A:C,MATCH(點上線資訊!S197,刷條碼區!C:C,0),2),"")</f>
        <v/>
      </c>
      <c r="Z197" s="70" t="str">
        <f>IFERROR(INDEX(刷條碼區!D:G,MATCH(點上線資訊!S197,刷條碼區!F:F,0),1),"")</f>
        <v/>
      </c>
      <c r="AA197" s="71" t="str">
        <f>IFERROR(INDEX(刷條碼區!D:G,MATCH(點上線資訊!S197,刷條碼區!F:F,0),2),"")</f>
        <v/>
      </c>
      <c r="AB197" s="20" t="b">
        <f t="shared" si="20"/>
        <v>0</v>
      </c>
      <c r="AC197" s="20" t="b">
        <f t="shared" si="21"/>
        <v>0</v>
      </c>
      <c r="AD197" s="17" t="b">
        <f t="shared" si="22"/>
        <v>0</v>
      </c>
      <c r="AE197" s="17" t="b">
        <f t="shared" si="23"/>
        <v>0</v>
      </c>
    </row>
    <row r="198" spans="1:31" x14ac:dyDescent="0.2">
      <c r="A198" s="16">
        <v>5000492355</v>
      </c>
      <c r="B198" t="s">
        <v>0</v>
      </c>
      <c r="C198" t="s">
        <v>0</v>
      </c>
      <c r="D198" t="s">
        <v>1</v>
      </c>
      <c r="E198" t="s">
        <v>777</v>
      </c>
      <c r="F198" t="s">
        <v>778</v>
      </c>
      <c r="G198" s="2">
        <v>5</v>
      </c>
      <c r="H198" t="s">
        <v>461</v>
      </c>
      <c r="I198" t="s">
        <v>3</v>
      </c>
      <c r="J198" t="s">
        <v>19</v>
      </c>
      <c r="K198" t="s">
        <v>605</v>
      </c>
      <c r="L198" t="s">
        <v>608</v>
      </c>
      <c r="M198" t="s">
        <v>773</v>
      </c>
      <c r="N198" t="s">
        <v>602</v>
      </c>
      <c r="O198" t="s">
        <v>603</v>
      </c>
      <c r="P198" t="s">
        <v>602</v>
      </c>
      <c r="Q198" s="17">
        <f>IFERROR(VLOOKUP(A198,已除帳印單!B:C,1,0),0)*1</f>
        <v>0</v>
      </c>
      <c r="R198" s="67" t="str">
        <f>IFERROR(VLOOKUP(J198,線別!A:B,2,1),"")</f>
        <v>FM_IA預組</v>
      </c>
      <c r="S198" s="17" t="str">
        <f>IFERROR(VLOOKUP(A198,已除帳印單!B:C,2,0),"")</f>
        <v/>
      </c>
      <c r="T198" s="68">
        <f t="shared" si="18"/>
        <v>43892</v>
      </c>
      <c r="U198" s="69">
        <f t="shared" si="19"/>
        <v>84.168773148148148</v>
      </c>
      <c r="V198" s="68" t="str">
        <f>IFERROR(VLOOKUP(A198,已除帳印單!B:D,3,0),"")</f>
        <v/>
      </c>
      <c r="W198" s="69" t="str">
        <f>IFERROR(VLOOKUP(A198,已除帳印單!B:E,4,0),"")</f>
        <v/>
      </c>
      <c r="X198" s="68" t="str">
        <f>IFERROR(INDEX(刷條碼區!A:C,MATCH(點上線資訊!S198,刷條碼區!C:C,0),1),"")</f>
        <v/>
      </c>
      <c r="Y198" s="69" t="str">
        <f>IFERROR(INDEX(刷條碼區!A:C,MATCH(點上線資訊!S198,刷條碼區!C:C,0),2),"")</f>
        <v/>
      </c>
      <c r="Z198" s="70" t="str">
        <f>IFERROR(INDEX(刷條碼區!D:G,MATCH(點上線資訊!S198,刷條碼區!F:F,0),1),"")</f>
        <v/>
      </c>
      <c r="AA198" s="71" t="str">
        <f>IFERROR(INDEX(刷條碼區!D:G,MATCH(點上線資訊!S198,刷條碼區!F:F,0),2),"")</f>
        <v/>
      </c>
      <c r="AB198" s="20" t="b">
        <f t="shared" si="20"/>
        <v>0</v>
      </c>
      <c r="AC198" s="20" t="b">
        <f t="shared" si="21"/>
        <v>0</v>
      </c>
      <c r="AD198" s="17" t="b">
        <f t="shared" si="22"/>
        <v>0</v>
      </c>
      <c r="AE198" s="17" t="b">
        <f t="shared" si="23"/>
        <v>0</v>
      </c>
    </row>
    <row r="199" spans="1:31" x14ac:dyDescent="0.2">
      <c r="A199" s="16">
        <v>5000492357</v>
      </c>
      <c r="B199" t="s">
        <v>0</v>
      </c>
      <c r="C199" t="s">
        <v>0</v>
      </c>
      <c r="D199" t="s">
        <v>1</v>
      </c>
      <c r="E199" t="s">
        <v>779</v>
      </c>
      <c r="F199" t="s">
        <v>780</v>
      </c>
      <c r="G199" s="2">
        <v>4</v>
      </c>
      <c r="H199" t="s">
        <v>461</v>
      </c>
      <c r="I199" t="s">
        <v>3</v>
      </c>
      <c r="J199" t="s">
        <v>19</v>
      </c>
      <c r="K199" t="s">
        <v>605</v>
      </c>
      <c r="L199" t="s">
        <v>608</v>
      </c>
      <c r="M199" t="s">
        <v>773</v>
      </c>
      <c r="N199" t="s">
        <v>602</v>
      </c>
      <c r="O199" t="s">
        <v>603</v>
      </c>
      <c r="P199" t="s">
        <v>602</v>
      </c>
      <c r="Q199" s="17">
        <f>IFERROR(VLOOKUP(A199,已除帳印單!B:C,1,0),0)*1</f>
        <v>0</v>
      </c>
      <c r="R199" s="67" t="str">
        <f>IFERROR(VLOOKUP(J199,線別!A:B,2,1),"")</f>
        <v>FM_IA預組</v>
      </c>
      <c r="S199" s="17" t="str">
        <f>IFERROR(VLOOKUP(A199,已除帳印單!B:C,2,0),"")</f>
        <v/>
      </c>
      <c r="T199" s="68">
        <f t="shared" si="18"/>
        <v>43892</v>
      </c>
      <c r="U199" s="69">
        <f t="shared" si="19"/>
        <v>84.168773148148148</v>
      </c>
      <c r="V199" s="68" t="str">
        <f>IFERROR(VLOOKUP(A199,已除帳印單!B:D,3,0),"")</f>
        <v/>
      </c>
      <c r="W199" s="69" t="str">
        <f>IFERROR(VLOOKUP(A199,已除帳印單!B:E,4,0),"")</f>
        <v/>
      </c>
      <c r="X199" s="68" t="str">
        <f>IFERROR(INDEX(刷條碼區!A:C,MATCH(點上線資訊!S199,刷條碼區!C:C,0),1),"")</f>
        <v/>
      </c>
      <c r="Y199" s="69" t="str">
        <f>IFERROR(INDEX(刷條碼區!A:C,MATCH(點上線資訊!S199,刷條碼區!C:C,0),2),"")</f>
        <v/>
      </c>
      <c r="Z199" s="70" t="str">
        <f>IFERROR(INDEX(刷條碼區!D:G,MATCH(點上線資訊!S199,刷條碼區!F:F,0),1),"")</f>
        <v/>
      </c>
      <c r="AA199" s="71" t="str">
        <f>IFERROR(INDEX(刷條碼區!D:G,MATCH(點上線資訊!S199,刷條碼區!F:F,0),2),"")</f>
        <v/>
      </c>
      <c r="AB199" s="20" t="b">
        <f t="shared" si="20"/>
        <v>0</v>
      </c>
      <c r="AC199" s="20" t="b">
        <f t="shared" si="21"/>
        <v>0</v>
      </c>
      <c r="AD199" s="17" t="b">
        <f t="shared" si="22"/>
        <v>0</v>
      </c>
      <c r="AE199" s="17" t="b">
        <f t="shared" si="23"/>
        <v>0</v>
      </c>
    </row>
    <row r="200" spans="1:31" x14ac:dyDescent="0.2">
      <c r="A200" s="16">
        <v>5000492358</v>
      </c>
      <c r="B200" t="s">
        <v>0</v>
      </c>
      <c r="C200" t="s">
        <v>0</v>
      </c>
      <c r="D200" t="s">
        <v>1</v>
      </c>
      <c r="E200" t="s">
        <v>781</v>
      </c>
      <c r="F200" t="s">
        <v>782</v>
      </c>
      <c r="G200" s="2">
        <v>2</v>
      </c>
      <c r="H200" t="s">
        <v>461</v>
      </c>
      <c r="I200" t="s">
        <v>3</v>
      </c>
      <c r="J200" t="s">
        <v>19</v>
      </c>
      <c r="K200" t="s">
        <v>605</v>
      </c>
      <c r="L200" t="s">
        <v>608</v>
      </c>
      <c r="M200" t="s">
        <v>776</v>
      </c>
      <c r="N200" t="s">
        <v>602</v>
      </c>
      <c r="O200" t="s">
        <v>603</v>
      </c>
      <c r="P200" t="s">
        <v>602</v>
      </c>
      <c r="Q200" s="17">
        <f>IFERROR(VLOOKUP(A200,已除帳印單!B:C,1,0),0)*1</f>
        <v>0</v>
      </c>
      <c r="R200" s="67" t="str">
        <f>IFERROR(VLOOKUP(J200,線別!A:B,2,1),"")</f>
        <v>FM_IA預組</v>
      </c>
      <c r="S200" s="17" t="str">
        <f>IFERROR(VLOOKUP(A200,已除帳印單!B:C,2,0),"")</f>
        <v/>
      </c>
      <c r="T200" s="68">
        <f t="shared" si="18"/>
        <v>43892</v>
      </c>
      <c r="U200" s="69">
        <f t="shared" si="19"/>
        <v>84.168773148148148</v>
      </c>
      <c r="V200" s="68" t="str">
        <f>IFERROR(VLOOKUP(A200,已除帳印單!B:D,3,0),"")</f>
        <v/>
      </c>
      <c r="W200" s="69" t="str">
        <f>IFERROR(VLOOKUP(A200,已除帳印單!B:E,4,0),"")</f>
        <v/>
      </c>
      <c r="X200" s="68" t="str">
        <f>IFERROR(INDEX(刷條碼區!A:C,MATCH(點上線資訊!S200,刷條碼區!C:C,0),1),"")</f>
        <v/>
      </c>
      <c r="Y200" s="69" t="str">
        <f>IFERROR(INDEX(刷條碼區!A:C,MATCH(點上線資訊!S200,刷條碼區!C:C,0),2),"")</f>
        <v/>
      </c>
      <c r="Z200" s="70" t="str">
        <f>IFERROR(INDEX(刷條碼區!D:G,MATCH(點上線資訊!S200,刷條碼區!F:F,0),1),"")</f>
        <v/>
      </c>
      <c r="AA200" s="71" t="str">
        <f>IFERROR(INDEX(刷條碼區!D:G,MATCH(點上線資訊!S200,刷條碼區!F:F,0),2),"")</f>
        <v/>
      </c>
      <c r="AB200" s="20" t="b">
        <f t="shared" si="20"/>
        <v>0</v>
      </c>
      <c r="AC200" s="20" t="b">
        <f t="shared" si="21"/>
        <v>0</v>
      </c>
      <c r="AD200" s="17" t="b">
        <f t="shared" si="22"/>
        <v>0</v>
      </c>
      <c r="AE200" s="17" t="b">
        <f t="shared" si="23"/>
        <v>0</v>
      </c>
    </row>
    <row r="201" spans="1:31" x14ac:dyDescent="0.2">
      <c r="A201" s="16">
        <v>5000492359</v>
      </c>
      <c r="B201" t="s">
        <v>0</v>
      </c>
      <c r="C201" t="s">
        <v>0</v>
      </c>
      <c r="D201" t="s">
        <v>1</v>
      </c>
      <c r="E201" t="s">
        <v>783</v>
      </c>
      <c r="F201" t="s">
        <v>784</v>
      </c>
      <c r="G201" s="2">
        <v>9</v>
      </c>
      <c r="H201" t="s">
        <v>461</v>
      </c>
      <c r="I201" t="s">
        <v>3</v>
      </c>
      <c r="J201" t="s">
        <v>19</v>
      </c>
      <c r="K201" t="s">
        <v>605</v>
      </c>
      <c r="L201" t="s">
        <v>608</v>
      </c>
      <c r="M201" t="s">
        <v>776</v>
      </c>
      <c r="N201" t="s">
        <v>602</v>
      </c>
      <c r="O201" t="s">
        <v>603</v>
      </c>
      <c r="P201" t="s">
        <v>602</v>
      </c>
      <c r="Q201" s="17">
        <f>IFERROR(VLOOKUP(A201,已除帳印單!B:C,1,0),0)*1</f>
        <v>0</v>
      </c>
      <c r="R201" s="67" t="str">
        <f>IFERROR(VLOOKUP(J201,線別!A:B,2,1),"")</f>
        <v>FM_IA預組</v>
      </c>
      <c r="S201" s="17" t="str">
        <f>IFERROR(VLOOKUP(A201,已除帳印單!B:C,2,0),"")</f>
        <v/>
      </c>
      <c r="T201" s="68">
        <f t="shared" si="18"/>
        <v>43892</v>
      </c>
      <c r="U201" s="69">
        <f t="shared" si="19"/>
        <v>84.168773148148148</v>
      </c>
      <c r="V201" s="68" t="str">
        <f>IFERROR(VLOOKUP(A201,已除帳印單!B:D,3,0),"")</f>
        <v/>
      </c>
      <c r="W201" s="69" t="str">
        <f>IFERROR(VLOOKUP(A201,已除帳印單!B:E,4,0),"")</f>
        <v/>
      </c>
      <c r="X201" s="68" t="str">
        <f>IFERROR(INDEX(刷條碼區!A:C,MATCH(點上線資訊!S201,刷條碼區!C:C,0),1),"")</f>
        <v/>
      </c>
      <c r="Y201" s="69" t="str">
        <f>IFERROR(INDEX(刷條碼區!A:C,MATCH(點上線資訊!S201,刷條碼區!C:C,0),2),"")</f>
        <v/>
      </c>
      <c r="Z201" s="70" t="str">
        <f>IFERROR(INDEX(刷條碼區!D:G,MATCH(點上線資訊!S201,刷條碼區!F:F,0),1),"")</f>
        <v/>
      </c>
      <c r="AA201" s="71" t="str">
        <f>IFERROR(INDEX(刷條碼區!D:G,MATCH(點上線資訊!S201,刷條碼區!F:F,0),2),"")</f>
        <v/>
      </c>
      <c r="AB201" s="20" t="b">
        <f t="shared" si="20"/>
        <v>0</v>
      </c>
      <c r="AC201" s="20" t="b">
        <f t="shared" si="21"/>
        <v>0</v>
      </c>
      <c r="AD201" s="17" t="b">
        <f t="shared" si="22"/>
        <v>0</v>
      </c>
      <c r="AE201" s="17" t="b">
        <f t="shared" si="23"/>
        <v>0</v>
      </c>
    </row>
    <row r="202" spans="1:31" x14ac:dyDescent="0.2">
      <c r="A202" s="16">
        <v>5000492360</v>
      </c>
      <c r="B202" t="s">
        <v>0</v>
      </c>
      <c r="C202" t="s">
        <v>0</v>
      </c>
      <c r="D202" t="s">
        <v>1</v>
      </c>
      <c r="E202" t="s">
        <v>785</v>
      </c>
      <c r="F202" t="s">
        <v>786</v>
      </c>
      <c r="G202" s="2">
        <v>10</v>
      </c>
      <c r="H202" t="s">
        <v>461</v>
      </c>
      <c r="I202" t="s">
        <v>3</v>
      </c>
      <c r="J202" t="s">
        <v>19</v>
      </c>
      <c r="K202" t="s">
        <v>605</v>
      </c>
      <c r="L202" t="s">
        <v>608</v>
      </c>
      <c r="M202" t="s">
        <v>776</v>
      </c>
      <c r="N202" t="s">
        <v>602</v>
      </c>
      <c r="O202" t="s">
        <v>603</v>
      </c>
      <c r="P202" t="s">
        <v>602</v>
      </c>
      <c r="Q202" s="17">
        <f>IFERROR(VLOOKUP(A202,已除帳印單!B:C,1,0),0)*1</f>
        <v>0</v>
      </c>
      <c r="R202" s="67" t="str">
        <f>IFERROR(VLOOKUP(J202,線別!A:B,2,1),"")</f>
        <v>FM_IA預組</v>
      </c>
      <c r="S202" s="17" t="str">
        <f>IFERROR(VLOOKUP(A202,已除帳印單!B:C,2,0),"")</f>
        <v/>
      </c>
      <c r="T202" s="68">
        <f t="shared" si="18"/>
        <v>43892</v>
      </c>
      <c r="U202" s="69">
        <f t="shared" si="19"/>
        <v>84.168773148148148</v>
      </c>
      <c r="V202" s="68" t="str">
        <f>IFERROR(VLOOKUP(A202,已除帳印單!B:D,3,0),"")</f>
        <v/>
      </c>
      <c r="W202" s="69" t="str">
        <f>IFERROR(VLOOKUP(A202,已除帳印單!B:E,4,0),"")</f>
        <v/>
      </c>
      <c r="X202" s="68" t="str">
        <f>IFERROR(INDEX(刷條碼區!A:C,MATCH(點上線資訊!S202,刷條碼區!C:C,0),1),"")</f>
        <v/>
      </c>
      <c r="Y202" s="69" t="str">
        <f>IFERROR(INDEX(刷條碼區!A:C,MATCH(點上線資訊!S202,刷條碼區!C:C,0),2),"")</f>
        <v/>
      </c>
      <c r="Z202" s="70" t="str">
        <f>IFERROR(INDEX(刷條碼區!D:G,MATCH(點上線資訊!S202,刷條碼區!F:F,0),1),"")</f>
        <v/>
      </c>
      <c r="AA202" s="71" t="str">
        <f>IFERROR(INDEX(刷條碼區!D:G,MATCH(點上線資訊!S202,刷條碼區!F:F,0),2),"")</f>
        <v/>
      </c>
      <c r="AB202" s="20" t="b">
        <f t="shared" si="20"/>
        <v>0</v>
      </c>
      <c r="AC202" s="20" t="b">
        <f t="shared" si="21"/>
        <v>0</v>
      </c>
      <c r="AD202" s="17" t="b">
        <f t="shared" si="22"/>
        <v>0</v>
      </c>
      <c r="AE202" s="17" t="b">
        <f t="shared" si="23"/>
        <v>0</v>
      </c>
    </row>
    <row r="203" spans="1:31" x14ac:dyDescent="0.2">
      <c r="A203" s="16">
        <v>5000492364</v>
      </c>
      <c r="B203" t="s">
        <v>0</v>
      </c>
      <c r="C203" t="s">
        <v>0</v>
      </c>
      <c r="D203" t="s">
        <v>1</v>
      </c>
      <c r="E203" t="s">
        <v>787</v>
      </c>
      <c r="F203" t="s">
        <v>788</v>
      </c>
      <c r="G203" s="2">
        <v>4</v>
      </c>
      <c r="H203" t="s">
        <v>461</v>
      </c>
      <c r="I203" t="s">
        <v>3</v>
      </c>
      <c r="J203" t="s">
        <v>19</v>
      </c>
      <c r="K203" t="s">
        <v>605</v>
      </c>
      <c r="L203" t="s">
        <v>608</v>
      </c>
      <c r="M203" t="s">
        <v>773</v>
      </c>
      <c r="N203" t="s">
        <v>602</v>
      </c>
      <c r="O203" t="s">
        <v>603</v>
      </c>
      <c r="P203" t="s">
        <v>602</v>
      </c>
      <c r="Q203" s="17">
        <f>IFERROR(VLOOKUP(A203,已除帳印單!B:C,1,0),0)*1</f>
        <v>0</v>
      </c>
      <c r="R203" s="67" t="str">
        <f>IFERROR(VLOOKUP(J203,線別!A:B,2,1),"")</f>
        <v>FM_IA預組</v>
      </c>
      <c r="S203" s="17" t="str">
        <f>IFERROR(VLOOKUP(A203,已除帳印單!B:C,2,0),"")</f>
        <v/>
      </c>
      <c r="T203" s="68">
        <f t="shared" si="18"/>
        <v>43892</v>
      </c>
      <c r="U203" s="69">
        <f t="shared" si="19"/>
        <v>84.168773148148148</v>
      </c>
      <c r="V203" s="68" t="str">
        <f>IFERROR(VLOOKUP(A203,已除帳印單!B:D,3,0),"")</f>
        <v/>
      </c>
      <c r="W203" s="69" t="str">
        <f>IFERROR(VLOOKUP(A203,已除帳印單!B:E,4,0),"")</f>
        <v/>
      </c>
      <c r="X203" s="68" t="str">
        <f>IFERROR(INDEX(刷條碼區!A:C,MATCH(點上線資訊!S203,刷條碼區!C:C,0),1),"")</f>
        <v/>
      </c>
      <c r="Y203" s="69" t="str">
        <f>IFERROR(INDEX(刷條碼區!A:C,MATCH(點上線資訊!S203,刷條碼區!C:C,0),2),"")</f>
        <v/>
      </c>
      <c r="Z203" s="70" t="str">
        <f>IFERROR(INDEX(刷條碼區!D:G,MATCH(點上線資訊!S203,刷條碼區!F:F,0),1),"")</f>
        <v/>
      </c>
      <c r="AA203" s="71" t="str">
        <f>IFERROR(INDEX(刷條碼區!D:G,MATCH(點上線資訊!S203,刷條碼區!F:F,0),2),"")</f>
        <v/>
      </c>
      <c r="AB203" s="20" t="b">
        <f t="shared" si="20"/>
        <v>0</v>
      </c>
      <c r="AC203" s="20" t="b">
        <f t="shared" si="21"/>
        <v>0</v>
      </c>
      <c r="AD203" s="17" t="b">
        <f t="shared" si="22"/>
        <v>0</v>
      </c>
      <c r="AE203" s="17" t="b">
        <f t="shared" si="23"/>
        <v>0</v>
      </c>
    </row>
    <row r="204" spans="1:31" x14ac:dyDescent="0.2">
      <c r="A204" s="16">
        <v>5000492365</v>
      </c>
      <c r="B204" t="s">
        <v>6</v>
      </c>
      <c r="C204" t="s">
        <v>6</v>
      </c>
      <c r="D204" t="s">
        <v>1</v>
      </c>
      <c r="E204" t="s">
        <v>71</v>
      </c>
      <c r="F204" t="s">
        <v>760</v>
      </c>
      <c r="G204" s="2">
        <v>8</v>
      </c>
      <c r="H204" t="s">
        <v>461</v>
      </c>
      <c r="I204" t="s">
        <v>3</v>
      </c>
      <c r="J204" t="s">
        <v>8</v>
      </c>
      <c r="K204" t="s">
        <v>605</v>
      </c>
      <c r="L204" t="s">
        <v>608</v>
      </c>
      <c r="M204" t="s">
        <v>758</v>
      </c>
      <c r="N204" t="s">
        <v>602</v>
      </c>
      <c r="O204" t="s">
        <v>603</v>
      </c>
      <c r="P204" t="s">
        <v>602</v>
      </c>
      <c r="Q204" s="17">
        <f>IFERROR(VLOOKUP(A204,已除帳印單!B:C,1,0),0)*1</f>
        <v>0</v>
      </c>
      <c r="R204" s="67" t="str">
        <f>IFERROR(VLOOKUP(J204,線別!A:B,2,1),"")</f>
        <v>裝一線</v>
      </c>
      <c r="S204" s="17" t="str">
        <f>IFERROR(VLOOKUP(A204,已除帳印單!B:C,2,0),"")</f>
        <v/>
      </c>
      <c r="T204" s="68">
        <f t="shared" si="18"/>
        <v>43893</v>
      </c>
      <c r="U204" s="69">
        <f t="shared" si="19"/>
        <v>84.168784722222213</v>
      </c>
      <c r="V204" s="68" t="str">
        <f>IFERROR(VLOOKUP(A204,已除帳印單!B:D,3,0),"")</f>
        <v/>
      </c>
      <c r="W204" s="69" t="str">
        <f>IFERROR(VLOOKUP(A204,已除帳印單!B:E,4,0),"")</f>
        <v/>
      </c>
      <c r="X204" s="68" t="str">
        <f>IFERROR(INDEX(刷條碼區!A:C,MATCH(點上線資訊!S204,刷條碼區!C:C,0),1),"")</f>
        <v/>
      </c>
      <c r="Y204" s="69" t="str">
        <f>IFERROR(INDEX(刷條碼區!A:C,MATCH(點上線資訊!S204,刷條碼區!C:C,0),2),"")</f>
        <v/>
      </c>
      <c r="Z204" s="70" t="str">
        <f>IFERROR(INDEX(刷條碼區!D:G,MATCH(點上線資訊!S204,刷條碼區!F:F,0),1),"")</f>
        <v/>
      </c>
      <c r="AA204" s="71" t="str">
        <f>IFERROR(INDEX(刷條碼區!D:G,MATCH(點上線資訊!S204,刷條碼區!F:F,0),2),"")</f>
        <v/>
      </c>
      <c r="AB204" s="20" t="b">
        <f t="shared" si="20"/>
        <v>0</v>
      </c>
      <c r="AC204" s="20" t="b">
        <f t="shared" si="21"/>
        <v>0</v>
      </c>
      <c r="AD204" s="17" t="b">
        <f t="shared" si="22"/>
        <v>0</v>
      </c>
      <c r="AE204" s="17" t="b">
        <f t="shared" si="23"/>
        <v>0</v>
      </c>
    </row>
    <row r="205" spans="1:31" x14ac:dyDescent="0.2">
      <c r="A205" s="16">
        <v>5000492366</v>
      </c>
      <c r="B205" t="s">
        <v>6</v>
      </c>
      <c r="C205" t="s">
        <v>6</v>
      </c>
      <c r="D205" t="s">
        <v>1</v>
      </c>
      <c r="E205" t="s">
        <v>71</v>
      </c>
      <c r="F205" t="s">
        <v>760</v>
      </c>
      <c r="G205" s="2">
        <v>2</v>
      </c>
      <c r="H205" t="s">
        <v>461</v>
      </c>
      <c r="I205" t="s">
        <v>3</v>
      </c>
      <c r="J205" t="s">
        <v>8</v>
      </c>
      <c r="K205" t="s">
        <v>605</v>
      </c>
      <c r="L205" t="s">
        <v>608</v>
      </c>
      <c r="M205" t="s">
        <v>758</v>
      </c>
      <c r="N205" t="s">
        <v>602</v>
      </c>
      <c r="O205" t="s">
        <v>603</v>
      </c>
      <c r="P205" t="s">
        <v>602</v>
      </c>
      <c r="Q205" s="17">
        <f>IFERROR(VLOOKUP(A205,已除帳印單!B:C,1,0),0)*1</f>
        <v>0</v>
      </c>
      <c r="R205" s="67" t="str">
        <f>IFERROR(VLOOKUP(J205,線別!A:B,2,1),"")</f>
        <v>裝一線</v>
      </c>
      <c r="S205" s="17" t="str">
        <f>IFERROR(VLOOKUP(A205,已除帳印單!B:C,2,0),"")</f>
        <v/>
      </c>
      <c r="T205" s="68">
        <f t="shared" si="18"/>
        <v>43893</v>
      </c>
      <c r="U205" s="69">
        <f t="shared" si="19"/>
        <v>84.168784722222213</v>
      </c>
      <c r="V205" s="68" t="str">
        <f>IFERROR(VLOOKUP(A205,已除帳印單!B:D,3,0),"")</f>
        <v/>
      </c>
      <c r="W205" s="69" t="str">
        <f>IFERROR(VLOOKUP(A205,已除帳印單!B:E,4,0),"")</f>
        <v/>
      </c>
      <c r="X205" s="68" t="str">
        <f>IFERROR(INDEX(刷條碼區!A:C,MATCH(點上線資訊!S205,刷條碼區!C:C,0),1),"")</f>
        <v/>
      </c>
      <c r="Y205" s="69" t="str">
        <f>IFERROR(INDEX(刷條碼區!A:C,MATCH(點上線資訊!S205,刷條碼區!C:C,0),2),"")</f>
        <v/>
      </c>
      <c r="Z205" s="70" t="str">
        <f>IFERROR(INDEX(刷條碼區!D:G,MATCH(點上線資訊!S205,刷條碼區!F:F,0),1),"")</f>
        <v/>
      </c>
      <c r="AA205" s="71" t="str">
        <f>IFERROR(INDEX(刷條碼區!D:G,MATCH(點上線資訊!S205,刷條碼區!F:F,0),2),"")</f>
        <v/>
      </c>
      <c r="AB205" s="20" t="b">
        <f t="shared" si="20"/>
        <v>0</v>
      </c>
      <c r="AC205" s="20" t="b">
        <f t="shared" si="21"/>
        <v>0</v>
      </c>
      <c r="AD205" s="17" t="b">
        <f t="shared" si="22"/>
        <v>0</v>
      </c>
      <c r="AE205" s="17" t="b">
        <f t="shared" si="23"/>
        <v>0</v>
      </c>
    </row>
    <row r="206" spans="1:31" x14ac:dyDescent="0.2">
      <c r="A206" s="16">
        <v>5000492367</v>
      </c>
      <c r="B206" t="s">
        <v>6</v>
      </c>
      <c r="C206" t="s">
        <v>6</v>
      </c>
      <c r="D206" t="s">
        <v>1</v>
      </c>
      <c r="E206" t="s">
        <v>789</v>
      </c>
      <c r="F206" t="s">
        <v>790</v>
      </c>
      <c r="G206" s="2">
        <v>5</v>
      </c>
      <c r="H206" t="s">
        <v>461</v>
      </c>
      <c r="I206" t="s">
        <v>3</v>
      </c>
      <c r="J206" t="s">
        <v>8</v>
      </c>
      <c r="K206" t="s">
        <v>605</v>
      </c>
      <c r="L206" t="s">
        <v>608</v>
      </c>
      <c r="M206" t="s">
        <v>404</v>
      </c>
      <c r="N206" t="s">
        <v>602</v>
      </c>
      <c r="O206" t="s">
        <v>603</v>
      </c>
      <c r="P206" t="s">
        <v>602</v>
      </c>
      <c r="Q206" s="17">
        <f>IFERROR(VLOOKUP(A206,已除帳印單!B:C,1,0),0)*1</f>
        <v>0</v>
      </c>
      <c r="R206" s="67" t="str">
        <f>IFERROR(VLOOKUP(J206,線別!A:B,2,1),"")</f>
        <v>裝一線</v>
      </c>
      <c r="S206" s="17" t="str">
        <f>IFERROR(VLOOKUP(A206,已除帳印單!B:C,2,0),"")</f>
        <v/>
      </c>
      <c r="T206" s="68">
        <f t="shared" si="18"/>
        <v>43893</v>
      </c>
      <c r="U206" s="69">
        <f t="shared" si="19"/>
        <v>84.168784722222213</v>
      </c>
      <c r="V206" s="68" t="str">
        <f>IFERROR(VLOOKUP(A206,已除帳印單!B:D,3,0),"")</f>
        <v/>
      </c>
      <c r="W206" s="69" t="str">
        <f>IFERROR(VLOOKUP(A206,已除帳印單!B:E,4,0),"")</f>
        <v/>
      </c>
      <c r="X206" s="68" t="str">
        <f>IFERROR(INDEX(刷條碼區!A:C,MATCH(點上線資訊!S206,刷條碼區!C:C,0),1),"")</f>
        <v/>
      </c>
      <c r="Y206" s="69" t="str">
        <f>IFERROR(INDEX(刷條碼區!A:C,MATCH(點上線資訊!S206,刷條碼區!C:C,0),2),"")</f>
        <v/>
      </c>
      <c r="Z206" s="70" t="str">
        <f>IFERROR(INDEX(刷條碼區!D:G,MATCH(點上線資訊!S206,刷條碼區!F:F,0),1),"")</f>
        <v/>
      </c>
      <c r="AA206" s="71" t="str">
        <f>IFERROR(INDEX(刷條碼區!D:G,MATCH(點上線資訊!S206,刷條碼區!F:F,0),2),"")</f>
        <v/>
      </c>
      <c r="AB206" s="20" t="b">
        <f t="shared" si="20"/>
        <v>0</v>
      </c>
      <c r="AC206" s="20" t="b">
        <f t="shared" si="21"/>
        <v>0</v>
      </c>
      <c r="AD206" s="17" t="b">
        <f t="shared" si="22"/>
        <v>0</v>
      </c>
      <c r="AE206" s="17" t="b">
        <f t="shared" si="23"/>
        <v>0</v>
      </c>
    </row>
    <row r="207" spans="1:31" x14ac:dyDescent="0.2">
      <c r="A207" s="16">
        <v>5000492535</v>
      </c>
      <c r="B207" t="s">
        <v>0</v>
      </c>
      <c r="C207" t="s">
        <v>0</v>
      </c>
      <c r="D207" t="s">
        <v>1</v>
      </c>
      <c r="E207" t="s">
        <v>119</v>
      </c>
      <c r="F207" t="s">
        <v>120</v>
      </c>
      <c r="G207" s="2">
        <v>20</v>
      </c>
      <c r="H207" t="s">
        <v>461</v>
      </c>
      <c r="I207" t="s">
        <v>3</v>
      </c>
      <c r="J207" t="s">
        <v>107</v>
      </c>
      <c r="K207" t="s">
        <v>605</v>
      </c>
      <c r="L207" t="s">
        <v>608</v>
      </c>
      <c r="M207" t="s">
        <v>454</v>
      </c>
      <c r="N207" t="s">
        <v>602</v>
      </c>
      <c r="O207" t="s">
        <v>603</v>
      </c>
      <c r="P207" t="s">
        <v>602</v>
      </c>
      <c r="Q207" s="17">
        <f>IFERROR(VLOOKUP(A207,已除帳印單!B:C,1,0),0)*1</f>
        <v>0</v>
      </c>
      <c r="R207" s="67" t="str">
        <f>IFERROR(VLOOKUP(J207,線別!A:B,2,1),"")</f>
        <v>IA線</v>
      </c>
      <c r="S207" s="17" t="str">
        <f>IFERROR(VLOOKUP(A207,已除帳印單!B:C,2,0),"")</f>
        <v/>
      </c>
      <c r="T207" s="68">
        <f t="shared" si="18"/>
        <v>43892</v>
      </c>
      <c r="U207" s="69">
        <f t="shared" si="19"/>
        <v>84.168773148148148</v>
      </c>
      <c r="V207" s="68" t="str">
        <f>IFERROR(VLOOKUP(A207,已除帳印單!B:D,3,0),"")</f>
        <v/>
      </c>
      <c r="W207" s="69" t="str">
        <f>IFERROR(VLOOKUP(A207,已除帳印單!B:E,4,0),"")</f>
        <v/>
      </c>
      <c r="X207" s="68" t="str">
        <f>IFERROR(INDEX(刷條碼區!A:C,MATCH(點上線資訊!S207,刷條碼區!C:C,0),1),"")</f>
        <v/>
      </c>
      <c r="Y207" s="69" t="str">
        <f>IFERROR(INDEX(刷條碼區!A:C,MATCH(點上線資訊!S207,刷條碼區!C:C,0),2),"")</f>
        <v/>
      </c>
      <c r="Z207" s="70" t="str">
        <f>IFERROR(INDEX(刷條碼區!D:G,MATCH(點上線資訊!S207,刷條碼區!F:F,0),1),"")</f>
        <v/>
      </c>
      <c r="AA207" s="71" t="str">
        <f>IFERROR(INDEX(刷條碼區!D:G,MATCH(點上線資訊!S207,刷條碼區!F:F,0),2),"")</f>
        <v/>
      </c>
      <c r="AB207" s="20" t="b">
        <f t="shared" si="20"/>
        <v>0</v>
      </c>
      <c r="AC207" s="20" t="b">
        <f t="shared" si="21"/>
        <v>0</v>
      </c>
      <c r="AD207" s="17" t="b">
        <f t="shared" si="22"/>
        <v>0</v>
      </c>
      <c r="AE207" s="17" t="b">
        <f t="shared" si="23"/>
        <v>0</v>
      </c>
    </row>
    <row r="208" spans="1:31" x14ac:dyDescent="0.2">
      <c r="A208" s="16">
        <v>5000492537</v>
      </c>
      <c r="B208" t="s">
        <v>0</v>
      </c>
      <c r="C208" t="s">
        <v>0</v>
      </c>
      <c r="D208" t="s">
        <v>1</v>
      </c>
      <c r="E208" t="s">
        <v>123</v>
      </c>
      <c r="F208" t="s">
        <v>124</v>
      </c>
      <c r="G208" s="2">
        <v>5</v>
      </c>
      <c r="H208" t="s">
        <v>461</v>
      </c>
      <c r="I208" t="s">
        <v>3</v>
      </c>
      <c r="J208" t="s">
        <v>107</v>
      </c>
      <c r="K208" t="s">
        <v>605</v>
      </c>
      <c r="L208" t="s">
        <v>608</v>
      </c>
      <c r="M208" t="s">
        <v>454</v>
      </c>
      <c r="N208" t="s">
        <v>602</v>
      </c>
      <c r="O208" t="s">
        <v>603</v>
      </c>
      <c r="P208" t="s">
        <v>602</v>
      </c>
      <c r="Q208" s="17">
        <f>IFERROR(VLOOKUP(A208,已除帳印單!B:C,1,0),0)*1</f>
        <v>0</v>
      </c>
      <c r="R208" s="67" t="str">
        <f>IFERROR(VLOOKUP(J208,線別!A:B,2,1),"")</f>
        <v>IA線</v>
      </c>
      <c r="S208" s="17" t="str">
        <f>IFERROR(VLOOKUP(A208,已除帳印單!B:C,2,0),"")</f>
        <v/>
      </c>
      <c r="T208" s="68">
        <f t="shared" si="18"/>
        <v>43892</v>
      </c>
      <c r="U208" s="69">
        <f t="shared" si="19"/>
        <v>84.168773148148148</v>
      </c>
      <c r="V208" s="68" t="str">
        <f>IFERROR(VLOOKUP(A208,已除帳印單!B:D,3,0),"")</f>
        <v/>
      </c>
      <c r="W208" s="69" t="str">
        <f>IFERROR(VLOOKUP(A208,已除帳印單!B:E,4,0),"")</f>
        <v/>
      </c>
      <c r="X208" s="68" t="str">
        <f>IFERROR(INDEX(刷條碼區!A:C,MATCH(點上線資訊!S208,刷條碼區!C:C,0),1),"")</f>
        <v/>
      </c>
      <c r="Y208" s="69" t="str">
        <f>IFERROR(INDEX(刷條碼區!A:C,MATCH(點上線資訊!S208,刷條碼區!C:C,0),2),"")</f>
        <v/>
      </c>
      <c r="Z208" s="70" t="str">
        <f>IFERROR(INDEX(刷條碼區!D:G,MATCH(點上線資訊!S208,刷條碼區!F:F,0),1),"")</f>
        <v/>
      </c>
      <c r="AA208" s="71" t="str">
        <f>IFERROR(INDEX(刷條碼區!D:G,MATCH(點上線資訊!S208,刷條碼區!F:F,0),2),"")</f>
        <v/>
      </c>
      <c r="AB208" s="20" t="b">
        <f t="shared" si="20"/>
        <v>0</v>
      </c>
      <c r="AC208" s="20" t="b">
        <f t="shared" si="21"/>
        <v>0</v>
      </c>
      <c r="AD208" s="17" t="b">
        <f t="shared" si="22"/>
        <v>0</v>
      </c>
      <c r="AE208" s="17" t="b">
        <f t="shared" si="23"/>
        <v>0</v>
      </c>
    </row>
    <row r="209" spans="1:31" x14ac:dyDescent="0.2">
      <c r="A209" s="16">
        <v>5000492539</v>
      </c>
      <c r="B209" t="s">
        <v>0</v>
      </c>
      <c r="C209" t="s">
        <v>0</v>
      </c>
      <c r="D209" t="s">
        <v>1</v>
      </c>
      <c r="E209" t="s">
        <v>121</v>
      </c>
      <c r="F209" t="s">
        <v>122</v>
      </c>
      <c r="G209" s="2">
        <v>14</v>
      </c>
      <c r="H209" t="s">
        <v>461</v>
      </c>
      <c r="I209" t="s">
        <v>3</v>
      </c>
      <c r="J209" t="s">
        <v>107</v>
      </c>
      <c r="K209" t="s">
        <v>605</v>
      </c>
      <c r="L209" t="s">
        <v>608</v>
      </c>
      <c r="M209" t="s">
        <v>454</v>
      </c>
      <c r="N209" t="s">
        <v>602</v>
      </c>
      <c r="O209" t="s">
        <v>603</v>
      </c>
      <c r="P209" t="s">
        <v>602</v>
      </c>
      <c r="Q209" s="17">
        <f>IFERROR(VLOOKUP(A209,已除帳印單!B:C,1,0),0)*1</f>
        <v>0</v>
      </c>
      <c r="R209" s="67" t="str">
        <f>IFERROR(VLOOKUP(J209,線別!A:B,2,1),"")</f>
        <v>IA線</v>
      </c>
      <c r="S209" s="17" t="str">
        <f>IFERROR(VLOOKUP(A209,已除帳印單!B:C,2,0),"")</f>
        <v/>
      </c>
      <c r="T209" s="68">
        <f t="shared" si="18"/>
        <v>43892</v>
      </c>
      <c r="U209" s="69">
        <f t="shared" si="19"/>
        <v>84.168773148148148</v>
      </c>
      <c r="V209" s="68" t="str">
        <f>IFERROR(VLOOKUP(A209,已除帳印單!B:D,3,0),"")</f>
        <v/>
      </c>
      <c r="W209" s="69" t="str">
        <f>IFERROR(VLOOKUP(A209,已除帳印單!B:E,4,0),"")</f>
        <v/>
      </c>
      <c r="X209" s="68" t="str">
        <f>IFERROR(INDEX(刷條碼區!A:C,MATCH(點上線資訊!S209,刷條碼區!C:C,0),1),"")</f>
        <v/>
      </c>
      <c r="Y209" s="69" t="str">
        <f>IFERROR(INDEX(刷條碼區!A:C,MATCH(點上線資訊!S209,刷條碼區!C:C,0),2),"")</f>
        <v/>
      </c>
      <c r="Z209" s="70" t="str">
        <f>IFERROR(INDEX(刷條碼區!D:G,MATCH(點上線資訊!S209,刷條碼區!F:F,0),1),"")</f>
        <v/>
      </c>
      <c r="AA209" s="71" t="str">
        <f>IFERROR(INDEX(刷條碼區!D:G,MATCH(點上線資訊!S209,刷條碼區!F:F,0),2),"")</f>
        <v/>
      </c>
      <c r="AB209" s="20" t="b">
        <f t="shared" si="20"/>
        <v>0</v>
      </c>
      <c r="AC209" s="20" t="b">
        <f t="shared" si="21"/>
        <v>0</v>
      </c>
      <c r="AD209" s="17" t="b">
        <f t="shared" si="22"/>
        <v>0</v>
      </c>
      <c r="AE209" s="17" t="b">
        <f t="shared" si="23"/>
        <v>0</v>
      </c>
    </row>
    <row r="210" spans="1:31" x14ac:dyDescent="0.2">
      <c r="A210" s="16">
        <v>5000492541</v>
      </c>
      <c r="B210" t="s">
        <v>6</v>
      </c>
      <c r="C210" t="s">
        <v>6</v>
      </c>
      <c r="D210" t="s">
        <v>1</v>
      </c>
      <c r="E210" t="s">
        <v>791</v>
      </c>
      <c r="F210" t="s">
        <v>792</v>
      </c>
      <c r="G210" s="2">
        <v>4</v>
      </c>
      <c r="H210" t="s">
        <v>461</v>
      </c>
      <c r="I210" t="s">
        <v>3</v>
      </c>
      <c r="J210" t="s">
        <v>5</v>
      </c>
      <c r="K210" t="s">
        <v>605</v>
      </c>
      <c r="L210" t="s">
        <v>608</v>
      </c>
      <c r="M210" t="s">
        <v>793</v>
      </c>
      <c r="N210" t="s">
        <v>602</v>
      </c>
      <c r="O210" t="s">
        <v>603</v>
      </c>
      <c r="P210" t="s">
        <v>602</v>
      </c>
      <c r="Q210" s="17">
        <f>IFERROR(VLOOKUP(A210,已除帳印單!B:C,1,0),0)*1</f>
        <v>0</v>
      </c>
      <c r="R210" s="67" t="str">
        <f>IFERROR(VLOOKUP(J210,線別!A:B,2,1),"")</f>
        <v>FM線</v>
      </c>
      <c r="S210" s="17" t="str">
        <f>IFERROR(VLOOKUP(A210,已除帳印單!B:C,2,0),"")</f>
        <v/>
      </c>
      <c r="T210" s="68">
        <f t="shared" si="18"/>
        <v>43893</v>
      </c>
      <c r="U210" s="69">
        <f t="shared" si="19"/>
        <v>84.168784722222213</v>
      </c>
      <c r="V210" s="68" t="str">
        <f>IFERROR(VLOOKUP(A210,已除帳印單!B:D,3,0),"")</f>
        <v/>
      </c>
      <c r="W210" s="69" t="str">
        <f>IFERROR(VLOOKUP(A210,已除帳印單!B:E,4,0),"")</f>
        <v/>
      </c>
      <c r="X210" s="68" t="str">
        <f>IFERROR(INDEX(刷條碼區!A:C,MATCH(點上線資訊!S210,刷條碼區!C:C,0),1),"")</f>
        <v/>
      </c>
      <c r="Y210" s="69" t="str">
        <f>IFERROR(INDEX(刷條碼區!A:C,MATCH(點上線資訊!S210,刷條碼區!C:C,0),2),"")</f>
        <v/>
      </c>
      <c r="Z210" s="70" t="str">
        <f>IFERROR(INDEX(刷條碼區!D:G,MATCH(點上線資訊!S210,刷條碼區!F:F,0),1),"")</f>
        <v/>
      </c>
      <c r="AA210" s="71" t="str">
        <f>IFERROR(INDEX(刷條碼區!D:G,MATCH(點上線資訊!S210,刷條碼區!F:F,0),2),"")</f>
        <v/>
      </c>
      <c r="AB210" s="20" t="b">
        <f t="shared" si="20"/>
        <v>0</v>
      </c>
      <c r="AC210" s="20" t="b">
        <f t="shared" si="21"/>
        <v>0</v>
      </c>
      <c r="AD210" s="17" t="b">
        <f t="shared" si="22"/>
        <v>0</v>
      </c>
      <c r="AE210" s="17" t="b">
        <f t="shared" si="23"/>
        <v>0</v>
      </c>
    </row>
    <row r="211" spans="1:31" x14ac:dyDescent="0.2">
      <c r="A211" s="16">
        <v>5000492542</v>
      </c>
      <c r="B211" t="s">
        <v>6</v>
      </c>
      <c r="C211" t="s">
        <v>6</v>
      </c>
      <c r="D211" t="s">
        <v>1</v>
      </c>
      <c r="E211" t="s">
        <v>794</v>
      </c>
      <c r="F211" t="s">
        <v>795</v>
      </c>
      <c r="G211" s="2">
        <v>4</v>
      </c>
      <c r="H211" t="s">
        <v>461</v>
      </c>
      <c r="I211" t="s">
        <v>3</v>
      </c>
      <c r="J211" t="s">
        <v>5</v>
      </c>
      <c r="K211" t="s">
        <v>605</v>
      </c>
      <c r="L211" t="s">
        <v>608</v>
      </c>
      <c r="M211" t="s">
        <v>793</v>
      </c>
      <c r="N211" t="s">
        <v>602</v>
      </c>
      <c r="O211" t="s">
        <v>603</v>
      </c>
      <c r="P211" t="s">
        <v>602</v>
      </c>
      <c r="Q211" s="17">
        <f>IFERROR(VLOOKUP(A211,已除帳印單!B:C,1,0),0)*1</f>
        <v>0</v>
      </c>
      <c r="R211" s="67" t="str">
        <f>IFERROR(VLOOKUP(J211,線別!A:B,2,1),"")</f>
        <v>FM線</v>
      </c>
      <c r="S211" s="17" t="str">
        <f>IFERROR(VLOOKUP(A211,已除帳印單!B:C,2,0),"")</f>
        <v/>
      </c>
      <c r="T211" s="68">
        <f t="shared" si="18"/>
        <v>43893</v>
      </c>
      <c r="U211" s="69">
        <f t="shared" si="19"/>
        <v>84.168784722222213</v>
      </c>
      <c r="V211" s="68" t="str">
        <f>IFERROR(VLOOKUP(A211,已除帳印單!B:D,3,0),"")</f>
        <v/>
      </c>
      <c r="W211" s="69" t="str">
        <f>IFERROR(VLOOKUP(A211,已除帳印單!B:E,4,0),"")</f>
        <v/>
      </c>
      <c r="X211" s="68" t="str">
        <f>IFERROR(INDEX(刷條碼區!A:C,MATCH(點上線資訊!S211,刷條碼區!C:C,0),1),"")</f>
        <v/>
      </c>
      <c r="Y211" s="69" t="str">
        <f>IFERROR(INDEX(刷條碼區!A:C,MATCH(點上線資訊!S211,刷條碼區!C:C,0),2),"")</f>
        <v/>
      </c>
      <c r="Z211" s="70" t="str">
        <f>IFERROR(INDEX(刷條碼區!D:G,MATCH(點上線資訊!S211,刷條碼區!F:F,0),1),"")</f>
        <v/>
      </c>
      <c r="AA211" s="71" t="str">
        <f>IFERROR(INDEX(刷條碼區!D:G,MATCH(點上線資訊!S211,刷條碼區!F:F,0),2),"")</f>
        <v/>
      </c>
      <c r="AB211" s="20" t="b">
        <f t="shared" si="20"/>
        <v>0</v>
      </c>
      <c r="AC211" s="20" t="b">
        <f t="shared" si="21"/>
        <v>0</v>
      </c>
      <c r="AD211" s="17" t="b">
        <f t="shared" si="22"/>
        <v>0</v>
      </c>
      <c r="AE211" s="17" t="b">
        <f t="shared" si="23"/>
        <v>0</v>
      </c>
    </row>
    <row r="212" spans="1:31" x14ac:dyDescent="0.2">
      <c r="A212" s="16">
        <v>5000492544</v>
      </c>
      <c r="B212" t="s">
        <v>0</v>
      </c>
      <c r="C212" t="s">
        <v>0</v>
      </c>
      <c r="D212" t="s">
        <v>1</v>
      </c>
      <c r="E212" t="s">
        <v>796</v>
      </c>
      <c r="F212" t="s">
        <v>797</v>
      </c>
      <c r="G212" s="2">
        <v>2</v>
      </c>
      <c r="H212" t="s">
        <v>461</v>
      </c>
      <c r="I212" t="s">
        <v>3</v>
      </c>
      <c r="J212" t="s">
        <v>8</v>
      </c>
      <c r="K212" t="s">
        <v>605</v>
      </c>
      <c r="L212" t="s">
        <v>608</v>
      </c>
      <c r="M212" t="s">
        <v>798</v>
      </c>
      <c r="N212" t="s">
        <v>602</v>
      </c>
      <c r="O212" t="s">
        <v>603</v>
      </c>
      <c r="P212" t="s">
        <v>602</v>
      </c>
      <c r="Q212" s="17">
        <f>IFERROR(VLOOKUP(A212,已除帳印單!B:C,1,0),0)*1</f>
        <v>0</v>
      </c>
      <c r="R212" s="67" t="str">
        <f>IFERROR(VLOOKUP(J212,線別!A:B,2,1),"")</f>
        <v>裝一線</v>
      </c>
      <c r="S212" s="17" t="str">
        <f>IFERROR(VLOOKUP(A212,已除帳印單!B:C,2,0),"")</f>
        <v/>
      </c>
      <c r="T212" s="68">
        <f t="shared" si="18"/>
        <v>43892</v>
      </c>
      <c r="U212" s="69">
        <f t="shared" si="19"/>
        <v>84.168773148148148</v>
      </c>
      <c r="V212" s="68" t="str">
        <f>IFERROR(VLOOKUP(A212,已除帳印單!B:D,3,0),"")</f>
        <v/>
      </c>
      <c r="W212" s="69" t="str">
        <f>IFERROR(VLOOKUP(A212,已除帳印單!B:E,4,0),"")</f>
        <v/>
      </c>
      <c r="X212" s="68" t="str">
        <f>IFERROR(INDEX(刷條碼區!A:C,MATCH(點上線資訊!S212,刷條碼區!C:C,0),1),"")</f>
        <v/>
      </c>
      <c r="Y212" s="69" t="str">
        <f>IFERROR(INDEX(刷條碼區!A:C,MATCH(點上線資訊!S212,刷條碼區!C:C,0),2),"")</f>
        <v/>
      </c>
      <c r="Z212" s="70" t="str">
        <f>IFERROR(INDEX(刷條碼區!D:G,MATCH(點上線資訊!S212,刷條碼區!F:F,0),1),"")</f>
        <v/>
      </c>
      <c r="AA212" s="71" t="str">
        <f>IFERROR(INDEX(刷條碼區!D:G,MATCH(點上線資訊!S212,刷條碼區!F:F,0),2),"")</f>
        <v/>
      </c>
      <c r="AB212" s="20" t="b">
        <f t="shared" si="20"/>
        <v>0</v>
      </c>
      <c r="AC212" s="20" t="b">
        <f t="shared" si="21"/>
        <v>0</v>
      </c>
      <c r="AD212" s="17" t="b">
        <f t="shared" si="22"/>
        <v>0</v>
      </c>
      <c r="AE212" s="17" t="b">
        <f t="shared" si="23"/>
        <v>0</v>
      </c>
    </row>
    <row r="213" spans="1:31" x14ac:dyDescent="0.2">
      <c r="A213" s="16">
        <v>5000492546</v>
      </c>
      <c r="B213" t="s">
        <v>0</v>
      </c>
      <c r="C213" t="s">
        <v>0</v>
      </c>
      <c r="D213" t="s">
        <v>1</v>
      </c>
      <c r="E213" t="s">
        <v>799</v>
      </c>
      <c r="F213" t="s">
        <v>800</v>
      </c>
      <c r="G213" s="2">
        <v>3</v>
      </c>
      <c r="H213" t="s">
        <v>461</v>
      </c>
      <c r="I213" t="s">
        <v>3</v>
      </c>
      <c r="J213" t="s">
        <v>8</v>
      </c>
      <c r="K213" t="s">
        <v>605</v>
      </c>
      <c r="L213" t="s">
        <v>608</v>
      </c>
      <c r="M213" t="s">
        <v>798</v>
      </c>
      <c r="N213" t="s">
        <v>602</v>
      </c>
      <c r="O213" t="s">
        <v>603</v>
      </c>
      <c r="P213" t="s">
        <v>602</v>
      </c>
      <c r="Q213" s="17">
        <f>IFERROR(VLOOKUP(A213,已除帳印單!B:C,1,0),0)*1</f>
        <v>0</v>
      </c>
      <c r="R213" s="67" t="str">
        <f>IFERROR(VLOOKUP(J213,線別!A:B,2,1),"")</f>
        <v>裝一線</v>
      </c>
      <c r="S213" s="17" t="str">
        <f>IFERROR(VLOOKUP(A213,已除帳印單!B:C,2,0),"")</f>
        <v/>
      </c>
      <c r="T213" s="68">
        <f t="shared" si="18"/>
        <v>43892</v>
      </c>
      <c r="U213" s="69">
        <f t="shared" si="19"/>
        <v>84.168773148148148</v>
      </c>
      <c r="V213" s="68" t="str">
        <f>IFERROR(VLOOKUP(A213,已除帳印單!B:D,3,0),"")</f>
        <v/>
      </c>
      <c r="W213" s="69" t="str">
        <f>IFERROR(VLOOKUP(A213,已除帳印單!B:E,4,0),"")</f>
        <v/>
      </c>
      <c r="X213" s="68" t="str">
        <f>IFERROR(INDEX(刷條碼區!A:C,MATCH(點上線資訊!S213,刷條碼區!C:C,0),1),"")</f>
        <v/>
      </c>
      <c r="Y213" s="69" t="str">
        <f>IFERROR(INDEX(刷條碼區!A:C,MATCH(點上線資訊!S213,刷條碼區!C:C,0),2),"")</f>
        <v/>
      </c>
      <c r="Z213" s="70" t="str">
        <f>IFERROR(INDEX(刷條碼區!D:G,MATCH(點上線資訊!S213,刷條碼區!F:F,0),1),"")</f>
        <v/>
      </c>
      <c r="AA213" s="71" t="str">
        <f>IFERROR(INDEX(刷條碼區!D:G,MATCH(點上線資訊!S213,刷條碼區!F:F,0),2),"")</f>
        <v/>
      </c>
      <c r="AB213" s="20" t="b">
        <f t="shared" si="20"/>
        <v>0</v>
      </c>
      <c r="AC213" s="20" t="b">
        <f t="shared" si="21"/>
        <v>0</v>
      </c>
      <c r="AD213" s="17" t="b">
        <f t="shared" si="22"/>
        <v>0</v>
      </c>
      <c r="AE213" s="17" t="b">
        <f t="shared" si="23"/>
        <v>0</v>
      </c>
    </row>
    <row r="214" spans="1:31" x14ac:dyDescent="0.2">
      <c r="A214" s="16">
        <v>5000492547</v>
      </c>
      <c r="B214" t="s">
        <v>6</v>
      </c>
      <c r="C214" t="s">
        <v>6</v>
      </c>
      <c r="D214" t="s">
        <v>1</v>
      </c>
      <c r="E214" t="s">
        <v>257</v>
      </c>
      <c r="F214" t="s">
        <v>502</v>
      </c>
      <c r="G214" s="2">
        <v>5</v>
      </c>
      <c r="H214" t="s">
        <v>461</v>
      </c>
      <c r="I214" t="s">
        <v>3</v>
      </c>
      <c r="J214" t="s">
        <v>136</v>
      </c>
      <c r="K214" t="s">
        <v>602</v>
      </c>
      <c r="L214" t="s">
        <v>603</v>
      </c>
      <c r="M214" t="s">
        <v>602</v>
      </c>
      <c r="N214" t="s">
        <v>602</v>
      </c>
      <c r="O214" t="s">
        <v>603</v>
      </c>
      <c r="P214" t="s">
        <v>602</v>
      </c>
      <c r="Q214" s="17">
        <f>IFERROR(VLOOKUP(A214,已除帳印單!B:C,1,0),0)*1</f>
        <v>0</v>
      </c>
      <c r="R214" s="67" t="str">
        <f>IFERROR(VLOOKUP(J214,線別!A:B,2,1),"")</f>
        <v>SCB線</v>
      </c>
      <c r="S214" s="17" t="str">
        <f>IFERROR(VLOOKUP(A214,已除帳印單!B:C,2,0),"")</f>
        <v/>
      </c>
      <c r="T214" s="68">
        <f t="shared" si="18"/>
        <v>43893</v>
      </c>
      <c r="U214" s="69">
        <f t="shared" si="19"/>
        <v>84.168784722222213</v>
      </c>
      <c r="V214" s="68" t="str">
        <f>IFERROR(VLOOKUP(A214,已除帳印單!B:D,3,0),"")</f>
        <v/>
      </c>
      <c r="W214" s="69" t="str">
        <f>IFERROR(VLOOKUP(A214,已除帳印單!B:E,4,0),"")</f>
        <v/>
      </c>
      <c r="X214" s="68" t="str">
        <f>IFERROR(INDEX(刷條碼區!A:C,MATCH(點上線資訊!S214,刷條碼區!C:C,0),1),"")</f>
        <v/>
      </c>
      <c r="Y214" s="69" t="str">
        <f>IFERROR(INDEX(刷條碼區!A:C,MATCH(點上線資訊!S214,刷條碼區!C:C,0),2),"")</f>
        <v/>
      </c>
      <c r="Z214" s="70" t="str">
        <f>IFERROR(INDEX(刷條碼區!D:G,MATCH(點上線資訊!S214,刷條碼區!F:F,0),1),"")</f>
        <v/>
      </c>
      <c r="AA214" s="71" t="str">
        <f>IFERROR(INDEX(刷條碼區!D:G,MATCH(點上線資訊!S214,刷條碼區!F:F,0),2),"")</f>
        <v/>
      </c>
      <c r="AB214" s="20">
        <f t="shared" si="20"/>
        <v>5</v>
      </c>
      <c r="AC214" s="20" t="b">
        <f t="shared" si="21"/>
        <v>0</v>
      </c>
      <c r="AD214" s="17" t="b">
        <f t="shared" si="22"/>
        <v>0</v>
      </c>
      <c r="AE214" s="17" t="b">
        <f t="shared" si="23"/>
        <v>0</v>
      </c>
    </row>
    <row r="215" spans="1:31" x14ac:dyDescent="0.2">
      <c r="A215" s="16">
        <v>5000492551</v>
      </c>
      <c r="B215" t="s">
        <v>6</v>
      </c>
      <c r="C215" t="s">
        <v>6</v>
      </c>
      <c r="D215" t="s">
        <v>1</v>
      </c>
      <c r="E215" t="s">
        <v>259</v>
      </c>
      <c r="F215" t="s">
        <v>503</v>
      </c>
      <c r="G215" s="2">
        <v>5</v>
      </c>
      <c r="H215" t="s">
        <v>461</v>
      </c>
      <c r="I215" t="s">
        <v>3</v>
      </c>
      <c r="J215" t="s">
        <v>136</v>
      </c>
      <c r="K215" t="s">
        <v>602</v>
      </c>
      <c r="L215" t="s">
        <v>603</v>
      </c>
      <c r="M215" t="s">
        <v>602</v>
      </c>
      <c r="N215" t="s">
        <v>602</v>
      </c>
      <c r="O215" t="s">
        <v>603</v>
      </c>
      <c r="P215" t="s">
        <v>602</v>
      </c>
      <c r="Q215" s="17">
        <f>IFERROR(VLOOKUP(A215,已除帳印單!B:C,1,0),0)*1</f>
        <v>0</v>
      </c>
      <c r="R215" s="67" t="str">
        <f>IFERROR(VLOOKUP(J215,線別!A:B,2,1),"")</f>
        <v>SCB線</v>
      </c>
      <c r="S215" s="17" t="str">
        <f>IFERROR(VLOOKUP(A215,已除帳印單!B:C,2,0),"")</f>
        <v/>
      </c>
      <c r="T215" s="68">
        <f t="shared" si="18"/>
        <v>43893</v>
      </c>
      <c r="U215" s="69">
        <f t="shared" si="19"/>
        <v>84.168784722222213</v>
      </c>
      <c r="V215" s="68" t="str">
        <f>IFERROR(VLOOKUP(A215,已除帳印單!B:D,3,0),"")</f>
        <v/>
      </c>
      <c r="W215" s="69" t="str">
        <f>IFERROR(VLOOKUP(A215,已除帳印單!B:E,4,0),"")</f>
        <v/>
      </c>
      <c r="X215" s="68" t="str">
        <f>IFERROR(INDEX(刷條碼區!A:C,MATCH(點上線資訊!S215,刷條碼區!C:C,0),1),"")</f>
        <v/>
      </c>
      <c r="Y215" s="69" t="str">
        <f>IFERROR(INDEX(刷條碼區!A:C,MATCH(點上線資訊!S215,刷條碼區!C:C,0),2),"")</f>
        <v/>
      </c>
      <c r="Z215" s="70" t="str">
        <f>IFERROR(INDEX(刷條碼區!D:G,MATCH(點上線資訊!S215,刷條碼區!F:F,0),1),"")</f>
        <v/>
      </c>
      <c r="AA215" s="71" t="str">
        <f>IFERROR(INDEX(刷條碼區!D:G,MATCH(點上線資訊!S215,刷條碼區!F:F,0),2),"")</f>
        <v/>
      </c>
      <c r="AB215" s="20">
        <f t="shared" si="20"/>
        <v>5</v>
      </c>
      <c r="AC215" s="20" t="b">
        <f t="shared" si="21"/>
        <v>0</v>
      </c>
      <c r="AD215" s="17" t="b">
        <f t="shared" si="22"/>
        <v>0</v>
      </c>
      <c r="AE215" s="17" t="b">
        <f t="shared" si="23"/>
        <v>0</v>
      </c>
    </row>
    <row r="216" spans="1:31" x14ac:dyDescent="0.2">
      <c r="A216" s="16">
        <v>5000492556</v>
      </c>
      <c r="B216" t="s">
        <v>6</v>
      </c>
      <c r="C216" t="s">
        <v>6</v>
      </c>
      <c r="D216" t="s">
        <v>1</v>
      </c>
      <c r="E216" t="s">
        <v>258</v>
      </c>
      <c r="F216" t="s">
        <v>502</v>
      </c>
      <c r="G216" s="2">
        <v>6</v>
      </c>
      <c r="H216" t="s">
        <v>461</v>
      </c>
      <c r="I216" t="s">
        <v>3</v>
      </c>
      <c r="J216" t="s">
        <v>136</v>
      </c>
      <c r="K216" t="s">
        <v>602</v>
      </c>
      <c r="L216" t="s">
        <v>603</v>
      </c>
      <c r="M216" t="s">
        <v>602</v>
      </c>
      <c r="N216" t="s">
        <v>602</v>
      </c>
      <c r="O216" t="s">
        <v>603</v>
      </c>
      <c r="P216" t="s">
        <v>602</v>
      </c>
      <c r="Q216" s="17">
        <f>IFERROR(VLOOKUP(A216,已除帳印單!B:C,1,0),0)*1</f>
        <v>0</v>
      </c>
      <c r="R216" s="67" t="str">
        <f>IFERROR(VLOOKUP(J216,線別!A:B,2,1),"")</f>
        <v>SCB線</v>
      </c>
      <c r="S216" s="17" t="str">
        <f>IFERROR(VLOOKUP(A216,已除帳印單!B:C,2,0),"")</f>
        <v/>
      </c>
      <c r="T216" s="68">
        <f t="shared" si="18"/>
        <v>43893</v>
      </c>
      <c r="U216" s="69">
        <f t="shared" si="19"/>
        <v>84.168784722222213</v>
      </c>
      <c r="V216" s="68" t="str">
        <f>IFERROR(VLOOKUP(A216,已除帳印單!B:D,3,0),"")</f>
        <v/>
      </c>
      <c r="W216" s="69" t="str">
        <f>IFERROR(VLOOKUP(A216,已除帳印單!B:E,4,0),"")</f>
        <v/>
      </c>
      <c r="X216" s="68" t="str">
        <f>IFERROR(INDEX(刷條碼區!A:C,MATCH(點上線資訊!S216,刷條碼區!C:C,0),1),"")</f>
        <v/>
      </c>
      <c r="Y216" s="69" t="str">
        <f>IFERROR(INDEX(刷條碼區!A:C,MATCH(點上線資訊!S216,刷條碼區!C:C,0),2),"")</f>
        <v/>
      </c>
      <c r="Z216" s="70" t="str">
        <f>IFERROR(INDEX(刷條碼區!D:G,MATCH(點上線資訊!S216,刷條碼區!F:F,0),1),"")</f>
        <v/>
      </c>
      <c r="AA216" s="71" t="str">
        <f>IFERROR(INDEX(刷條碼區!D:G,MATCH(點上線資訊!S216,刷條碼區!F:F,0),2),"")</f>
        <v/>
      </c>
      <c r="AB216" s="20">
        <f t="shared" si="20"/>
        <v>6</v>
      </c>
      <c r="AC216" s="20" t="b">
        <f t="shared" si="21"/>
        <v>0</v>
      </c>
      <c r="AD216" s="17" t="b">
        <f t="shared" si="22"/>
        <v>0</v>
      </c>
      <c r="AE216" s="17" t="b">
        <f t="shared" si="23"/>
        <v>0</v>
      </c>
    </row>
    <row r="217" spans="1:31" x14ac:dyDescent="0.2">
      <c r="A217" s="16">
        <v>5000492560</v>
      </c>
      <c r="B217" t="s">
        <v>6</v>
      </c>
      <c r="C217" t="s">
        <v>6</v>
      </c>
      <c r="D217" t="s">
        <v>1</v>
      </c>
      <c r="E217" t="s">
        <v>260</v>
      </c>
      <c r="F217" t="s">
        <v>503</v>
      </c>
      <c r="G217" s="2">
        <v>20</v>
      </c>
      <c r="H217" t="s">
        <v>461</v>
      </c>
      <c r="I217" t="s">
        <v>3</v>
      </c>
      <c r="J217" t="s">
        <v>136</v>
      </c>
      <c r="K217" t="s">
        <v>602</v>
      </c>
      <c r="L217" t="s">
        <v>603</v>
      </c>
      <c r="M217" t="s">
        <v>602</v>
      </c>
      <c r="N217" t="s">
        <v>602</v>
      </c>
      <c r="O217" t="s">
        <v>603</v>
      </c>
      <c r="P217" t="s">
        <v>602</v>
      </c>
      <c r="Q217" s="17">
        <f>IFERROR(VLOOKUP(A217,已除帳印單!B:C,1,0),0)*1</f>
        <v>0</v>
      </c>
      <c r="R217" s="67" t="str">
        <f>IFERROR(VLOOKUP(J217,線別!A:B,2,1),"")</f>
        <v>SCB線</v>
      </c>
      <c r="S217" s="17" t="str">
        <f>IFERROR(VLOOKUP(A217,已除帳印單!B:C,2,0),"")</f>
        <v/>
      </c>
      <c r="T217" s="68">
        <f t="shared" si="18"/>
        <v>43893</v>
      </c>
      <c r="U217" s="69">
        <f t="shared" si="19"/>
        <v>84.168784722222213</v>
      </c>
      <c r="V217" s="68" t="str">
        <f>IFERROR(VLOOKUP(A217,已除帳印單!B:D,3,0),"")</f>
        <v/>
      </c>
      <c r="W217" s="69" t="str">
        <f>IFERROR(VLOOKUP(A217,已除帳印單!B:E,4,0),"")</f>
        <v/>
      </c>
      <c r="X217" s="68" t="str">
        <f>IFERROR(INDEX(刷條碼區!A:C,MATCH(點上線資訊!S217,刷條碼區!C:C,0),1),"")</f>
        <v/>
      </c>
      <c r="Y217" s="69" t="str">
        <f>IFERROR(INDEX(刷條碼區!A:C,MATCH(點上線資訊!S217,刷條碼區!C:C,0),2),"")</f>
        <v/>
      </c>
      <c r="Z217" s="70" t="str">
        <f>IFERROR(INDEX(刷條碼區!D:G,MATCH(點上線資訊!S217,刷條碼區!F:F,0),1),"")</f>
        <v/>
      </c>
      <c r="AA217" s="71" t="str">
        <f>IFERROR(INDEX(刷條碼區!D:G,MATCH(點上線資訊!S217,刷條碼區!F:F,0),2),"")</f>
        <v/>
      </c>
      <c r="AB217" s="20">
        <f t="shared" si="20"/>
        <v>20</v>
      </c>
      <c r="AC217" s="20" t="b">
        <f t="shared" si="21"/>
        <v>0</v>
      </c>
      <c r="AD217" s="17" t="b">
        <f t="shared" si="22"/>
        <v>0</v>
      </c>
      <c r="AE217" s="17" t="b">
        <f t="shared" si="23"/>
        <v>0</v>
      </c>
    </row>
    <row r="218" spans="1:31" x14ac:dyDescent="0.2">
      <c r="A218" s="16">
        <v>5000492561</v>
      </c>
      <c r="B218" t="s">
        <v>6</v>
      </c>
      <c r="C218" t="s">
        <v>6</v>
      </c>
      <c r="D218" t="s">
        <v>1</v>
      </c>
      <c r="E218" t="s">
        <v>260</v>
      </c>
      <c r="F218" t="s">
        <v>503</v>
      </c>
      <c r="G218" s="2">
        <v>4</v>
      </c>
      <c r="H218" t="s">
        <v>461</v>
      </c>
      <c r="I218" t="s">
        <v>3</v>
      </c>
      <c r="J218" t="s">
        <v>136</v>
      </c>
      <c r="K218" t="s">
        <v>602</v>
      </c>
      <c r="L218" t="s">
        <v>603</v>
      </c>
      <c r="M218" t="s">
        <v>602</v>
      </c>
      <c r="N218" t="s">
        <v>602</v>
      </c>
      <c r="O218" t="s">
        <v>603</v>
      </c>
      <c r="P218" t="s">
        <v>602</v>
      </c>
      <c r="Q218" s="17">
        <f>IFERROR(VLOOKUP(A218,已除帳印單!B:C,1,0),0)*1</f>
        <v>0</v>
      </c>
      <c r="R218" s="67" t="str">
        <f>IFERROR(VLOOKUP(J218,線別!A:B,2,1),"")</f>
        <v>SCB線</v>
      </c>
      <c r="S218" s="17" t="str">
        <f>IFERROR(VLOOKUP(A218,已除帳印單!B:C,2,0),"")</f>
        <v/>
      </c>
      <c r="T218" s="68">
        <f t="shared" si="18"/>
        <v>43893</v>
      </c>
      <c r="U218" s="69">
        <f t="shared" si="19"/>
        <v>84.168784722222213</v>
      </c>
      <c r="V218" s="68" t="str">
        <f>IFERROR(VLOOKUP(A218,已除帳印單!B:D,3,0),"")</f>
        <v/>
      </c>
      <c r="W218" s="69" t="str">
        <f>IFERROR(VLOOKUP(A218,已除帳印單!B:E,4,0),"")</f>
        <v/>
      </c>
      <c r="X218" s="68" t="str">
        <f>IFERROR(INDEX(刷條碼區!A:C,MATCH(點上線資訊!S218,刷條碼區!C:C,0),1),"")</f>
        <v/>
      </c>
      <c r="Y218" s="69" t="str">
        <f>IFERROR(INDEX(刷條碼區!A:C,MATCH(點上線資訊!S218,刷條碼區!C:C,0),2),"")</f>
        <v/>
      </c>
      <c r="Z218" s="70" t="str">
        <f>IFERROR(INDEX(刷條碼區!D:G,MATCH(點上線資訊!S218,刷條碼區!F:F,0),1),"")</f>
        <v/>
      </c>
      <c r="AA218" s="71" t="str">
        <f>IFERROR(INDEX(刷條碼區!D:G,MATCH(點上線資訊!S218,刷條碼區!F:F,0),2),"")</f>
        <v/>
      </c>
      <c r="AB218" s="20">
        <f t="shared" si="20"/>
        <v>4</v>
      </c>
      <c r="AC218" s="20" t="b">
        <f t="shared" si="21"/>
        <v>0</v>
      </c>
      <c r="AD218" s="17" t="b">
        <f t="shared" si="22"/>
        <v>0</v>
      </c>
      <c r="AE218" s="17" t="b">
        <f t="shared" si="23"/>
        <v>0</v>
      </c>
    </row>
    <row r="219" spans="1:31" x14ac:dyDescent="0.2">
      <c r="A219" s="16">
        <v>5000492567</v>
      </c>
      <c r="B219" t="s">
        <v>6</v>
      </c>
      <c r="C219" t="s">
        <v>6</v>
      </c>
      <c r="D219" t="s">
        <v>1</v>
      </c>
      <c r="E219" t="s">
        <v>801</v>
      </c>
      <c r="F219" t="s">
        <v>802</v>
      </c>
      <c r="G219" s="2">
        <v>15</v>
      </c>
      <c r="H219" t="s">
        <v>461</v>
      </c>
      <c r="I219" t="s">
        <v>3</v>
      </c>
      <c r="J219" t="s">
        <v>136</v>
      </c>
      <c r="K219" t="s">
        <v>605</v>
      </c>
      <c r="L219" t="s">
        <v>608</v>
      </c>
      <c r="M219" t="s">
        <v>410</v>
      </c>
      <c r="N219" t="s">
        <v>602</v>
      </c>
      <c r="O219" t="s">
        <v>603</v>
      </c>
      <c r="P219" t="s">
        <v>602</v>
      </c>
      <c r="Q219" s="17">
        <f>IFERROR(VLOOKUP(A219,已除帳印單!B:C,1,0),0)*1</f>
        <v>0</v>
      </c>
      <c r="R219" s="67" t="str">
        <f>IFERROR(VLOOKUP(J219,線別!A:B,2,1),"")</f>
        <v>SCB線</v>
      </c>
      <c r="S219" s="17" t="str">
        <f>IFERROR(VLOOKUP(A219,已除帳印單!B:C,2,0),"")</f>
        <v/>
      </c>
      <c r="T219" s="68">
        <f t="shared" si="18"/>
        <v>43893</v>
      </c>
      <c r="U219" s="69">
        <f t="shared" si="19"/>
        <v>84.168784722222213</v>
      </c>
      <c r="V219" s="68" t="str">
        <f>IFERROR(VLOOKUP(A219,已除帳印單!B:D,3,0),"")</f>
        <v/>
      </c>
      <c r="W219" s="69" t="str">
        <f>IFERROR(VLOOKUP(A219,已除帳印單!B:E,4,0),"")</f>
        <v/>
      </c>
      <c r="X219" s="68" t="str">
        <f>IFERROR(INDEX(刷條碼區!A:C,MATCH(點上線資訊!S219,刷條碼區!C:C,0),1),"")</f>
        <v/>
      </c>
      <c r="Y219" s="69" t="str">
        <f>IFERROR(INDEX(刷條碼區!A:C,MATCH(點上線資訊!S219,刷條碼區!C:C,0),2),"")</f>
        <v/>
      </c>
      <c r="Z219" s="70" t="str">
        <f>IFERROR(INDEX(刷條碼區!D:G,MATCH(點上線資訊!S219,刷條碼區!F:F,0),1),"")</f>
        <v/>
      </c>
      <c r="AA219" s="71" t="str">
        <f>IFERROR(INDEX(刷條碼區!D:G,MATCH(點上線資訊!S219,刷條碼區!F:F,0),2),"")</f>
        <v/>
      </c>
      <c r="AB219" s="20" t="b">
        <f t="shared" si="20"/>
        <v>0</v>
      </c>
      <c r="AC219" s="20" t="b">
        <f t="shared" si="21"/>
        <v>0</v>
      </c>
      <c r="AD219" s="17" t="b">
        <f t="shared" si="22"/>
        <v>0</v>
      </c>
      <c r="AE219" s="17" t="b">
        <f t="shared" si="23"/>
        <v>0</v>
      </c>
    </row>
    <row r="220" spans="1:31" x14ac:dyDescent="0.2">
      <c r="A220" s="16">
        <v>5000492568</v>
      </c>
      <c r="B220" t="s">
        <v>6</v>
      </c>
      <c r="C220" t="s">
        <v>6</v>
      </c>
      <c r="D220" t="s">
        <v>1</v>
      </c>
      <c r="E220" t="s">
        <v>801</v>
      </c>
      <c r="F220" t="s">
        <v>802</v>
      </c>
      <c r="G220" s="2">
        <v>6</v>
      </c>
      <c r="H220" t="s">
        <v>461</v>
      </c>
      <c r="I220" t="s">
        <v>3</v>
      </c>
      <c r="J220" t="s">
        <v>136</v>
      </c>
      <c r="K220" t="s">
        <v>605</v>
      </c>
      <c r="L220" t="s">
        <v>608</v>
      </c>
      <c r="M220" t="s">
        <v>410</v>
      </c>
      <c r="N220" t="s">
        <v>602</v>
      </c>
      <c r="O220" t="s">
        <v>603</v>
      </c>
      <c r="P220" t="s">
        <v>602</v>
      </c>
      <c r="Q220" s="17">
        <f>IFERROR(VLOOKUP(A220,已除帳印單!B:C,1,0),0)*1</f>
        <v>0</v>
      </c>
      <c r="R220" s="67" t="str">
        <f>IFERROR(VLOOKUP(J220,線別!A:B,2,1),"")</f>
        <v>SCB線</v>
      </c>
      <c r="S220" s="17" t="str">
        <f>IFERROR(VLOOKUP(A220,已除帳印單!B:C,2,0),"")</f>
        <v/>
      </c>
      <c r="T220" s="68">
        <f t="shared" si="18"/>
        <v>43893</v>
      </c>
      <c r="U220" s="69">
        <f t="shared" si="19"/>
        <v>84.168784722222213</v>
      </c>
      <c r="V220" s="68" t="str">
        <f>IFERROR(VLOOKUP(A220,已除帳印單!B:D,3,0),"")</f>
        <v/>
      </c>
      <c r="W220" s="69" t="str">
        <f>IFERROR(VLOOKUP(A220,已除帳印單!B:E,4,0),"")</f>
        <v/>
      </c>
      <c r="X220" s="68" t="str">
        <f>IFERROR(INDEX(刷條碼區!A:C,MATCH(點上線資訊!S220,刷條碼區!C:C,0),1),"")</f>
        <v/>
      </c>
      <c r="Y220" s="69" t="str">
        <f>IFERROR(INDEX(刷條碼區!A:C,MATCH(點上線資訊!S220,刷條碼區!C:C,0),2),"")</f>
        <v/>
      </c>
      <c r="Z220" s="70" t="str">
        <f>IFERROR(INDEX(刷條碼區!D:G,MATCH(點上線資訊!S220,刷條碼區!F:F,0),1),"")</f>
        <v/>
      </c>
      <c r="AA220" s="71" t="str">
        <f>IFERROR(INDEX(刷條碼區!D:G,MATCH(點上線資訊!S220,刷條碼區!F:F,0),2),"")</f>
        <v/>
      </c>
      <c r="AB220" s="20" t="b">
        <f t="shared" si="20"/>
        <v>0</v>
      </c>
      <c r="AC220" s="20" t="b">
        <f t="shared" si="21"/>
        <v>0</v>
      </c>
      <c r="AD220" s="17" t="b">
        <f t="shared" si="22"/>
        <v>0</v>
      </c>
      <c r="AE220" s="17" t="b">
        <f t="shared" si="23"/>
        <v>0</v>
      </c>
    </row>
    <row r="221" spans="1:31" x14ac:dyDescent="0.2">
      <c r="A221" s="16">
        <v>5000492570</v>
      </c>
      <c r="B221" t="s">
        <v>6</v>
      </c>
      <c r="C221" t="s">
        <v>6</v>
      </c>
      <c r="D221" t="s">
        <v>1</v>
      </c>
      <c r="E221" t="s">
        <v>803</v>
      </c>
      <c r="F221" t="s">
        <v>804</v>
      </c>
      <c r="G221" s="2">
        <v>8</v>
      </c>
      <c r="H221" t="s">
        <v>461</v>
      </c>
      <c r="I221" t="s">
        <v>3</v>
      </c>
      <c r="J221" t="s">
        <v>136</v>
      </c>
      <c r="K221" t="s">
        <v>605</v>
      </c>
      <c r="L221" t="s">
        <v>608</v>
      </c>
      <c r="M221" t="s">
        <v>410</v>
      </c>
      <c r="N221" t="s">
        <v>602</v>
      </c>
      <c r="O221" t="s">
        <v>603</v>
      </c>
      <c r="P221" t="s">
        <v>602</v>
      </c>
      <c r="Q221" s="17">
        <f>IFERROR(VLOOKUP(A221,已除帳印單!B:C,1,0),0)*1</f>
        <v>0</v>
      </c>
      <c r="R221" s="67" t="str">
        <f>IFERROR(VLOOKUP(J221,線別!A:B,2,1),"")</f>
        <v>SCB線</v>
      </c>
      <c r="S221" s="17" t="str">
        <f>IFERROR(VLOOKUP(A221,已除帳印單!B:C,2,0),"")</f>
        <v/>
      </c>
      <c r="T221" s="68">
        <f t="shared" si="18"/>
        <v>43893</v>
      </c>
      <c r="U221" s="69">
        <f t="shared" si="19"/>
        <v>84.168784722222213</v>
      </c>
      <c r="V221" s="68" t="str">
        <f>IFERROR(VLOOKUP(A221,已除帳印單!B:D,3,0),"")</f>
        <v/>
      </c>
      <c r="W221" s="69" t="str">
        <f>IFERROR(VLOOKUP(A221,已除帳印單!B:E,4,0),"")</f>
        <v/>
      </c>
      <c r="X221" s="68" t="str">
        <f>IFERROR(INDEX(刷條碼區!A:C,MATCH(點上線資訊!S221,刷條碼區!C:C,0),1),"")</f>
        <v/>
      </c>
      <c r="Y221" s="69" t="str">
        <f>IFERROR(INDEX(刷條碼區!A:C,MATCH(點上線資訊!S221,刷條碼區!C:C,0),2),"")</f>
        <v/>
      </c>
      <c r="Z221" s="70" t="str">
        <f>IFERROR(INDEX(刷條碼區!D:G,MATCH(點上線資訊!S221,刷條碼區!F:F,0),1),"")</f>
        <v/>
      </c>
      <c r="AA221" s="71" t="str">
        <f>IFERROR(INDEX(刷條碼區!D:G,MATCH(點上線資訊!S221,刷條碼區!F:F,0),2),"")</f>
        <v/>
      </c>
      <c r="AB221" s="20" t="b">
        <f t="shared" si="20"/>
        <v>0</v>
      </c>
      <c r="AC221" s="20" t="b">
        <f t="shared" si="21"/>
        <v>0</v>
      </c>
      <c r="AD221" s="17" t="b">
        <f t="shared" si="22"/>
        <v>0</v>
      </c>
      <c r="AE221" s="17" t="b">
        <f t="shared" si="23"/>
        <v>0</v>
      </c>
    </row>
    <row r="222" spans="1:31" x14ac:dyDescent="0.2">
      <c r="A222" s="16">
        <v>5000492575</v>
      </c>
      <c r="B222" t="s">
        <v>301</v>
      </c>
      <c r="C222" t="s">
        <v>301</v>
      </c>
      <c r="D222" t="s">
        <v>1</v>
      </c>
      <c r="E222" t="s">
        <v>302</v>
      </c>
      <c r="F222" t="s">
        <v>664</v>
      </c>
      <c r="G222" s="2">
        <v>2</v>
      </c>
      <c r="H222" t="s">
        <v>461</v>
      </c>
      <c r="I222" t="s">
        <v>3</v>
      </c>
      <c r="J222" t="s">
        <v>8</v>
      </c>
      <c r="K222" t="s">
        <v>605</v>
      </c>
      <c r="L222" t="s">
        <v>608</v>
      </c>
      <c r="M222" t="s">
        <v>665</v>
      </c>
      <c r="N222" t="s">
        <v>602</v>
      </c>
      <c r="O222" t="s">
        <v>603</v>
      </c>
      <c r="P222" t="s">
        <v>602</v>
      </c>
      <c r="Q222" s="17">
        <f>IFERROR(VLOOKUP(A222,已除帳印單!B:C,1,0),0)*1</f>
        <v>0</v>
      </c>
      <c r="R222" s="67" t="str">
        <f>IFERROR(VLOOKUP(J222,線別!A:B,2,1),"")</f>
        <v>裝一線</v>
      </c>
      <c r="S222" s="17" t="str">
        <f>IFERROR(VLOOKUP(A222,已除帳印單!B:C,2,0),"")</f>
        <v/>
      </c>
      <c r="T222" s="68">
        <f t="shared" si="18"/>
        <v>43894</v>
      </c>
      <c r="U222" s="69">
        <f t="shared" si="19"/>
        <v>84.168796296296293</v>
      </c>
      <c r="V222" s="68" t="str">
        <f>IFERROR(VLOOKUP(A222,已除帳印單!B:D,3,0),"")</f>
        <v/>
      </c>
      <c r="W222" s="69" t="str">
        <f>IFERROR(VLOOKUP(A222,已除帳印單!B:E,4,0),"")</f>
        <v/>
      </c>
      <c r="X222" s="68" t="str">
        <f>IFERROR(INDEX(刷條碼區!A:C,MATCH(點上線資訊!S222,刷條碼區!C:C,0),1),"")</f>
        <v/>
      </c>
      <c r="Y222" s="69" t="str">
        <f>IFERROR(INDEX(刷條碼區!A:C,MATCH(點上線資訊!S222,刷條碼區!C:C,0),2),"")</f>
        <v/>
      </c>
      <c r="Z222" s="70" t="str">
        <f>IFERROR(INDEX(刷條碼區!D:G,MATCH(點上線資訊!S222,刷條碼區!F:F,0),1),"")</f>
        <v/>
      </c>
      <c r="AA222" s="71" t="str">
        <f>IFERROR(INDEX(刷條碼區!D:G,MATCH(點上線資訊!S222,刷條碼區!F:F,0),2),"")</f>
        <v/>
      </c>
      <c r="AB222" s="20" t="b">
        <f t="shared" si="20"/>
        <v>0</v>
      </c>
      <c r="AC222" s="20" t="b">
        <f t="shared" si="21"/>
        <v>0</v>
      </c>
      <c r="AD222" s="17" t="b">
        <f t="shared" si="22"/>
        <v>0</v>
      </c>
      <c r="AE222" s="17" t="b">
        <f t="shared" si="23"/>
        <v>0</v>
      </c>
    </row>
    <row r="223" spans="1:31" x14ac:dyDescent="0.2">
      <c r="A223" s="16">
        <v>5000492577</v>
      </c>
      <c r="B223" t="s">
        <v>0</v>
      </c>
      <c r="C223" t="s">
        <v>0</v>
      </c>
      <c r="D223" t="s">
        <v>1</v>
      </c>
      <c r="E223" t="s">
        <v>805</v>
      </c>
      <c r="F223" t="s">
        <v>806</v>
      </c>
      <c r="G223" s="2">
        <v>5</v>
      </c>
      <c r="H223" t="s">
        <v>461</v>
      </c>
      <c r="I223" t="s">
        <v>3</v>
      </c>
      <c r="J223" t="s">
        <v>4</v>
      </c>
      <c r="K223" t="s">
        <v>605</v>
      </c>
      <c r="L223" t="s">
        <v>608</v>
      </c>
      <c r="M223" t="s">
        <v>807</v>
      </c>
      <c r="N223" t="s">
        <v>602</v>
      </c>
      <c r="O223" t="s">
        <v>603</v>
      </c>
      <c r="P223" t="s">
        <v>602</v>
      </c>
      <c r="Q223" s="17">
        <f>IFERROR(VLOOKUP(A223,已除帳印單!B:C,1,0),0)*1</f>
        <v>0</v>
      </c>
      <c r="R223" s="67" t="str">
        <f>IFERROR(VLOOKUP(J223,線別!A:B,2,1),"")</f>
        <v>IA線</v>
      </c>
      <c r="S223" s="17" t="str">
        <f>IFERROR(VLOOKUP(A223,已除帳印單!B:C,2,0),"")</f>
        <v/>
      </c>
      <c r="T223" s="68">
        <f t="shared" si="18"/>
        <v>43892</v>
      </c>
      <c r="U223" s="69">
        <f t="shared" si="19"/>
        <v>84.168773148148148</v>
      </c>
      <c r="V223" s="68" t="str">
        <f>IFERROR(VLOOKUP(A223,已除帳印單!B:D,3,0),"")</f>
        <v/>
      </c>
      <c r="W223" s="69" t="str">
        <f>IFERROR(VLOOKUP(A223,已除帳印單!B:E,4,0),"")</f>
        <v/>
      </c>
      <c r="X223" s="68" t="str">
        <f>IFERROR(INDEX(刷條碼區!A:C,MATCH(點上線資訊!S223,刷條碼區!C:C,0),1),"")</f>
        <v/>
      </c>
      <c r="Y223" s="69" t="str">
        <f>IFERROR(INDEX(刷條碼區!A:C,MATCH(點上線資訊!S223,刷條碼區!C:C,0),2),"")</f>
        <v/>
      </c>
      <c r="Z223" s="70" t="str">
        <f>IFERROR(INDEX(刷條碼區!D:G,MATCH(點上線資訊!S223,刷條碼區!F:F,0),1),"")</f>
        <v/>
      </c>
      <c r="AA223" s="71" t="str">
        <f>IFERROR(INDEX(刷條碼區!D:G,MATCH(點上線資訊!S223,刷條碼區!F:F,0),2),"")</f>
        <v/>
      </c>
      <c r="AB223" s="20" t="b">
        <f t="shared" si="20"/>
        <v>0</v>
      </c>
      <c r="AC223" s="20" t="b">
        <f t="shared" si="21"/>
        <v>0</v>
      </c>
      <c r="AD223" s="17" t="b">
        <f t="shared" si="22"/>
        <v>0</v>
      </c>
      <c r="AE223" s="17" t="b">
        <f t="shared" si="23"/>
        <v>0</v>
      </c>
    </row>
    <row r="224" spans="1:31" x14ac:dyDescent="0.2">
      <c r="A224" s="16">
        <v>5000492580</v>
      </c>
      <c r="B224" t="s">
        <v>0</v>
      </c>
      <c r="C224" t="s">
        <v>0</v>
      </c>
      <c r="D224" t="s">
        <v>1</v>
      </c>
      <c r="E224" t="s">
        <v>808</v>
      </c>
      <c r="F224" t="s">
        <v>809</v>
      </c>
      <c r="G224" s="2">
        <v>20</v>
      </c>
      <c r="H224" t="s">
        <v>461</v>
      </c>
      <c r="I224" t="s">
        <v>3</v>
      </c>
      <c r="J224" t="s">
        <v>5</v>
      </c>
      <c r="K224" t="s">
        <v>605</v>
      </c>
      <c r="L224" t="s">
        <v>608</v>
      </c>
      <c r="M224" t="s">
        <v>810</v>
      </c>
      <c r="N224" t="s">
        <v>602</v>
      </c>
      <c r="O224" t="s">
        <v>603</v>
      </c>
      <c r="P224" t="s">
        <v>602</v>
      </c>
      <c r="Q224" s="17">
        <f>IFERROR(VLOOKUP(A224,已除帳印單!B:C,1,0),0)*1</f>
        <v>0</v>
      </c>
      <c r="R224" s="67" t="str">
        <f>IFERROR(VLOOKUP(J224,線別!A:B,2,1),"")</f>
        <v>FM線</v>
      </c>
      <c r="S224" s="17" t="str">
        <f>IFERROR(VLOOKUP(A224,已除帳印單!B:C,2,0),"")</f>
        <v/>
      </c>
      <c r="T224" s="68">
        <f t="shared" si="18"/>
        <v>43892</v>
      </c>
      <c r="U224" s="69">
        <f t="shared" si="19"/>
        <v>84.168773148148148</v>
      </c>
      <c r="V224" s="68" t="str">
        <f>IFERROR(VLOOKUP(A224,已除帳印單!B:D,3,0),"")</f>
        <v/>
      </c>
      <c r="W224" s="69" t="str">
        <f>IFERROR(VLOOKUP(A224,已除帳印單!B:E,4,0),"")</f>
        <v/>
      </c>
      <c r="X224" s="68" t="str">
        <f>IFERROR(INDEX(刷條碼區!A:C,MATCH(點上線資訊!S224,刷條碼區!C:C,0),1),"")</f>
        <v/>
      </c>
      <c r="Y224" s="69" t="str">
        <f>IFERROR(INDEX(刷條碼區!A:C,MATCH(點上線資訊!S224,刷條碼區!C:C,0),2),"")</f>
        <v/>
      </c>
      <c r="Z224" s="70" t="str">
        <f>IFERROR(INDEX(刷條碼區!D:G,MATCH(點上線資訊!S224,刷條碼區!F:F,0),1),"")</f>
        <v/>
      </c>
      <c r="AA224" s="71" t="str">
        <f>IFERROR(INDEX(刷條碼區!D:G,MATCH(點上線資訊!S224,刷條碼區!F:F,0),2),"")</f>
        <v/>
      </c>
      <c r="AB224" s="20" t="b">
        <f t="shared" si="20"/>
        <v>0</v>
      </c>
      <c r="AC224" s="20" t="b">
        <f t="shared" si="21"/>
        <v>0</v>
      </c>
      <c r="AD224" s="17" t="b">
        <f t="shared" si="22"/>
        <v>0</v>
      </c>
      <c r="AE224" s="17" t="b">
        <f t="shared" si="23"/>
        <v>0</v>
      </c>
    </row>
    <row r="225" spans="1:31" x14ac:dyDescent="0.2">
      <c r="A225" s="16">
        <v>5000492581</v>
      </c>
      <c r="B225" t="s">
        <v>0</v>
      </c>
      <c r="C225" t="s">
        <v>0</v>
      </c>
      <c r="D225" t="s">
        <v>1</v>
      </c>
      <c r="E225" t="s">
        <v>811</v>
      </c>
      <c r="F225" t="s">
        <v>812</v>
      </c>
      <c r="G225" s="2">
        <v>15</v>
      </c>
      <c r="H225" t="s">
        <v>461</v>
      </c>
      <c r="I225" t="s">
        <v>3</v>
      </c>
      <c r="J225" t="s">
        <v>8</v>
      </c>
      <c r="K225" t="s">
        <v>605</v>
      </c>
      <c r="L225" t="s">
        <v>608</v>
      </c>
      <c r="M225" t="s">
        <v>668</v>
      </c>
      <c r="N225" t="s">
        <v>602</v>
      </c>
      <c r="O225" t="s">
        <v>603</v>
      </c>
      <c r="P225" t="s">
        <v>602</v>
      </c>
      <c r="Q225" s="17">
        <f>IFERROR(VLOOKUP(A225,已除帳印單!B:C,1,0),0)*1</f>
        <v>0</v>
      </c>
      <c r="R225" s="67" t="str">
        <f>IFERROR(VLOOKUP(J225,線別!A:B,2,1),"")</f>
        <v>裝一線</v>
      </c>
      <c r="S225" s="17" t="str">
        <f>IFERROR(VLOOKUP(A225,已除帳印單!B:C,2,0),"")</f>
        <v/>
      </c>
      <c r="T225" s="68">
        <f t="shared" si="18"/>
        <v>43892</v>
      </c>
      <c r="U225" s="69">
        <f t="shared" si="19"/>
        <v>84.168773148148148</v>
      </c>
      <c r="V225" s="68" t="str">
        <f>IFERROR(VLOOKUP(A225,已除帳印單!B:D,3,0),"")</f>
        <v/>
      </c>
      <c r="W225" s="69" t="str">
        <f>IFERROR(VLOOKUP(A225,已除帳印單!B:E,4,0),"")</f>
        <v/>
      </c>
      <c r="X225" s="68" t="str">
        <f>IFERROR(INDEX(刷條碼區!A:C,MATCH(點上線資訊!S225,刷條碼區!C:C,0),1),"")</f>
        <v/>
      </c>
      <c r="Y225" s="69" t="str">
        <f>IFERROR(INDEX(刷條碼區!A:C,MATCH(點上線資訊!S225,刷條碼區!C:C,0),2),"")</f>
        <v/>
      </c>
      <c r="Z225" s="70" t="str">
        <f>IFERROR(INDEX(刷條碼區!D:G,MATCH(點上線資訊!S225,刷條碼區!F:F,0),1),"")</f>
        <v/>
      </c>
      <c r="AA225" s="71" t="str">
        <f>IFERROR(INDEX(刷條碼區!D:G,MATCH(點上線資訊!S225,刷條碼區!F:F,0),2),"")</f>
        <v/>
      </c>
      <c r="AB225" s="20" t="b">
        <f t="shared" si="20"/>
        <v>0</v>
      </c>
      <c r="AC225" s="20" t="b">
        <f t="shared" si="21"/>
        <v>0</v>
      </c>
      <c r="AD225" s="17" t="b">
        <f t="shared" si="22"/>
        <v>0</v>
      </c>
      <c r="AE225" s="17" t="b">
        <f t="shared" si="23"/>
        <v>0</v>
      </c>
    </row>
    <row r="226" spans="1:31" x14ac:dyDescent="0.2">
      <c r="A226" s="16">
        <v>5000492582</v>
      </c>
      <c r="B226" t="s">
        <v>0</v>
      </c>
      <c r="C226" t="s">
        <v>0</v>
      </c>
      <c r="D226" t="s">
        <v>1</v>
      </c>
      <c r="E226" t="s">
        <v>811</v>
      </c>
      <c r="F226" t="s">
        <v>812</v>
      </c>
      <c r="G226" s="2">
        <v>20</v>
      </c>
      <c r="H226" t="s">
        <v>461</v>
      </c>
      <c r="I226" t="s">
        <v>3</v>
      </c>
      <c r="J226" t="s">
        <v>8</v>
      </c>
      <c r="K226" t="s">
        <v>605</v>
      </c>
      <c r="L226" t="s">
        <v>608</v>
      </c>
      <c r="M226" t="s">
        <v>668</v>
      </c>
      <c r="N226" t="s">
        <v>602</v>
      </c>
      <c r="O226" t="s">
        <v>603</v>
      </c>
      <c r="P226" t="s">
        <v>602</v>
      </c>
      <c r="Q226" s="17">
        <f>IFERROR(VLOOKUP(A226,已除帳印單!B:C,1,0),0)*1</f>
        <v>0</v>
      </c>
      <c r="R226" s="67" t="str">
        <f>IFERROR(VLOOKUP(J226,線別!A:B,2,1),"")</f>
        <v>裝一線</v>
      </c>
      <c r="S226" s="17" t="str">
        <f>IFERROR(VLOOKUP(A226,已除帳印單!B:C,2,0),"")</f>
        <v/>
      </c>
      <c r="T226" s="68">
        <f t="shared" si="18"/>
        <v>43892</v>
      </c>
      <c r="U226" s="69">
        <f t="shared" si="19"/>
        <v>84.168773148148148</v>
      </c>
      <c r="V226" s="68" t="str">
        <f>IFERROR(VLOOKUP(A226,已除帳印單!B:D,3,0),"")</f>
        <v/>
      </c>
      <c r="W226" s="69" t="str">
        <f>IFERROR(VLOOKUP(A226,已除帳印單!B:E,4,0),"")</f>
        <v/>
      </c>
      <c r="X226" s="68" t="str">
        <f>IFERROR(INDEX(刷條碼區!A:C,MATCH(點上線資訊!S226,刷條碼區!C:C,0),1),"")</f>
        <v/>
      </c>
      <c r="Y226" s="69" t="str">
        <f>IFERROR(INDEX(刷條碼區!A:C,MATCH(點上線資訊!S226,刷條碼區!C:C,0),2),"")</f>
        <v/>
      </c>
      <c r="Z226" s="70" t="str">
        <f>IFERROR(INDEX(刷條碼區!D:G,MATCH(點上線資訊!S226,刷條碼區!F:F,0),1),"")</f>
        <v/>
      </c>
      <c r="AA226" s="71" t="str">
        <f>IFERROR(INDEX(刷條碼區!D:G,MATCH(點上線資訊!S226,刷條碼區!F:F,0),2),"")</f>
        <v/>
      </c>
      <c r="AB226" s="20" t="b">
        <f t="shared" si="20"/>
        <v>0</v>
      </c>
      <c r="AC226" s="20" t="b">
        <f t="shared" si="21"/>
        <v>0</v>
      </c>
      <c r="AD226" s="17" t="b">
        <f t="shared" si="22"/>
        <v>0</v>
      </c>
      <c r="AE226" s="17" t="b">
        <f t="shared" si="23"/>
        <v>0</v>
      </c>
    </row>
    <row r="227" spans="1:31" x14ac:dyDescent="0.2">
      <c r="A227" s="16">
        <v>5000492583</v>
      </c>
      <c r="B227" t="s">
        <v>0</v>
      </c>
      <c r="C227" t="s">
        <v>0</v>
      </c>
      <c r="D227" t="s">
        <v>1</v>
      </c>
      <c r="E227" t="s">
        <v>811</v>
      </c>
      <c r="F227" t="s">
        <v>812</v>
      </c>
      <c r="G227" s="2">
        <v>15</v>
      </c>
      <c r="H227" t="s">
        <v>461</v>
      </c>
      <c r="I227" t="s">
        <v>3</v>
      </c>
      <c r="J227" t="s">
        <v>8</v>
      </c>
      <c r="K227" t="s">
        <v>605</v>
      </c>
      <c r="L227" t="s">
        <v>608</v>
      </c>
      <c r="M227" t="s">
        <v>668</v>
      </c>
      <c r="N227" t="s">
        <v>602</v>
      </c>
      <c r="O227" t="s">
        <v>603</v>
      </c>
      <c r="P227" t="s">
        <v>602</v>
      </c>
      <c r="Q227" s="17">
        <f>IFERROR(VLOOKUP(A227,已除帳印單!B:C,1,0),0)*1</f>
        <v>0</v>
      </c>
      <c r="R227" s="67" t="str">
        <f>IFERROR(VLOOKUP(J227,線別!A:B,2,1),"")</f>
        <v>裝一線</v>
      </c>
      <c r="S227" s="17" t="str">
        <f>IFERROR(VLOOKUP(A227,已除帳印單!B:C,2,0),"")</f>
        <v/>
      </c>
      <c r="T227" s="68">
        <f t="shared" si="18"/>
        <v>43892</v>
      </c>
      <c r="U227" s="69">
        <f t="shared" si="19"/>
        <v>84.168773148148148</v>
      </c>
      <c r="V227" s="68" t="str">
        <f>IFERROR(VLOOKUP(A227,已除帳印單!B:D,3,0),"")</f>
        <v/>
      </c>
      <c r="W227" s="69" t="str">
        <f>IFERROR(VLOOKUP(A227,已除帳印單!B:E,4,0),"")</f>
        <v/>
      </c>
      <c r="X227" s="68" t="str">
        <f>IFERROR(INDEX(刷條碼區!A:C,MATCH(點上線資訊!S227,刷條碼區!C:C,0),1),"")</f>
        <v/>
      </c>
      <c r="Y227" s="69" t="str">
        <f>IFERROR(INDEX(刷條碼區!A:C,MATCH(點上線資訊!S227,刷條碼區!C:C,0),2),"")</f>
        <v/>
      </c>
      <c r="Z227" s="70" t="str">
        <f>IFERROR(INDEX(刷條碼區!D:G,MATCH(點上線資訊!S227,刷條碼區!F:F,0),1),"")</f>
        <v/>
      </c>
      <c r="AA227" s="71" t="str">
        <f>IFERROR(INDEX(刷條碼區!D:G,MATCH(點上線資訊!S227,刷條碼區!F:F,0),2),"")</f>
        <v/>
      </c>
      <c r="AB227" s="20" t="b">
        <f t="shared" si="20"/>
        <v>0</v>
      </c>
      <c r="AC227" s="20" t="b">
        <f t="shared" si="21"/>
        <v>0</v>
      </c>
      <c r="AD227" s="17" t="b">
        <f t="shared" si="22"/>
        <v>0</v>
      </c>
      <c r="AE227" s="17" t="b">
        <f t="shared" si="23"/>
        <v>0</v>
      </c>
    </row>
    <row r="228" spans="1:31" x14ac:dyDescent="0.2">
      <c r="A228" s="16">
        <v>5000492584</v>
      </c>
      <c r="B228" t="s">
        <v>0</v>
      </c>
      <c r="C228" t="s">
        <v>0</v>
      </c>
      <c r="D228" t="s">
        <v>1</v>
      </c>
      <c r="E228" t="s">
        <v>813</v>
      </c>
      <c r="F228" t="s">
        <v>814</v>
      </c>
      <c r="G228" s="2">
        <v>4</v>
      </c>
      <c r="H228" t="s">
        <v>461</v>
      </c>
      <c r="I228" t="s">
        <v>3</v>
      </c>
      <c r="J228" t="s">
        <v>8</v>
      </c>
      <c r="K228" t="s">
        <v>605</v>
      </c>
      <c r="L228" t="s">
        <v>608</v>
      </c>
      <c r="M228" t="s">
        <v>798</v>
      </c>
      <c r="N228" t="s">
        <v>602</v>
      </c>
      <c r="O228" t="s">
        <v>603</v>
      </c>
      <c r="P228" t="s">
        <v>602</v>
      </c>
      <c r="Q228" s="17">
        <f>IFERROR(VLOOKUP(A228,已除帳印單!B:C,1,0),0)*1</f>
        <v>0</v>
      </c>
      <c r="R228" s="67" t="str">
        <f>IFERROR(VLOOKUP(J228,線別!A:B,2,1),"")</f>
        <v>裝一線</v>
      </c>
      <c r="S228" s="17" t="str">
        <f>IFERROR(VLOOKUP(A228,已除帳印單!B:C,2,0),"")</f>
        <v/>
      </c>
      <c r="T228" s="68">
        <f t="shared" si="18"/>
        <v>43892</v>
      </c>
      <c r="U228" s="69">
        <f t="shared" si="19"/>
        <v>84.168773148148148</v>
      </c>
      <c r="V228" s="68" t="str">
        <f>IFERROR(VLOOKUP(A228,已除帳印單!B:D,3,0),"")</f>
        <v/>
      </c>
      <c r="W228" s="69" t="str">
        <f>IFERROR(VLOOKUP(A228,已除帳印單!B:E,4,0),"")</f>
        <v/>
      </c>
      <c r="X228" s="68" t="str">
        <f>IFERROR(INDEX(刷條碼區!A:C,MATCH(點上線資訊!S228,刷條碼區!C:C,0),1),"")</f>
        <v/>
      </c>
      <c r="Y228" s="69" t="str">
        <f>IFERROR(INDEX(刷條碼區!A:C,MATCH(點上線資訊!S228,刷條碼區!C:C,0),2),"")</f>
        <v/>
      </c>
      <c r="Z228" s="70" t="str">
        <f>IFERROR(INDEX(刷條碼區!D:G,MATCH(點上線資訊!S228,刷條碼區!F:F,0),1),"")</f>
        <v/>
      </c>
      <c r="AA228" s="71" t="str">
        <f>IFERROR(INDEX(刷條碼區!D:G,MATCH(點上線資訊!S228,刷條碼區!F:F,0),2),"")</f>
        <v/>
      </c>
      <c r="AB228" s="20" t="b">
        <f t="shared" si="20"/>
        <v>0</v>
      </c>
      <c r="AC228" s="20" t="b">
        <f t="shared" si="21"/>
        <v>0</v>
      </c>
      <c r="AD228" s="17" t="b">
        <f t="shared" si="22"/>
        <v>0</v>
      </c>
      <c r="AE228" s="17" t="b">
        <f t="shared" si="23"/>
        <v>0</v>
      </c>
    </row>
    <row r="229" spans="1:31" x14ac:dyDescent="0.2">
      <c r="A229" s="16">
        <v>5000492595</v>
      </c>
      <c r="B229" t="s">
        <v>0</v>
      </c>
      <c r="C229" t="s">
        <v>0</v>
      </c>
      <c r="D229" t="s">
        <v>1</v>
      </c>
      <c r="E229" t="s">
        <v>813</v>
      </c>
      <c r="F229" t="s">
        <v>814</v>
      </c>
      <c r="G229" s="2">
        <v>3</v>
      </c>
      <c r="H229" t="s">
        <v>461</v>
      </c>
      <c r="I229" t="s">
        <v>3</v>
      </c>
      <c r="J229" t="s">
        <v>8</v>
      </c>
      <c r="K229" t="s">
        <v>605</v>
      </c>
      <c r="L229" t="s">
        <v>608</v>
      </c>
      <c r="M229" t="s">
        <v>798</v>
      </c>
      <c r="N229" t="s">
        <v>602</v>
      </c>
      <c r="O229" t="s">
        <v>603</v>
      </c>
      <c r="P229" t="s">
        <v>602</v>
      </c>
      <c r="Q229" s="17">
        <f>IFERROR(VLOOKUP(A229,已除帳印單!B:C,1,0),0)*1</f>
        <v>0</v>
      </c>
      <c r="R229" s="67" t="str">
        <f>IFERROR(VLOOKUP(J229,線別!A:B,2,1),"")</f>
        <v>裝一線</v>
      </c>
      <c r="S229" s="17" t="str">
        <f>IFERROR(VLOOKUP(A229,已除帳印單!B:C,2,0),"")</f>
        <v/>
      </c>
      <c r="T229" s="68">
        <f t="shared" si="18"/>
        <v>43892</v>
      </c>
      <c r="U229" s="69">
        <f t="shared" si="19"/>
        <v>84.168773148148148</v>
      </c>
      <c r="V229" s="68" t="str">
        <f>IFERROR(VLOOKUP(A229,已除帳印單!B:D,3,0),"")</f>
        <v/>
      </c>
      <c r="W229" s="69" t="str">
        <f>IFERROR(VLOOKUP(A229,已除帳印單!B:E,4,0),"")</f>
        <v/>
      </c>
      <c r="X229" s="68" t="str">
        <f>IFERROR(INDEX(刷條碼區!A:C,MATCH(點上線資訊!S229,刷條碼區!C:C,0),1),"")</f>
        <v/>
      </c>
      <c r="Y229" s="69" t="str">
        <f>IFERROR(INDEX(刷條碼區!A:C,MATCH(點上線資訊!S229,刷條碼區!C:C,0),2),"")</f>
        <v/>
      </c>
      <c r="Z229" s="70" t="str">
        <f>IFERROR(INDEX(刷條碼區!D:G,MATCH(點上線資訊!S229,刷條碼區!F:F,0),1),"")</f>
        <v/>
      </c>
      <c r="AA229" s="71" t="str">
        <f>IFERROR(INDEX(刷條碼區!D:G,MATCH(點上線資訊!S229,刷條碼區!F:F,0),2),"")</f>
        <v/>
      </c>
      <c r="AB229" s="20" t="b">
        <f t="shared" si="20"/>
        <v>0</v>
      </c>
      <c r="AC229" s="20" t="b">
        <f t="shared" si="21"/>
        <v>0</v>
      </c>
      <c r="AD229" s="17" t="b">
        <f t="shared" si="22"/>
        <v>0</v>
      </c>
      <c r="AE229" s="17" t="b">
        <f t="shared" si="23"/>
        <v>0</v>
      </c>
    </row>
    <row r="230" spans="1:31" x14ac:dyDescent="0.2">
      <c r="A230" s="16">
        <v>5000492603</v>
      </c>
      <c r="B230" t="s">
        <v>301</v>
      </c>
      <c r="C230" t="s">
        <v>301</v>
      </c>
      <c r="D230" t="s">
        <v>1</v>
      </c>
      <c r="E230" t="s">
        <v>353</v>
      </c>
      <c r="F230" t="s">
        <v>504</v>
      </c>
      <c r="G230" s="2">
        <v>20</v>
      </c>
      <c r="H230" t="s">
        <v>461</v>
      </c>
      <c r="I230" t="s">
        <v>3</v>
      </c>
      <c r="J230" t="s">
        <v>339</v>
      </c>
      <c r="K230" t="s">
        <v>602</v>
      </c>
      <c r="L230" t="s">
        <v>603</v>
      </c>
      <c r="M230" t="s">
        <v>602</v>
      </c>
      <c r="N230" t="s">
        <v>602</v>
      </c>
      <c r="O230" t="s">
        <v>603</v>
      </c>
      <c r="P230" t="s">
        <v>602</v>
      </c>
      <c r="Q230" s="17">
        <f>IFERROR(VLOOKUP(A230,已除帳印單!B:C,1,0),0)*1</f>
        <v>0</v>
      </c>
      <c r="R230" s="67" t="str">
        <f>IFERROR(VLOOKUP(J230,線別!A:B,2,1),"")</f>
        <v>A+線</v>
      </c>
      <c r="S230" s="17" t="str">
        <f>IFERROR(VLOOKUP(A230,已除帳印單!B:C,2,0),"")</f>
        <v/>
      </c>
      <c r="T230" s="68">
        <f t="shared" si="18"/>
        <v>43894</v>
      </c>
      <c r="U230" s="69">
        <f t="shared" si="19"/>
        <v>84.168796296296293</v>
      </c>
      <c r="V230" s="68" t="str">
        <f>IFERROR(VLOOKUP(A230,已除帳印單!B:D,3,0),"")</f>
        <v/>
      </c>
      <c r="W230" s="69" t="str">
        <f>IFERROR(VLOOKUP(A230,已除帳印單!B:E,4,0),"")</f>
        <v/>
      </c>
      <c r="X230" s="68" t="str">
        <f>IFERROR(INDEX(刷條碼區!A:C,MATCH(點上線資訊!S230,刷條碼區!C:C,0),1),"")</f>
        <v/>
      </c>
      <c r="Y230" s="69" t="str">
        <f>IFERROR(INDEX(刷條碼區!A:C,MATCH(點上線資訊!S230,刷條碼區!C:C,0),2),"")</f>
        <v/>
      </c>
      <c r="Z230" s="70" t="str">
        <f>IFERROR(INDEX(刷條碼區!D:G,MATCH(點上線資訊!S230,刷條碼區!F:F,0),1),"")</f>
        <v/>
      </c>
      <c r="AA230" s="71" t="str">
        <f>IFERROR(INDEX(刷條碼區!D:G,MATCH(點上線資訊!S230,刷條碼區!F:F,0),2),"")</f>
        <v/>
      </c>
      <c r="AB230" s="20">
        <f t="shared" si="20"/>
        <v>20</v>
      </c>
      <c r="AC230" s="20" t="b">
        <f t="shared" si="21"/>
        <v>0</v>
      </c>
      <c r="AD230" s="17" t="b">
        <f t="shared" si="22"/>
        <v>0</v>
      </c>
      <c r="AE230" s="17" t="b">
        <f t="shared" si="23"/>
        <v>0</v>
      </c>
    </row>
    <row r="231" spans="1:31" x14ac:dyDescent="0.2">
      <c r="A231" s="16">
        <v>5000492609</v>
      </c>
      <c r="B231" t="s">
        <v>0</v>
      </c>
      <c r="C231" t="s">
        <v>0</v>
      </c>
      <c r="D231" t="s">
        <v>1</v>
      </c>
      <c r="E231" t="s">
        <v>59</v>
      </c>
      <c r="F231" t="s">
        <v>498</v>
      </c>
      <c r="G231" s="2">
        <v>20</v>
      </c>
      <c r="H231" t="s">
        <v>461</v>
      </c>
      <c r="I231" t="s">
        <v>3</v>
      </c>
      <c r="J231" t="s">
        <v>53</v>
      </c>
      <c r="K231" t="s">
        <v>605</v>
      </c>
      <c r="L231" t="s">
        <v>608</v>
      </c>
      <c r="M231" t="s">
        <v>815</v>
      </c>
      <c r="N231" t="s">
        <v>602</v>
      </c>
      <c r="O231" t="s">
        <v>603</v>
      </c>
      <c r="P231" t="s">
        <v>602</v>
      </c>
      <c r="Q231" s="17">
        <f>IFERROR(VLOOKUP(A231,已除帳印單!B:C,1,0),0)*1</f>
        <v>0</v>
      </c>
      <c r="R231" s="67" t="str">
        <f>IFERROR(VLOOKUP(J231,線別!A:B,2,1),"")</f>
        <v>裝二線</v>
      </c>
      <c r="S231" s="17" t="str">
        <f>IFERROR(VLOOKUP(A231,已除帳印單!B:C,2,0),"")</f>
        <v/>
      </c>
      <c r="T231" s="68">
        <f t="shared" si="18"/>
        <v>43892</v>
      </c>
      <c r="U231" s="69">
        <f t="shared" si="19"/>
        <v>84.168773148148148</v>
      </c>
      <c r="V231" s="68" t="str">
        <f>IFERROR(VLOOKUP(A231,已除帳印單!B:D,3,0),"")</f>
        <v/>
      </c>
      <c r="W231" s="69" t="str">
        <f>IFERROR(VLOOKUP(A231,已除帳印單!B:E,4,0),"")</f>
        <v/>
      </c>
      <c r="X231" s="68" t="str">
        <f>IFERROR(INDEX(刷條碼區!A:C,MATCH(點上線資訊!S231,刷條碼區!C:C,0),1),"")</f>
        <v/>
      </c>
      <c r="Y231" s="69" t="str">
        <f>IFERROR(INDEX(刷條碼區!A:C,MATCH(點上線資訊!S231,刷條碼區!C:C,0),2),"")</f>
        <v/>
      </c>
      <c r="Z231" s="70" t="str">
        <f>IFERROR(INDEX(刷條碼區!D:G,MATCH(點上線資訊!S231,刷條碼區!F:F,0),1),"")</f>
        <v/>
      </c>
      <c r="AA231" s="71" t="str">
        <f>IFERROR(INDEX(刷條碼區!D:G,MATCH(點上線資訊!S231,刷條碼區!F:F,0),2),"")</f>
        <v/>
      </c>
      <c r="AB231" s="20" t="b">
        <f t="shared" si="20"/>
        <v>0</v>
      </c>
      <c r="AC231" s="20" t="b">
        <f t="shared" si="21"/>
        <v>0</v>
      </c>
      <c r="AD231" s="17" t="b">
        <f t="shared" si="22"/>
        <v>0</v>
      </c>
      <c r="AE231" s="17" t="b">
        <f t="shared" si="23"/>
        <v>0</v>
      </c>
    </row>
    <row r="232" spans="1:31" x14ac:dyDescent="0.2">
      <c r="A232" s="16">
        <v>5000492614</v>
      </c>
      <c r="B232" t="s">
        <v>301</v>
      </c>
      <c r="C232" t="s">
        <v>301</v>
      </c>
      <c r="D232" t="s">
        <v>1</v>
      </c>
      <c r="E232" t="s">
        <v>352</v>
      </c>
      <c r="F232" t="s">
        <v>505</v>
      </c>
      <c r="G232" s="2">
        <v>15</v>
      </c>
      <c r="H232" t="s">
        <v>461</v>
      </c>
      <c r="I232" t="s">
        <v>3</v>
      </c>
      <c r="J232" t="s">
        <v>339</v>
      </c>
      <c r="K232" t="s">
        <v>602</v>
      </c>
      <c r="L232" t="s">
        <v>603</v>
      </c>
      <c r="M232" t="s">
        <v>602</v>
      </c>
      <c r="N232" t="s">
        <v>602</v>
      </c>
      <c r="O232" t="s">
        <v>603</v>
      </c>
      <c r="P232" t="s">
        <v>602</v>
      </c>
      <c r="Q232" s="17">
        <f>IFERROR(VLOOKUP(A232,已除帳印單!B:C,1,0),0)*1</f>
        <v>0</v>
      </c>
      <c r="R232" s="67" t="str">
        <f>IFERROR(VLOOKUP(J232,線別!A:B,2,1),"")</f>
        <v>A+線</v>
      </c>
      <c r="S232" s="17" t="str">
        <f>IFERROR(VLOOKUP(A232,已除帳印單!B:C,2,0),"")</f>
        <v/>
      </c>
      <c r="T232" s="68">
        <f t="shared" si="18"/>
        <v>43894</v>
      </c>
      <c r="U232" s="69">
        <f t="shared" si="19"/>
        <v>84.168796296296293</v>
      </c>
      <c r="V232" s="68" t="str">
        <f>IFERROR(VLOOKUP(A232,已除帳印單!B:D,3,0),"")</f>
        <v/>
      </c>
      <c r="W232" s="69" t="str">
        <f>IFERROR(VLOOKUP(A232,已除帳印單!B:E,4,0),"")</f>
        <v/>
      </c>
      <c r="X232" s="68" t="str">
        <f>IFERROR(INDEX(刷條碼區!A:C,MATCH(點上線資訊!S232,刷條碼區!C:C,0),1),"")</f>
        <v/>
      </c>
      <c r="Y232" s="69" t="str">
        <f>IFERROR(INDEX(刷條碼區!A:C,MATCH(點上線資訊!S232,刷條碼區!C:C,0),2),"")</f>
        <v/>
      </c>
      <c r="Z232" s="70" t="str">
        <f>IFERROR(INDEX(刷條碼區!D:G,MATCH(點上線資訊!S232,刷條碼區!F:F,0),1),"")</f>
        <v/>
      </c>
      <c r="AA232" s="71" t="str">
        <f>IFERROR(INDEX(刷條碼區!D:G,MATCH(點上線資訊!S232,刷條碼區!F:F,0),2),"")</f>
        <v/>
      </c>
      <c r="AB232" s="20">
        <f t="shared" si="20"/>
        <v>15</v>
      </c>
      <c r="AC232" s="20" t="b">
        <f t="shared" si="21"/>
        <v>0</v>
      </c>
      <c r="AD232" s="17" t="b">
        <f t="shared" si="22"/>
        <v>0</v>
      </c>
      <c r="AE232" s="17" t="b">
        <f t="shared" si="23"/>
        <v>0</v>
      </c>
    </row>
    <row r="233" spans="1:31" x14ac:dyDescent="0.2">
      <c r="A233" s="16">
        <v>5000492622</v>
      </c>
      <c r="B233" t="s">
        <v>0</v>
      </c>
      <c r="C233" t="s">
        <v>0</v>
      </c>
      <c r="D233" t="s">
        <v>1</v>
      </c>
      <c r="E233" t="s">
        <v>60</v>
      </c>
      <c r="F233" t="s">
        <v>510</v>
      </c>
      <c r="G233" s="2">
        <v>5</v>
      </c>
      <c r="H233" t="s">
        <v>461</v>
      </c>
      <c r="I233" t="s">
        <v>3</v>
      </c>
      <c r="J233" t="s">
        <v>53</v>
      </c>
      <c r="K233" t="s">
        <v>605</v>
      </c>
      <c r="L233" t="s">
        <v>608</v>
      </c>
      <c r="M233" t="s">
        <v>815</v>
      </c>
      <c r="N233" t="s">
        <v>602</v>
      </c>
      <c r="O233" t="s">
        <v>603</v>
      </c>
      <c r="P233" t="s">
        <v>602</v>
      </c>
      <c r="Q233" s="17">
        <f>IFERROR(VLOOKUP(A233,已除帳印單!B:C,1,0),0)*1</f>
        <v>0</v>
      </c>
      <c r="R233" s="67" t="str">
        <f>IFERROR(VLOOKUP(J233,線別!A:B,2,1),"")</f>
        <v>裝二線</v>
      </c>
      <c r="S233" s="17" t="str">
        <f>IFERROR(VLOOKUP(A233,已除帳印單!B:C,2,0),"")</f>
        <v/>
      </c>
      <c r="T233" s="68">
        <f t="shared" si="18"/>
        <v>43892</v>
      </c>
      <c r="U233" s="69">
        <f t="shared" si="19"/>
        <v>84.168773148148148</v>
      </c>
      <c r="V233" s="68" t="str">
        <f>IFERROR(VLOOKUP(A233,已除帳印單!B:D,3,0),"")</f>
        <v/>
      </c>
      <c r="W233" s="69" t="str">
        <f>IFERROR(VLOOKUP(A233,已除帳印單!B:E,4,0),"")</f>
        <v/>
      </c>
      <c r="X233" s="68" t="str">
        <f>IFERROR(INDEX(刷條碼區!A:C,MATCH(點上線資訊!S233,刷條碼區!C:C,0),1),"")</f>
        <v/>
      </c>
      <c r="Y233" s="69" t="str">
        <f>IFERROR(INDEX(刷條碼區!A:C,MATCH(點上線資訊!S233,刷條碼區!C:C,0),2),"")</f>
        <v/>
      </c>
      <c r="Z233" s="70" t="str">
        <f>IFERROR(INDEX(刷條碼區!D:G,MATCH(點上線資訊!S233,刷條碼區!F:F,0),1),"")</f>
        <v/>
      </c>
      <c r="AA233" s="71" t="str">
        <f>IFERROR(INDEX(刷條碼區!D:G,MATCH(點上線資訊!S233,刷條碼區!F:F,0),2),"")</f>
        <v/>
      </c>
      <c r="AB233" s="20" t="b">
        <f t="shared" si="20"/>
        <v>0</v>
      </c>
      <c r="AC233" s="20" t="b">
        <f t="shared" si="21"/>
        <v>0</v>
      </c>
      <c r="AD233" s="17" t="b">
        <f t="shared" si="22"/>
        <v>0</v>
      </c>
      <c r="AE233" s="17" t="b">
        <f t="shared" si="23"/>
        <v>0</v>
      </c>
    </row>
    <row r="234" spans="1:31" x14ac:dyDescent="0.2">
      <c r="A234" s="16">
        <v>5000492623</v>
      </c>
      <c r="B234" t="s">
        <v>0</v>
      </c>
      <c r="C234" t="s">
        <v>0</v>
      </c>
      <c r="D234" t="s">
        <v>1</v>
      </c>
      <c r="E234" t="s">
        <v>816</v>
      </c>
      <c r="F234" t="s">
        <v>817</v>
      </c>
      <c r="G234" s="2">
        <v>4</v>
      </c>
      <c r="H234" t="s">
        <v>461</v>
      </c>
      <c r="I234" t="s">
        <v>3</v>
      </c>
      <c r="J234" t="s">
        <v>53</v>
      </c>
      <c r="K234" t="s">
        <v>605</v>
      </c>
      <c r="L234" t="s">
        <v>608</v>
      </c>
      <c r="M234" t="s">
        <v>818</v>
      </c>
      <c r="N234" t="s">
        <v>602</v>
      </c>
      <c r="O234" t="s">
        <v>603</v>
      </c>
      <c r="P234" t="s">
        <v>602</v>
      </c>
      <c r="Q234" s="17">
        <f>IFERROR(VLOOKUP(A234,已除帳印單!B:C,1,0),0)*1</f>
        <v>0</v>
      </c>
      <c r="R234" s="67" t="str">
        <f>IFERROR(VLOOKUP(J234,線別!A:B,2,1),"")</f>
        <v>裝二線</v>
      </c>
      <c r="S234" s="17" t="str">
        <f>IFERROR(VLOOKUP(A234,已除帳印單!B:C,2,0),"")</f>
        <v/>
      </c>
      <c r="T234" s="68">
        <f t="shared" si="18"/>
        <v>43892</v>
      </c>
      <c r="U234" s="69">
        <f t="shared" si="19"/>
        <v>84.168773148148148</v>
      </c>
      <c r="V234" s="68" t="str">
        <f>IFERROR(VLOOKUP(A234,已除帳印單!B:D,3,0),"")</f>
        <v/>
      </c>
      <c r="W234" s="69" t="str">
        <f>IFERROR(VLOOKUP(A234,已除帳印單!B:E,4,0),"")</f>
        <v/>
      </c>
      <c r="X234" s="68" t="str">
        <f>IFERROR(INDEX(刷條碼區!A:C,MATCH(點上線資訊!S234,刷條碼區!C:C,0),1),"")</f>
        <v/>
      </c>
      <c r="Y234" s="69" t="str">
        <f>IFERROR(INDEX(刷條碼區!A:C,MATCH(點上線資訊!S234,刷條碼區!C:C,0),2),"")</f>
        <v/>
      </c>
      <c r="Z234" s="70" t="str">
        <f>IFERROR(INDEX(刷條碼區!D:G,MATCH(點上線資訊!S234,刷條碼區!F:F,0),1),"")</f>
        <v/>
      </c>
      <c r="AA234" s="71" t="str">
        <f>IFERROR(INDEX(刷條碼區!D:G,MATCH(點上線資訊!S234,刷條碼區!F:F,0),2),"")</f>
        <v/>
      </c>
      <c r="AB234" s="20" t="b">
        <f t="shared" si="20"/>
        <v>0</v>
      </c>
      <c r="AC234" s="20" t="b">
        <f t="shared" si="21"/>
        <v>0</v>
      </c>
      <c r="AD234" s="17" t="b">
        <f t="shared" si="22"/>
        <v>0</v>
      </c>
      <c r="AE234" s="17" t="b">
        <f t="shared" si="23"/>
        <v>0</v>
      </c>
    </row>
    <row r="235" spans="1:31" x14ac:dyDescent="0.2">
      <c r="A235" s="16">
        <v>5000492624</v>
      </c>
      <c r="B235" t="s">
        <v>0</v>
      </c>
      <c r="C235" t="s">
        <v>0</v>
      </c>
      <c r="D235" t="s">
        <v>1</v>
      </c>
      <c r="E235" t="s">
        <v>819</v>
      </c>
      <c r="F235" t="s">
        <v>560</v>
      </c>
      <c r="G235" s="2">
        <v>1</v>
      </c>
      <c r="H235" t="s">
        <v>461</v>
      </c>
      <c r="I235" t="s">
        <v>3</v>
      </c>
      <c r="J235" t="s">
        <v>53</v>
      </c>
      <c r="K235" t="s">
        <v>605</v>
      </c>
      <c r="L235" t="s">
        <v>608</v>
      </c>
      <c r="M235" t="s">
        <v>692</v>
      </c>
      <c r="N235" t="s">
        <v>602</v>
      </c>
      <c r="O235" t="s">
        <v>603</v>
      </c>
      <c r="P235" t="s">
        <v>602</v>
      </c>
      <c r="Q235" s="17">
        <f>IFERROR(VLOOKUP(A235,已除帳印單!B:C,1,0),0)*1</f>
        <v>0</v>
      </c>
      <c r="R235" s="67" t="str">
        <f>IFERROR(VLOOKUP(J235,線別!A:B,2,1),"")</f>
        <v>裝二線</v>
      </c>
      <c r="S235" s="17" t="str">
        <f>IFERROR(VLOOKUP(A235,已除帳印單!B:C,2,0),"")</f>
        <v/>
      </c>
      <c r="T235" s="68">
        <f t="shared" si="18"/>
        <v>43892</v>
      </c>
      <c r="U235" s="69">
        <f t="shared" si="19"/>
        <v>84.168773148148148</v>
      </c>
      <c r="V235" s="68" t="str">
        <f>IFERROR(VLOOKUP(A235,已除帳印單!B:D,3,0),"")</f>
        <v/>
      </c>
      <c r="W235" s="69" t="str">
        <f>IFERROR(VLOOKUP(A235,已除帳印單!B:E,4,0),"")</f>
        <v/>
      </c>
      <c r="X235" s="68" t="str">
        <f>IFERROR(INDEX(刷條碼區!A:C,MATCH(點上線資訊!S235,刷條碼區!C:C,0),1),"")</f>
        <v/>
      </c>
      <c r="Y235" s="69" t="str">
        <f>IFERROR(INDEX(刷條碼區!A:C,MATCH(點上線資訊!S235,刷條碼區!C:C,0),2),"")</f>
        <v/>
      </c>
      <c r="Z235" s="70" t="str">
        <f>IFERROR(INDEX(刷條碼區!D:G,MATCH(點上線資訊!S235,刷條碼區!F:F,0),1),"")</f>
        <v/>
      </c>
      <c r="AA235" s="71" t="str">
        <f>IFERROR(INDEX(刷條碼區!D:G,MATCH(點上線資訊!S235,刷條碼區!F:F,0),2),"")</f>
        <v/>
      </c>
      <c r="AB235" s="20" t="b">
        <f t="shared" si="20"/>
        <v>0</v>
      </c>
      <c r="AC235" s="20" t="b">
        <f t="shared" si="21"/>
        <v>0</v>
      </c>
      <c r="AD235" s="17" t="b">
        <f t="shared" si="22"/>
        <v>0</v>
      </c>
      <c r="AE235" s="17" t="b">
        <f t="shared" si="23"/>
        <v>0</v>
      </c>
    </row>
    <row r="236" spans="1:31" x14ac:dyDescent="0.2">
      <c r="A236" s="16">
        <v>5000492634</v>
      </c>
      <c r="B236" t="s">
        <v>6</v>
      </c>
      <c r="C236" t="s">
        <v>6</v>
      </c>
      <c r="D236" t="s">
        <v>1</v>
      </c>
      <c r="E236" t="s">
        <v>251</v>
      </c>
      <c r="F236" t="s">
        <v>252</v>
      </c>
      <c r="G236" s="2">
        <v>1</v>
      </c>
      <c r="H236" t="s">
        <v>461</v>
      </c>
      <c r="I236" t="s">
        <v>3</v>
      </c>
      <c r="J236" t="s">
        <v>136</v>
      </c>
      <c r="K236" t="s">
        <v>602</v>
      </c>
      <c r="L236" t="s">
        <v>603</v>
      </c>
      <c r="M236" t="s">
        <v>602</v>
      </c>
      <c r="N236" t="s">
        <v>602</v>
      </c>
      <c r="O236" t="s">
        <v>603</v>
      </c>
      <c r="P236" t="s">
        <v>602</v>
      </c>
      <c r="Q236" s="17">
        <f>IFERROR(VLOOKUP(A236,已除帳印單!B:C,1,0),0)*1</f>
        <v>0</v>
      </c>
      <c r="R236" s="67" t="str">
        <f>IFERROR(VLOOKUP(J236,線別!A:B,2,1),"")</f>
        <v>SCB線</v>
      </c>
      <c r="S236" s="17" t="str">
        <f>IFERROR(VLOOKUP(A236,已除帳印單!B:C,2,0),"")</f>
        <v/>
      </c>
      <c r="T236" s="68">
        <f t="shared" si="18"/>
        <v>43893</v>
      </c>
      <c r="U236" s="69">
        <f t="shared" si="19"/>
        <v>84.168784722222213</v>
      </c>
      <c r="V236" s="68" t="str">
        <f>IFERROR(VLOOKUP(A236,已除帳印單!B:D,3,0),"")</f>
        <v/>
      </c>
      <c r="W236" s="69" t="str">
        <f>IFERROR(VLOOKUP(A236,已除帳印單!B:E,4,0),"")</f>
        <v/>
      </c>
      <c r="X236" s="68" t="str">
        <f>IFERROR(INDEX(刷條碼區!A:C,MATCH(點上線資訊!S236,刷條碼區!C:C,0),1),"")</f>
        <v/>
      </c>
      <c r="Y236" s="69" t="str">
        <f>IFERROR(INDEX(刷條碼區!A:C,MATCH(點上線資訊!S236,刷條碼區!C:C,0),2),"")</f>
        <v/>
      </c>
      <c r="Z236" s="70" t="str">
        <f>IFERROR(INDEX(刷條碼區!D:G,MATCH(點上線資訊!S236,刷條碼區!F:F,0),1),"")</f>
        <v/>
      </c>
      <c r="AA236" s="71" t="str">
        <f>IFERROR(INDEX(刷條碼區!D:G,MATCH(點上線資訊!S236,刷條碼區!F:F,0),2),"")</f>
        <v/>
      </c>
      <c r="AB236" s="20">
        <f t="shared" si="20"/>
        <v>1</v>
      </c>
      <c r="AC236" s="20" t="b">
        <f t="shared" si="21"/>
        <v>0</v>
      </c>
      <c r="AD236" s="17" t="b">
        <f t="shared" si="22"/>
        <v>0</v>
      </c>
      <c r="AE236" s="17" t="b">
        <f t="shared" si="23"/>
        <v>0</v>
      </c>
    </row>
    <row r="237" spans="1:31" x14ac:dyDescent="0.2">
      <c r="A237" s="16">
        <v>5000493486</v>
      </c>
      <c r="B237" t="s">
        <v>0</v>
      </c>
      <c r="C237" t="s">
        <v>0</v>
      </c>
      <c r="D237" t="s">
        <v>1</v>
      </c>
      <c r="E237" t="s">
        <v>820</v>
      </c>
      <c r="F237" t="s">
        <v>821</v>
      </c>
      <c r="G237" s="2">
        <v>10</v>
      </c>
      <c r="H237" t="s">
        <v>461</v>
      </c>
      <c r="I237" t="s">
        <v>3</v>
      </c>
      <c r="J237" t="s">
        <v>19</v>
      </c>
      <c r="K237" t="s">
        <v>605</v>
      </c>
      <c r="L237" t="s">
        <v>608</v>
      </c>
      <c r="M237" t="s">
        <v>822</v>
      </c>
      <c r="N237" t="s">
        <v>602</v>
      </c>
      <c r="O237" t="s">
        <v>603</v>
      </c>
      <c r="P237" t="s">
        <v>602</v>
      </c>
      <c r="Q237" s="17">
        <f>IFERROR(VLOOKUP(A237,已除帳印單!B:C,1,0),0)*1</f>
        <v>0</v>
      </c>
      <c r="R237" s="67" t="str">
        <f>IFERROR(VLOOKUP(J237,線別!A:B,2,1),"")</f>
        <v>FM_IA預組</v>
      </c>
      <c r="S237" s="17" t="str">
        <f>IFERROR(VLOOKUP(A237,已除帳印單!B:C,2,0),"")</f>
        <v/>
      </c>
      <c r="T237" s="68">
        <f t="shared" si="18"/>
        <v>43892</v>
      </c>
      <c r="U237" s="69">
        <f t="shared" si="19"/>
        <v>84.168773148148148</v>
      </c>
      <c r="V237" s="68" t="str">
        <f>IFERROR(VLOOKUP(A237,已除帳印單!B:D,3,0),"")</f>
        <v/>
      </c>
      <c r="W237" s="69" t="str">
        <f>IFERROR(VLOOKUP(A237,已除帳印單!B:E,4,0),"")</f>
        <v/>
      </c>
      <c r="X237" s="68" t="str">
        <f>IFERROR(INDEX(刷條碼區!A:C,MATCH(點上線資訊!S237,刷條碼區!C:C,0),1),"")</f>
        <v/>
      </c>
      <c r="Y237" s="69" t="str">
        <f>IFERROR(INDEX(刷條碼區!A:C,MATCH(點上線資訊!S237,刷條碼區!C:C,0),2),"")</f>
        <v/>
      </c>
      <c r="Z237" s="70" t="str">
        <f>IFERROR(INDEX(刷條碼區!D:G,MATCH(點上線資訊!S237,刷條碼區!F:F,0),1),"")</f>
        <v/>
      </c>
      <c r="AA237" s="71" t="str">
        <f>IFERROR(INDEX(刷條碼區!D:G,MATCH(點上線資訊!S237,刷條碼區!F:F,0),2),"")</f>
        <v/>
      </c>
      <c r="AB237" s="20" t="b">
        <f t="shared" si="20"/>
        <v>0</v>
      </c>
      <c r="AC237" s="20" t="b">
        <f t="shared" si="21"/>
        <v>0</v>
      </c>
      <c r="AD237" s="17" t="b">
        <f t="shared" si="22"/>
        <v>0</v>
      </c>
      <c r="AE237" s="17" t="b">
        <f t="shared" si="23"/>
        <v>0</v>
      </c>
    </row>
    <row r="238" spans="1:31" x14ac:dyDescent="0.2">
      <c r="A238" s="16">
        <v>5000493488</v>
      </c>
      <c r="B238" t="s">
        <v>6</v>
      </c>
      <c r="C238" t="s">
        <v>6</v>
      </c>
      <c r="D238" t="s">
        <v>1</v>
      </c>
      <c r="E238" t="s">
        <v>102</v>
      </c>
      <c r="F238" t="s">
        <v>570</v>
      </c>
      <c r="G238" s="2">
        <v>3</v>
      </c>
      <c r="H238" t="s">
        <v>461</v>
      </c>
      <c r="I238" t="s">
        <v>3</v>
      </c>
      <c r="J238" t="s">
        <v>8</v>
      </c>
      <c r="K238" t="s">
        <v>605</v>
      </c>
      <c r="L238" t="s">
        <v>608</v>
      </c>
      <c r="M238" t="s">
        <v>768</v>
      </c>
      <c r="N238" t="s">
        <v>602</v>
      </c>
      <c r="O238" t="s">
        <v>603</v>
      </c>
      <c r="P238" t="s">
        <v>602</v>
      </c>
      <c r="Q238" s="17">
        <f>IFERROR(VLOOKUP(A238,已除帳印單!B:C,1,0),0)*1</f>
        <v>0</v>
      </c>
      <c r="R238" s="67" t="str">
        <f>IFERROR(VLOOKUP(J238,線別!A:B,2,1),"")</f>
        <v>裝一線</v>
      </c>
      <c r="S238" s="17" t="str">
        <f>IFERROR(VLOOKUP(A238,已除帳印單!B:C,2,0),"")</f>
        <v/>
      </c>
      <c r="T238" s="68">
        <f t="shared" si="18"/>
        <v>43893</v>
      </c>
      <c r="U238" s="69">
        <f t="shared" si="19"/>
        <v>84.168784722222213</v>
      </c>
      <c r="V238" s="68" t="str">
        <f>IFERROR(VLOOKUP(A238,已除帳印單!B:D,3,0),"")</f>
        <v/>
      </c>
      <c r="W238" s="69" t="str">
        <f>IFERROR(VLOOKUP(A238,已除帳印單!B:E,4,0),"")</f>
        <v/>
      </c>
      <c r="X238" s="68" t="str">
        <f>IFERROR(INDEX(刷條碼區!A:C,MATCH(點上線資訊!S238,刷條碼區!C:C,0),1),"")</f>
        <v/>
      </c>
      <c r="Y238" s="69" t="str">
        <f>IFERROR(INDEX(刷條碼區!A:C,MATCH(點上線資訊!S238,刷條碼區!C:C,0),2),"")</f>
        <v/>
      </c>
      <c r="Z238" s="70" t="str">
        <f>IFERROR(INDEX(刷條碼區!D:G,MATCH(點上線資訊!S238,刷條碼區!F:F,0),1),"")</f>
        <v/>
      </c>
      <c r="AA238" s="71" t="str">
        <f>IFERROR(INDEX(刷條碼區!D:G,MATCH(點上線資訊!S238,刷條碼區!F:F,0),2),"")</f>
        <v/>
      </c>
      <c r="AB238" s="20" t="b">
        <f t="shared" si="20"/>
        <v>0</v>
      </c>
      <c r="AC238" s="20" t="b">
        <f t="shared" si="21"/>
        <v>0</v>
      </c>
      <c r="AD238" s="17" t="b">
        <f t="shared" si="22"/>
        <v>0</v>
      </c>
      <c r="AE238" s="17" t="b">
        <f t="shared" si="23"/>
        <v>0</v>
      </c>
    </row>
    <row r="239" spans="1:31" x14ac:dyDescent="0.2">
      <c r="A239" s="16">
        <v>5000493489</v>
      </c>
      <c r="B239" t="s">
        <v>6</v>
      </c>
      <c r="C239" t="s">
        <v>6</v>
      </c>
      <c r="D239" t="s">
        <v>1</v>
      </c>
      <c r="E239" t="s">
        <v>100</v>
      </c>
      <c r="F239" t="s">
        <v>546</v>
      </c>
      <c r="G239" s="2">
        <v>1</v>
      </c>
      <c r="H239" t="s">
        <v>461</v>
      </c>
      <c r="I239" t="s">
        <v>3</v>
      </c>
      <c r="J239" t="s">
        <v>8</v>
      </c>
      <c r="K239" t="s">
        <v>605</v>
      </c>
      <c r="L239" t="s">
        <v>608</v>
      </c>
      <c r="M239" t="s">
        <v>768</v>
      </c>
      <c r="N239" t="s">
        <v>602</v>
      </c>
      <c r="O239" t="s">
        <v>603</v>
      </c>
      <c r="P239" t="s">
        <v>602</v>
      </c>
      <c r="Q239" s="17">
        <f>IFERROR(VLOOKUP(A239,已除帳印單!B:C,1,0),0)*1</f>
        <v>0</v>
      </c>
      <c r="R239" s="67" t="str">
        <f>IFERROR(VLOOKUP(J239,線別!A:B,2,1),"")</f>
        <v>裝一線</v>
      </c>
      <c r="S239" s="17" t="str">
        <f>IFERROR(VLOOKUP(A239,已除帳印單!B:C,2,0),"")</f>
        <v/>
      </c>
      <c r="T239" s="68">
        <f t="shared" si="18"/>
        <v>43893</v>
      </c>
      <c r="U239" s="69">
        <f t="shared" si="19"/>
        <v>84.168784722222213</v>
      </c>
      <c r="V239" s="68" t="str">
        <f>IFERROR(VLOOKUP(A239,已除帳印單!B:D,3,0),"")</f>
        <v/>
      </c>
      <c r="W239" s="69" t="str">
        <f>IFERROR(VLOOKUP(A239,已除帳印單!B:E,4,0),"")</f>
        <v/>
      </c>
      <c r="X239" s="68" t="str">
        <f>IFERROR(INDEX(刷條碼區!A:C,MATCH(點上線資訊!S239,刷條碼區!C:C,0),1),"")</f>
        <v/>
      </c>
      <c r="Y239" s="69" t="str">
        <f>IFERROR(INDEX(刷條碼區!A:C,MATCH(點上線資訊!S239,刷條碼區!C:C,0),2),"")</f>
        <v/>
      </c>
      <c r="Z239" s="70" t="str">
        <f>IFERROR(INDEX(刷條碼區!D:G,MATCH(點上線資訊!S239,刷條碼區!F:F,0),1),"")</f>
        <v/>
      </c>
      <c r="AA239" s="71" t="str">
        <f>IFERROR(INDEX(刷條碼區!D:G,MATCH(點上線資訊!S239,刷條碼區!F:F,0),2),"")</f>
        <v/>
      </c>
      <c r="AB239" s="20" t="b">
        <f t="shared" si="20"/>
        <v>0</v>
      </c>
      <c r="AC239" s="20" t="b">
        <f t="shared" si="21"/>
        <v>0</v>
      </c>
      <c r="AD239" s="17" t="b">
        <f t="shared" si="22"/>
        <v>0</v>
      </c>
      <c r="AE239" s="17" t="b">
        <f t="shared" si="23"/>
        <v>0</v>
      </c>
    </row>
    <row r="240" spans="1:31" x14ac:dyDescent="0.2">
      <c r="A240" s="16">
        <v>5000493490</v>
      </c>
      <c r="B240" t="s">
        <v>6</v>
      </c>
      <c r="C240" t="s">
        <v>6</v>
      </c>
      <c r="D240" t="s">
        <v>1</v>
      </c>
      <c r="E240" t="s">
        <v>97</v>
      </c>
      <c r="F240" t="s">
        <v>823</v>
      </c>
      <c r="G240" s="2">
        <v>6</v>
      </c>
      <c r="H240" t="s">
        <v>461</v>
      </c>
      <c r="I240" t="s">
        <v>3</v>
      </c>
      <c r="J240" t="s">
        <v>8</v>
      </c>
      <c r="K240" t="s">
        <v>605</v>
      </c>
      <c r="L240" t="s">
        <v>608</v>
      </c>
      <c r="M240" t="s">
        <v>762</v>
      </c>
      <c r="N240" t="s">
        <v>602</v>
      </c>
      <c r="O240" t="s">
        <v>603</v>
      </c>
      <c r="P240" t="s">
        <v>602</v>
      </c>
      <c r="Q240" s="17">
        <f>IFERROR(VLOOKUP(A240,已除帳印單!B:C,1,0),0)*1</f>
        <v>0</v>
      </c>
      <c r="R240" s="67" t="str">
        <f>IFERROR(VLOOKUP(J240,線別!A:B,2,1),"")</f>
        <v>裝一線</v>
      </c>
      <c r="S240" s="17" t="str">
        <f>IFERROR(VLOOKUP(A240,已除帳印單!B:C,2,0),"")</f>
        <v/>
      </c>
      <c r="T240" s="68">
        <f t="shared" si="18"/>
        <v>43893</v>
      </c>
      <c r="U240" s="69">
        <f t="shared" si="19"/>
        <v>84.168784722222213</v>
      </c>
      <c r="V240" s="68" t="str">
        <f>IFERROR(VLOOKUP(A240,已除帳印單!B:D,3,0),"")</f>
        <v/>
      </c>
      <c r="W240" s="69" t="str">
        <f>IFERROR(VLOOKUP(A240,已除帳印單!B:E,4,0),"")</f>
        <v/>
      </c>
      <c r="X240" s="68" t="str">
        <f>IFERROR(INDEX(刷條碼區!A:C,MATCH(點上線資訊!S240,刷條碼區!C:C,0),1),"")</f>
        <v/>
      </c>
      <c r="Y240" s="69" t="str">
        <f>IFERROR(INDEX(刷條碼區!A:C,MATCH(點上線資訊!S240,刷條碼區!C:C,0),2),"")</f>
        <v/>
      </c>
      <c r="Z240" s="70" t="str">
        <f>IFERROR(INDEX(刷條碼區!D:G,MATCH(點上線資訊!S240,刷條碼區!F:F,0),1),"")</f>
        <v/>
      </c>
      <c r="AA240" s="71" t="str">
        <f>IFERROR(INDEX(刷條碼區!D:G,MATCH(點上線資訊!S240,刷條碼區!F:F,0),2),"")</f>
        <v/>
      </c>
      <c r="AB240" s="20" t="b">
        <f t="shared" si="20"/>
        <v>0</v>
      </c>
      <c r="AC240" s="20" t="b">
        <f t="shared" si="21"/>
        <v>0</v>
      </c>
      <c r="AD240" s="17" t="b">
        <f t="shared" si="22"/>
        <v>0</v>
      </c>
      <c r="AE240" s="17" t="b">
        <f t="shared" si="23"/>
        <v>0</v>
      </c>
    </row>
    <row r="241" spans="1:31" x14ac:dyDescent="0.2">
      <c r="A241" s="16">
        <v>5000493493</v>
      </c>
      <c r="B241" t="s">
        <v>6</v>
      </c>
      <c r="C241" t="s">
        <v>6</v>
      </c>
      <c r="D241" t="s">
        <v>1</v>
      </c>
      <c r="E241" t="s">
        <v>824</v>
      </c>
      <c r="F241" t="s">
        <v>825</v>
      </c>
      <c r="G241" s="2">
        <v>4</v>
      </c>
      <c r="H241" t="s">
        <v>461</v>
      </c>
      <c r="I241" t="s">
        <v>3</v>
      </c>
      <c r="J241" t="s">
        <v>8</v>
      </c>
      <c r="K241" t="s">
        <v>605</v>
      </c>
      <c r="L241" t="s">
        <v>608</v>
      </c>
      <c r="M241" t="s">
        <v>406</v>
      </c>
      <c r="N241" t="s">
        <v>602</v>
      </c>
      <c r="O241" t="s">
        <v>603</v>
      </c>
      <c r="P241" t="s">
        <v>602</v>
      </c>
      <c r="Q241" s="17">
        <f>IFERROR(VLOOKUP(A241,已除帳印單!B:C,1,0),0)*1</f>
        <v>0</v>
      </c>
      <c r="R241" s="67" t="str">
        <f>IFERROR(VLOOKUP(J241,線別!A:B,2,1),"")</f>
        <v>裝一線</v>
      </c>
      <c r="S241" s="17" t="str">
        <f>IFERROR(VLOOKUP(A241,已除帳印單!B:C,2,0),"")</f>
        <v/>
      </c>
      <c r="T241" s="68">
        <f t="shared" si="18"/>
        <v>43893</v>
      </c>
      <c r="U241" s="69">
        <f t="shared" si="19"/>
        <v>84.168784722222213</v>
      </c>
      <c r="V241" s="68" t="str">
        <f>IFERROR(VLOOKUP(A241,已除帳印單!B:D,3,0),"")</f>
        <v/>
      </c>
      <c r="W241" s="69" t="str">
        <f>IFERROR(VLOOKUP(A241,已除帳印單!B:E,4,0),"")</f>
        <v/>
      </c>
      <c r="X241" s="68" t="str">
        <f>IFERROR(INDEX(刷條碼區!A:C,MATCH(點上線資訊!S241,刷條碼區!C:C,0),1),"")</f>
        <v/>
      </c>
      <c r="Y241" s="69" t="str">
        <f>IFERROR(INDEX(刷條碼區!A:C,MATCH(點上線資訊!S241,刷條碼區!C:C,0),2),"")</f>
        <v/>
      </c>
      <c r="Z241" s="70" t="str">
        <f>IFERROR(INDEX(刷條碼區!D:G,MATCH(點上線資訊!S241,刷條碼區!F:F,0),1),"")</f>
        <v/>
      </c>
      <c r="AA241" s="71" t="str">
        <f>IFERROR(INDEX(刷條碼區!D:G,MATCH(點上線資訊!S241,刷條碼區!F:F,0),2),"")</f>
        <v/>
      </c>
      <c r="AB241" s="20" t="b">
        <f t="shared" si="20"/>
        <v>0</v>
      </c>
      <c r="AC241" s="20" t="b">
        <f t="shared" si="21"/>
        <v>0</v>
      </c>
      <c r="AD241" s="17" t="b">
        <f t="shared" si="22"/>
        <v>0</v>
      </c>
      <c r="AE241" s="17" t="b">
        <f t="shared" si="23"/>
        <v>0</v>
      </c>
    </row>
    <row r="242" spans="1:31" x14ac:dyDescent="0.2">
      <c r="A242" s="16">
        <v>5000493497</v>
      </c>
      <c r="B242" t="s">
        <v>6</v>
      </c>
      <c r="C242" t="s">
        <v>6</v>
      </c>
      <c r="D242" t="s">
        <v>1</v>
      </c>
      <c r="E242" t="s">
        <v>826</v>
      </c>
      <c r="F242" t="s">
        <v>827</v>
      </c>
      <c r="G242" s="2">
        <v>5</v>
      </c>
      <c r="H242" t="s">
        <v>461</v>
      </c>
      <c r="I242" t="s">
        <v>3</v>
      </c>
      <c r="J242" t="s">
        <v>8</v>
      </c>
      <c r="K242" t="s">
        <v>605</v>
      </c>
      <c r="L242" t="s">
        <v>608</v>
      </c>
      <c r="M242" t="s">
        <v>411</v>
      </c>
      <c r="N242" t="s">
        <v>602</v>
      </c>
      <c r="O242" t="s">
        <v>603</v>
      </c>
      <c r="P242" t="s">
        <v>602</v>
      </c>
      <c r="Q242" s="17">
        <f>IFERROR(VLOOKUP(A242,已除帳印單!B:C,1,0),0)*1</f>
        <v>0</v>
      </c>
      <c r="R242" s="67" t="str">
        <f>IFERROR(VLOOKUP(J242,線別!A:B,2,1),"")</f>
        <v>裝一線</v>
      </c>
      <c r="S242" s="17" t="str">
        <f>IFERROR(VLOOKUP(A242,已除帳印單!B:C,2,0),"")</f>
        <v/>
      </c>
      <c r="T242" s="68">
        <f t="shared" si="18"/>
        <v>43893</v>
      </c>
      <c r="U242" s="69">
        <f t="shared" si="19"/>
        <v>84.168784722222213</v>
      </c>
      <c r="V242" s="68" t="str">
        <f>IFERROR(VLOOKUP(A242,已除帳印單!B:D,3,0),"")</f>
        <v/>
      </c>
      <c r="W242" s="69" t="str">
        <f>IFERROR(VLOOKUP(A242,已除帳印單!B:E,4,0),"")</f>
        <v/>
      </c>
      <c r="X242" s="68" t="str">
        <f>IFERROR(INDEX(刷條碼區!A:C,MATCH(點上線資訊!S242,刷條碼區!C:C,0),1),"")</f>
        <v/>
      </c>
      <c r="Y242" s="69" t="str">
        <f>IFERROR(INDEX(刷條碼區!A:C,MATCH(點上線資訊!S242,刷條碼區!C:C,0),2),"")</f>
        <v/>
      </c>
      <c r="Z242" s="70" t="str">
        <f>IFERROR(INDEX(刷條碼區!D:G,MATCH(點上線資訊!S242,刷條碼區!F:F,0),1),"")</f>
        <v/>
      </c>
      <c r="AA242" s="71" t="str">
        <f>IFERROR(INDEX(刷條碼區!D:G,MATCH(點上線資訊!S242,刷條碼區!F:F,0),2),"")</f>
        <v/>
      </c>
      <c r="AB242" s="20" t="b">
        <f t="shared" si="20"/>
        <v>0</v>
      </c>
      <c r="AC242" s="20" t="b">
        <f t="shared" si="21"/>
        <v>0</v>
      </c>
      <c r="AD242" s="17" t="b">
        <f t="shared" si="22"/>
        <v>0</v>
      </c>
      <c r="AE242" s="17" t="b">
        <f t="shared" si="23"/>
        <v>0</v>
      </c>
    </row>
    <row r="243" spans="1:31" x14ac:dyDescent="0.2">
      <c r="A243" s="16">
        <v>5000493498</v>
      </c>
      <c r="B243" t="s">
        <v>6</v>
      </c>
      <c r="C243" t="s">
        <v>6</v>
      </c>
      <c r="D243" t="s">
        <v>1</v>
      </c>
      <c r="E243" t="s">
        <v>105</v>
      </c>
      <c r="F243" t="s">
        <v>828</v>
      </c>
      <c r="G243" s="2">
        <v>2</v>
      </c>
      <c r="H243" t="s">
        <v>461</v>
      </c>
      <c r="I243" t="s">
        <v>3</v>
      </c>
      <c r="J243" t="s">
        <v>8</v>
      </c>
      <c r="K243" t="s">
        <v>605</v>
      </c>
      <c r="L243" t="s">
        <v>608</v>
      </c>
      <c r="M243" t="s">
        <v>829</v>
      </c>
      <c r="N243" t="s">
        <v>602</v>
      </c>
      <c r="O243" t="s">
        <v>603</v>
      </c>
      <c r="P243" t="s">
        <v>602</v>
      </c>
      <c r="Q243" s="17">
        <f>IFERROR(VLOOKUP(A243,已除帳印單!B:C,1,0),0)*1</f>
        <v>0</v>
      </c>
      <c r="R243" s="67" t="str">
        <f>IFERROR(VLOOKUP(J243,線別!A:B,2,1),"")</f>
        <v>裝一線</v>
      </c>
      <c r="S243" s="17" t="str">
        <f>IFERROR(VLOOKUP(A243,已除帳印單!B:C,2,0),"")</f>
        <v/>
      </c>
      <c r="T243" s="68">
        <f t="shared" si="18"/>
        <v>43893</v>
      </c>
      <c r="U243" s="69">
        <f t="shared" si="19"/>
        <v>84.168784722222213</v>
      </c>
      <c r="V243" s="68" t="str">
        <f>IFERROR(VLOOKUP(A243,已除帳印單!B:D,3,0),"")</f>
        <v/>
      </c>
      <c r="W243" s="69" t="str">
        <f>IFERROR(VLOOKUP(A243,已除帳印單!B:E,4,0),"")</f>
        <v/>
      </c>
      <c r="X243" s="68" t="str">
        <f>IFERROR(INDEX(刷條碼區!A:C,MATCH(點上線資訊!S243,刷條碼區!C:C,0),1),"")</f>
        <v/>
      </c>
      <c r="Y243" s="69" t="str">
        <f>IFERROR(INDEX(刷條碼區!A:C,MATCH(點上線資訊!S243,刷條碼區!C:C,0),2),"")</f>
        <v/>
      </c>
      <c r="Z243" s="70" t="str">
        <f>IFERROR(INDEX(刷條碼區!D:G,MATCH(點上線資訊!S243,刷條碼區!F:F,0),1),"")</f>
        <v/>
      </c>
      <c r="AA243" s="71" t="str">
        <f>IFERROR(INDEX(刷條碼區!D:G,MATCH(點上線資訊!S243,刷條碼區!F:F,0),2),"")</f>
        <v/>
      </c>
      <c r="AB243" s="20" t="b">
        <f t="shared" si="20"/>
        <v>0</v>
      </c>
      <c r="AC243" s="20" t="b">
        <f t="shared" si="21"/>
        <v>0</v>
      </c>
      <c r="AD243" s="17" t="b">
        <f t="shared" si="22"/>
        <v>0</v>
      </c>
      <c r="AE243" s="17" t="b">
        <f t="shared" si="23"/>
        <v>0</v>
      </c>
    </row>
    <row r="244" spans="1:31" x14ac:dyDescent="0.2">
      <c r="A244" s="16">
        <v>5000493499</v>
      </c>
      <c r="B244" t="s">
        <v>6</v>
      </c>
      <c r="C244" t="s">
        <v>6</v>
      </c>
      <c r="D244" t="s">
        <v>1</v>
      </c>
      <c r="E244" t="s">
        <v>104</v>
      </c>
      <c r="F244" t="s">
        <v>830</v>
      </c>
      <c r="G244" s="2">
        <v>3</v>
      </c>
      <c r="H244" t="s">
        <v>461</v>
      </c>
      <c r="I244" t="s">
        <v>3</v>
      </c>
      <c r="J244" t="s">
        <v>8</v>
      </c>
      <c r="K244" t="s">
        <v>605</v>
      </c>
      <c r="L244" t="s">
        <v>608</v>
      </c>
      <c r="M244" t="s">
        <v>829</v>
      </c>
      <c r="N244" t="s">
        <v>602</v>
      </c>
      <c r="O244" t="s">
        <v>603</v>
      </c>
      <c r="P244" t="s">
        <v>602</v>
      </c>
      <c r="Q244" s="17">
        <f>IFERROR(VLOOKUP(A244,已除帳印單!B:C,1,0),0)*1</f>
        <v>0</v>
      </c>
      <c r="R244" s="67" t="str">
        <f>IFERROR(VLOOKUP(J244,線別!A:B,2,1),"")</f>
        <v>裝一線</v>
      </c>
      <c r="S244" s="17" t="str">
        <f>IFERROR(VLOOKUP(A244,已除帳印單!B:C,2,0),"")</f>
        <v/>
      </c>
      <c r="T244" s="68">
        <f t="shared" si="18"/>
        <v>43893</v>
      </c>
      <c r="U244" s="69">
        <f t="shared" si="19"/>
        <v>84.168784722222213</v>
      </c>
      <c r="V244" s="68" t="str">
        <f>IFERROR(VLOOKUP(A244,已除帳印單!B:D,3,0),"")</f>
        <v/>
      </c>
      <c r="W244" s="69" t="str">
        <f>IFERROR(VLOOKUP(A244,已除帳印單!B:E,4,0),"")</f>
        <v/>
      </c>
      <c r="X244" s="68" t="str">
        <f>IFERROR(INDEX(刷條碼區!A:C,MATCH(點上線資訊!S244,刷條碼區!C:C,0),1),"")</f>
        <v/>
      </c>
      <c r="Y244" s="69" t="str">
        <f>IFERROR(INDEX(刷條碼區!A:C,MATCH(點上線資訊!S244,刷條碼區!C:C,0),2),"")</f>
        <v/>
      </c>
      <c r="Z244" s="70" t="str">
        <f>IFERROR(INDEX(刷條碼區!D:G,MATCH(點上線資訊!S244,刷條碼區!F:F,0),1),"")</f>
        <v/>
      </c>
      <c r="AA244" s="71" t="str">
        <f>IFERROR(INDEX(刷條碼區!D:G,MATCH(點上線資訊!S244,刷條碼區!F:F,0),2),"")</f>
        <v/>
      </c>
      <c r="AB244" s="20" t="b">
        <f t="shared" si="20"/>
        <v>0</v>
      </c>
      <c r="AC244" s="20" t="b">
        <f t="shared" si="21"/>
        <v>0</v>
      </c>
      <c r="AD244" s="17" t="b">
        <f t="shared" si="22"/>
        <v>0</v>
      </c>
      <c r="AE244" s="17" t="b">
        <f t="shared" si="23"/>
        <v>0</v>
      </c>
    </row>
    <row r="245" spans="1:31" x14ac:dyDescent="0.2">
      <c r="A245" s="16">
        <v>5000493500</v>
      </c>
      <c r="B245" t="s">
        <v>6</v>
      </c>
      <c r="C245" t="s">
        <v>6</v>
      </c>
      <c r="D245" t="s">
        <v>1</v>
      </c>
      <c r="E245" t="s">
        <v>96</v>
      </c>
      <c r="F245" t="s">
        <v>521</v>
      </c>
      <c r="G245" s="2">
        <v>2</v>
      </c>
      <c r="H245" t="s">
        <v>461</v>
      </c>
      <c r="I245" t="s">
        <v>3</v>
      </c>
      <c r="J245" t="s">
        <v>8</v>
      </c>
      <c r="K245" t="s">
        <v>605</v>
      </c>
      <c r="L245" t="s">
        <v>608</v>
      </c>
      <c r="M245" t="s">
        <v>762</v>
      </c>
      <c r="N245" t="s">
        <v>602</v>
      </c>
      <c r="O245" t="s">
        <v>603</v>
      </c>
      <c r="P245" t="s">
        <v>602</v>
      </c>
      <c r="Q245" s="17">
        <f>IFERROR(VLOOKUP(A245,已除帳印單!B:C,1,0),0)*1</f>
        <v>0</v>
      </c>
      <c r="R245" s="67" t="str">
        <f>IFERROR(VLOOKUP(J245,線別!A:B,2,1),"")</f>
        <v>裝一線</v>
      </c>
      <c r="S245" s="17" t="str">
        <f>IFERROR(VLOOKUP(A245,已除帳印單!B:C,2,0),"")</f>
        <v/>
      </c>
      <c r="T245" s="68">
        <f t="shared" si="18"/>
        <v>43893</v>
      </c>
      <c r="U245" s="69">
        <f t="shared" si="19"/>
        <v>84.168784722222213</v>
      </c>
      <c r="V245" s="68" t="str">
        <f>IFERROR(VLOOKUP(A245,已除帳印單!B:D,3,0),"")</f>
        <v/>
      </c>
      <c r="W245" s="69" t="str">
        <f>IFERROR(VLOOKUP(A245,已除帳印單!B:E,4,0),"")</f>
        <v/>
      </c>
      <c r="X245" s="68" t="str">
        <f>IFERROR(INDEX(刷條碼區!A:C,MATCH(點上線資訊!S245,刷條碼區!C:C,0),1),"")</f>
        <v/>
      </c>
      <c r="Y245" s="69" t="str">
        <f>IFERROR(INDEX(刷條碼區!A:C,MATCH(點上線資訊!S245,刷條碼區!C:C,0),2),"")</f>
        <v/>
      </c>
      <c r="Z245" s="70" t="str">
        <f>IFERROR(INDEX(刷條碼區!D:G,MATCH(點上線資訊!S245,刷條碼區!F:F,0),1),"")</f>
        <v/>
      </c>
      <c r="AA245" s="71" t="str">
        <f>IFERROR(INDEX(刷條碼區!D:G,MATCH(點上線資訊!S245,刷條碼區!F:F,0),2),"")</f>
        <v/>
      </c>
      <c r="AB245" s="20" t="b">
        <f t="shared" si="20"/>
        <v>0</v>
      </c>
      <c r="AC245" s="20" t="b">
        <f t="shared" si="21"/>
        <v>0</v>
      </c>
      <c r="AD245" s="17" t="b">
        <f t="shared" si="22"/>
        <v>0</v>
      </c>
      <c r="AE245" s="17" t="b">
        <f t="shared" si="23"/>
        <v>0</v>
      </c>
    </row>
    <row r="246" spans="1:31" x14ac:dyDescent="0.2">
      <c r="A246" s="16">
        <v>5000493505</v>
      </c>
      <c r="B246" t="s">
        <v>0</v>
      </c>
      <c r="C246" t="s">
        <v>0</v>
      </c>
      <c r="D246" t="s">
        <v>1</v>
      </c>
      <c r="E246" t="s">
        <v>831</v>
      </c>
      <c r="F246" t="s">
        <v>832</v>
      </c>
      <c r="G246" s="2">
        <v>2</v>
      </c>
      <c r="H246" t="s">
        <v>461</v>
      </c>
      <c r="I246" t="s">
        <v>3</v>
      </c>
      <c r="J246" t="s">
        <v>19</v>
      </c>
      <c r="K246" t="s">
        <v>605</v>
      </c>
      <c r="L246" t="s">
        <v>608</v>
      </c>
      <c r="M246" t="s">
        <v>822</v>
      </c>
      <c r="N246" t="s">
        <v>602</v>
      </c>
      <c r="O246" t="s">
        <v>603</v>
      </c>
      <c r="P246" t="s">
        <v>602</v>
      </c>
      <c r="Q246" s="17">
        <f>IFERROR(VLOOKUP(A246,已除帳印單!B:C,1,0),0)*1</f>
        <v>0</v>
      </c>
      <c r="R246" s="67" t="str">
        <f>IFERROR(VLOOKUP(J246,線別!A:B,2,1),"")</f>
        <v>FM_IA預組</v>
      </c>
      <c r="S246" s="17" t="str">
        <f>IFERROR(VLOOKUP(A246,已除帳印單!B:C,2,0),"")</f>
        <v/>
      </c>
      <c r="T246" s="68">
        <f t="shared" si="18"/>
        <v>43892</v>
      </c>
      <c r="U246" s="69">
        <f t="shared" si="19"/>
        <v>84.168773148148148</v>
      </c>
      <c r="V246" s="68" t="str">
        <f>IFERROR(VLOOKUP(A246,已除帳印單!B:D,3,0),"")</f>
        <v/>
      </c>
      <c r="W246" s="69" t="str">
        <f>IFERROR(VLOOKUP(A246,已除帳印單!B:E,4,0),"")</f>
        <v/>
      </c>
      <c r="X246" s="68" t="str">
        <f>IFERROR(INDEX(刷條碼區!A:C,MATCH(點上線資訊!S246,刷條碼區!C:C,0),1),"")</f>
        <v/>
      </c>
      <c r="Y246" s="69" t="str">
        <f>IFERROR(INDEX(刷條碼區!A:C,MATCH(點上線資訊!S246,刷條碼區!C:C,0),2),"")</f>
        <v/>
      </c>
      <c r="Z246" s="70" t="str">
        <f>IFERROR(INDEX(刷條碼區!D:G,MATCH(點上線資訊!S246,刷條碼區!F:F,0),1),"")</f>
        <v/>
      </c>
      <c r="AA246" s="71" t="str">
        <f>IFERROR(INDEX(刷條碼區!D:G,MATCH(點上線資訊!S246,刷條碼區!F:F,0),2),"")</f>
        <v/>
      </c>
      <c r="AB246" s="20" t="b">
        <f t="shared" si="20"/>
        <v>0</v>
      </c>
      <c r="AC246" s="20" t="b">
        <f t="shared" si="21"/>
        <v>0</v>
      </c>
      <c r="AD246" s="17" t="b">
        <f t="shared" si="22"/>
        <v>0</v>
      </c>
      <c r="AE246" s="17" t="b">
        <f t="shared" si="23"/>
        <v>0</v>
      </c>
    </row>
    <row r="247" spans="1:31" x14ac:dyDescent="0.2">
      <c r="A247" s="16">
        <v>5000493506</v>
      </c>
      <c r="B247" t="s">
        <v>0</v>
      </c>
      <c r="C247" t="s">
        <v>0</v>
      </c>
      <c r="D247" t="s">
        <v>1</v>
      </c>
      <c r="E247" t="s">
        <v>833</v>
      </c>
      <c r="F247" t="s">
        <v>834</v>
      </c>
      <c r="G247" s="2">
        <v>10</v>
      </c>
      <c r="H247" t="s">
        <v>461</v>
      </c>
      <c r="I247" t="s">
        <v>3</v>
      </c>
      <c r="J247" t="s">
        <v>19</v>
      </c>
      <c r="K247" t="s">
        <v>605</v>
      </c>
      <c r="L247" t="s">
        <v>608</v>
      </c>
      <c r="M247" t="s">
        <v>822</v>
      </c>
      <c r="N247" t="s">
        <v>602</v>
      </c>
      <c r="O247" t="s">
        <v>603</v>
      </c>
      <c r="P247" t="s">
        <v>602</v>
      </c>
      <c r="Q247" s="17">
        <f>IFERROR(VLOOKUP(A247,已除帳印單!B:C,1,0),0)*1</f>
        <v>0</v>
      </c>
      <c r="R247" s="67" t="str">
        <f>IFERROR(VLOOKUP(J247,線別!A:B,2,1),"")</f>
        <v>FM_IA預組</v>
      </c>
      <c r="S247" s="17" t="str">
        <f>IFERROR(VLOOKUP(A247,已除帳印單!B:C,2,0),"")</f>
        <v/>
      </c>
      <c r="T247" s="68">
        <f t="shared" si="18"/>
        <v>43892</v>
      </c>
      <c r="U247" s="69">
        <f t="shared" si="19"/>
        <v>84.168773148148148</v>
      </c>
      <c r="V247" s="68" t="str">
        <f>IFERROR(VLOOKUP(A247,已除帳印單!B:D,3,0),"")</f>
        <v/>
      </c>
      <c r="W247" s="69" t="str">
        <f>IFERROR(VLOOKUP(A247,已除帳印單!B:E,4,0),"")</f>
        <v/>
      </c>
      <c r="X247" s="68" t="str">
        <f>IFERROR(INDEX(刷條碼區!A:C,MATCH(點上線資訊!S247,刷條碼區!C:C,0),1),"")</f>
        <v/>
      </c>
      <c r="Y247" s="69" t="str">
        <f>IFERROR(INDEX(刷條碼區!A:C,MATCH(點上線資訊!S247,刷條碼區!C:C,0),2),"")</f>
        <v/>
      </c>
      <c r="Z247" s="70" t="str">
        <f>IFERROR(INDEX(刷條碼區!D:G,MATCH(點上線資訊!S247,刷條碼區!F:F,0),1),"")</f>
        <v/>
      </c>
      <c r="AA247" s="71" t="str">
        <f>IFERROR(INDEX(刷條碼區!D:G,MATCH(點上線資訊!S247,刷條碼區!F:F,0),2),"")</f>
        <v/>
      </c>
      <c r="AB247" s="20" t="b">
        <f t="shared" si="20"/>
        <v>0</v>
      </c>
      <c r="AC247" s="20" t="b">
        <f t="shared" si="21"/>
        <v>0</v>
      </c>
      <c r="AD247" s="17" t="b">
        <f t="shared" si="22"/>
        <v>0</v>
      </c>
      <c r="AE247" s="17" t="b">
        <f t="shared" si="23"/>
        <v>0</v>
      </c>
    </row>
    <row r="248" spans="1:31" x14ac:dyDescent="0.2">
      <c r="A248" s="16">
        <v>5000493509</v>
      </c>
      <c r="B248" t="s">
        <v>0</v>
      </c>
      <c r="C248" t="s">
        <v>0</v>
      </c>
      <c r="D248" t="s">
        <v>1</v>
      </c>
      <c r="E248" t="s">
        <v>785</v>
      </c>
      <c r="F248" t="s">
        <v>786</v>
      </c>
      <c r="G248" s="2">
        <v>7</v>
      </c>
      <c r="H248" t="s">
        <v>461</v>
      </c>
      <c r="I248" t="s">
        <v>3</v>
      </c>
      <c r="J248" t="s">
        <v>19</v>
      </c>
      <c r="K248" t="s">
        <v>605</v>
      </c>
      <c r="L248" t="s">
        <v>608</v>
      </c>
      <c r="M248" t="s">
        <v>776</v>
      </c>
      <c r="N248" t="s">
        <v>602</v>
      </c>
      <c r="O248" t="s">
        <v>603</v>
      </c>
      <c r="P248" t="s">
        <v>602</v>
      </c>
      <c r="Q248" s="17">
        <f>IFERROR(VLOOKUP(A248,已除帳印單!B:C,1,0),0)*1</f>
        <v>0</v>
      </c>
      <c r="R248" s="67" t="str">
        <f>IFERROR(VLOOKUP(J248,線別!A:B,2,1),"")</f>
        <v>FM_IA預組</v>
      </c>
      <c r="S248" s="17" t="str">
        <f>IFERROR(VLOOKUP(A248,已除帳印單!B:C,2,0),"")</f>
        <v/>
      </c>
      <c r="T248" s="68">
        <f t="shared" si="18"/>
        <v>43892</v>
      </c>
      <c r="U248" s="69">
        <f t="shared" si="19"/>
        <v>84.168773148148148</v>
      </c>
      <c r="V248" s="68" t="str">
        <f>IFERROR(VLOOKUP(A248,已除帳印單!B:D,3,0),"")</f>
        <v/>
      </c>
      <c r="W248" s="69" t="str">
        <f>IFERROR(VLOOKUP(A248,已除帳印單!B:E,4,0),"")</f>
        <v/>
      </c>
      <c r="X248" s="68" t="str">
        <f>IFERROR(INDEX(刷條碼區!A:C,MATCH(點上線資訊!S248,刷條碼區!C:C,0),1),"")</f>
        <v/>
      </c>
      <c r="Y248" s="69" t="str">
        <f>IFERROR(INDEX(刷條碼區!A:C,MATCH(點上線資訊!S248,刷條碼區!C:C,0),2),"")</f>
        <v/>
      </c>
      <c r="Z248" s="70" t="str">
        <f>IFERROR(INDEX(刷條碼區!D:G,MATCH(點上線資訊!S248,刷條碼區!F:F,0),1),"")</f>
        <v/>
      </c>
      <c r="AA248" s="71" t="str">
        <f>IFERROR(INDEX(刷條碼區!D:G,MATCH(點上線資訊!S248,刷條碼區!F:F,0),2),"")</f>
        <v/>
      </c>
      <c r="AB248" s="20" t="b">
        <f t="shared" si="20"/>
        <v>0</v>
      </c>
      <c r="AC248" s="20" t="b">
        <f t="shared" si="21"/>
        <v>0</v>
      </c>
      <c r="AD248" s="17" t="b">
        <f t="shared" si="22"/>
        <v>0</v>
      </c>
      <c r="AE248" s="17" t="b">
        <f t="shared" si="23"/>
        <v>0</v>
      </c>
    </row>
    <row r="249" spans="1:31" x14ac:dyDescent="0.2">
      <c r="A249" s="16">
        <v>5000493511</v>
      </c>
      <c r="B249" t="s">
        <v>0</v>
      </c>
      <c r="C249" t="s">
        <v>0</v>
      </c>
      <c r="D249" t="s">
        <v>1</v>
      </c>
      <c r="E249" t="s">
        <v>835</v>
      </c>
      <c r="F249" t="s">
        <v>836</v>
      </c>
      <c r="G249" s="2">
        <v>1</v>
      </c>
      <c r="H249" t="s">
        <v>461</v>
      </c>
      <c r="I249" t="s">
        <v>3</v>
      </c>
      <c r="J249" t="s">
        <v>19</v>
      </c>
      <c r="K249" t="s">
        <v>605</v>
      </c>
      <c r="L249" t="s">
        <v>608</v>
      </c>
      <c r="M249" t="s">
        <v>822</v>
      </c>
      <c r="N249" t="s">
        <v>602</v>
      </c>
      <c r="O249" t="s">
        <v>603</v>
      </c>
      <c r="P249" t="s">
        <v>602</v>
      </c>
      <c r="Q249" s="17">
        <f>IFERROR(VLOOKUP(A249,已除帳印單!B:C,1,0),0)*1</f>
        <v>0</v>
      </c>
      <c r="R249" s="67" t="str">
        <f>IFERROR(VLOOKUP(J249,線別!A:B,2,1),"")</f>
        <v>FM_IA預組</v>
      </c>
      <c r="S249" s="17" t="str">
        <f>IFERROR(VLOOKUP(A249,已除帳印單!B:C,2,0),"")</f>
        <v/>
      </c>
      <c r="T249" s="68">
        <f t="shared" si="18"/>
        <v>43892</v>
      </c>
      <c r="U249" s="69">
        <f t="shared" si="19"/>
        <v>84.168773148148148</v>
      </c>
      <c r="V249" s="68" t="str">
        <f>IFERROR(VLOOKUP(A249,已除帳印單!B:D,3,0),"")</f>
        <v/>
      </c>
      <c r="W249" s="69" t="str">
        <f>IFERROR(VLOOKUP(A249,已除帳印單!B:E,4,0),"")</f>
        <v/>
      </c>
      <c r="X249" s="68" t="str">
        <f>IFERROR(INDEX(刷條碼區!A:C,MATCH(點上線資訊!S249,刷條碼區!C:C,0),1),"")</f>
        <v/>
      </c>
      <c r="Y249" s="69" t="str">
        <f>IFERROR(INDEX(刷條碼區!A:C,MATCH(點上線資訊!S249,刷條碼區!C:C,0),2),"")</f>
        <v/>
      </c>
      <c r="Z249" s="70" t="str">
        <f>IFERROR(INDEX(刷條碼區!D:G,MATCH(點上線資訊!S249,刷條碼區!F:F,0),1),"")</f>
        <v/>
      </c>
      <c r="AA249" s="71" t="str">
        <f>IFERROR(INDEX(刷條碼區!D:G,MATCH(點上線資訊!S249,刷條碼區!F:F,0),2),"")</f>
        <v/>
      </c>
      <c r="AB249" s="20" t="b">
        <f t="shared" si="20"/>
        <v>0</v>
      </c>
      <c r="AC249" s="20" t="b">
        <f t="shared" si="21"/>
        <v>0</v>
      </c>
      <c r="AD249" s="17" t="b">
        <f t="shared" si="22"/>
        <v>0</v>
      </c>
      <c r="AE249" s="17" t="b">
        <f t="shared" si="23"/>
        <v>0</v>
      </c>
    </row>
    <row r="250" spans="1:31" x14ac:dyDescent="0.2">
      <c r="A250" s="16">
        <v>5000493512</v>
      </c>
      <c r="B250" t="s">
        <v>0</v>
      </c>
      <c r="C250" t="s">
        <v>0</v>
      </c>
      <c r="D250" t="s">
        <v>1</v>
      </c>
      <c r="E250" t="s">
        <v>837</v>
      </c>
      <c r="F250" t="s">
        <v>838</v>
      </c>
      <c r="G250" s="2">
        <v>1</v>
      </c>
      <c r="H250" t="s">
        <v>461</v>
      </c>
      <c r="I250" t="s">
        <v>3</v>
      </c>
      <c r="J250" t="s">
        <v>19</v>
      </c>
      <c r="K250" t="s">
        <v>605</v>
      </c>
      <c r="L250" t="s">
        <v>608</v>
      </c>
      <c r="M250" t="s">
        <v>822</v>
      </c>
      <c r="N250" t="s">
        <v>602</v>
      </c>
      <c r="O250" t="s">
        <v>603</v>
      </c>
      <c r="P250" t="s">
        <v>602</v>
      </c>
      <c r="Q250" s="17">
        <f>IFERROR(VLOOKUP(A250,已除帳印單!B:C,1,0),0)*1</f>
        <v>0</v>
      </c>
      <c r="R250" s="67" t="str">
        <f>IFERROR(VLOOKUP(J250,線別!A:B,2,1),"")</f>
        <v>FM_IA預組</v>
      </c>
      <c r="S250" s="17" t="str">
        <f>IFERROR(VLOOKUP(A250,已除帳印單!B:C,2,0),"")</f>
        <v/>
      </c>
      <c r="T250" s="68">
        <f t="shared" si="18"/>
        <v>43892</v>
      </c>
      <c r="U250" s="69">
        <f t="shared" si="19"/>
        <v>84.168773148148148</v>
      </c>
      <c r="V250" s="68" t="str">
        <f>IFERROR(VLOOKUP(A250,已除帳印單!B:D,3,0),"")</f>
        <v/>
      </c>
      <c r="W250" s="69" t="str">
        <f>IFERROR(VLOOKUP(A250,已除帳印單!B:E,4,0),"")</f>
        <v/>
      </c>
      <c r="X250" s="68" t="str">
        <f>IFERROR(INDEX(刷條碼區!A:C,MATCH(點上線資訊!S250,刷條碼區!C:C,0),1),"")</f>
        <v/>
      </c>
      <c r="Y250" s="69" t="str">
        <f>IFERROR(INDEX(刷條碼區!A:C,MATCH(點上線資訊!S250,刷條碼區!C:C,0),2),"")</f>
        <v/>
      </c>
      <c r="Z250" s="70" t="str">
        <f>IFERROR(INDEX(刷條碼區!D:G,MATCH(點上線資訊!S250,刷條碼區!F:F,0),1),"")</f>
        <v/>
      </c>
      <c r="AA250" s="71" t="str">
        <f>IFERROR(INDEX(刷條碼區!D:G,MATCH(點上線資訊!S250,刷條碼區!F:F,0),2),"")</f>
        <v/>
      </c>
      <c r="AB250" s="20" t="b">
        <f t="shared" si="20"/>
        <v>0</v>
      </c>
      <c r="AC250" s="20" t="b">
        <f t="shared" si="21"/>
        <v>0</v>
      </c>
      <c r="AD250" s="17" t="b">
        <f t="shared" si="22"/>
        <v>0</v>
      </c>
      <c r="AE250" s="17" t="b">
        <f t="shared" si="23"/>
        <v>0</v>
      </c>
    </row>
    <row r="251" spans="1:31" x14ac:dyDescent="0.2">
      <c r="A251" s="16">
        <v>5000493517</v>
      </c>
      <c r="B251" t="s">
        <v>6</v>
      </c>
      <c r="C251" t="s">
        <v>6</v>
      </c>
      <c r="D251" t="s">
        <v>1</v>
      </c>
      <c r="E251" t="s">
        <v>839</v>
      </c>
      <c r="F251" t="s">
        <v>840</v>
      </c>
      <c r="G251" s="2">
        <v>1</v>
      </c>
      <c r="H251" t="s">
        <v>461</v>
      </c>
      <c r="I251" t="s">
        <v>3</v>
      </c>
      <c r="J251" t="s">
        <v>136</v>
      </c>
      <c r="K251" t="s">
        <v>605</v>
      </c>
      <c r="L251" t="s">
        <v>608</v>
      </c>
      <c r="M251" t="s">
        <v>412</v>
      </c>
      <c r="N251" t="s">
        <v>602</v>
      </c>
      <c r="O251" t="s">
        <v>603</v>
      </c>
      <c r="P251" t="s">
        <v>602</v>
      </c>
      <c r="Q251" s="17">
        <f>IFERROR(VLOOKUP(A251,已除帳印單!B:C,1,0),0)*1</f>
        <v>0</v>
      </c>
      <c r="R251" s="67" t="str">
        <f>IFERROR(VLOOKUP(J251,線別!A:B,2,1),"")</f>
        <v>SCB線</v>
      </c>
      <c r="S251" s="17" t="str">
        <f>IFERROR(VLOOKUP(A251,已除帳印單!B:C,2,0),"")</f>
        <v/>
      </c>
      <c r="T251" s="68">
        <f t="shared" si="18"/>
        <v>43893</v>
      </c>
      <c r="U251" s="69">
        <f t="shared" si="19"/>
        <v>84.168784722222213</v>
      </c>
      <c r="V251" s="68" t="str">
        <f>IFERROR(VLOOKUP(A251,已除帳印單!B:D,3,0),"")</f>
        <v/>
      </c>
      <c r="W251" s="69" t="str">
        <f>IFERROR(VLOOKUP(A251,已除帳印單!B:E,4,0),"")</f>
        <v/>
      </c>
      <c r="X251" s="68" t="str">
        <f>IFERROR(INDEX(刷條碼區!A:C,MATCH(點上線資訊!S251,刷條碼區!C:C,0),1),"")</f>
        <v/>
      </c>
      <c r="Y251" s="69" t="str">
        <f>IFERROR(INDEX(刷條碼區!A:C,MATCH(點上線資訊!S251,刷條碼區!C:C,0),2),"")</f>
        <v/>
      </c>
      <c r="Z251" s="70" t="str">
        <f>IFERROR(INDEX(刷條碼區!D:G,MATCH(點上線資訊!S251,刷條碼區!F:F,0),1),"")</f>
        <v/>
      </c>
      <c r="AA251" s="71" t="str">
        <f>IFERROR(INDEX(刷條碼區!D:G,MATCH(點上線資訊!S251,刷條碼區!F:F,0),2),"")</f>
        <v/>
      </c>
      <c r="AB251" s="20" t="b">
        <f t="shared" si="20"/>
        <v>0</v>
      </c>
      <c r="AC251" s="20" t="b">
        <f t="shared" si="21"/>
        <v>0</v>
      </c>
      <c r="AD251" s="17" t="b">
        <f t="shared" si="22"/>
        <v>0</v>
      </c>
      <c r="AE251" s="17" t="b">
        <f t="shared" si="23"/>
        <v>0</v>
      </c>
    </row>
    <row r="252" spans="1:31" x14ac:dyDescent="0.2">
      <c r="A252" s="16">
        <v>5000493518</v>
      </c>
      <c r="B252" t="s">
        <v>6</v>
      </c>
      <c r="C252" t="s">
        <v>6</v>
      </c>
      <c r="D252" t="s">
        <v>1</v>
      </c>
      <c r="E252" t="s">
        <v>839</v>
      </c>
      <c r="F252" t="s">
        <v>840</v>
      </c>
      <c r="G252" s="2">
        <v>4</v>
      </c>
      <c r="H252" t="s">
        <v>461</v>
      </c>
      <c r="I252" t="s">
        <v>3</v>
      </c>
      <c r="J252" t="s">
        <v>136</v>
      </c>
      <c r="K252" t="s">
        <v>605</v>
      </c>
      <c r="L252" t="s">
        <v>608</v>
      </c>
      <c r="M252" t="s">
        <v>412</v>
      </c>
      <c r="N252" t="s">
        <v>602</v>
      </c>
      <c r="O252" t="s">
        <v>603</v>
      </c>
      <c r="P252" t="s">
        <v>602</v>
      </c>
      <c r="Q252" s="17">
        <f>IFERROR(VLOOKUP(A252,已除帳印單!B:C,1,0),0)*1</f>
        <v>0</v>
      </c>
      <c r="R252" s="67" t="str">
        <f>IFERROR(VLOOKUP(J252,線別!A:B,2,1),"")</f>
        <v>SCB線</v>
      </c>
      <c r="S252" s="17" t="str">
        <f>IFERROR(VLOOKUP(A252,已除帳印單!B:C,2,0),"")</f>
        <v/>
      </c>
      <c r="T252" s="68">
        <f t="shared" si="18"/>
        <v>43893</v>
      </c>
      <c r="U252" s="69">
        <f t="shared" si="19"/>
        <v>84.168784722222213</v>
      </c>
      <c r="V252" s="68" t="str">
        <f>IFERROR(VLOOKUP(A252,已除帳印單!B:D,3,0),"")</f>
        <v/>
      </c>
      <c r="W252" s="69" t="str">
        <f>IFERROR(VLOOKUP(A252,已除帳印單!B:E,4,0),"")</f>
        <v/>
      </c>
      <c r="X252" s="68" t="str">
        <f>IFERROR(INDEX(刷條碼區!A:C,MATCH(點上線資訊!S252,刷條碼區!C:C,0),1),"")</f>
        <v/>
      </c>
      <c r="Y252" s="69" t="str">
        <f>IFERROR(INDEX(刷條碼區!A:C,MATCH(點上線資訊!S252,刷條碼區!C:C,0),2),"")</f>
        <v/>
      </c>
      <c r="Z252" s="70" t="str">
        <f>IFERROR(INDEX(刷條碼區!D:G,MATCH(點上線資訊!S252,刷條碼區!F:F,0),1),"")</f>
        <v/>
      </c>
      <c r="AA252" s="71" t="str">
        <f>IFERROR(INDEX(刷條碼區!D:G,MATCH(點上線資訊!S252,刷條碼區!F:F,0),2),"")</f>
        <v/>
      </c>
      <c r="AB252" s="20" t="b">
        <f t="shared" si="20"/>
        <v>0</v>
      </c>
      <c r="AC252" s="20" t="b">
        <f t="shared" si="21"/>
        <v>0</v>
      </c>
      <c r="AD252" s="17" t="b">
        <f t="shared" si="22"/>
        <v>0</v>
      </c>
      <c r="AE252" s="17" t="b">
        <f t="shared" si="23"/>
        <v>0</v>
      </c>
    </row>
    <row r="253" spans="1:31" x14ac:dyDescent="0.2">
      <c r="A253" s="16">
        <v>5000493521</v>
      </c>
      <c r="B253" t="s">
        <v>6</v>
      </c>
      <c r="C253" t="s">
        <v>6</v>
      </c>
      <c r="D253" t="s">
        <v>1</v>
      </c>
      <c r="E253" t="s">
        <v>841</v>
      </c>
      <c r="F253" t="s">
        <v>842</v>
      </c>
      <c r="G253" s="2">
        <v>3</v>
      </c>
      <c r="H253" t="s">
        <v>461</v>
      </c>
      <c r="I253" t="s">
        <v>3</v>
      </c>
      <c r="J253" t="s">
        <v>136</v>
      </c>
      <c r="K253" t="s">
        <v>605</v>
      </c>
      <c r="L253" t="s">
        <v>608</v>
      </c>
      <c r="M253" t="s">
        <v>413</v>
      </c>
      <c r="N253" t="s">
        <v>602</v>
      </c>
      <c r="O253" t="s">
        <v>603</v>
      </c>
      <c r="P253" t="s">
        <v>602</v>
      </c>
      <c r="Q253" s="17">
        <f>IFERROR(VLOOKUP(A253,已除帳印單!B:C,1,0),0)*1</f>
        <v>0</v>
      </c>
      <c r="R253" s="67" t="str">
        <f>IFERROR(VLOOKUP(J253,線別!A:B,2,1),"")</f>
        <v>SCB線</v>
      </c>
      <c r="S253" s="17" t="str">
        <f>IFERROR(VLOOKUP(A253,已除帳印單!B:C,2,0),"")</f>
        <v/>
      </c>
      <c r="T253" s="68">
        <f t="shared" si="18"/>
        <v>43893</v>
      </c>
      <c r="U253" s="69">
        <f t="shared" si="19"/>
        <v>84.168784722222213</v>
      </c>
      <c r="V253" s="68" t="str">
        <f>IFERROR(VLOOKUP(A253,已除帳印單!B:D,3,0),"")</f>
        <v/>
      </c>
      <c r="W253" s="69" t="str">
        <f>IFERROR(VLOOKUP(A253,已除帳印單!B:E,4,0),"")</f>
        <v/>
      </c>
      <c r="X253" s="68" t="str">
        <f>IFERROR(INDEX(刷條碼區!A:C,MATCH(點上線資訊!S253,刷條碼區!C:C,0),1),"")</f>
        <v/>
      </c>
      <c r="Y253" s="69" t="str">
        <f>IFERROR(INDEX(刷條碼區!A:C,MATCH(點上線資訊!S253,刷條碼區!C:C,0),2),"")</f>
        <v/>
      </c>
      <c r="Z253" s="70" t="str">
        <f>IFERROR(INDEX(刷條碼區!D:G,MATCH(點上線資訊!S253,刷條碼區!F:F,0),1),"")</f>
        <v/>
      </c>
      <c r="AA253" s="71" t="str">
        <f>IFERROR(INDEX(刷條碼區!D:G,MATCH(點上線資訊!S253,刷條碼區!F:F,0),2),"")</f>
        <v/>
      </c>
      <c r="AB253" s="20" t="b">
        <f t="shared" si="20"/>
        <v>0</v>
      </c>
      <c r="AC253" s="20" t="b">
        <f t="shared" si="21"/>
        <v>0</v>
      </c>
      <c r="AD253" s="17" t="b">
        <f t="shared" si="22"/>
        <v>0</v>
      </c>
      <c r="AE253" s="17" t="b">
        <f t="shared" si="23"/>
        <v>0</v>
      </c>
    </row>
    <row r="254" spans="1:31" x14ac:dyDescent="0.2">
      <c r="A254" s="16">
        <v>5000493522</v>
      </c>
      <c r="B254" t="s">
        <v>6</v>
      </c>
      <c r="C254" t="s">
        <v>6</v>
      </c>
      <c r="D254" t="s">
        <v>1</v>
      </c>
      <c r="E254" t="s">
        <v>843</v>
      </c>
      <c r="F254" t="s">
        <v>684</v>
      </c>
      <c r="G254" s="2">
        <v>1</v>
      </c>
      <c r="H254" t="s">
        <v>461</v>
      </c>
      <c r="I254" t="s">
        <v>3</v>
      </c>
      <c r="J254" t="s">
        <v>136</v>
      </c>
      <c r="K254" t="s">
        <v>605</v>
      </c>
      <c r="L254" t="s">
        <v>608</v>
      </c>
      <c r="M254" t="s">
        <v>403</v>
      </c>
      <c r="N254" t="s">
        <v>602</v>
      </c>
      <c r="O254" t="s">
        <v>603</v>
      </c>
      <c r="P254" t="s">
        <v>602</v>
      </c>
      <c r="Q254" s="17">
        <f>IFERROR(VLOOKUP(A254,已除帳印單!B:C,1,0),0)*1</f>
        <v>0</v>
      </c>
      <c r="R254" s="67" t="str">
        <f>IFERROR(VLOOKUP(J254,線別!A:B,2,1),"")</f>
        <v>SCB線</v>
      </c>
      <c r="S254" s="17" t="str">
        <f>IFERROR(VLOOKUP(A254,已除帳印單!B:C,2,0),"")</f>
        <v/>
      </c>
      <c r="T254" s="68">
        <f t="shared" si="18"/>
        <v>43893</v>
      </c>
      <c r="U254" s="69">
        <f t="shared" si="19"/>
        <v>84.168784722222213</v>
      </c>
      <c r="V254" s="68" t="str">
        <f>IFERROR(VLOOKUP(A254,已除帳印單!B:D,3,0),"")</f>
        <v/>
      </c>
      <c r="W254" s="69" t="str">
        <f>IFERROR(VLOOKUP(A254,已除帳印單!B:E,4,0),"")</f>
        <v/>
      </c>
      <c r="X254" s="68" t="str">
        <f>IFERROR(INDEX(刷條碼區!A:C,MATCH(點上線資訊!S254,刷條碼區!C:C,0),1),"")</f>
        <v/>
      </c>
      <c r="Y254" s="69" t="str">
        <f>IFERROR(INDEX(刷條碼區!A:C,MATCH(點上線資訊!S254,刷條碼區!C:C,0),2),"")</f>
        <v/>
      </c>
      <c r="Z254" s="70" t="str">
        <f>IFERROR(INDEX(刷條碼區!D:G,MATCH(點上線資訊!S254,刷條碼區!F:F,0),1),"")</f>
        <v/>
      </c>
      <c r="AA254" s="71" t="str">
        <f>IFERROR(INDEX(刷條碼區!D:G,MATCH(點上線資訊!S254,刷條碼區!F:F,0),2),"")</f>
        <v/>
      </c>
      <c r="AB254" s="20" t="b">
        <f t="shared" si="20"/>
        <v>0</v>
      </c>
      <c r="AC254" s="20" t="b">
        <f t="shared" si="21"/>
        <v>0</v>
      </c>
      <c r="AD254" s="17" t="b">
        <f t="shared" si="22"/>
        <v>0</v>
      </c>
      <c r="AE254" s="17" t="b">
        <f t="shared" si="23"/>
        <v>0</v>
      </c>
    </row>
    <row r="255" spans="1:31" x14ac:dyDescent="0.2">
      <c r="A255" s="16">
        <v>5000493523</v>
      </c>
      <c r="B255" t="s">
        <v>0</v>
      </c>
      <c r="C255" t="s">
        <v>0</v>
      </c>
      <c r="D255" t="s">
        <v>1</v>
      </c>
      <c r="E255" t="s">
        <v>844</v>
      </c>
      <c r="F255" t="s">
        <v>845</v>
      </c>
      <c r="G255" s="2">
        <v>5</v>
      </c>
      <c r="H255" t="s">
        <v>461</v>
      </c>
      <c r="I255" t="s">
        <v>3</v>
      </c>
      <c r="J255" t="s">
        <v>339</v>
      </c>
      <c r="K255" t="s">
        <v>605</v>
      </c>
      <c r="L255" t="s">
        <v>608</v>
      </c>
      <c r="M255" t="s">
        <v>846</v>
      </c>
      <c r="N255" t="s">
        <v>602</v>
      </c>
      <c r="O255" t="s">
        <v>603</v>
      </c>
      <c r="P255" t="s">
        <v>602</v>
      </c>
      <c r="Q255" s="17">
        <f>IFERROR(VLOOKUP(A255,已除帳印單!B:C,1,0),0)*1</f>
        <v>0</v>
      </c>
      <c r="R255" s="67" t="str">
        <f>IFERROR(VLOOKUP(J255,線別!A:B,2,1),"")</f>
        <v>A+線</v>
      </c>
      <c r="S255" s="17" t="str">
        <f>IFERROR(VLOOKUP(A255,已除帳印單!B:C,2,0),"")</f>
        <v/>
      </c>
      <c r="T255" s="68">
        <f t="shared" si="18"/>
        <v>43892</v>
      </c>
      <c r="U255" s="69">
        <f t="shared" si="19"/>
        <v>84.168773148148148</v>
      </c>
      <c r="V255" s="68" t="str">
        <f>IFERROR(VLOOKUP(A255,已除帳印單!B:D,3,0),"")</f>
        <v/>
      </c>
      <c r="W255" s="69" t="str">
        <f>IFERROR(VLOOKUP(A255,已除帳印單!B:E,4,0),"")</f>
        <v/>
      </c>
      <c r="X255" s="68" t="str">
        <f>IFERROR(INDEX(刷條碼區!A:C,MATCH(點上線資訊!S255,刷條碼區!C:C,0),1),"")</f>
        <v/>
      </c>
      <c r="Y255" s="69" t="str">
        <f>IFERROR(INDEX(刷條碼區!A:C,MATCH(點上線資訊!S255,刷條碼區!C:C,0),2),"")</f>
        <v/>
      </c>
      <c r="Z255" s="70" t="str">
        <f>IFERROR(INDEX(刷條碼區!D:G,MATCH(點上線資訊!S255,刷條碼區!F:F,0),1),"")</f>
        <v/>
      </c>
      <c r="AA255" s="71" t="str">
        <f>IFERROR(INDEX(刷條碼區!D:G,MATCH(點上線資訊!S255,刷條碼區!F:F,0),2),"")</f>
        <v/>
      </c>
      <c r="AB255" s="20" t="b">
        <f t="shared" si="20"/>
        <v>0</v>
      </c>
      <c r="AC255" s="20" t="b">
        <f t="shared" si="21"/>
        <v>0</v>
      </c>
      <c r="AD255" s="17" t="b">
        <f t="shared" si="22"/>
        <v>0</v>
      </c>
      <c r="AE255" s="17" t="b">
        <f t="shared" si="23"/>
        <v>0</v>
      </c>
    </row>
    <row r="256" spans="1:31" x14ac:dyDescent="0.2">
      <c r="A256" s="16">
        <v>5000493525</v>
      </c>
      <c r="B256" t="s">
        <v>6</v>
      </c>
      <c r="C256" t="s">
        <v>6</v>
      </c>
      <c r="D256" t="s">
        <v>1</v>
      </c>
      <c r="E256" t="s">
        <v>847</v>
      </c>
      <c r="F256" t="s">
        <v>842</v>
      </c>
      <c r="G256" s="2">
        <v>1</v>
      </c>
      <c r="H256" t="s">
        <v>461</v>
      </c>
      <c r="I256" t="s">
        <v>3</v>
      </c>
      <c r="J256" t="s">
        <v>136</v>
      </c>
      <c r="K256" t="s">
        <v>605</v>
      </c>
      <c r="L256" t="s">
        <v>608</v>
      </c>
      <c r="M256" t="s">
        <v>413</v>
      </c>
      <c r="N256" t="s">
        <v>602</v>
      </c>
      <c r="O256" t="s">
        <v>603</v>
      </c>
      <c r="P256" t="s">
        <v>602</v>
      </c>
      <c r="Q256" s="17">
        <f>IFERROR(VLOOKUP(A256,已除帳印單!B:C,1,0),0)*1</f>
        <v>0</v>
      </c>
      <c r="R256" s="67" t="str">
        <f>IFERROR(VLOOKUP(J256,線別!A:B,2,1),"")</f>
        <v>SCB線</v>
      </c>
      <c r="S256" s="17" t="str">
        <f>IFERROR(VLOOKUP(A256,已除帳印單!B:C,2,0),"")</f>
        <v/>
      </c>
      <c r="T256" s="68">
        <f t="shared" si="18"/>
        <v>43893</v>
      </c>
      <c r="U256" s="69">
        <f t="shared" si="19"/>
        <v>84.168784722222213</v>
      </c>
      <c r="V256" s="68" t="str">
        <f>IFERROR(VLOOKUP(A256,已除帳印單!B:D,3,0),"")</f>
        <v/>
      </c>
      <c r="W256" s="69" t="str">
        <f>IFERROR(VLOOKUP(A256,已除帳印單!B:E,4,0),"")</f>
        <v/>
      </c>
      <c r="X256" s="68" t="str">
        <f>IFERROR(INDEX(刷條碼區!A:C,MATCH(點上線資訊!S256,刷條碼區!C:C,0),1),"")</f>
        <v/>
      </c>
      <c r="Y256" s="69" t="str">
        <f>IFERROR(INDEX(刷條碼區!A:C,MATCH(點上線資訊!S256,刷條碼區!C:C,0),2),"")</f>
        <v/>
      </c>
      <c r="Z256" s="70" t="str">
        <f>IFERROR(INDEX(刷條碼區!D:G,MATCH(點上線資訊!S256,刷條碼區!F:F,0),1),"")</f>
        <v/>
      </c>
      <c r="AA256" s="71" t="str">
        <f>IFERROR(INDEX(刷條碼區!D:G,MATCH(點上線資訊!S256,刷條碼區!F:F,0),2),"")</f>
        <v/>
      </c>
      <c r="AB256" s="20" t="b">
        <f t="shared" si="20"/>
        <v>0</v>
      </c>
      <c r="AC256" s="20" t="b">
        <f t="shared" si="21"/>
        <v>0</v>
      </c>
      <c r="AD256" s="17" t="b">
        <f t="shared" si="22"/>
        <v>0</v>
      </c>
      <c r="AE256" s="17" t="b">
        <f t="shared" si="23"/>
        <v>0</v>
      </c>
    </row>
    <row r="257" spans="1:31" x14ac:dyDescent="0.2">
      <c r="A257" s="16">
        <v>5000493526</v>
      </c>
      <c r="B257" t="s">
        <v>6</v>
      </c>
      <c r="C257" t="s">
        <v>6</v>
      </c>
      <c r="D257" t="s">
        <v>1</v>
      </c>
      <c r="E257" t="s">
        <v>847</v>
      </c>
      <c r="F257" t="s">
        <v>842</v>
      </c>
      <c r="G257" s="2">
        <v>1</v>
      </c>
      <c r="H257" t="s">
        <v>461</v>
      </c>
      <c r="I257" t="s">
        <v>3</v>
      </c>
      <c r="J257" t="s">
        <v>136</v>
      </c>
      <c r="K257" t="s">
        <v>605</v>
      </c>
      <c r="L257" t="s">
        <v>608</v>
      </c>
      <c r="M257" t="s">
        <v>413</v>
      </c>
      <c r="N257" t="s">
        <v>602</v>
      </c>
      <c r="O257" t="s">
        <v>603</v>
      </c>
      <c r="P257" t="s">
        <v>602</v>
      </c>
      <c r="Q257" s="17">
        <f>IFERROR(VLOOKUP(A257,已除帳印單!B:C,1,0),0)*1</f>
        <v>0</v>
      </c>
      <c r="R257" s="67" t="str">
        <f>IFERROR(VLOOKUP(J257,線別!A:B,2,1),"")</f>
        <v>SCB線</v>
      </c>
      <c r="S257" s="17" t="str">
        <f>IFERROR(VLOOKUP(A257,已除帳印單!B:C,2,0),"")</f>
        <v/>
      </c>
      <c r="T257" s="68">
        <f t="shared" si="18"/>
        <v>43893</v>
      </c>
      <c r="U257" s="69">
        <f t="shared" si="19"/>
        <v>84.168784722222213</v>
      </c>
      <c r="V257" s="68" t="str">
        <f>IFERROR(VLOOKUP(A257,已除帳印單!B:D,3,0),"")</f>
        <v/>
      </c>
      <c r="W257" s="69" t="str">
        <f>IFERROR(VLOOKUP(A257,已除帳印單!B:E,4,0),"")</f>
        <v/>
      </c>
      <c r="X257" s="68" t="str">
        <f>IFERROR(INDEX(刷條碼區!A:C,MATCH(點上線資訊!S257,刷條碼區!C:C,0),1),"")</f>
        <v/>
      </c>
      <c r="Y257" s="69" t="str">
        <f>IFERROR(INDEX(刷條碼區!A:C,MATCH(點上線資訊!S257,刷條碼區!C:C,0),2),"")</f>
        <v/>
      </c>
      <c r="Z257" s="70" t="str">
        <f>IFERROR(INDEX(刷條碼區!D:G,MATCH(點上線資訊!S257,刷條碼區!F:F,0),1),"")</f>
        <v/>
      </c>
      <c r="AA257" s="71" t="str">
        <f>IFERROR(INDEX(刷條碼區!D:G,MATCH(點上線資訊!S257,刷條碼區!F:F,0),2),"")</f>
        <v/>
      </c>
      <c r="AB257" s="20" t="b">
        <f t="shared" si="20"/>
        <v>0</v>
      </c>
      <c r="AC257" s="20" t="b">
        <f t="shared" si="21"/>
        <v>0</v>
      </c>
      <c r="AD257" s="17" t="b">
        <f t="shared" si="22"/>
        <v>0</v>
      </c>
      <c r="AE257" s="17" t="b">
        <f t="shared" si="23"/>
        <v>0</v>
      </c>
    </row>
    <row r="258" spans="1:31" x14ac:dyDescent="0.2">
      <c r="A258" s="16">
        <v>5000493527</v>
      </c>
      <c r="B258" t="s">
        <v>0</v>
      </c>
      <c r="C258" t="s">
        <v>0</v>
      </c>
      <c r="D258" t="s">
        <v>1</v>
      </c>
      <c r="E258" t="s">
        <v>848</v>
      </c>
      <c r="F258" t="s">
        <v>849</v>
      </c>
      <c r="G258" s="2">
        <v>9</v>
      </c>
      <c r="H258" t="s">
        <v>461</v>
      </c>
      <c r="I258" t="s">
        <v>3</v>
      </c>
      <c r="J258" t="s">
        <v>339</v>
      </c>
      <c r="K258" t="s">
        <v>605</v>
      </c>
      <c r="L258" t="s">
        <v>608</v>
      </c>
      <c r="M258" t="s">
        <v>846</v>
      </c>
      <c r="N258" t="s">
        <v>602</v>
      </c>
      <c r="O258" t="s">
        <v>603</v>
      </c>
      <c r="P258" t="s">
        <v>602</v>
      </c>
      <c r="Q258" s="17">
        <f>IFERROR(VLOOKUP(A258,已除帳印單!B:C,1,0),0)*1</f>
        <v>0</v>
      </c>
      <c r="R258" s="67" t="str">
        <f>IFERROR(VLOOKUP(J258,線別!A:B,2,1),"")</f>
        <v>A+線</v>
      </c>
      <c r="S258" s="17" t="str">
        <f>IFERROR(VLOOKUP(A258,已除帳印單!B:C,2,0),"")</f>
        <v/>
      </c>
      <c r="T258" s="68">
        <f t="shared" si="18"/>
        <v>43892</v>
      </c>
      <c r="U258" s="69">
        <f t="shared" si="19"/>
        <v>84.168773148148148</v>
      </c>
      <c r="V258" s="68" t="str">
        <f>IFERROR(VLOOKUP(A258,已除帳印單!B:D,3,0),"")</f>
        <v/>
      </c>
      <c r="W258" s="69" t="str">
        <f>IFERROR(VLOOKUP(A258,已除帳印單!B:E,4,0),"")</f>
        <v/>
      </c>
      <c r="X258" s="68" t="str">
        <f>IFERROR(INDEX(刷條碼區!A:C,MATCH(點上線資訊!S258,刷條碼區!C:C,0),1),"")</f>
        <v/>
      </c>
      <c r="Y258" s="69" t="str">
        <f>IFERROR(INDEX(刷條碼區!A:C,MATCH(點上線資訊!S258,刷條碼區!C:C,0),2),"")</f>
        <v/>
      </c>
      <c r="Z258" s="70" t="str">
        <f>IFERROR(INDEX(刷條碼區!D:G,MATCH(點上線資訊!S258,刷條碼區!F:F,0),1),"")</f>
        <v/>
      </c>
      <c r="AA258" s="71" t="str">
        <f>IFERROR(INDEX(刷條碼區!D:G,MATCH(點上線資訊!S258,刷條碼區!F:F,0),2),"")</f>
        <v/>
      </c>
      <c r="AB258" s="20" t="b">
        <f t="shared" si="20"/>
        <v>0</v>
      </c>
      <c r="AC258" s="20" t="b">
        <f t="shared" si="21"/>
        <v>0</v>
      </c>
      <c r="AD258" s="17" t="b">
        <f t="shared" si="22"/>
        <v>0</v>
      </c>
      <c r="AE258" s="17" t="b">
        <f t="shared" si="23"/>
        <v>0</v>
      </c>
    </row>
    <row r="259" spans="1:31" x14ac:dyDescent="0.2">
      <c r="A259" s="16">
        <v>5000493531</v>
      </c>
      <c r="B259" t="s">
        <v>0</v>
      </c>
      <c r="C259" t="s">
        <v>0</v>
      </c>
      <c r="D259" t="s">
        <v>1</v>
      </c>
      <c r="E259" t="s">
        <v>379</v>
      </c>
      <c r="F259" t="s">
        <v>850</v>
      </c>
      <c r="G259" s="2">
        <v>10</v>
      </c>
      <c r="H259" t="s">
        <v>461</v>
      </c>
      <c r="I259" t="s">
        <v>3</v>
      </c>
      <c r="J259" t="s">
        <v>19</v>
      </c>
      <c r="K259" t="s">
        <v>605</v>
      </c>
      <c r="L259" t="s">
        <v>608</v>
      </c>
      <c r="M259" t="s">
        <v>773</v>
      </c>
      <c r="N259" t="s">
        <v>602</v>
      </c>
      <c r="O259" t="s">
        <v>603</v>
      </c>
      <c r="P259" t="s">
        <v>602</v>
      </c>
      <c r="Q259" s="17">
        <f>IFERROR(VLOOKUP(A259,已除帳印單!B:C,1,0),0)*1</f>
        <v>0</v>
      </c>
      <c r="R259" s="67" t="str">
        <f>IFERROR(VLOOKUP(J259,線別!A:B,2,1),"")</f>
        <v>FM_IA預組</v>
      </c>
      <c r="S259" s="17" t="str">
        <f>IFERROR(VLOOKUP(A259,已除帳印單!B:C,2,0),"")</f>
        <v/>
      </c>
      <c r="T259" s="68">
        <f t="shared" ref="T259:T265" si="24">--TEXT(B259,"0000-00-00")</f>
        <v>43892</v>
      </c>
      <c r="U259" s="69">
        <f t="shared" ref="U259:U265" si="25">--TEXT(C259,"00\:00\:00")</f>
        <v>84.168773148148148</v>
      </c>
      <c r="V259" s="68" t="str">
        <f>IFERROR(VLOOKUP(A259,已除帳印單!B:D,3,0),"")</f>
        <v/>
      </c>
      <c r="W259" s="69" t="str">
        <f>IFERROR(VLOOKUP(A259,已除帳印單!B:E,4,0),"")</f>
        <v/>
      </c>
      <c r="X259" s="68" t="str">
        <f>IFERROR(INDEX(刷條碼區!A:C,MATCH(點上線資訊!S259,刷條碼區!C:C,0),1),"")</f>
        <v/>
      </c>
      <c r="Y259" s="69" t="str">
        <f>IFERROR(INDEX(刷條碼區!A:C,MATCH(點上線資訊!S259,刷條碼區!C:C,0),2),"")</f>
        <v/>
      </c>
      <c r="Z259" s="70" t="str">
        <f>IFERROR(INDEX(刷條碼區!D:G,MATCH(點上線資訊!S259,刷條碼區!F:F,0),1),"")</f>
        <v/>
      </c>
      <c r="AA259" s="71" t="str">
        <f>IFERROR(INDEX(刷條碼區!D:G,MATCH(點上線資訊!S259,刷條碼區!F:F,0),2),"")</f>
        <v/>
      </c>
      <c r="AB259" s="20" t="b">
        <f t="shared" ref="AB259:AB322" si="26">IF(K259&amp;N259="",G259)</f>
        <v>0</v>
      </c>
      <c r="AC259" s="20" t="b">
        <f t="shared" ref="AC259:AC322" si="27">IF(S259&lt;&gt;"",G259)</f>
        <v>0</v>
      </c>
      <c r="AD259" s="17" t="b">
        <f t="shared" ref="AD259:AD322" si="28">IF(X259&lt;&gt;"",G259)</f>
        <v>0</v>
      </c>
      <c r="AE259" s="17" t="b">
        <f t="shared" ref="AE259:AE322" si="29">IF(Z259&lt;&gt;"",G259)</f>
        <v>0</v>
      </c>
    </row>
    <row r="260" spans="1:31" x14ac:dyDescent="0.2">
      <c r="A260" s="16">
        <v>5000493532</v>
      </c>
      <c r="B260" t="s">
        <v>0</v>
      </c>
      <c r="C260" t="s">
        <v>0</v>
      </c>
      <c r="D260" t="s">
        <v>1</v>
      </c>
      <c r="E260" t="s">
        <v>851</v>
      </c>
      <c r="F260" t="s">
        <v>852</v>
      </c>
      <c r="G260" s="2">
        <v>10</v>
      </c>
      <c r="H260" t="s">
        <v>461</v>
      </c>
      <c r="I260" t="s">
        <v>3</v>
      </c>
      <c r="J260" t="s">
        <v>19</v>
      </c>
      <c r="K260" t="s">
        <v>605</v>
      </c>
      <c r="L260" t="s">
        <v>608</v>
      </c>
      <c r="M260" t="s">
        <v>773</v>
      </c>
      <c r="N260" t="s">
        <v>602</v>
      </c>
      <c r="O260" t="s">
        <v>603</v>
      </c>
      <c r="P260" t="s">
        <v>602</v>
      </c>
      <c r="Q260" s="17">
        <f>IFERROR(VLOOKUP(A260,已除帳印單!B:C,1,0),0)*1</f>
        <v>0</v>
      </c>
      <c r="R260" s="67" t="str">
        <f>IFERROR(VLOOKUP(J260,線別!A:B,2,1),"")</f>
        <v>FM_IA預組</v>
      </c>
      <c r="S260" s="17" t="str">
        <f>IFERROR(VLOOKUP(A260,已除帳印單!B:C,2,0),"")</f>
        <v/>
      </c>
      <c r="T260" s="68">
        <f t="shared" si="24"/>
        <v>43892</v>
      </c>
      <c r="U260" s="69">
        <f t="shared" si="25"/>
        <v>84.168773148148148</v>
      </c>
      <c r="V260" s="68" t="str">
        <f>IFERROR(VLOOKUP(A260,已除帳印單!B:D,3,0),"")</f>
        <v/>
      </c>
      <c r="W260" s="69" t="str">
        <f>IFERROR(VLOOKUP(A260,已除帳印單!B:E,4,0),"")</f>
        <v/>
      </c>
      <c r="X260" s="68" t="str">
        <f>IFERROR(INDEX(刷條碼區!A:C,MATCH(點上線資訊!S260,刷條碼區!C:C,0),1),"")</f>
        <v/>
      </c>
      <c r="Y260" s="69" t="str">
        <f>IFERROR(INDEX(刷條碼區!A:C,MATCH(點上線資訊!S260,刷條碼區!C:C,0),2),"")</f>
        <v/>
      </c>
      <c r="Z260" s="70" t="str">
        <f>IFERROR(INDEX(刷條碼區!D:G,MATCH(點上線資訊!S260,刷條碼區!F:F,0),1),"")</f>
        <v/>
      </c>
      <c r="AA260" s="71" t="str">
        <f>IFERROR(INDEX(刷條碼區!D:G,MATCH(點上線資訊!S260,刷條碼區!F:F,0),2),"")</f>
        <v/>
      </c>
      <c r="AB260" s="20" t="b">
        <f t="shared" si="26"/>
        <v>0</v>
      </c>
      <c r="AC260" s="20" t="b">
        <f t="shared" si="27"/>
        <v>0</v>
      </c>
      <c r="AD260" s="17" t="b">
        <f t="shared" si="28"/>
        <v>0</v>
      </c>
      <c r="AE260" s="17" t="b">
        <f t="shared" si="29"/>
        <v>0</v>
      </c>
    </row>
    <row r="261" spans="1:31" x14ac:dyDescent="0.2">
      <c r="A261" s="16">
        <v>5000493533</v>
      </c>
      <c r="B261" t="s">
        <v>0</v>
      </c>
      <c r="C261" t="s">
        <v>0</v>
      </c>
      <c r="D261" t="s">
        <v>1</v>
      </c>
      <c r="E261" t="s">
        <v>853</v>
      </c>
      <c r="F261" t="s">
        <v>854</v>
      </c>
      <c r="G261" s="2">
        <v>7</v>
      </c>
      <c r="H261" t="s">
        <v>461</v>
      </c>
      <c r="I261" t="s">
        <v>3</v>
      </c>
      <c r="J261" t="s">
        <v>19</v>
      </c>
      <c r="K261" t="s">
        <v>605</v>
      </c>
      <c r="L261" t="s">
        <v>608</v>
      </c>
      <c r="M261" t="s">
        <v>773</v>
      </c>
      <c r="N261" t="s">
        <v>602</v>
      </c>
      <c r="O261" t="s">
        <v>603</v>
      </c>
      <c r="P261" t="s">
        <v>602</v>
      </c>
      <c r="Q261" s="17">
        <f>IFERROR(VLOOKUP(A261,已除帳印單!B:C,1,0),0)*1</f>
        <v>0</v>
      </c>
      <c r="R261" s="67" t="str">
        <f>IFERROR(VLOOKUP(J261,線別!A:B,2,1),"")</f>
        <v>FM_IA預組</v>
      </c>
      <c r="S261" s="17" t="str">
        <f>IFERROR(VLOOKUP(A261,已除帳印單!B:C,2,0),"")</f>
        <v/>
      </c>
      <c r="T261" s="68">
        <f t="shared" si="24"/>
        <v>43892</v>
      </c>
      <c r="U261" s="69">
        <f t="shared" si="25"/>
        <v>84.168773148148148</v>
      </c>
      <c r="V261" s="68" t="str">
        <f>IFERROR(VLOOKUP(A261,已除帳印單!B:D,3,0),"")</f>
        <v/>
      </c>
      <c r="W261" s="69" t="str">
        <f>IFERROR(VLOOKUP(A261,已除帳印單!B:E,4,0),"")</f>
        <v/>
      </c>
      <c r="X261" s="68" t="str">
        <f>IFERROR(INDEX(刷條碼區!A:C,MATCH(點上線資訊!S261,刷條碼區!C:C,0),1),"")</f>
        <v/>
      </c>
      <c r="Y261" s="69" t="str">
        <f>IFERROR(INDEX(刷條碼區!A:C,MATCH(點上線資訊!S261,刷條碼區!C:C,0),2),"")</f>
        <v/>
      </c>
      <c r="Z261" s="70" t="str">
        <f>IFERROR(INDEX(刷條碼區!D:G,MATCH(點上線資訊!S261,刷條碼區!F:F,0),1),"")</f>
        <v/>
      </c>
      <c r="AA261" s="71" t="str">
        <f>IFERROR(INDEX(刷條碼區!D:G,MATCH(點上線資訊!S261,刷條碼區!F:F,0),2),"")</f>
        <v/>
      </c>
      <c r="AB261" s="20" t="b">
        <f t="shared" si="26"/>
        <v>0</v>
      </c>
      <c r="AC261" s="20" t="b">
        <f t="shared" si="27"/>
        <v>0</v>
      </c>
      <c r="AD261" s="17" t="b">
        <f t="shared" si="28"/>
        <v>0</v>
      </c>
      <c r="AE261" s="17" t="b">
        <f t="shared" si="29"/>
        <v>0</v>
      </c>
    </row>
    <row r="262" spans="1:31" x14ac:dyDescent="0.2">
      <c r="A262" s="16">
        <v>5000493538</v>
      </c>
      <c r="B262" t="s">
        <v>0</v>
      </c>
      <c r="C262" t="s">
        <v>0</v>
      </c>
      <c r="D262" t="s">
        <v>1</v>
      </c>
      <c r="E262" t="s">
        <v>855</v>
      </c>
      <c r="F262" t="s">
        <v>856</v>
      </c>
      <c r="G262" s="2">
        <v>20</v>
      </c>
      <c r="H262" t="s">
        <v>461</v>
      </c>
      <c r="I262" t="s">
        <v>3</v>
      </c>
      <c r="J262" t="s">
        <v>8</v>
      </c>
      <c r="K262" t="s">
        <v>605</v>
      </c>
      <c r="L262" t="s">
        <v>608</v>
      </c>
      <c r="M262" t="s">
        <v>857</v>
      </c>
      <c r="N262" t="s">
        <v>602</v>
      </c>
      <c r="O262" t="s">
        <v>603</v>
      </c>
      <c r="P262" t="s">
        <v>602</v>
      </c>
      <c r="Q262" s="17">
        <f>IFERROR(VLOOKUP(A262,已除帳印單!B:C,1,0),0)*1</f>
        <v>0</v>
      </c>
      <c r="R262" s="67" t="str">
        <f>IFERROR(VLOOKUP(J262,線別!A:B,2,1),"")</f>
        <v>裝一線</v>
      </c>
      <c r="S262" s="17" t="str">
        <f>IFERROR(VLOOKUP(A262,已除帳印單!B:C,2,0),"")</f>
        <v/>
      </c>
      <c r="T262" s="68">
        <f t="shared" si="24"/>
        <v>43892</v>
      </c>
      <c r="U262" s="69">
        <f t="shared" si="25"/>
        <v>84.168773148148148</v>
      </c>
      <c r="V262" s="68" t="str">
        <f>IFERROR(VLOOKUP(A262,已除帳印單!B:D,3,0),"")</f>
        <v/>
      </c>
      <c r="W262" s="69" t="str">
        <f>IFERROR(VLOOKUP(A262,已除帳印單!B:E,4,0),"")</f>
        <v/>
      </c>
      <c r="X262" s="68" t="str">
        <f>IFERROR(INDEX(刷條碼區!A:C,MATCH(點上線資訊!S262,刷條碼區!C:C,0),1),"")</f>
        <v/>
      </c>
      <c r="Y262" s="69" t="str">
        <f>IFERROR(INDEX(刷條碼區!A:C,MATCH(點上線資訊!S262,刷條碼區!C:C,0),2),"")</f>
        <v/>
      </c>
      <c r="Z262" s="70" t="str">
        <f>IFERROR(INDEX(刷條碼區!D:G,MATCH(點上線資訊!S262,刷條碼區!F:F,0),1),"")</f>
        <v/>
      </c>
      <c r="AA262" s="71" t="str">
        <f>IFERROR(INDEX(刷條碼區!D:G,MATCH(點上線資訊!S262,刷條碼區!F:F,0),2),"")</f>
        <v/>
      </c>
      <c r="AB262" s="20" t="b">
        <f t="shared" si="26"/>
        <v>0</v>
      </c>
      <c r="AC262" s="20" t="b">
        <f t="shared" si="27"/>
        <v>0</v>
      </c>
      <c r="AD262" s="17" t="b">
        <f t="shared" si="28"/>
        <v>0</v>
      </c>
      <c r="AE262" s="17" t="b">
        <f t="shared" si="29"/>
        <v>0</v>
      </c>
    </row>
    <row r="263" spans="1:31" x14ac:dyDescent="0.2">
      <c r="A263" s="16">
        <v>5000493539</v>
      </c>
      <c r="B263" t="s">
        <v>0</v>
      </c>
      <c r="C263" t="s">
        <v>0</v>
      </c>
      <c r="D263" t="s">
        <v>1</v>
      </c>
      <c r="E263" t="s">
        <v>15</v>
      </c>
      <c r="F263" t="s">
        <v>16</v>
      </c>
      <c r="G263" s="2">
        <v>20</v>
      </c>
      <c r="H263" t="s">
        <v>461</v>
      </c>
      <c r="I263" t="s">
        <v>3</v>
      </c>
      <c r="J263" t="s">
        <v>4</v>
      </c>
      <c r="K263" t="s">
        <v>602</v>
      </c>
      <c r="L263" t="s">
        <v>603</v>
      </c>
      <c r="M263" t="s">
        <v>602</v>
      </c>
      <c r="N263" t="s">
        <v>602</v>
      </c>
      <c r="O263" t="s">
        <v>603</v>
      </c>
      <c r="P263" t="s">
        <v>602</v>
      </c>
      <c r="Q263" s="17">
        <f>IFERROR(VLOOKUP(A263,已除帳印單!B:C,1,0),0)*1</f>
        <v>0</v>
      </c>
      <c r="R263" s="67" t="str">
        <f>IFERROR(VLOOKUP(J263,線別!A:B,2,1),"")</f>
        <v>IA線</v>
      </c>
      <c r="S263" s="17" t="str">
        <f>IFERROR(VLOOKUP(A263,已除帳印單!B:C,2,0),"")</f>
        <v/>
      </c>
      <c r="T263" s="68">
        <f t="shared" si="24"/>
        <v>43892</v>
      </c>
      <c r="U263" s="69">
        <f t="shared" si="25"/>
        <v>84.168773148148148</v>
      </c>
      <c r="V263" s="68" t="str">
        <f>IFERROR(VLOOKUP(A263,已除帳印單!B:D,3,0),"")</f>
        <v/>
      </c>
      <c r="W263" s="69" t="str">
        <f>IFERROR(VLOOKUP(A263,已除帳印單!B:E,4,0),"")</f>
        <v/>
      </c>
      <c r="X263" s="68" t="str">
        <f>IFERROR(INDEX(刷條碼區!A:C,MATCH(點上線資訊!S263,刷條碼區!C:C,0),1),"")</f>
        <v/>
      </c>
      <c r="Y263" s="69" t="str">
        <f>IFERROR(INDEX(刷條碼區!A:C,MATCH(點上線資訊!S263,刷條碼區!C:C,0),2),"")</f>
        <v/>
      </c>
      <c r="Z263" s="70" t="str">
        <f>IFERROR(INDEX(刷條碼區!D:G,MATCH(點上線資訊!S263,刷條碼區!F:F,0),1),"")</f>
        <v/>
      </c>
      <c r="AA263" s="71" t="str">
        <f>IFERROR(INDEX(刷條碼區!D:G,MATCH(點上線資訊!S263,刷條碼區!F:F,0),2),"")</f>
        <v/>
      </c>
      <c r="AB263" s="20">
        <f t="shared" si="26"/>
        <v>20</v>
      </c>
      <c r="AC263" s="20" t="b">
        <f t="shared" si="27"/>
        <v>0</v>
      </c>
      <c r="AD263" s="17" t="b">
        <f t="shared" si="28"/>
        <v>0</v>
      </c>
      <c r="AE263" s="17" t="b">
        <f t="shared" si="29"/>
        <v>0</v>
      </c>
    </row>
    <row r="264" spans="1:31" x14ac:dyDescent="0.2">
      <c r="A264" s="16">
        <v>5000493540</v>
      </c>
      <c r="B264" t="s">
        <v>6</v>
      </c>
      <c r="C264" t="s">
        <v>6</v>
      </c>
      <c r="D264" t="s">
        <v>1</v>
      </c>
      <c r="E264" t="s">
        <v>847</v>
      </c>
      <c r="F264" t="s">
        <v>842</v>
      </c>
      <c r="G264" s="2">
        <v>1</v>
      </c>
      <c r="H264" t="s">
        <v>461</v>
      </c>
      <c r="I264" t="s">
        <v>3</v>
      </c>
      <c r="J264" t="s">
        <v>136</v>
      </c>
      <c r="K264" t="s">
        <v>605</v>
      </c>
      <c r="L264" t="s">
        <v>608</v>
      </c>
      <c r="M264" t="s">
        <v>413</v>
      </c>
      <c r="N264" t="s">
        <v>602</v>
      </c>
      <c r="O264" t="s">
        <v>603</v>
      </c>
      <c r="P264" t="s">
        <v>602</v>
      </c>
      <c r="Q264" s="17">
        <f>IFERROR(VLOOKUP(A264,已除帳印單!B:C,1,0),0)*1</f>
        <v>0</v>
      </c>
      <c r="R264" s="67" t="str">
        <f>IFERROR(VLOOKUP(J264,線別!A:B,2,1),"")</f>
        <v>SCB線</v>
      </c>
      <c r="S264" s="17" t="str">
        <f>IFERROR(VLOOKUP(A264,已除帳印單!B:C,2,0),"")</f>
        <v/>
      </c>
      <c r="T264" s="68">
        <f t="shared" si="24"/>
        <v>43893</v>
      </c>
      <c r="U264" s="69">
        <f t="shared" si="25"/>
        <v>84.168784722222213</v>
      </c>
      <c r="V264" s="68" t="str">
        <f>IFERROR(VLOOKUP(A264,已除帳印單!B:D,3,0),"")</f>
        <v/>
      </c>
      <c r="W264" s="69" t="str">
        <f>IFERROR(VLOOKUP(A264,已除帳印單!B:E,4,0),"")</f>
        <v/>
      </c>
      <c r="X264" s="68" t="str">
        <f>IFERROR(INDEX(刷條碼區!A:C,MATCH(點上線資訊!S264,刷條碼區!C:C,0),1),"")</f>
        <v/>
      </c>
      <c r="Y264" s="69" t="str">
        <f>IFERROR(INDEX(刷條碼區!A:C,MATCH(點上線資訊!S264,刷條碼區!C:C,0),2),"")</f>
        <v/>
      </c>
      <c r="Z264" s="70" t="str">
        <f>IFERROR(INDEX(刷條碼區!D:G,MATCH(點上線資訊!S264,刷條碼區!F:F,0),1),"")</f>
        <v/>
      </c>
      <c r="AA264" s="71" t="str">
        <f>IFERROR(INDEX(刷條碼區!D:G,MATCH(點上線資訊!S264,刷條碼區!F:F,0),2),"")</f>
        <v/>
      </c>
      <c r="AB264" s="20" t="b">
        <f t="shared" si="26"/>
        <v>0</v>
      </c>
      <c r="AC264" s="20" t="b">
        <f t="shared" si="27"/>
        <v>0</v>
      </c>
      <c r="AD264" s="17" t="b">
        <f t="shared" si="28"/>
        <v>0</v>
      </c>
      <c r="AE264" s="17" t="b">
        <f t="shared" si="29"/>
        <v>0</v>
      </c>
    </row>
    <row r="265" spans="1:31" x14ac:dyDescent="0.2">
      <c r="A265" s="16">
        <v>5000493541</v>
      </c>
      <c r="B265" t="s">
        <v>0</v>
      </c>
      <c r="C265" t="s">
        <v>0</v>
      </c>
      <c r="D265" t="s">
        <v>1</v>
      </c>
      <c r="E265" t="s">
        <v>858</v>
      </c>
      <c r="F265" t="s">
        <v>859</v>
      </c>
      <c r="G265" s="2">
        <v>5</v>
      </c>
      <c r="H265" t="s">
        <v>461</v>
      </c>
      <c r="I265" t="s">
        <v>3</v>
      </c>
      <c r="J265" t="s">
        <v>5</v>
      </c>
      <c r="K265" t="s">
        <v>605</v>
      </c>
      <c r="L265" t="s">
        <v>608</v>
      </c>
      <c r="M265" t="s">
        <v>860</v>
      </c>
      <c r="N265" t="s">
        <v>602</v>
      </c>
      <c r="O265" t="s">
        <v>603</v>
      </c>
      <c r="P265" t="s">
        <v>602</v>
      </c>
      <c r="Q265" s="17">
        <f>IFERROR(VLOOKUP(A265,已除帳印單!B:C,1,0),0)*1</f>
        <v>0</v>
      </c>
      <c r="R265" s="67" t="str">
        <f>IFERROR(VLOOKUP(J265,線別!A:B,2,1),"")</f>
        <v>FM線</v>
      </c>
      <c r="S265" s="17" t="str">
        <f>IFERROR(VLOOKUP(A265,已除帳印單!B:C,2,0),"")</f>
        <v/>
      </c>
      <c r="T265" s="68">
        <f t="shared" si="24"/>
        <v>43892</v>
      </c>
      <c r="U265" s="69">
        <f t="shared" si="25"/>
        <v>84.168773148148148</v>
      </c>
      <c r="V265" s="68" t="str">
        <f>IFERROR(VLOOKUP(A265,已除帳印單!B:D,3,0),"")</f>
        <v/>
      </c>
      <c r="W265" s="69" t="str">
        <f>IFERROR(VLOOKUP(A265,已除帳印單!B:E,4,0),"")</f>
        <v/>
      </c>
      <c r="X265" s="68" t="str">
        <f>IFERROR(INDEX(刷條碼區!A:C,MATCH(點上線資訊!S265,刷條碼區!C:C,0),1),"")</f>
        <v/>
      </c>
      <c r="Y265" s="69" t="str">
        <f>IFERROR(INDEX(刷條碼區!A:C,MATCH(點上線資訊!S265,刷條碼區!C:C,0),2),"")</f>
        <v/>
      </c>
      <c r="Z265" s="70" t="str">
        <f>IFERROR(INDEX(刷條碼區!D:G,MATCH(點上線資訊!S265,刷條碼區!F:F,0),1),"")</f>
        <v/>
      </c>
      <c r="AA265" s="71" t="str">
        <f>IFERROR(INDEX(刷條碼區!D:G,MATCH(點上線資訊!S265,刷條碼區!F:F,0),2),"")</f>
        <v/>
      </c>
      <c r="AB265" s="20" t="b">
        <f t="shared" si="26"/>
        <v>0</v>
      </c>
      <c r="AC265" s="20" t="b">
        <f t="shared" si="27"/>
        <v>0</v>
      </c>
      <c r="AD265" s="17" t="b">
        <f t="shared" si="28"/>
        <v>0</v>
      </c>
      <c r="AE265" s="17" t="b">
        <f t="shared" si="29"/>
        <v>0</v>
      </c>
    </row>
    <row r="266" spans="1:31" x14ac:dyDescent="0.2">
      <c r="A266" s="16">
        <v>5000493542</v>
      </c>
      <c r="B266" t="s">
        <v>0</v>
      </c>
      <c r="C266" t="s">
        <v>0</v>
      </c>
      <c r="D266" t="s">
        <v>1</v>
      </c>
      <c r="E266" t="s">
        <v>861</v>
      </c>
      <c r="F266" t="s">
        <v>862</v>
      </c>
      <c r="G266" s="2">
        <v>5</v>
      </c>
      <c r="H266" t="s">
        <v>461</v>
      </c>
      <c r="I266" t="s">
        <v>3</v>
      </c>
      <c r="J266" t="s">
        <v>5</v>
      </c>
      <c r="K266" t="s">
        <v>605</v>
      </c>
      <c r="L266" t="s">
        <v>608</v>
      </c>
      <c r="M266" t="s">
        <v>860</v>
      </c>
      <c r="N266" t="s">
        <v>602</v>
      </c>
      <c r="O266" t="s">
        <v>603</v>
      </c>
      <c r="P266" t="s">
        <v>602</v>
      </c>
      <c r="Q266" s="17">
        <f>IFERROR(VLOOKUP(A266,已除帳印單!B:C,1,0),0)*1</f>
        <v>0</v>
      </c>
      <c r="R266" s="67" t="str">
        <f>IFERROR(VLOOKUP(J266,線別!A:B,2,1),"")</f>
        <v>FM線</v>
      </c>
      <c r="S266" s="17" t="str">
        <f>IFERROR(VLOOKUP(A266,已除帳印單!B:C,2,0),"")</f>
        <v/>
      </c>
      <c r="T266" s="68">
        <f t="shared" ref="T266:T329" si="30">--TEXT(B266,"0000-00-00")</f>
        <v>43892</v>
      </c>
      <c r="U266" s="69">
        <f t="shared" ref="U266:U329" si="31">--TEXT(C266,"00\:00\:00")</f>
        <v>84.168773148148148</v>
      </c>
      <c r="V266" s="68" t="str">
        <f>IFERROR(VLOOKUP(A266,已除帳印單!B:D,3,0),"")</f>
        <v/>
      </c>
      <c r="W266" s="69" t="str">
        <f>IFERROR(VLOOKUP(A266,已除帳印單!B:E,4,0),"")</f>
        <v/>
      </c>
      <c r="X266" s="68" t="str">
        <f>IFERROR(INDEX(刷條碼區!A:C,MATCH(點上線資訊!S266,刷條碼區!C:C,0),1),"")</f>
        <v/>
      </c>
      <c r="Y266" s="69" t="str">
        <f>IFERROR(INDEX(刷條碼區!A:C,MATCH(點上線資訊!S266,刷條碼區!C:C,0),2),"")</f>
        <v/>
      </c>
      <c r="Z266" s="70" t="str">
        <f>IFERROR(INDEX(刷條碼區!D:G,MATCH(點上線資訊!S266,刷條碼區!F:F,0),1),"")</f>
        <v/>
      </c>
      <c r="AA266" s="71" t="str">
        <f>IFERROR(INDEX(刷條碼區!D:G,MATCH(點上線資訊!S266,刷條碼區!F:F,0),2),"")</f>
        <v/>
      </c>
      <c r="AB266" s="20" t="b">
        <f t="shared" si="26"/>
        <v>0</v>
      </c>
      <c r="AC266" s="20" t="b">
        <f t="shared" si="27"/>
        <v>0</v>
      </c>
      <c r="AD266" s="17" t="b">
        <f t="shared" si="28"/>
        <v>0</v>
      </c>
      <c r="AE266" s="17" t="b">
        <f t="shared" si="29"/>
        <v>0</v>
      </c>
    </row>
    <row r="267" spans="1:31" x14ac:dyDescent="0.2">
      <c r="A267" s="16">
        <v>5000493582</v>
      </c>
      <c r="B267" t="s">
        <v>301</v>
      </c>
      <c r="C267" t="s">
        <v>301</v>
      </c>
      <c r="D267" t="s">
        <v>1</v>
      </c>
      <c r="E267" t="s">
        <v>863</v>
      </c>
      <c r="F267" t="s">
        <v>864</v>
      </c>
      <c r="G267" s="2">
        <v>3</v>
      </c>
      <c r="H267" t="s">
        <v>461</v>
      </c>
      <c r="I267" t="s">
        <v>3</v>
      </c>
      <c r="J267" t="s">
        <v>339</v>
      </c>
      <c r="K267" t="s">
        <v>605</v>
      </c>
      <c r="L267" t="s">
        <v>608</v>
      </c>
      <c r="M267" t="s">
        <v>399</v>
      </c>
      <c r="N267" t="s">
        <v>602</v>
      </c>
      <c r="O267" t="s">
        <v>603</v>
      </c>
      <c r="P267" t="s">
        <v>602</v>
      </c>
      <c r="Q267" s="17">
        <f>IFERROR(VLOOKUP(A267,已除帳印單!B:C,1,0),0)*1</f>
        <v>0</v>
      </c>
      <c r="R267" s="67" t="str">
        <f>IFERROR(VLOOKUP(J267,線別!A:B,2,1),"")</f>
        <v>A+線</v>
      </c>
      <c r="S267" s="17" t="str">
        <f>IFERROR(VLOOKUP(A267,已除帳印單!B:C,2,0),"")</f>
        <v/>
      </c>
      <c r="T267" s="68">
        <f t="shared" si="30"/>
        <v>43894</v>
      </c>
      <c r="U267" s="69">
        <f t="shared" si="31"/>
        <v>84.168796296296293</v>
      </c>
      <c r="V267" s="68" t="str">
        <f>IFERROR(VLOOKUP(A267,已除帳印單!B:D,3,0),"")</f>
        <v/>
      </c>
      <c r="W267" s="69" t="str">
        <f>IFERROR(VLOOKUP(A267,已除帳印單!B:E,4,0),"")</f>
        <v/>
      </c>
      <c r="X267" s="68" t="str">
        <f>IFERROR(INDEX(刷條碼區!A:C,MATCH(點上線資訊!S267,刷條碼區!C:C,0),1),"")</f>
        <v/>
      </c>
      <c r="Y267" s="69" t="str">
        <f>IFERROR(INDEX(刷條碼區!A:C,MATCH(點上線資訊!S267,刷條碼區!C:C,0),2),"")</f>
        <v/>
      </c>
      <c r="Z267" s="70" t="str">
        <f>IFERROR(INDEX(刷條碼區!D:G,MATCH(點上線資訊!S267,刷條碼區!F:F,0),1),"")</f>
        <v/>
      </c>
      <c r="AA267" s="71" t="str">
        <f>IFERROR(INDEX(刷條碼區!D:G,MATCH(點上線資訊!S267,刷條碼區!F:F,0),2),"")</f>
        <v/>
      </c>
      <c r="AB267" s="20" t="b">
        <f t="shared" si="26"/>
        <v>0</v>
      </c>
      <c r="AC267" s="20" t="b">
        <f t="shared" si="27"/>
        <v>0</v>
      </c>
      <c r="AD267" s="17" t="b">
        <f t="shared" si="28"/>
        <v>0</v>
      </c>
      <c r="AE267" s="17" t="b">
        <f t="shared" si="29"/>
        <v>0</v>
      </c>
    </row>
    <row r="268" spans="1:31" x14ac:dyDescent="0.2">
      <c r="A268" s="16">
        <v>5000493583</v>
      </c>
      <c r="B268" t="s">
        <v>301</v>
      </c>
      <c r="C268" t="s">
        <v>301</v>
      </c>
      <c r="D268" t="s">
        <v>1</v>
      </c>
      <c r="E268" t="s">
        <v>865</v>
      </c>
      <c r="F268" t="s">
        <v>866</v>
      </c>
      <c r="G268" s="2">
        <v>2</v>
      </c>
      <c r="H268" t="s">
        <v>461</v>
      </c>
      <c r="I268" t="s">
        <v>3</v>
      </c>
      <c r="J268" t="s">
        <v>339</v>
      </c>
      <c r="K268" t="s">
        <v>605</v>
      </c>
      <c r="L268" t="s">
        <v>608</v>
      </c>
      <c r="M268" t="s">
        <v>399</v>
      </c>
      <c r="N268" t="s">
        <v>602</v>
      </c>
      <c r="O268" t="s">
        <v>603</v>
      </c>
      <c r="P268" t="s">
        <v>602</v>
      </c>
      <c r="Q268" s="17">
        <f>IFERROR(VLOOKUP(A268,已除帳印單!B:C,1,0),0)*1</f>
        <v>0</v>
      </c>
      <c r="R268" s="67" t="str">
        <f>IFERROR(VLOOKUP(J268,線別!A:B,2,1),"")</f>
        <v>A+線</v>
      </c>
      <c r="S268" s="17" t="str">
        <f>IFERROR(VLOOKUP(A268,已除帳印單!B:C,2,0),"")</f>
        <v/>
      </c>
      <c r="T268" s="68">
        <f t="shared" si="30"/>
        <v>43894</v>
      </c>
      <c r="U268" s="69">
        <f t="shared" si="31"/>
        <v>84.168796296296293</v>
      </c>
      <c r="V268" s="68" t="str">
        <f>IFERROR(VLOOKUP(A268,已除帳印單!B:D,3,0),"")</f>
        <v/>
      </c>
      <c r="W268" s="69" t="str">
        <f>IFERROR(VLOOKUP(A268,已除帳印單!B:E,4,0),"")</f>
        <v/>
      </c>
      <c r="X268" s="68" t="str">
        <f>IFERROR(INDEX(刷條碼區!A:C,MATCH(點上線資訊!S268,刷條碼區!C:C,0),1),"")</f>
        <v/>
      </c>
      <c r="Y268" s="69" t="str">
        <f>IFERROR(INDEX(刷條碼區!A:C,MATCH(點上線資訊!S268,刷條碼區!C:C,0),2),"")</f>
        <v/>
      </c>
      <c r="Z268" s="70" t="str">
        <f>IFERROR(INDEX(刷條碼區!D:G,MATCH(點上線資訊!S268,刷條碼區!F:F,0),1),"")</f>
        <v/>
      </c>
      <c r="AA268" s="71" t="str">
        <f>IFERROR(INDEX(刷條碼區!D:G,MATCH(點上線資訊!S268,刷條碼區!F:F,0),2),"")</f>
        <v/>
      </c>
      <c r="AB268" s="20" t="b">
        <f t="shared" si="26"/>
        <v>0</v>
      </c>
      <c r="AC268" s="20" t="b">
        <f t="shared" si="27"/>
        <v>0</v>
      </c>
      <c r="AD268" s="17" t="b">
        <f t="shared" si="28"/>
        <v>0</v>
      </c>
      <c r="AE268" s="17" t="b">
        <f t="shared" si="29"/>
        <v>0</v>
      </c>
    </row>
    <row r="269" spans="1:31" x14ac:dyDescent="0.2">
      <c r="A269" s="16">
        <v>5000493584</v>
      </c>
      <c r="B269" t="s">
        <v>301</v>
      </c>
      <c r="C269" t="s">
        <v>301</v>
      </c>
      <c r="D269" t="s">
        <v>1</v>
      </c>
      <c r="E269" t="s">
        <v>867</v>
      </c>
      <c r="F269" t="s">
        <v>868</v>
      </c>
      <c r="G269" s="2">
        <v>3</v>
      </c>
      <c r="H269" t="s">
        <v>461</v>
      </c>
      <c r="I269" t="s">
        <v>3</v>
      </c>
      <c r="J269" t="s">
        <v>339</v>
      </c>
      <c r="K269" t="s">
        <v>605</v>
      </c>
      <c r="L269" t="s">
        <v>608</v>
      </c>
      <c r="M269" t="s">
        <v>399</v>
      </c>
      <c r="N269" t="s">
        <v>602</v>
      </c>
      <c r="O269" t="s">
        <v>603</v>
      </c>
      <c r="P269" t="s">
        <v>602</v>
      </c>
      <c r="Q269" s="17">
        <f>IFERROR(VLOOKUP(A269,已除帳印單!B:C,1,0),0)*1</f>
        <v>0</v>
      </c>
      <c r="R269" s="67" t="str">
        <f>IFERROR(VLOOKUP(J269,線別!A:B,2,1),"")</f>
        <v>A+線</v>
      </c>
      <c r="S269" s="17" t="str">
        <f>IFERROR(VLOOKUP(A269,已除帳印單!B:C,2,0),"")</f>
        <v/>
      </c>
      <c r="T269" s="68">
        <f t="shared" si="30"/>
        <v>43894</v>
      </c>
      <c r="U269" s="69">
        <f t="shared" si="31"/>
        <v>84.168796296296293</v>
      </c>
      <c r="V269" s="68" t="str">
        <f>IFERROR(VLOOKUP(A269,已除帳印單!B:D,3,0),"")</f>
        <v/>
      </c>
      <c r="W269" s="69" t="str">
        <f>IFERROR(VLOOKUP(A269,已除帳印單!B:E,4,0),"")</f>
        <v/>
      </c>
      <c r="X269" s="68" t="str">
        <f>IFERROR(INDEX(刷條碼區!A:C,MATCH(點上線資訊!S269,刷條碼區!C:C,0),1),"")</f>
        <v/>
      </c>
      <c r="Y269" s="69" t="str">
        <f>IFERROR(INDEX(刷條碼區!A:C,MATCH(點上線資訊!S269,刷條碼區!C:C,0),2),"")</f>
        <v/>
      </c>
      <c r="Z269" s="70" t="str">
        <f>IFERROR(INDEX(刷條碼區!D:G,MATCH(點上線資訊!S269,刷條碼區!F:F,0),1),"")</f>
        <v/>
      </c>
      <c r="AA269" s="71" t="str">
        <f>IFERROR(INDEX(刷條碼區!D:G,MATCH(點上線資訊!S269,刷條碼區!F:F,0),2),"")</f>
        <v/>
      </c>
      <c r="AB269" s="20" t="b">
        <f t="shared" si="26"/>
        <v>0</v>
      </c>
      <c r="AC269" s="20" t="b">
        <f t="shared" si="27"/>
        <v>0</v>
      </c>
      <c r="AD269" s="17" t="b">
        <f t="shared" si="28"/>
        <v>0</v>
      </c>
      <c r="AE269" s="17" t="b">
        <f t="shared" si="29"/>
        <v>0</v>
      </c>
    </row>
    <row r="270" spans="1:31" x14ac:dyDescent="0.2">
      <c r="A270" s="16">
        <v>5000493585</v>
      </c>
      <c r="B270" t="s">
        <v>301</v>
      </c>
      <c r="C270" t="s">
        <v>301</v>
      </c>
      <c r="D270" t="s">
        <v>1</v>
      </c>
      <c r="E270" t="s">
        <v>869</v>
      </c>
      <c r="F270" t="s">
        <v>870</v>
      </c>
      <c r="G270" s="2">
        <v>4</v>
      </c>
      <c r="H270" t="s">
        <v>461</v>
      </c>
      <c r="I270" t="s">
        <v>3</v>
      </c>
      <c r="J270" t="s">
        <v>339</v>
      </c>
      <c r="K270" t="s">
        <v>605</v>
      </c>
      <c r="L270" t="s">
        <v>608</v>
      </c>
      <c r="M270" t="s">
        <v>399</v>
      </c>
      <c r="N270" t="s">
        <v>602</v>
      </c>
      <c r="O270" t="s">
        <v>603</v>
      </c>
      <c r="P270" t="s">
        <v>602</v>
      </c>
      <c r="Q270" s="17">
        <f>IFERROR(VLOOKUP(A270,已除帳印單!B:C,1,0),0)*1</f>
        <v>0</v>
      </c>
      <c r="R270" s="67" t="str">
        <f>IFERROR(VLOOKUP(J270,線別!A:B,2,1),"")</f>
        <v>A+線</v>
      </c>
      <c r="S270" s="17" t="str">
        <f>IFERROR(VLOOKUP(A270,已除帳印單!B:C,2,0),"")</f>
        <v/>
      </c>
      <c r="T270" s="68">
        <f t="shared" si="30"/>
        <v>43894</v>
      </c>
      <c r="U270" s="69">
        <f t="shared" si="31"/>
        <v>84.168796296296293</v>
      </c>
      <c r="V270" s="68" t="str">
        <f>IFERROR(VLOOKUP(A270,已除帳印單!B:D,3,0),"")</f>
        <v/>
      </c>
      <c r="W270" s="69" t="str">
        <f>IFERROR(VLOOKUP(A270,已除帳印單!B:E,4,0),"")</f>
        <v/>
      </c>
      <c r="X270" s="68" t="str">
        <f>IFERROR(INDEX(刷條碼區!A:C,MATCH(點上線資訊!S270,刷條碼區!C:C,0),1),"")</f>
        <v/>
      </c>
      <c r="Y270" s="69" t="str">
        <f>IFERROR(INDEX(刷條碼區!A:C,MATCH(點上線資訊!S270,刷條碼區!C:C,0),2),"")</f>
        <v/>
      </c>
      <c r="Z270" s="70" t="str">
        <f>IFERROR(INDEX(刷條碼區!D:G,MATCH(點上線資訊!S270,刷條碼區!F:F,0),1),"")</f>
        <v/>
      </c>
      <c r="AA270" s="71" t="str">
        <f>IFERROR(INDEX(刷條碼區!D:G,MATCH(點上線資訊!S270,刷條碼區!F:F,0),2),"")</f>
        <v/>
      </c>
      <c r="AB270" s="20" t="b">
        <f t="shared" si="26"/>
        <v>0</v>
      </c>
      <c r="AC270" s="20" t="b">
        <f t="shared" si="27"/>
        <v>0</v>
      </c>
      <c r="AD270" s="17" t="b">
        <f t="shared" si="28"/>
        <v>0</v>
      </c>
      <c r="AE270" s="17" t="b">
        <f t="shared" si="29"/>
        <v>0</v>
      </c>
    </row>
    <row r="271" spans="1:31" x14ac:dyDescent="0.2">
      <c r="A271" s="16">
        <v>5000493586</v>
      </c>
      <c r="B271" t="s">
        <v>301</v>
      </c>
      <c r="C271" t="s">
        <v>301</v>
      </c>
      <c r="D271" t="s">
        <v>1</v>
      </c>
      <c r="E271" t="s">
        <v>871</v>
      </c>
      <c r="F271" t="s">
        <v>872</v>
      </c>
      <c r="G271" s="2">
        <v>2</v>
      </c>
      <c r="H271" t="s">
        <v>461</v>
      </c>
      <c r="I271" t="s">
        <v>3</v>
      </c>
      <c r="J271" t="s">
        <v>339</v>
      </c>
      <c r="K271" t="s">
        <v>605</v>
      </c>
      <c r="L271" t="s">
        <v>608</v>
      </c>
      <c r="M271" t="s">
        <v>399</v>
      </c>
      <c r="N271" t="s">
        <v>602</v>
      </c>
      <c r="O271" t="s">
        <v>603</v>
      </c>
      <c r="P271" t="s">
        <v>602</v>
      </c>
      <c r="Q271" s="17">
        <f>IFERROR(VLOOKUP(A271,已除帳印單!B:C,1,0),0)*1</f>
        <v>0</v>
      </c>
      <c r="R271" s="67" t="str">
        <f>IFERROR(VLOOKUP(J271,線別!A:B,2,1),"")</f>
        <v>A+線</v>
      </c>
      <c r="S271" s="17" t="str">
        <f>IFERROR(VLOOKUP(A271,已除帳印單!B:C,2,0),"")</f>
        <v/>
      </c>
      <c r="T271" s="68">
        <f t="shared" si="30"/>
        <v>43894</v>
      </c>
      <c r="U271" s="69">
        <f t="shared" si="31"/>
        <v>84.168796296296293</v>
      </c>
      <c r="V271" s="68" t="str">
        <f>IFERROR(VLOOKUP(A271,已除帳印單!B:D,3,0),"")</f>
        <v/>
      </c>
      <c r="W271" s="69" t="str">
        <f>IFERROR(VLOOKUP(A271,已除帳印單!B:E,4,0),"")</f>
        <v/>
      </c>
      <c r="X271" s="68" t="str">
        <f>IFERROR(INDEX(刷條碼區!A:C,MATCH(點上線資訊!S271,刷條碼區!C:C,0),1),"")</f>
        <v/>
      </c>
      <c r="Y271" s="69" t="str">
        <f>IFERROR(INDEX(刷條碼區!A:C,MATCH(點上線資訊!S271,刷條碼區!C:C,0),2),"")</f>
        <v/>
      </c>
      <c r="Z271" s="70" t="str">
        <f>IFERROR(INDEX(刷條碼區!D:G,MATCH(點上線資訊!S271,刷條碼區!F:F,0),1),"")</f>
        <v/>
      </c>
      <c r="AA271" s="71" t="str">
        <f>IFERROR(INDEX(刷條碼區!D:G,MATCH(點上線資訊!S271,刷條碼區!F:F,0),2),"")</f>
        <v/>
      </c>
      <c r="AB271" s="20" t="b">
        <f t="shared" si="26"/>
        <v>0</v>
      </c>
      <c r="AC271" s="20" t="b">
        <f t="shared" si="27"/>
        <v>0</v>
      </c>
      <c r="AD271" s="17" t="b">
        <f t="shared" si="28"/>
        <v>0</v>
      </c>
      <c r="AE271" s="17" t="b">
        <f t="shared" si="29"/>
        <v>0</v>
      </c>
    </row>
    <row r="272" spans="1:31" x14ac:dyDescent="0.2">
      <c r="A272" s="16">
        <v>5000493587</v>
      </c>
      <c r="B272" t="s">
        <v>301</v>
      </c>
      <c r="C272" t="s">
        <v>301</v>
      </c>
      <c r="D272" t="s">
        <v>1</v>
      </c>
      <c r="E272" t="s">
        <v>873</v>
      </c>
      <c r="F272" t="s">
        <v>864</v>
      </c>
      <c r="G272" s="2">
        <v>2</v>
      </c>
      <c r="H272" t="s">
        <v>461</v>
      </c>
      <c r="I272" t="s">
        <v>3</v>
      </c>
      <c r="J272" t="s">
        <v>339</v>
      </c>
      <c r="K272" t="s">
        <v>605</v>
      </c>
      <c r="L272" t="s">
        <v>608</v>
      </c>
      <c r="M272" t="s">
        <v>399</v>
      </c>
      <c r="N272" t="s">
        <v>602</v>
      </c>
      <c r="O272" t="s">
        <v>603</v>
      </c>
      <c r="P272" t="s">
        <v>602</v>
      </c>
      <c r="Q272" s="17">
        <f>IFERROR(VLOOKUP(A272,已除帳印單!B:C,1,0),0)*1</f>
        <v>0</v>
      </c>
      <c r="R272" s="67" t="str">
        <f>IFERROR(VLOOKUP(J272,線別!A:B,2,1),"")</f>
        <v>A+線</v>
      </c>
      <c r="S272" s="17" t="str">
        <f>IFERROR(VLOOKUP(A272,已除帳印單!B:C,2,0),"")</f>
        <v/>
      </c>
      <c r="T272" s="68">
        <f t="shared" si="30"/>
        <v>43894</v>
      </c>
      <c r="U272" s="69">
        <f t="shared" si="31"/>
        <v>84.168796296296293</v>
      </c>
      <c r="V272" s="68" t="str">
        <f>IFERROR(VLOOKUP(A272,已除帳印單!B:D,3,0),"")</f>
        <v/>
      </c>
      <c r="W272" s="69" t="str">
        <f>IFERROR(VLOOKUP(A272,已除帳印單!B:E,4,0),"")</f>
        <v/>
      </c>
      <c r="X272" s="68" t="str">
        <f>IFERROR(INDEX(刷條碼區!A:C,MATCH(點上線資訊!S272,刷條碼區!C:C,0),1),"")</f>
        <v/>
      </c>
      <c r="Y272" s="69" t="str">
        <f>IFERROR(INDEX(刷條碼區!A:C,MATCH(點上線資訊!S272,刷條碼區!C:C,0),2),"")</f>
        <v/>
      </c>
      <c r="Z272" s="70" t="str">
        <f>IFERROR(INDEX(刷條碼區!D:G,MATCH(點上線資訊!S272,刷條碼區!F:F,0),1),"")</f>
        <v/>
      </c>
      <c r="AA272" s="71" t="str">
        <f>IFERROR(INDEX(刷條碼區!D:G,MATCH(點上線資訊!S272,刷條碼區!F:F,0),2),"")</f>
        <v/>
      </c>
      <c r="AB272" s="20" t="b">
        <f t="shared" si="26"/>
        <v>0</v>
      </c>
      <c r="AC272" s="20" t="b">
        <f t="shared" si="27"/>
        <v>0</v>
      </c>
      <c r="AD272" s="17" t="b">
        <f t="shared" si="28"/>
        <v>0</v>
      </c>
      <c r="AE272" s="17" t="b">
        <f t="shared" si="29"/>
        <v>0</v>
      </c>
    </row>
    <row r="273" spans="1:31" x14ac:dyDescent="0.2">
      <c r="A273" s="16">
        <v>5000493588</v>
      </c>
      <c r="B273" t="s">
        <v>301</v>
      </c>
      <c r="C273" t="s">
        <v>301</v>
      </c>
      <c r="D273" t="s">
        <v>1</v>
      </c>
      <c r="E273" t="s">
        <v>873</v>
      </c>
      <c r="F273" t="s">
        <v>864</v>
      </c>
      <c r="G273" s="2">
        <v>1</v>
      </c>
      <c r="H273" t="s">
        <v>461</v>
      </c>
      <c r="I273" t="s">
        <v>3</v>
      </c>
      <c r="J273" t="s">
        <v>339</v>
      </c>
      <c r="K273" t="s">
        <v>605</v>
      </c>
      <c r="L273" t="s">
        <v>608</v>
      </c>
      <c r="M273" t="s">
        <v>399</v>
      </c>
      <c r="N273" t="s">
        <v>602</v>
      </c>
      <c r="O273" t="s">
        <v>603</v>
      </c>
      <c r="P273" t="s">
        <v>602</v>
      </c>
      <c r="Q273" s="17">
        <f>IFERROR(VLOOKUP(A273,已除帳印單!B:C,1,0),0)*1</f>
        <v>0</v>
      </c>
      <c r="R273" s="67" t="str">
        <f>IFERROR(VLOOKUP(J273,線別!A:B,2,1),"")</f>
        <v>A+線</v>
      </c>
      <c r="S273" s="17" t="str">
        <f>IFERROR(VLOOKUP(A273,已除帳印單!B:C,2,0),"")</f>
        <v/>
      </c>
      <c r="T273" s="68">
        <f t="shared" si="30"/>
        <v>43894</v>
      </c>
      <c r="U273" s="69">
        <f t="shared" si="31"/>
        <v>84.168796296296293</v>
      </c>
      <c r="V273" s="68" t="str">
        <f>IFERROR(VLOOKUP(A273,已除帳印單!B:D,3,0),"")</f>
        <v/>
      </c>
      <c r="W273" s="69" t="str">
        <f>IFERROR(VLOOKUP(A273,已除帳印單!B:E,4,0),"")</f>
        <v/>
      </c>
      <c r="X273" s="68" t="str">
        <f>IFERROR(INDEX(刷條碼區!A:C,MATCH(點上線資訊!S273,刷條碼區!C:C,0),1),"")</f>
        <v/>
      </c>
      <c r="Y273" s="69" t="str">
        <f>IFERROR(INDEX(刷條碼區!A:C,MATCH(點上線資訊!S273,刷條碼區!C:C,0),2),"")</f>
        <v/>
      </c>
      <c r="Z273" s="70" t="str">
        <f>IFERROR(INDEX(刷條碼區!D:G,MATCH(點上線資訊!S273,刷條碼區!F:F,0),1),"")</f>
        <v/>
      </c>
      <c r="AA273" s="71" t="str">
        <f>IFERROR(INDEX(刷條碼區!D:G,MATCH(點上線資訊!S273,刷條碼區!F:F,0),2),"")</f>
        <v/>
      </c>
      <c r="AB273" s="20" t="b">
        <f t="shared" si="26"/>
        <v>0</v>
      </c>
      <c r="AC273" s="20" t="b">
        <f t="shared" si="27"/>
        <v>0</v>
      </c>
      <c r="AD273" s="17" t="b">
        <f t="shared" si="28"/>
        <v>0</v>
      </c>
      <c r="AE273" s="17" t="b">
        <f t="shared" si="29"/>
        <v>0</v>
      </c>
    </row>
    <row r="274" spans="1:31" x14ac:dyDescent="0.2">
      <c r="A274" s="16">
        <v>5000493621</v>
      </c>
      <c r="B274" t="s">
        <v>0</v>
      </c>
      <c r="C274" t="s">
        <v>0</v>
      </c>
      <c r="D274" t="s">
        <v>1</v>
      </c>
      <c r="E274" t="s">
        <v>874</v>
      </c>
      <c r="F274" t="s">
        <v>875</v>
      </c>
      <c r="G274" s="2">
        <v>20</v>
      </c>
      <c r="H274" t="s">
        <v>461</v>
      </c>
      <c r="I274" t="s">
        <v>3</v>
      </c>
      <c r="J274" t="s">
        <v>19</v>
      </c>
      <c r="K274" t="s">
        <v>605</v>
      </c>
      <c r="L274" t="s">
        <v>608</v>
      </c>
      <c r="M274" t="s">
        <v>672</v>
      </c>
      <c r="N274" t="s">
        <v>602</v>
      </c>
      <c r="O274" t="s">
        <v>603</v>
      </c>
      <c r="P274" t="s">
        <v>602</v>
      </c>
      <c r="Q274" s="17">
        <f>IFERROR(VLOOKUP(A274,已除帳印單!B:C,1,0),0)*1</f>
        <v>0</v>
      </c>
      <c r="R274" s="67" t="str">
        <f>IFERROR(VLOOKUP(J274,線別!A:B,2,1),"")</f>
        <v>FM_IA預組</v>
      </c>
      <c r="S274" s="17" t="str">
        <f>IFERROR(VLOOKUP(A274,已除帳印單!B:C,2,0),"")</f>
        <v/>
      </c>
      <c r="T274" s="68">
        <f t="shared" si="30"/>
        <v>43892</v>
      </c>
      <c r="U274" s="69">
        <f t="shared" si="31"/>
        <v>84.168773148148148</v>
      </c>
      <c r="V274" s="68" t="str">
        <f>IFERROR(VLOOKUP(A274,已除帳印單!B:D,3,0),"")</f>
        <v/>
      </c>
      <c r="W274" s="69" t="str">
        <f>IFERROR(VLOOKUP(A274,已除帳印單!B:E,4,0),"")</f>
        <v/>
      </c>
      <c r="X274" s="68" t="str">
        <f>IFERROR(INDEX(刷條碼區!A:C,MATCH(點上線資訊!S274,刷條碼區!C:C,0),1),"")</f>
        <v/>
      </c>
      <c r="Y274" s="69" t="str">
        <f>IFERROR(INDEX(刷條碼區!A:C,MATCH(點上線資訊!S274,刷條碼區!C:C,0),2),"")</f>
        <v/>
      </c>
      <c r="Z274" s="70" t="str">
        <f>IFERROR(INDEX(刷條碼區!D:G,MATCH(點上線資訊!S274,刷條碼區!F:F,0),1),"")</f>
        <v/>
      </c>
      <c r="AA274" s="71" t="str">
        <f>IFERROR(INDEX(刷條碼區!D:G,MATCH(點上線資訊!S274,刷條碼區!F:F,0),2),"")</f>
        <v/>
      </c>
      <c r="AB274" s="20" t="b">
        <f t="shared" si="26"/>
        <v>0</v>
      </c>
      <c r="AC274" s="20" t="b">
        <f t="shared" si="27"/>
        <v>0</v>
      </c>
      <c r="AD274" s="17" t="b">
        <f t="shared" si="28"/>
        <v>0</v>
      </c>
      <c r="AE274" s="17" t="b">
        <f t="shared" si="29"/>
        <v>0</v>
      </c>
    </row>
    <row r="275" spans="1:31" x14ac:dyDescent="0.2">
      <c r="A275" s="16">
        <v>5000493628</v>
      </c>
      <c r="B275" t="s">
        <v>0</v>
      </c>
      <c r="C275" t="s">
        <v>0</v>
      </c>
      <c r="D275" t="s">
        <v>1</v>
      </c>
      <c r="E275" t="s">
        <v>876</v>
      </c>
      <c r="F275" t="s">
        <v>877</v>
      </c>
      <c r="G275" s="2">
        <v>6</v>
      </c>
      <c r="H275" t="s">
        <v>461</v>
      </c>
      <c r="I275" t="s">
        <v>3</v>
      </c>
      <c r="J275" t="s">
        <v>19</v>
      </c>
      <c r="K275" t="s">
        <v>605</v>
      </c>
      <c r="L275" t="s">
        <v>608</v>
      </c>
      <c r="M275" t="s">
        <v>878</v>
      </c>
      <c r="N275" t="s">
        <v>602</v>
      </c>
      <c r="O275" t="s">
        <v>603</v>
      </c>
      <c r="P275" t="s">
        <v>602</v>
      </c>
      <c r="Q275" s="17">
        <f>IFERROR(VLOOKUP(A275,已除帳印單!B:C,1,0),0)*1</f>
        <v>0</v>
      </c>
      <c r="R275" s="67" t="str">
        <f>IFERROR(VLOOKUP(J275,線別!A:B,2,1),"")</f>
        <v>FM_IA預組</v>
      </c>
      <c r="S275" s="17" t="str">
        <f>IFERROR(VLOOKUP(A275,已除帳印單!B:C,2,0),"")</f>
        <v/>
      </c>
      <c r="T275" s="68">
        <f t="shared" si="30"/>
        <v>43892</v>
      </c>
      <c r="U275" s="69">
        <f t="shared" si="31"/>
        <v>84.168773148148148</v>
      </c>
      <c r="V275" s="68" t="str">
        <f>IFERROR(VLOOKUP(A275,已除帳印單!B:D,3,0),"")</f>
        <v/>
      </c>
      <c r="W275" s="69" t="str">
        <f>IFERROR(VLOOKUP(A275,已除帳印單!B:E,4,0),"")</f>
        <v/>
      </c>
      <c r="X275" s="68" t="str">
        <f>IFERROR(INDEX(刷條碼區!A:C,MATCH(點上線資訊!S275,刷條碼區!C:C,0),1),"")</f>
        <v/>
      </c>
      <c r="Y275" s="69" t="str">
        <f>IFERROR(INDEX(刷條碼區!A:C,MATCH(點上線資訊!S275,刷條碼區!C:C,0),2),"")</f>
        <v/>
      </c>
      <c r="Z275" s="70" t="str">
        <f>IFERROR(INDEX(刷條碼區!D:G,MATCH(點上線資訊!S275,刷條碼區!F:F,0),1),"")</f>
        <v/>
      </c>
      <c r="AA275" s="71" t="str">
        <f>IFERROR(INDEX(刷條碼區!D:G,MATCH(點上線資訊!S275,刷條碼區!F:F,0),2),"")</f>
        <v/>
      </c>
      <c r="AB275" s="20" t="b">
        <f t="shared" si="26"/>
        <v>0</v>
      </c>
      <c r="AC275" s="20" t="b">
        <f t="shared" si="27"/>
        <v>0</v>
      </c>
      <c r="AD275" s="17" t="b">
        <f t="shared" si="28"/>
        <v>0</v>
      </c>
      <c r="AE275" s="17" t="b">
        <f t="shared" si="29"/>
        <v>0</v>
      </c>
    </row>
    <row r="276" spans="1:31" x14ac:dyDescent="0.2">
      <c r="A276" s="16">
        <v>5000493630</v>
      </c>
      <c r="B276" t="s">
        <v>0</v>
      </c>
      <c r="C276" t="s">
        <v>0</v>
      </c>
      <c r="D276" t="s">
        <v>1</v>
      </c>
      <c r="E276" t="s">
        <v>879</v>
      </c>
      <c r="F276" t="s">
        <v>880</v>
      </c>
      <c r="G276" s="2">
        <v>4</v>
      </c>
      <c r="H276" t="s">
        <v>461</v>
      </c>
      <c r="I276" t="s">
        <v>3</v>
      </c>
      <c r="J276" t="s">
        <v>19</v>
      </c>
      <c r="K276" t="s">
        <v>605</v>
      </c>
      <c r="L276" t="s">
        <v>608</v>
      </c>
      <c r="M276" t="s">
        <v>878</v>
      </c>
      <c r="N276" t="s">
        <v>602</v>
      </c>
      <c r="O276" t="s">
        <v>603</v>
      </c>
      <c r="P276" t="s">
        <v>602</v>
      </c>
      <c r="Q276" s="17">
        <f>IFERROR(VLOOKUP(A276,已除帳印單!B:C,1,0),0)*1</f>
        <v>0</v>
      </c>
      <c r="R276" s="67" t="str">
        <f>IFERROR(VLOOKUP(J276,線別!A:B,2,1),"")</f>
        <v>FM_IA預組</v>
      </c>
      <c r="S276" s="17" t="str">
        <f>IFERROR(VLOOKUP(A276,已除帳印單!B:C,2,0),"")</f>
        <v/>
      </c>
      <c r="T276" s="68">
        <f t="shared" si="30"/>
        <v>43892</v>
      </c>
      <c r="U276" s="69">
        <f t="shared" si="31"/>
        <v>84.168773148148148</v>
      </c>
      <c r="V276" s="68" t="str">
        <f>IFERROR(VLOOKUP(A276,已除帳印單!B:D,3,0),"")</f>
        <v/>
      </c>
      <c r="W276" s="69" t="str">
        <f>IFERROR(VLOOKUP(A276,已除帳印單!B:E,4,0),"")</f>
        <v/>
      </c>
      <c r="X276" s="68" t="str">
        <f>IFERROR(INDEX(刷條碼區!A:C,MATCH(點上線資訊!S276,刷條碼區!C:C,0),1),"")</f>
        <v/>
      </c>
      <c r="Y276" s="69" t="str">
        <f>IFERROR(INDEX(刷條碼區!A:C,MATCH(點上線資訊!S276,刷條碼區!C:C,0),2),"")</f>
        <v/>
      </c>
      <c r="Z276" s="70" t="str">
        <f>IFERROR(INDEX(刷條碼區!D:G,MATCH(點上線資訊!S276,刷條碼區!F:F,0),1),"")</f>
        <v/>
      </c>
      <c r="AA276" s="71" t="str">
        <f>IFERROR(INDEX(刷條碼區!D:G,MATCH(點上線資訊!S276,刷條碼區!F:F,0),2),"")</f>
        <v/>
      </c>
      <c r="AB276" s="20" t="b">
        <f t="shared" si="26"/>
        <v>0</v>
      </c>
      <c r="AC276" s="20" t="b">
        <f t="shared" si="27"/>
        <v>0</v>
      </c>
      <c r="AD276" s="17" t="b">
        <f t="shared" si="28"/>
        <v>0</v>
      </c>
      <c r="AE276" s="17" t="b">
        <f t="shared" si="29"/>
        <v>0</v>
      </c>
    </row>
    <row r="277" spans="1:31" x14ac:dyDescent="0.2">
      <c r="A277" s="16">
        <v>5000493631</v>
      </c>
      <c r="B277" t="s">
        <v>301</v>
      </c>
      <c r="C277" t="s">
        <v>301</v>
      </c>
      <c r="D277" t="s">
        <v>1</v>
      </c>
      <c r="E277" t="s">
        <v>365</v>
      </c>
      <c r="F277" t="s">
        <v>366</v>
      </c>
      <c r="G277" s="2">
        <v>4</v>
      </c>
      <c r="H277" t="s">
        <v>461</v>
      </c>
      <c r="I277" t="s">
        <v>3</v>
      </c>
      <c r="J277" t="s">
        <v>19</v>
      </c>
      <c r="K277" t="s">
        <v>605</v>
      </c>
      <c r="L277" t="s">
        <v>608</v>
      </c>
      <c r="M277" t="s">
        <v>445</v>
      </c>
      <c r="N277" t="s">
        <v>602</v>
      </c>
      <c r="O277" t="s">
        <v>603</v>
      </c>
      <c r="P277" t="s">
        <v>602</v>
      </c>
      <c r="Q277" s="17">
        <f>IFERROR(VLOOKUP(A277,已除帳印單!B:C,1,0),0)*1</f>
        <v>0</v>
      </c>
      <c r="R277" s="67" t="str">
        <f>IFERROR(VLOOKUP(J277,線別!A:B,2,1),"")</f>
        <v>FM_IA預組</v>
      </c>
      <c r="S277" s="17" t="str">
        <f>IFERROR(VLOOKUP(A277,已除帳印單!B:C,2,0),"")</f>
        <v/>
      </c>
      <c r="T277" s="68">
        <f t="shared" si="30"/>
        <v>43894</v>
      </c>
      <c r="U277" s="69">
        <f t="shared" si="31"/>
        <v>84.168796296296293</v>
      </c>
      <c r="V277" s="68" t="str">
        <f>IFERROR(VLOOKUP(A277,已除帳印單!B:D,3,0),"")</f>
        <v/>
      </c>
      <c r="W277" s="69" t="str">
        <f>IFERROR(VLOOKUP(A277,已除帳印單!B:E,4,0),"")</f>
        <v/>
      </c>
      <c r="X277" s="68" t="str">
        <f>IFERROR(INDEX(刷條碼區!A:C,MATCH(點上線資訊!S277,刷條碼區!C:C,0),1),"")</f>
        <v/>
      </c>
      <c r="Y277" s="69" t="str">
        <f>IFERROR(INDEX(刷條碼區!A:C,MATCH(點上線資訊!S277,刷條碼區!C:C,0),2),"")</f>
        <v/>
      </c>
      <c r="Z277" s="70" t="str">
        <f>IFERROR(INDEX(刷條碼區!D:G,MATCH(點上線資訊!S277,刷條碼區!F:F,0),1),"")</f>
        <v/>
      </c>
      <c r="AA277" s="71" t="str">
        <f>IFERROR(INDEX(刷條碼區!D:G,MATCH(點上線資訊!S277,刷條碼區!F:F,0),2),"")</f>
        <v/>
      </c>
      <c r="AB277" s="20" t="b">
        <f t="shared" si="26"/>
        <v>0</v>
      </c>
      <c r="AC277" s="20" t="b">
        <f t="shared" si="27"/>
        <v>0</v>
      </c>
      <c r="AD277" s="17" t="b">
        <f t="shared" si="28"/>
        <v>0</v>
      </c>
      <c r="AE277" s="17" t="b">
        <f t="shared" si="29"/>
        <v>0</v>
      </c>
    </row>
    <row r="278" spans="1:31" x14ac:dyDescent="0.2">
      <c r="A278" s="16">
        <v>5000493648</v>
      </c>
      <c r="B278" t="s">
        <v>0</v>
      </c>
      <c r="C278" t="s">
        <v>0</v>
      </c>
      <c r="D278" t="s">
        <v>1</v>
      </c>
      <c r="E278" t="s">
        <v>881</v>
      </c>
      <c r="F278" t="s">
        <v>882</v>
      </c>
      <c r="G278" s="2">
        <v>20</v>
      </c>
      <c r="H278" t="s">
        <v>461</v>
      </c>
      <c r="I278" t="s">
        <v>3</v>
      </c>
      <c r="J278" t="s">
        <v>8</v>
      </c>
      <c r="K278" t="s">
        <v>605</v>
      </c>
      <c r="L278" t="s">
        <v>608</v>
      </c>
      <c r="M278" t="s">
        <v>883</v>
      </c>
      <c r="N278" t="s">
        <v>602</v>
      </c>
      <c r="O278" t="s">
        <v>603</v>
      </c>
      <c r="P278" t="s">
        <v>602</v>
      </c>
      <c r="Q278" s="17">
        <f>IFERROR(VLOOKUP(A278,已除帳印單!B:C,1,0),0)*1</f>
        <v>0</v>
      </c>
      <c r="R278" s="67" t="str">
        <f>IFERROR(VLOOKUP(J278,線別!A:B,2,1),"")</f>
        <v>裝一線</v>
      </c>
      <c r="S278" s="17" t="str">
        <f>IFERROR(VLOOKUP(A278,已除帳印單!B:C,2,0),"")</f>
        <v/>
      </c>
      <c r="T278" s="68">
        <f t="shared" si="30"/>
        <v>43892</v>
      </c>
      <c r="U278" s="69">
        <f t="shared" si="31"/>
        <v>84.168773148148148</v>
      </c>
      <c r="V278" s="68" t="str">
        <f>IFERROR(VLOOKUP(A278,已除帳印單!B:D,3,0),"")</f>
        <v/>
      </c>
      <c r="W278" s="69" t="str">
        <f>IFERROR(VLOOKUP(A278,已除帳印單!B:E,4,0),"")</f>
        <v/>
      </c>
      <c r="X278" s="68" t="str">
        <f>IFERROR(INDEX(刷條碼區!A:C,MATCH(點上線資訊!S278,刷條碼區!C:C,0),1),"")</f>
        <v/>
      </c>
      <c r="Y278" s="69" t="str">
        <f>IFERROR(INDEX(刷條碼區!A:C,MATCH(點上線資訊!S278,刷條碼區!C:C,0),2),"")</f>
        <v/>
      </c>
      <c r="Z278" s="70" t="str">
        <f>IFERROR(INDEX(刷條碼區!D:G,MATCH(點上線資訊!S278,刷條碼區!F:F,0),1),"")</f>
        <v/>
      </c>
      <c r="AA278" s="71" t="str">
        <f>IFERROR(INDEX(刷條碼區!D:G,MATCH(點上線資訊!S278,刷條碼區!F:F,0),2),"")</f>
        <v/>
      </c>
      <c r="AB278" s="20" t="b">
        <f t="shared" si="26"/>
        <v>0</v>
      </c>
      <c r="AC278" s="20" t="b">
        <f t="shared" si="27"/>
        <v>0</v>
      </c>
      <c r="AD278" s="17" t="b">
        <f t="shared" si="28"/>
        <v>0</v>
      </c>
      <c r="AE278" s="17" t="b">
        <f t="shared" si="29"/>
        <v>0</v>
      </c>
    </row>
    <row r="279" spans="1:31" x14ac:dyDescent="0.2">
      <c r="A279" s="16">
        <v>5000493650</v>
      </c>
      <c r="B279" t="s">
        <v>6</v>
      </c>
      <c r="C279" t="s">
        <v>6</v>
      </c>
      <c r="D279" t="s">
        <v>1</v>
      </c>
      <c r="E279" t="s">
        <v>261</v>
      </c>
      <c r="F279" t="s">
        <v>506</v>
      </c>
      <c r="G279" s="2">
        <v>3</v>
      </c>
      <c r="H279" t="s">
        <v>461</v>
      </c>
      <c r="I279" t="s">
        <v>3</v>
      </c>
      <c r="J279" t="s">
        <v>136</v>
      </c>
      <c r="K279" t="s">
        <v>602</v>
      </c>
      <c r="L279" t="s">
        <v>603</v>
      </c>
      <c r="M279" t="s">
        <v>602</v>
      </c>
      <c r="N279" t="s">
        <v>602</v>
      </c>
      <c r="O279" t="s">
        <v>603</v>
      </c>
      <c r="P279" t="s">
        <v>602</v>
      </c>
      <c r="Q279" s="17">
        <f>IFERROR(VLOOKUP(A279,已除帳印單!B:C,1,0),0)*1</f>
        <v>0</v>
      </c>
      <c r="R279" s="67" t="str">
        <f>IFERROR(VLOOKUP(J279,線別!A:B,2,1),"")</f>
        <v>SCB線</v>
      </c>
      <c r="S279" s="17" t="str">
        <f>IFERROR(VLOOKUP(A279,已除帳印單!B:C,2,0),"")</f>
        <v/>
      </c>
      <c r="T279" s="68">
        <f t="shared" si="30"/>
        <v>43893</v>
      </c>
      <c r="U279" s="69">
        <f t="shared" si="31"/>
        <v>84.168784722222213</v>
      </c>
      <c r="V279" s="68" t="str">
        <f>IFERROR(VLOOKUP(A279,已除帳印單!B:D,3,0),"")</f>
        <v/>
      </c>
      <c r="W279" s="69" t="str">
        <f>IFERROR(VLOOKUP(A279,已除帳印單!B:E,4,0),"")</f>
        <v/>
      </c>
      <c r="X279" s="68" t="str">
        <f>IFERROR(INDEX(刷條碼區!A:C,MATCH(點上線資訊!S279,刷條碼區!C:C,0),1),"")</f>
        <v/>
      </c>
      <c r="Y279" s="69" t="str">
        <f>IFERROR(INDEX(刷條碼區!A:C,MATCH(點上線資訊!S279,刷條碼區!C:C,0),2),"")</f>
        <v/>
      </c>
      <c r="Z279" s="70" t="str">
        <f>IFERROR(INDEX(刷條碼區!D:G,MATCH(點上線資訊!S279,刷條碼區!F:F,0),1),"")</f>
        <v/>
      </c>
      <c r="AA279" s="71" t="str">
        <f>IFERROR(INDEX(刷條碼區!D:G,MATCH(點上線資訊!S279,刷條碼區!F:F,0),2),"")</f>
        <v/>
      </c>
      <c r="AB279" s="20">
        <f t="shared" si="26"/>
        <v>3</v>
      </c>
      <c r="AC279" s="20" t="b">
        <f t="shared" si="27"/>
        <v>0</v>
      </c>
      <c r="AD279" s="17" t="b">
        <f t="shared" si="28"/>
        <v>0</v>
      </c>
      <c r="AE279" s="17" t="b">
        <f t="shared" si="29"/>
        <v>0</v>
      </c>
    </row>
    <row r="280" spans="1:31" x14ac:dyDescent="0.2">
      <c r="A280" s="16">
        <v>5000493658</v>
      </c>
      <c r="B280" t="s">
        <v>0</v>
      </c>
      <c r="C280" t="s">
        <v>0</v>
      </c>
      <c r="D280" t="s">
        <v>1</v>
      </c>
      <c r="E280" t="s">
        <v>884</v>
      </c>
      <c r="F280" t="s">
        <v>885</v>
      </c>
      <c r="G280" s="2">
        <v>1</v>
      </c>
      <c r="H280" t="s">
        <v>461</v>
      </c>
      <c r="I280" t="s">
        <v>3</v>
      </c>
      <c r="J280" t="s">
        <v>8</v>
      </c>
      <c r="K280" t="s">
        <v>605</v>
      </c>
      <c r="L280" t="s">
        <v>608</v>
      </c>
      <c r="M280" t="s">
        <v>249</v>
      </c>
      <c r="N280" t="s">
        <v>602</v>
      </c>
      <c r="O280" t="s">
        <v>603</v>
      </c>
      <c r="P280" t="s">
        <v>602</v>
      </c>
      <c r="Q280" s="17">
        <f>IFERROR(VLOOKUP(A280,已除帳印單!B:C,1,0),0)*1</f>
        <v>0</v>
      </c>
      <c r="R280" s="67" t="str">
        <f>IFERROR(VLOOKUP(J280,線別!A:B,2,1),"")</f>
        <v>裝一線</v>
      </c>
      <c r="S280" s="17" t="str">
        <f>IFERROR(VLOOKUP(A280,已除帳印單!B:C,2,0),"")</f>
        <v/>
      </c>
      <c r="T280" s="68">
        <f t="shared" si="30"/>
        <v>43892</v>
      </c>
      <c r="U280" s="69">
        <f t="shared" si="31"/>
        <v>84.168773148148148</v>
      </c>
      <c r="V280" s="68" t="str">
        <f>IFERROR(VLOOKUP(A280,已除帳印單!B:D,3,0),"")</f>
        <v/>
      </c>
      <c r="W280" s="69" t="str">
        <f>IFERROR(VLOOKUP(A280,已除帳印單!B:E,4,0),"")</f>
        <v/>
      </c>
      <c r="X280" s="68" t="str">
        <f>IFERROR(INDEX(刷條碼區!A:C,MATCH(點上線資訊!S280,刷條碼區!C:C,0),1),"")</f>
        <v/>
      </c>
      <c r="Y280" s="69" t="str">
        <f>IFERROR(INDEX(刷條碼區!A:C,MATCH(點上線資訊!S280,刷條碼區!C:C,0),2),"")</f>
        <v/>
      </c>
      <c r="Z280" s="70" t="str">
        <f>IFERROR(INDEX(刷條碼區!D:G,MATCH(點上線資訊!S280,刷條碼區!F:F,0),1),"")</f>
        <v/>
      </c>
      <c r="AA280" s="71" t="str">
        <f>IFERROR(INDEX(刷條碼區!D:G,MATCH(點上線資訊!S280,刷條碼區!F:F,0),2),"")</f>
        <v/>
      </c>
      <c r="AB280" s="20" t="b">
        <f t="shared" si="26"/>
        <v>0</v>
      </c>
      <c r="AC280" s="20" t="b">
        <f t="shared" si="27"/>
        <v>0</v>
      </c>
      <c r="AD280" s="17" t="b">
        <f t="shared" si="28"/>
        <v>0</v>
      </c>
      <c r="AE280" s="17" t="b">
        <f t="shared" si="29"/>
        <v>0</v>
      </c>
    </row>
    <row r="281" spans="1:31" x14ac:dyDescent="0.2">
      <c r="A281" s="16">
        <v>5000493659</v>
      </c>
      <c r="B281" t="s">
        <v>0</v>
      </c>
      <c r="C281" t="s">
        <v>0</v>
      </c>
      <c r="D281" t="s">
        <v>1</v>
      </c>
      <c r="E281" t="s">
        <v>886</v>
      </c>
      <c r="F281" t="s">
        <v>887</v>
      </c>
      <c r="G281" s="2">
        <v>1</v>
      </c>
      <c r="H281" t="s">
        <v>461</v>
      </c>
      <c r="I281" t="s">
        <v>3</v>
      </c>
      <c r="J281" t="s">
        <v>8</v>
      </c>
      <c r="K281" t="s">
        <v>605</v>
      </c>
      <c r="L281" t="s">
        <v>608</v>
      </c>
      <c r="M281" t="s">
        <v>249</v>
      </c>
      <c r="N281" t="s">
        <v>602</v>
      </c>
      <c r="O281" t="s">
        <v>603</v>
      </c>
      <c r="P281" t="s">
        <v>602</v>
      </c>
      <c r="Q281" s="17">
        <f>IFERROR(VLOOKUP(A281,已除帳印單!B:C,1,0),0)*1</f>
        <v>0</v>
      </c>
      <c r="R281" s="67" t="str">
        <f>IFERROR(VLOOKUP(J281,線別!A:B,2,1),"")</f>
        <v>裝一線</v>
      </c>
      <c r="S281" s="17" t="str">
        <f>IFERROR(VLOOKUP(A281,已除帳印單!B:C,2,0),"")</f>
        <v/>
      </c>
      <c r="T281" s="68">
        <f t="shared" si="30"/>
        <v>43892</v>
      </c>
      <c r="U281" s="69">
        <f t="shared" si="31"/>
        <v>84.168773148148148</v>
      </c>
      <c r="V281" s="68" t="str">
        <f>IFERROR(VLOOKUP(A281,已除帳印單!B:D,3,0),"")</f>
        <v/>
      </c>
      <c r="W281" s="69" t="str">
        <f>IFERROR(VLOOKUP(A281,已除帳印單!B:E,4,0),"")</f>
        <v/>
      </c>
      <c r="X281" s="68" t="str">
        <f>IFERROR(INDEX(刷條碼區!A:C,MATCH(點上線資訊!S281,刷條碼區!C:C,0),1),"")</f>
        <v/>
      </c>
      <c r="Y281" s="69" t="str">
        <f>IFERROR(INDEX(刷條碼區!A:C,MATCH(點上線資訊!S281,刷條碼區!C:C,0),2),"")</f>
        <v/>
      </c>
      <c r="Z281" s="70" t="str">
        <f>IFERROR(INDEX(刷條碼區!D:G,MATCH(點上線資訊!S281,刷條碼區!F:F,0),1),"")</f>
        <v/>
      </c>
      <c r="AA281" s="71" t="str">
        <f>IFERROR(INDEX(刷條碼區!D:G,MATCH(點上線資訊!S281,刷條碼區!F:F,0),2),"")</f>
        <v/>
      </c>
      <c r="AB281" s="20" t="b">
        <f t="shared" si="26"/>
        <v>0</v>
      </c>
      <c r="AC281" s="20" t="b">
        <f t="shared" si="27"/>
        <v>0</v>
      </c>
      <c r="AD281" s="17" t="b">
        <f t="shared" si="28"/>
        <v>0</v>
      </c>
      <c r="AE281" s="17" t="b">
        <f t="shared" si="29"/>
        <v>0</v>
      </c>
    </row>
    <row r="282" spans="1:31" x14ac:dyDescent="0.2">
      <c r="A282" s="16">
        <v>5000493660</v>
      </c>
      <c r="B282" t="s">
        <v>0</v>
      </c>
      <c r="C282" t="s">
        <v>0</v>
      </c>
      <c r="D282" t="s">
        <v>1</v>
      </c>
      <c r="E282" t="s">
        <v>88</v>
      </c>
      <c r="F282" t="s">
        <v>888</v>
      </c>
      <c r="G282" s="2">
        <v>5</v>
      </c>
      <c r="H282" t="s">
        <v>461</v>
      </c>
      <c r="I282" t="s">
        <v>3</v>
      </c>
      <c r="J282" t="s">
        <v>8</v>
      </c>
      <c r="K282" t="s">
        <v>605</v>
      </c>
      <c r="L282" t="s">
        <v>608</v>
      </c>
      <c r="M282" t="s">
        <v>249</v>
      </c>
      <c r="N282" t="s">
        <v>602</v>
      </c>
      <c r="O282" t="s">
        <v>603</v>
      </c>
      <c r="P282" t="s">
        <v>602</v>
      </c>
      <c r="Q282" s="17">
        <f>IFERROR(VLOOKUP(A282,已除帳印單!B:C,1,0),0)*1</f>
        <v>0</v>
      </c>
      <c r="R282" s="67" t="str">
        <f>IFERROR(VLOOKUP(J282,線別!A:B,2,1),"")</f>
        <v>裝一線</v>
      </c>
      <c r="S282" s="17" t="str">
        <f>IFERROR(VLOOKUP(A282,已除帳印單!B:C,2,0),"")</f>
        <v/>
      </c>
      <c r="T282" s="68">
        <f t="shared" si="30"/>
        <v>43892</v>
      </c>
      <c r="U282" s="69">
        <f t="shared" si="31"/>
        <v>84.168773148148148</v>
      </c>
      <c r="V282" s="68" t="str">
        <f>IFERROR(VLOOKUP(A282,已除帳印單!B:D,3,0),"")</f>
        <v/>
      </c>
      <c r="W282" s="69" t="str">
        <f>IFERROR(VLOOKUP(A282,已除帳印單!B:E,4,0),"")</f>
        <v/>
      </c>
      <c r="X282" s="68" t="str">
        <f>IFERROR(INDEX(刷條碼區!A:C,MATCH(點上線資訊!S282,刷條碼區!C:C,0),1),"")</f>
        <v/>
      </c>
      <c r="Y282" s="69" t="str">
        <f>IFERROR(INDEX(刷條碼區!A:C,MATCH(點上線資訊!S282,刷條碼區!C:C,0),2),"")</f>
        <v/>
      </c>
      <c r="Z282" s="70" t="str">
        <f>IFERROR(INDEX(刷條碼區!D:G,MATCH(點上線資訊!S282,刷條碼區!F:F,0),1),"")</f>
        <v/>
      </c>
      <c r="AA282" s="71" t="str">
        <f>IFERROR(INDEX(刷條碼區!D:G,MATCH(點上線資訊!S282,刷條碼區!F:F,0),2),"")</f>
        <v/>
      </c>
      <c r="AB282" s="20" t="b">
        <f t="shared" si="26"/>
        <v>0</v>
      </c>
      <c r="AC282" s="20" t="b">
        <f t="shared" si="27"/>
        <v>0</v>
      </c>
      <c r="AD282" s="17" t="b">
        <f t="shared" si="28"/>
        <v>0</v>
      </c>
      <c r="AE282" s="17" t="b">
        <f t="shared" si="29"/>
        <v>0</v>
      </c>
    </row>
    <row r="283" spans="1:31" x14ac:dyDescent="0.2">
      <c r="A283" s="16">
        <v>5000493661</v>
      </c>
      <c r="B283" t="s">
        <v>0</v>
      </c>
      <c r="C283" t="s">
        <v>0</v>
      </c>
      <c r="D283" t="s">
        <v>1</v>
      </c>
      <c r="E283" t="s">
        <v>88</v>
      </c>
      <c r="F283" t="s">
        <v>888</v>
      </c>
      <c r="G283" s="2">
        <v>1</v>
      </c>
      <c r="H283" t="s">
        <v>461</v>
      </c>
      <c r="I283" t="s">
        <v>3</v>
      </c>
      <c r="J283" t="s">
        <v>8</v>
      </c>
      <c r="K283" t="s">
        <v>605</v>
      </c>
      <c r="L283" t="s">
        <v>608</v>
      </c>
      <c r="M283" t="s">
        <v>249</v>
      </c>
      <c r="N283" t="s">
        <v>602</v>
      </c>
      <c r="O283" t="s">
        <v>603</v>
      </c>
      <c r="P283" t="s">
        <v>602</v>
      </c>
      <c r="Q283" s="17">
        <f>IFERROR(VLOOKUP(A283,已除帳印單!B:C,1,0),0)*1</f>
        <v>0</v>
      </c>
      <c r="R283" s="67" t="str">
        <f>IFERROR(VLOOKUP(J283,線別!A:B,2,1),"")</f>
        <v>裝一線</v>
      </c>
      <c r="S283" s="17" t="str">
        <f>IFERROR(VLOOKUP(A283,已除帳印單!B:C,2,0),"")</f>
        <v/>
      </c>
      <c r="T283" s="68">
        <f t="shared" si="30"/>
        <v>43892</v>
      </c>
      <c r="U283" s="69">
        <f t="shared" si="31"/>
        <v>84.168773148148148</v>
      </c>
      <c r="V283" s="68" t="str">
        <f>IFERROR(VLOOKUP(A283,已除帳印單!B:D,3,0),"")</f>
        <v/>
      </c>
      <c r="W283" s="69" t="str">
        <f>IFERROR(VLOOKUP(A283,已除帳印單!B:E,4,0),"")</f>
        <v/>
      </c>
      <c r="X283" s="68" t="str">
        <f>IFERROR(INDEX(刷條碼區!A:C,MATCH(點上線資訊!S283,刷條碼區!C:C,0),1),"")</f>
        <v/>
      </c>
      <c r="Y283" s="69" t="str">
        <f>IFERROR(INDEX(刷條碼區!A:C,MATCH(點上線資訊!S283,刷條碼區!C:C,0),2),"")</f>
        <v/>
      </c>
      <c r="Z283" s="70" t="str">
        <f>IFERROR(INDEX(刷條碼區!D:G,MATCH(點上線資訊!S283,刷條碼區!F:F,0),1),"")</f>
        <v/>
      </c>
      <c r="AA283" s="71" t="str">
        <f>IFERROR(INDEX(刷條碼區!D:G,MATCH(點上線資訊!S283,刷條碼區!F:F,0),2),"")</f>
        <v/>
      </c>
      <c r="AB283" s="20" t="b">
        <f t="shared" si="26"/>
        <v>0</v>
      </c>
      <c r="AC283" s="20" t="b">
        <f t="shared" si="27"/>
        <v>0</v>
      </c>
      <c r="AD283" s="17" t="b">
        <f t="shared" si="28"/>
        <v>0</v>
      </c>
      <c r="AE283" s="17" t="b">
        <f t="shared" si="29"/>
        <v>0</v>
      </c>
    </row>
    <row r="284" spans="1:31" x14ac:dyDescent="0.2">
      <c r="A284" s="16">
        <v>5000493663</v>
      </c>
      <c r="B284" t="s">
        <v>0</v>
      </c>
      <c r="C284" t="s">
        <v>0</v>
      </c>
      <c r="D284" t="s">
        <v>1</v>
      </c>
      <c r="E284" t="s">
        <v>89</v>
      </c>
      <c r="F284" t="s">
        <v>889</v>
      </c>
      <c r="G284" s="2">
        <v>4</v>
      </c>
      <c r="H284" t="s">
        <v>461</v>
      </c>
      <c r="I284" t="s">
        <v>3</v>
      </c>
      <c r="J284" t="s">
        <v>8</v>
      </c>
      <c r="K284" t="s">
        <v>605</v>
      </c>
      <c r="L284" t="s">
        <v>608</v>
      </c>
      <c r="M284" t="s">
        <v>249</v>
      </c>
      <c r="N284" t="s">
        <v>602</v>
      </c>
      <c r="O284" t="s">
        <v>603</v>
      </c>
      <c r="P284" t="s">
        <v>602</v>
      </c>
      <c r="Q284" s="17">
        <f>IFERROR(VLOOKUP(A284,已除帳印單!B:C,1,0),0)*1</f>
        <v>0</v>
      </c>
      <c r="R284" s="67" t="str">
        <f>IFERROR(VLOOKUP(J284,線別!A:B,2,1),"")</f>
        <v>裝一線</v>
      </c>
      <c r="S284" s="17" t="str">
        <f>IFERROR(VLOOKUP(A284,已除帳印單!B:C,2,0),"")</f>
        <v/>
      </c>
      <c r="T284" s="68">
        <f t="shared" si="30"/>
        <v>43892</v>
      </c>
      <c r="U284" s="69">
        <f t="shared" si="31"/>
        <v>84.168773148148148</v>
      </c>
      <c r="V284" s="68" t="str">
        <f>IFERROR(VLOOKUP(A284,已除帳印單!B:D,3,0),"")</f>
        <v/>
      </c>
      <c r="W284" s="69" t="str">
        <f>IFERROR(VLOOKUP(A284,已除帳印單!B:E,4,0),"")</f>
        <v/>
      </c>
      <c r="X284" s="68" t="str">
        <f>IFERROR(INDEX(刷條碼區!A:C,MATCH(點上線資訊!S284,刷條碼區!C:C,0),1),"")</f>
        <v/>
      </c>
      <c r="Y284" s="69" t="str">
        <f>IFERROR(INDEX(刷條碼區!A:C,MATCH(點上線資訊!S284,刷條碼區!C:C,0),2),"")</f>
        <v/>
      </c>
      <c r="Z284" s="70" t="str">
        <f>IFERROR(INDEX(刷條碼區!D:G,MATCH(點上線資訊!S284,刷條碼區!F:F,0),1),"")</f>
        <v/>
      </c>
      <c r="AA284" s="71" t="str">
        <f>IFERROR(INDEX(刷條碼區!D:G,MATCH(點上線資訊!S284,刷條碼區!F:F,0),2),"")</f>
        <v/>
      </c>
      <c r="AB284" s="20" t="b">
        <f t="shared" si="26"/>
        <v>0</v>
      </c>
      <c r="AC284" s="20" t="b">
        <f t="shared" si="27"/>
        <v>0</v>
      </c>
      <c r="AD284" s="17" t="b">
        <f t="shared" si="28"/>
        <v>0</v>
      </c>
      <c r="AE284" s="17" t="b">
        <f t="shared" si="29"/>
        <v>0</v>
      </c>
    </row>
    <row r="285" spans="1:31" x14ac:dyDescent="0.2">
      <c r="A285" s="16">
        <v>5000493664</v>
      </c>
      <c r="B285" t="s">
        <v>0</v>
      </c>
      <c r="C285" t="s">
        <v>0</v>
      </c>
      <c r="D285" t="s">
        <v>1</v>
      </c>
      <c r="E285" t="s">
        <v>90</v>
      </c>
      <c r="F285" t="s">
        <v>890</v>
      </c>
      <c r="G285" s="2">
        <v>4</v>
      </c>
      <c r="H285" t="s">
        <v>461</v>
      </c>
      <c r="I285" t="s">
        <v>3</v>
      </c>
      <c r="J285" t="s">
        <v>8</v>
      </c>
      <c r="K285" t="s">
        <v>605</v>
      </c>
      <c r="L285" t="s">
        <v>608</v>
      </c>
      <c r="M285" t="s">
        <v>249</v>
      </c>
      <c r="N285" t="s">
        <v>602</v>
      </c>
      <c r="O285" t="s">
        <v>603</v>
      </c>
      <c r="P285" t="s">
        <v>602</v>
      </c>
      <c r="Q285" s="17">
        <f>IFERROR(VLOOKUP(A285,已除帳印單!B:C,1,0),0)*1</f>
        <v>0</v>
      </c>
      <c r="R285" s="67" t="str">
        <f>IFERROR(VLOOKUP(J285,線別!A:B,2,1),"")</f>
        <v>裝一線</v>
      </c>
      <c r="S285" s="17" t="str">
        <f>IFERROR(VLOOKUP(A285,已除帳印單!B:C,2,0),"")</f>
        <v/>
      </c>
      <c r="T285" s="68">
        <f t="shared" si="30"/>
        <v>43892</v>
      </c>
      <c r="U285" s="69">
        <f t="shared" si="31"/>
        <v>84.168773148148148</v>
      </c>
      <c r="V285" s="68" t="str">
        <f>IFERROR(VLOOKUP(A285,已除帳印單!B:D,3,0),"")</f>
        <v/>
      </c>
      <c r="W285" s="69" t="str">
        <f>IFERROR(VLOOKUP(A285,已除帳印單!B:E,4,0),"")</f>
        <v/>
      </c>
      <c r="X285" s="68" t="str">
        <f>IFERROR(INDEX(刷條碼區!A:C,MATCH(點上線資訊!S285,刷條碼區!C:C,0),1),"")</f>
        <v/>
      </c>
      <c r="Y285" s="69" t="str">
        <f>IFERROR(INDEX(刷條碼區!A:C,MATCH(點上線資訊!S285,刷條碼區!C:C,0),2),"")</f>
        <v/>
      </c>
      <c r="Z285" s="70" t="str">
        <f>IFERROR(INDEX(刷條碼區!D:G,MATCH(點上線資訊!S285,刷條碼區!F:F,0),1),"")</f>
        <v/>
      </c>
      <c r="AA285" s="71" t="str">
        <f>IFERROR(INDEX(刷條碼區!D:G,MATCH(點上線資訊!S285,刷條碼區!F:F,0),2),"")</f>
        <v/>
      </c>
      <c r="AB285" s="20" t="b">
        <f t="shared" si="26"/>
        <v>0</v>
      </c>
      <c r="AC285" s="20" t="b">
        <f t="shared" si="27"/>
        <v>0</v>
      </c>
      <c r="AD285" s="17" t="b">
        <f t="shared" si="28"/>
        <v>0</v>
      </c>
      <c r="AE285" s="17" t="b">
        <f t="shared" si="29"/>
        <v>0</v>
      </c>
    </row>
    <row r="286" spans="1:31" x14ac:dyDescent="0.2">
      <c r="A286" s="16">
        <v>5000493665</v>
      </c>
      <c r="B286" t="s">
        <v>0</v>
      </c>
      <c r="C286" t="s">
        <v>0</v>
      </c>
      <c r="D286" t="s">
        <v>1</v>
      </c>
      <c r="E286" t="s">
        <v>891</v>
      </c>
      <c r="F286" t="s">
        <v>887</v>
      </c>
      <c r="G286" s="2">
        <v>2</v>
      </c>
      <c r="H286" t="s">
        <v>461</v>
      </c>
      <c r="I286" t="s">
        <v>3</v>
      </c>
      <c r="J286" t="s">
        <v>8</v>
      </c>
      <c r="K286" t="s">
        <v>605</v>
      </c>
      <c r="L286" t="s">
        <v>608</v>
      </c>
      <c r="M286" t="s">
        <v>249</v>
      </c>
      <c r="N286" t="s">
        <v>602</v>
      </c>
      <c r="O286" t="s">
        <v>603</v>
      </c>
      <c r="P286" t="s">
        <v>602</v>
      </c>
      <c r="Q286" s="17">
        <f>IFERROR(VLOOKUP(A286,已除帳印單!B:C,1,0),0)*1</f>
        <v>0</v>
      </c>
      <c r="R286" s="67" t="str">
        <f>IFERROR(VLOOKUP(J286,線別!A:B,2,1),"")</f>
        <v>裝一線</v>
      </c>
      <c r="S286" s="17" t="str">
        <f>IFERROR(VLOOKUP(A286,已除帳印單!B:C,2,0),"")</f>
        <v/>
      </c>
      <c r="T286" s="68">
        <f t="shared" si="30"/>
        <v>43892</v>
      </c>
      <c r="U286" s="69">
        <f t="shared" si="31"/>
        <v>84.168773148148148</v>
      </c>
      <c r="V286" s="68" t="str">
        <f>IFERROR(VLOOKUP(A286,已除帳印單!B:D,3,0),"")</f>
        <v/>
      </c>
      <c r="W286" s="69" t="str">
        <f>IFERROR(VLOOKUP(A286,已除帳印單!B:E,4,0),"")</f>
        <v/>
      </c>
      <c r="X286" s="68" t="str">
        <f>IFERROR(INDEX(刷條碼區!A:C,MATCH(點上線資訊!S286,刷條碼區!C:C,0),1),"")</f>
        <v/>
      </c>
      <c r="Y286" s="69" t="str">
        <f>IFERROR(INDEX(刷條碼區!A:C,MATCH(點上線資訊!S286,刷條碼區!C:C,0),2),"")</f>
        <v/>
      </c>
      <c r="Z286" s="70" t="str">
        <f>IFERROR(INDEX(刷條碼區!D:G,MATCH(點上線資訊!S286,刷條碼區!F:F,0),1),"")</f>
        <v/>
      </c>
      <c r="AA286" s="71" t="str">
        <f>IFERROR(INDEX(刷條碼區!D:G,MATCH(點上線資訊!S286,刷條碼區!F:F,0),2),"")</f>
        <v/>
      </c>
      <c r="AB286" s="20" t="b">
        <f t="shared" si="26"/>
        <v>0</v>
      </c>
      <c r="AC286" s="20" t="b">
        <f t="shared" si="27"/>
        <v>0</v>
      </c>
      <c r="AD286" s="17" t="b">
        <f t="shared" si="28"/>
        <v>0</v>
      </c>
      <c r="AE286" s="17" t="b">
        <f t="shared" si="29"/>
        <v>0</v>
      </c>
    </row>
    <row r="287" spans="1:31" x14ac:dyDescent="0.2">
      <c r="A287" s="16">
        <v>5000493666</v>
      </c>
      <c r="B287" t="s">
        <v>0</v>
      </c>
      <c r="C287" t="s">
        <v>0</v>
      </c>
      <c r="D287" t="s">
        <v>1</v>
      </c>
      <c r="E287" t="s">
        <v>90</v>
      </c>
      <c r="F287" t="s">
        <v>890</v>
      </c>
      <c r="G287" s="2">
        <v>3</v>
      </c>
      <c r="H287" t="s">
        <v>461</v>
      </c>
      <c r="I287" t="s">
        <v>3</v>
      </c>
      <c r="J287" t="s">
        <v>8</v>
      </c>
      <c r="K287" t="s">
        <v>605</v>
      </c>
      <c r="L287" t="s">
        <v>608</v>
      </c>
      <c r="M287" t="s">
        <v>249</v>
      </c>
      <c r="N287" t="s">
        <v>602</v>
      </c>
      <c r="O287" t="s">
        <v>603</v>
      </c>
      <c r="P287" t="s">
        <v>602</v>
      </c>
      <c r="Q287" s="17">
        <f>IFERROR(VLOOKUP(A287,已除帳印單!B:C,1,0),0)*1</f>
        <v>0</v>
      </c>
      <c r="R287" s="67" t="str">
        <f>IFERROR(VLOOKUP(J287,線別!A:B,2,1),"")</f>
        <v>裝一線</v>
      </c>
      <c r="S287" s="17" t="str">
        <f>IFERROR(VLOOKUP(A287,已除帳印單!B:C,2,0),"")</f>
        <v/>
      </c>
      <c r="T287" s="68">
        <f t="shared" si="30"/>
        <v>43892</v>
      </c>
      <c r="U287" s="69">
        <f t="shared" si="31"/>
        <v>84.168773148148148</v>
      </c>
      <c r="V287" s="68" t="str">
        <f>IFERROR(VLOOKUP(A287,已除帳印單!B:D,3,0),"")</f>
        <v/>
      </c>
      <c r="W287" s="69" t="str">
        <f>IFERROR(VLOOKUP(A287,已除帳印單!B:E,4,0),"")</f>
        <v/>
      </c>
      <c r="X287" s="68" t="str">
        <f>IFERROR(INDEX(刷條碼區!A:C,MATCH(點上線資訊!S287,刷條碼區!C:C,0),1),"")</f>
        <v/>
      </c>
      <c r="Y287" s="69" t="str">
        <f>IFERROR(INDEX(刷條碼區!A:C,MATCH(點上線資訊!S287,刷條碼區!C:C,0),2),"")</f>
        <v/>
      </c>
      <c r="Z287" s="70" t="str">
        <f>IFERROR(INDEX(刷條碼區!D:G,MATCH(點上線資訊!S287,刷條碼區!F:F,0),1),"")</f>
        <v/>
      </c>
      <c r="AA287" s="71" t="str">
        <f>IFERROR(INDEX(刷條碼區!D:G,MATCH(點上線資訊!S287,刷條碼區!F:F,0),2),"")</f>
        <v/>
      </c>
      <c r="AB287" s="20" t="b">
        <f t="shared" si="26"/>
        <v>0</v>
      </c>
      <c r="AC287" s="20" t="b">
        <f t="shared" si="27"/>
        <v>0</v>
      </c>
      <c r="AD287" s="17" t="b">
        <f t="shared" si="28"/>
        <v>0</v>
      </c>
      <c r="AE287" s="17" t="b">
        <f t="shared" si="29"/>
        <v>0</v>
      </c>
    </row>
    <row r="288" spans="1:31" x14ac:dyDescent="0.2">
      <c r="A288" s="16">
        <v>5000493667</v>
      </c>
      <c r="B288" t="s">
        <v>0</v>
      </c>
      <c r="C288" t="s">
        <v>0</v>
      </c>
      <c r="D288" t="s">
        <v>1</v>
      </c>
      <c r="E288" t="s">
        <v>89</v>
      </c>
      <c r="F288" t="s">
        <v>889</v>
      </c>
      <c r="G288" s="2">
        <v>2</v>
      </c>
      <c r="H288" t="s">
        <v>461</v>
      </c>
      <c r="I288" t="s">
        <v>3</v>
      </c>
      <c r="J288" t="s">
        <v>8</v>
      </c>
      <c r="K288" t="s">
        <v>605</v>
      </c>
      <c r="L288" t="s">
        <v>608</v>
      </c>
      <c r="M288" t="s">
        <v>249</v>
      </c>
      <c r="N288" t="s">
        <v>602</v>
      </c>
      <c r="O288" t="s">
        <v>603</v>
      </c>
      <c r="P288" t="s">
        <v>602</v>
      </c>
      <c r="Q288" s="17">
        <f>IFERROR(VLOOKUP(A288,已除帳印單!B:C,1,0),0)*1</f>
        <v>0</v>
      </c>
      <c r="R288" s="67" t="str">
        <f>IFERROR(VLOOKUP(J288,線別!A:B,2,1),"")</f>
        <v>裝一線</v>
      </c>
      <c r="S288" s="17" t="str">
        <f>IFERROR(VLOOKUP(A288,已除帳印單!B:C,2,0),"")</f>
        <v/>
      </c>
      <c r="T288" s="68">
        <f t="shared" si="30"/>
        <v>43892</v>
      </c>
      <c r="U288" s="69">
        <f t="shared" si="31"/>
        <v>84.168773148148148</v>
      </c>
      <c r="V288" s="68" t="str">
        <f>IFERROR(VLOOKUP(A288,已除帳印單!B:D,3,0),"")</f>
        <v/>
      </c>
      <c r="W288" s="69" t="str">
        <f>IFERROR(VLOOKUP(A288,已除帳印單!B:E,4,0),"")</f>
        <v/>
      </c>
      <c r="X288" s="68" t="str">
        <f>IFERROR(INDEX(刷條碼區!A:C,MATCH(點上線資訊!S288,刷條碼區!C:C,0),1),"")</f>
        <v/>
      </c>
      <c r="Y288" s="69" t="str">
        <f>IFERROR(INDEX(刷條碼區!A:C,MATCH(點上線資訊!S288,刷條碼區!C:C,0),2),"")</f>
        <v/>
      </c>
      <c r="Z288" s="70" t="str">
        <f>IFERROR(INDEX(刷條碼區!D:G,MATCH(點上線資訊!S288,刷條碼區!F:F,0),1),"")</f>
        <v/>
      </c>
      <c r="AA288" s="71" t="str">
        <f>IFERROR(INDEX(刷條碼區!D:G,MATCH(點上線資訊!S288,刷條碼區!F:F,0),2),"")</f>
        <v/>
      </c>
      <c r="AB288" s="20" t="b">
        <f t="shared" si="26"/>
        <v>0</v>
      </c>
      <c r="AC288" s="20" t="b">
        <f t="shared" si="27"/>
        <v>0</v>
      </c>
      <c r="AD288" s="17" t="b">
        <f t="shared" si="28"/>
        <v>0</v>
      </c>
      <c r="AE288" s="17" t="b">
        <f t="shared" si="29"/>
        <v>0</v>
      </c>
    </row>
    <row r="289" spans="1:31" x14ac:dyDescent="0.2">
      <c r="A289" s="16">
        <v>5000493668</v>
      </c>
      <c r="B289" t="s">
        <v>0</v>
      </c>
      <c r="C289" t="s">
        <v>0</v>
      </c>
      <c r="D289" t="s">
        <v>1</v>
      </c>
      <c r="E289" t="s">
        <v>710</v>
      </c>
      <c r="F289" t="s">
        <v>711</v>
      </c>
      <c r="G289" s="2">
        <v>1</v>
      </c>
      <c r="H289" t="s">
        <v>461</v>
      </c>
      <c r="I289" t="s">
        <v>3</v>
      </c>
      <c r="J289" t="s">
        <v>8</v>
      </c>
      <c r="K289" t="s">
        <v>605</v>
      </c>
      <c r="L289" t="s">
        <v>608</v>
      </c>
      <c r="M289" t="s">
        <v>249</v>
      </c>
      <c r="N289" t="s">
        <v>602</v>
      </c>
      <c r="O289" t="s">
        <v>603</v>
      </c>
      <c r="P289" t="s">
        <v>602</v>
      </c>
      <c r="Q289" s="17">
        <f>IFERROR(VLOOKUP(A289,已除帳印單!B:C,1,0),0)*1</f>
        <v>0</v>
      </c>
      <c r="R289" s="67" t="str">
        <f>IFERROR(VLOOKUP(J289,線別!A:B,2,1),"")</f>
        <v>裝一線</v>
      </c>
      <c r="S289" s="17" t="str">
        <f>IFERROR(VLOOKUP(A289,已除帳印單!B:C,2,0),"")</f>
        <v/>
      </c>
      <c r="T289" s="68">
        <f t="shared" si="30"/>
        <v>43892</v>
      </c>
      <c r="U289" s="69">
        <f t="shared" si="31"/>
        <v>84.168773148148148</v>
      </c>
      <c r="V289" s="68" t="str">
        <f>IFERROR(VLOOKUP(A289,已除帳印單!B:D,3,0),"")</f>
        <v/>
      </c>
      <c r="W289" s="69" t="str">
        <f>IFERROR(VLOOKUP(A289,已除帳印單!B:E,4,0),"")</f>
        <v/>
      </c>
      <c r="X289" s="68" t="str">
        <f>IFERROR(INDEX(刷條碼區!A:C,MATCH(點上線資訊!S289,刷條碼區!C:C,0),1),"")</f>
        <v/>
      </c>
      <c r="Y289" s="69" t="str">
        <f>IFERROR(INDEX(刷條碼區!A:C,MATCH(點上線資訊!S289,刷條碼區!C:C,0),2),"")</f>
        <v/>
      </c>
      <c r="Z289" s="70" t="str">
        <f>IFERROR(INDEX(刷條碼區!D:G,MATCH(點上線資訊!S289,刷條碼區!F:F,0),1),"")</f>
        <v/>
      </c>
      <c r="AA289" s="71" t="str">
        <f>IFERROR(INDEX(刷條碼區!D:G,MATCH(點上線資訊!S289,刷條碼區!F:F,0),2),"")</f>
        <v/>
      </c>
      <c r="AB289" s="20" t="b">
        <f t="shared" si="26"/>
        <v>0</v>
      </c>
      <c r="AC289" s="20" t="b">
        <f t="shared" si="27"/>
        <v>0</v>
      </c>
      <c r="AD289" s="17" t="b">
        <f t="shared" si="28"/>
        <v>0</v>
      </c>
      <c r="AE289" s="17" t="b">
        <f t="shared" si="29"/>
        <v>0</v>
      </c>
    </row>
    <row r="290" spans="1:31" x14ac:dyDescent="0.2">
      <c r="A290" s="16">
        <v>5000493675</v>
      </c>
      <c r="B290" t="s">
        <v>0</v>
      </c>
      <c r="C290" t="s">
        <v>0</v>
      </c>
      <c r="D290" t="s">
        <v>1</v>
      </c>
      <c r="E290" t="s">
        <v>808</v>
      </c>
      <c r="F290" t="s">
        <v>809</v>
      </c>
      <c r="G290" s="2">
        <v>20</v>
      </c>
      <c r="H290" t="s">
        <v>461</v>
      </c>
      <c r="I290" t="s">
        <v>3</v>
      </c>
      <c r="J290" t="s">
        <v>19</v>
      </c>
      <c r="K290" t="s">
        <v>605</v>
      </c>
      <c r="L290" t="s">
        <v>608</v>
      </c>
      <c r="M290" t="s">
        <v>672</v>
      </c>
      <c r="N290" t="s">
        <v>602</v>
      </c>
      <c r="O290" t="s">
        <v>603</v>
      </c>
      <c r="P290" t="s">
        <v>602</v>
      </c>
      <c r="Q290" s="17">
        <f>IFERROR(VLOOKUP(A290,已除帳印單!B:C,1,0),0)*1</f>
        <v>0</v>
      </c>
      <c r="R290" s="67" t="str">
        <f>IFERROR(VLOOKUP(J290,線別!A:B,2,1),"")</f>
        <v>FM_IA預組</v>
      </c>
      <c r="S290" s="17" t="str">
        <f>IFERROR(VLOOKUP(A290,已除帳印單!B:C,2,0),"")</f>
        <v/>
      </c>
      <c r="T290" s="68">
        <f t="shared" si="30"/>
        <v>43892</v>
      </c>
      <c r="U290" s="69">
        <f t="shared" si="31"/>
        <v>84.168773148148148</v>
      </c>
      <c r="V290" s="68" t="str">
        <f>IFERROR(VLOOKUP(A290,已除帳印單!B:D,3,0),"")</f>
        <v/>
      </c>
      <c r="W290" s="69" t="str">
        <f>IFERROR(VLOOKUP(A290,已除帳印單!B:E,4,0),"")</f>
        <v/>
      </c>
      <c r="X290" s="68" t="str">
        <f>IFERROR(INDEX(刷條碼區!A:C,MATCH(點上線資訊!S290,刷條碼區!C:C,0),1),"")</f>
        <v/>
      </c>
      <c r="Y290" s="69" t="str">
        <f>IFERROR(INDEX(刷條碼區!A:C,MATCH(點上線資訊!S290,刷條碼區!C:C,0),2),"")</f>
        <v/>
      </c>
      <c r="Z290" s="70" t="str">
        <f>IFERROR(INDEX(刷條碼區!D:G,MATCH(點上線資訊!S290,刷條碼區!F:F,0),1),"")</f>
        <v/>
      </c>
      <c r="AA290" s="71" t="str">
        <f>IFERROR(INDEX(刷條碼區!D:G,MATCH(點上線資訊!S290,刷條碼區!F:F,0),2),"")</f>
        <v/>
      </c>
      <c r="AB290" s="20" t="b">
        <f t="shared" si="26"/>
        <v>0</v>
      </c>
      <c r="AC290" s="20" t="b">
        <f t="shared" si="27"/>
        <v>0</v>
      </c>
      <c r="AD290" s="17" t="b">
        <f t="shared" si="28"/>
        <v>0</v>
      </c>
      <c r="AE290" s="17" t="b">
        <f t="shared" si="29"/>
        <v>0</v>
      </c>
    </row>
    <row r="291" spans="1:31" x14ac:dyDescent="0.2">
      <c r="A291" s="16">
        <v>5000493676</v>
      </c>
      <c r="B291" t="s">
        <v>301</v>
      </c>
      <c r="C291" t="s">
        <v>301</v>
      </c>
      <c r="D291" t="s">
        <v>1</v>
      </c>
      <c r="E291" t="s">
        <v>357</v>
      </c>
      <c r="F291" t="s">
        <v>507</v>
      </c>
      <c r="G291" s="2">
        <v>20</v>
      </c>
      <c r="H291" t="s">
        <v>461</v>
      </c>
      <c r="I291" t="s">
        <v>3</v>
      </c>
      <c r="J291" t="s">
        <v>8</v>
      </c>
      <c r="K291" t="s">
        <v>602</v>
      </c>
      <c r="L291" t="s">
        <v>603</v>
      </c>
      <c r="M291" t="s">
        <v>602</v>
      </c>
      <c r="N291" t="s">
        <v>602</v>
      </c>
      <c r="O291" t="s">
        <v>603</v>
      </c>
      <c r="P291" t="s">
        <v>602</v>
      </c>
      <c r="Q291" s="17">
        <f>IFERROR(VLOOKUP(A291,已除帳印單!B:C,1,0),0)*1</f>
        <v>0</v>
      </c>
      <c r="R291" s="67" t="str">
        <f>IFERROR(VLOOKUP(J291,線別!A:B,2,1),"")</f>
        <v>裝一線</v>
      </c>
      <c r="S291" s="17" t="str">
        <f>IFERROR(VLOOKUP(A291,已除帳印單!B:C,2,0),"")</f>
        <v/>
      </c>
      <c r="T291" s="68">
        <f t="shared" si="30"/>
        <v>43894</v>
      </c>
      <c r="U291" s="69">
        <f t="shared" si="31"/>
        <v>84.168796296296293</v>
      </c>
      <c r="V291" s="68" t="str">
        <f>IFERROR(VLOOKUP(A291,已除帳印單!B:D,3,0),"")</f>
        <v/>
      </c>
      <c r="W291" s="69" t="str">
        <f>IFERROR(VLOOKUP(A291,已除帳印單!B:E,4,0),"")</f>
        <v/>
      </c>
      <c r="X291" s="68" t="str">
        <f>IFERROR(INDEX(刷條碼區!A:C,MATCH(點上線資訊!S291,刷條碼區!C:C,0),1),"")</f>
        <v/>
      </c>
      <c r="Y291" s="69" t="str">
        <f>IFERROR(INDEX(刷條碼區!A:C,MATCH(點上線資訊!S291,刷條碼區!C:C,0),2),"")</f>
        <v/>
      </c>
      <c r="Z291" s="70" t="str">
        <f>IFERROR(INDEX(刷條碼區!D:G,MATCH(點上線資訊!S291,刷條碼區!F:F,0),1),"")</f>
        <v/>
      </c>
      <c r="AA291" s="71" t="str">
        <f>IFERROR(INDEX(刷條碼區!D:G,MATCH(點上線資訊!S291,刷條碼區!F:F,0),2),"")</f>
        <v/>
      </c>
      <c r="AB291" s="20">
        <f t="shared" si="26"/>
        <v>20</v>
      </c>
      <c r="AC291" s="20" t="b">
        <f t="shared" si="27"/>
        <v>0</v>
      </c>
      <c r="AD291" s="17" t="b">
        <f t="shared" si="28"/>
        <v>0</v>
      </c>
      <c r="AE291" s="17" t="b">
        <f t="shared" si="29"/>
        <v>0</v>
      </c>
    </row>
    <row r="292" spans="1:31" x14ac:dyDescent="0.2">
      <c r="A292" s="16">
        <v>5000493677</v>
      </c>
      <c r="B292" t="s">
        <v>301</v>
      </c>
      <c r="C292" t="s">
        <v>301</v>
      </c>
      <c r="D292" t="s">
        <v>1</v>
      </c>
      <c r="E292" t="s">
        <v>357</v>
      </c>
      <c r="F292" t="s">
        <v>507</v>
      </c>
      <c r="G292" s="2">
        <v>10</v>
      </c>
      <c r="H292" t="s">
        <v>461</v>
      </c>
      <c r="I292" t="s">
        <v>3</v>
      </c>
      <c r="J292" t="s">
        <v>8</v>
      </c>
      <c r="K292" t="s">
        <v>602</v>
      </c>
      <c r="L292" t="s">
        <v>603</v>
      </c>
      <c r="M292" t="s">
        <v>602</v>
      </c>
      <c r="N292" t="s">
        <v>602</v>
      </c>
      <c r="O292" t="s">
        <v>603</v>
      </c>
      <c r="P292" t="s">
        <v>602</v>
      </c>
      <c r="Q292" s="17">
        <f>IFERROR(VLOOKUP(A292,已除帳印單!B:C,1,0),0)*1</f>
        <v>0</v>
      </c>
      <c r="R292" s="67" t="str">
        <f>IFERROR(VLOOKUP(J292,線別!A:B,2,1),"")</f>
        <v>裝一線</v>
      </c>
      <c r="S292" s="17" t="str">
        <f>IFERROR(VLOOKUP(A292,已除帳印單!B:C,2,0),"")</f>
        <v/>
      </c>
      <c r="T292" s="68">
        <f t="shared" si="30"/>
        <v>43894</v>
      </c>
      <c r="U292" s="69">
        <f t="shared" si="31"/>
        <v>84.168796296296293</v>
      </c>
      <c r="V292" s="68" t="str">
        <f>IFERROR(VLOOKUP(A292,已除帳印單!B:D,3,0),"")</f>
        <v/>
      </c>
      <c r="W292" s="69" t="str">
        <f>IFERROR(VLOOKUP(A292,已除帳印單!B:E,4,0),"")</f>
        <v/>
      </c>
      <c r="X292" s="68" t="str">
        <f>IFERROR(INDEX(刷條碼區!A:C,MATCH(點上線資訊!S292,刷條碼區!C:C,0),1),"")</f>
        <v/>
      </c>
      <c r="Y292" s="69" t="str">
        <f>IFERROR(INDEX(刷條碼區!A:C,MATCH(點上線資訊!S292,刷條碼區!C:C,0),2),"")</f>
        <v/>
      </c>
      <c r="Z292" s="70" t="str">
        <f>IFERROR(INDEX(刷條碼區!D:G,MATCH(點上線資訊!S292,刷條碼區!F:F,0),1),"")</f>
        <v/>
      </c>
      <c r="AA292" s="71" t="str">
        <f>IFERROR(INDEX(刷條碼區!D:G,MATCH(點上線資訊!S292,刷條碼區!F:F,0),2),"")</f>
        <v/>
      </c>
      <c r="AB292" s="20">
        <f t="shared" si="26"/>
        <v>10</v>
      </c>
      <c r="AC292" s="20" t="b">
        <f t="shared" si="27"/>
        <v>0</v>
      </c>
      <c r="AD292" s="17" t="b">
        <f t="shared" si="28"/>
        <v>0</v>
      </c>
      <c r="AE292" s="17" t="b">
        <f t="shared" si="29"/>
        <v>0</v>
      </c>
    </row>
    <row r="293" spans="1:31" x14ac:dyDescent="0.2">
      <c r="A293" s="16">
        <v>5000493678</v>
      </c>
      <c r="B293" t="s">
        <v>0</v>
      </c>
      <c r="C293" t="s">
        <v>0</v>
      </c>
      <c r="D293" t="s">
        <v>1</v>
      </c>
      <c r="E293" t="s">
        <v>881</v>
      </c>
      <c r="F293" t="s">
        <v>882</v>
      </c>
      <c r="G293" s="2">
        <v>20</v>
      </c>
      <c r="H293" t="s">
        <v>461</v>
      </c>
      <c r="I293" t="s">
        <v>3</v>
      </c>
      <c r="J293" t="s">
        <v>8</v>
      </c>
      <c r="K293" t="s">
        <v>605</v>
      </c>
      <c r="L293" t="s">
        <v>608</v>
      </c>
      <c r="M293" t="s">
        <v>883</v>
      </c>
      <c r="N293" t="s">
        <v>602</v>
      </c>
      <c r="O293" t="s">
        <v>603</v>
      </c>
      <c r="P293" t="s">
        <v>602</v>
      </c>
      <c r="Q293" s="17">
        <f>IFERROR(VLOOKUP(A293,已除帳印單!B:C,1,0),0)*1</f>
        <v>0</v>
      </c>
      <c r="R293" s="67" t="str">
        <f>IFERROR(VLOOKUP(J293,線別!A:B,2,1),"")</f>
        <v>裝一線</v>
      </c>
      <c r="S293" s="17" t="str">
        <f>IFERROR(VLOOKUP(A293,已除帳印單!B:C,2,0),"")</f>
        <v/>
      </c>
      <c r="T293" s="68">
        <f t="shared" si="30"/>
        <v>43892</v>
      </c>
      <c r="U293" s="69">
        <f t="shared" si="31"/>
        <v>84.168773148148148</v>
      </c>
      <c r="V293" s="68" t="str">
        <f>IFERROR(VLOOKUP(A293,已除帳印單!B:D,3,0),"")</f>
        <v/>
      </c>
      <c r="W293" s="69" t="str">
        <f>IFERROR(VLOOKUP(A293,已除帳印單!B:E,4,0),"")</f>
        <v/>
      </c>
      <c r="X293" s="68" t="str">
        <f>IFERROR(INDEX(刷條碼區!A:C,MATCH(點上線資訊!S293,刷條碼區!C:C,0),1),"")</f>
        <v/>
      </c>
      <c r="Y293" s="69" t="str">
        <f>IFERROR(INDEX(刷條碼區!A:C,MATCH(點上線資訊!S293,刷條碼區!C:C,0),2),"")</f>
        <v/>
      </c>
      <c r="Z293" s="70" t="str">
        <f>IFERROR(INDEX(刷條碼區!D:G,MATCH(點上線資訊!S293,刷條碼區!F:F,0),1),"")</f>
        <v/>
      </c>
      <c r="AA293" s="71" t="str">
        <f>IFERROR(INDEX(刷條碼區!D:G,MATCH(點上線資訊!S293,刷條碼區!F:F,0),2),"")</f>
        <v/>
      </c>
      <c r="AB293" s="20" t="b">
        <f t="shared" si="26"/>
        <v>0</v>
      </c>
      <c r="AC293" s="20" t="b">
        <f t="shared" si="27"/>
        <v>0</v>
      </c>
      <c r="AD293" s="17" t="b">
        <f t="shared" si="28"/>
        <v>0</v>
      </c>
      <c r="AE293" s="17" t="b">
        <f t="shared" si="29"/>
        <v>0</v>
      </c>
    </row>
    <row r="294" spans="1:31" x14ac:dyDescent="0.2">
      <c r="A294" s="16">
        <v>5000493679</v>
      </c>
      <c r="B294" t="s">
        <v>0</v>
      </c>
      <c r="C294" t="s">
        <v>0</v>
      </c>
      <c r="D294" t="s">
        <v>1</v>
      </c>
      <c r="E294" t="s">
        <v>881</v>
      </c>
      <c r="F294" t="s">
        <v>882</v>
      </c>
      <c r="G294" s="2">
        <v>20</v>
      </c>
      <c r="H294" t="s">
        <v>461</v>
      </c>
      <c r="I294" t="s">
        <v>3</v>
      </c>
      <c r="J294" t="s">
        <v>8</v>
      </c>
      <c r="K294" t="s">
        <v>605</v>
      </c>
      <c r="L294" t="s">
        <v>608</v>
      </c>
      <c r="M294" t="s">
        <v>883</v>
      </c>
      <c r="N294" t="s">
        <v>602</v>
      </c>
      <c r="O294" t="s">
        <v>603</v>
      </c>
      <c r="P294" t="s">
        <v>602</v>
      </c>
      <c r="Q294" s="17">
        <f>IFERROR(VLOOKUP(A294,已除帳印單!B:C,1,0),0)*1</f>
        <v>0</v>
      </c>
      <c r="R294" s="67" t="str">
        <f>IFERROR(VLOOKUP(J294,線別!A:B,2,1),"")</f>
        <v>裝一線</v>
      </c>
      <c r="S294" s="17" t="str">
        <f>IFERROR(VLOOKUP(A294,已除帳印單!B:C,2,0),"")</f>
        <v/>
      </c>
      <c r="T294" s="68">
        <f t="shared" si="30"/>
        <v>43892</v>
      </c>
      <c r="U294" s="69">
        <f t="shared" si="31"/>
        <v>84.168773148148148</v>
      </c>
      <c r="V294" s="68" t="str">
        <f>IFERROR(VLOOKUP(A294,已除帳印單!B:D,3,0),"")</f>
        <v/>
      </c>
      <c r="W294" s="69" t="str">
        <f>IFERROR(VLOOKUP(A294,已除帳印單!B:E,4,0),"")</f>
        <v/>
      </c>
      <c r="X294" s="68" t="str">
        <f>IFERROR(INDEX(刷條碼區!A:C,MATCH(點上線資訊!S294,刷條碼區!C:C,0),1),"")</f>
        <v/>
      </c>
      <c r="Y294" s="69" t="str">
        <f>IFERROR(INDEX(刷條碼區!A:C,MATCH(點上線資訊!S294,刷條碼區!C:C,0),2),"")</f>
        <v/>
      </c>
      <c r="Z294" s="70" t="str">
        <f>IFERROR(INDEX(刷條碼區!D:G,MATCH(點上線資訊!S294,刷條碼區!F:F,0),1),"")</f>
        <v/>
      </c>
      <c r="AA294" s="71" t="str">
        <f>IFERROR(INDEX(刷條碼區!D:G,MATCH(點上線資訊!S294,刷條碼區!F:F,0),2),"")</f>
        <v/>
      </c>
      <c r="AB294" s="20" t="b">
        <f t="shared" si="26"/>
        <v>0</v>
      </c>
      <c r="AC294" s="20" t="b">
        <f t="shared" si="27"/>
        <v>0</v>
      </c>
      <c r="AD294" s="17" t="b">
        <f t="shared" si="28"/>
        <v>0</v>
      </c>
      <c r="AE294" s="17" t="b">
        <f t="shared" si="29"/>
        <v>0</v>
      </c>
    </row>
    <row r="295" spans="1:31" x14ac:dyDescent="0.2">
      <c r="A295" s="16">
        <v>5000493681</v>
      </c>
      <c r="B295" t="s">
        <v>301</v>
      </c>
      <c r="C295" t="s">
        <v>301</v>
      </c>
      <c r="D295" t="s">
        <v>1</v>
      </c>
      <c r="E295" t="s">
        <v>356</v>
      </c>
      <c r="F295" t="s">
        <v>501</v>
      </c>
      <c r="G295" s="2">
        <v>20</v>
      </c>
      <c r="H295" t="s">
        <v>461</v>
      </c>
      <c r="I295" t="s">
        <v>3</v>
      </c>
      <c r="J295" t="s">
        <v>8</v>
      </c>
      <c r="K295" t="s">
        <v>602</v>
      </c>
      <c r="L295" t="s">
        <v>603</v>
      </c>
      <c r="M295" t="s">
        <v>602</v>
      </c>
      <c r="N295" t="s">
        <v>602</v>
      </c>
      <c r="O295" t="s">
        <v>603</v>
      </c>
      <c r="P295" t="s">
        <v>602</v>
      </c>
      <c r="Q295" s="17">
        <f>IFERROR(VLOOKUP(A295,已除帳印單!B:C,1,0),0)*1</f>
        <v>0</v>
      </c>
      <c r="R295" s="67" t="str">
        <f>IFERROR(VLOOKUP(J295,線別!A:B,2,1),"")</f>
        <v>裝一線</v>
      </c>
      <c r="S295" s="17" t="str">
        <f>IFERROR(VLOOKUP(A295,已除帳印單!B:C,2,0),"")</f>
        <v/>
      </c>
      <c r="T295" s="68">
        <f t="shared" si="30"/>
        <v>43894</v>
      </c>
      <c r="U295" s="69">
        <f t="shared" si="31"/>
        <v>84.168796296296293</v>
      </c>
      <c r="V295" s="68" t="str">
        <f>IFERROR(VLOOKUP(A295,已除帳印單!B:D,3,0),"")</f>
        <v/>
      </c>
      <c r="W295" s="69" t="str">
        <f>IFERROR(VLOOKUP(A295,已除帳印單!B:E,4,0),"")</f>
        <v/>
      </c>
      <c r="X295" s="68" t="str">
        <f>IFERROR(INDEX(刷條碼區!A:C,MATCH(點上線資訊!S295,刷條碼區!C:C,0),1),"")</f>
        <v/>
      </c>
      <c r="Y295" s="69" t="str">
        <f>IFERROR(INDEX(刷條碼區!A:C,MATCH(點上線資訊!S295,刷條碼區!C:C,0),2),"")</f>
        <v/>
      </c>
      <c r="Z295" s="70" t="str">
        <f>IFERROR(INDEX(刷條碼區!D:G,MATCH(點上線資訊!S295,刷條碼區!F:F,0),1),"")</f>
        <v/>
      </c>
      <c r="AA295" s="71" t="str">
        <f>IFERROR(INDEX(刷條碼區!D:G,MATCH(點上線資訊!S295,刷條碼區!F:F,0),2),"")</f>
        <v/>
      </c>
      <c r="AB295" s="20">
        <f t="shared" si="26"/>
        <v>20</v>
      </c>
      <c r="AC295" s="20" t="b">
        <f t="shared" si="27"/>
        <v>0</v>
      </c>
      <c r="AD295" s="17" t="b">
        <f t="shared" si="28"/>
        <v>0</v>
      </c>
      <c r="AE295" s="17" t="b">
        <f t="shared" si="29"/>
        <v>0</v>
      </c>
    </row>
    <row r="296" spans="1:31" x14ac:dyDescent="0.2">
      <c r="A296" s="16">
        <v>5000493683</v>
      </c>
      <c r="B296" t="s">
        <v>301</v>
      </c>
      <c r="C296" t="s">
        <v>301</v>
      </c>
      <c r="D296" t="s">
        <v>1</v>
      </c>
      <c r="E296" t="s">
        <v>356</v>
      </c>
      <c r="F296" t="s">
        <v>501</v>
      </c>
      <c r="G296" s="2">
        <v>20</v>
      </c>
      <c r="H296" t="s">
        <v>461</v>
      </c>
      <c r="I296" t="s">
        <v>3</v>
      </c>
      <c r="J296" t="s">
        <v>8</v>
      </c>
      <c r="K296" t="s">
        <v>602</v>
      </c>
      <c r="L296" t="s">
        <v>603</v>
      </c>
      <c r="M296" t="s">
        <v>602</v>
      </c>
      <c r="N296" t="s">
        <v>602</v>
      </c>
      <c r="O296" t="s">
        <v>603</v>
      </c>
      <c r="P296" t="s">
        <v>602</v>
      </c>
      <c r="Q296" s="17">
        <f>IFERROR(VLOOKUP(A296,已除帳印單!B:C,1,0),0)*1</f>
        <v>0</v>
      </c>
      <c r="R296" s="67" t="str">
        <f>IFERROR(VLOOKUP(J296,線別!A:B,2,1),"")</f>
        <v>裝一線</v>
      </c>
      <c r="S296" s="17" t="str">
        <f>IFERROR(VLOOKUP(A296,已除帳印單!B:C,2,0),"")</f>
        <v/>
      </c>
      <c r="T296" s="68">
        <f t="shared" si="30"/>
        <v>43894</v>
      </c>
      <c r="U296" s="69">
        <f t="shared" si="31"/>
        <v>84.168796296296293</v>
      </c>
      <c r="V296" s="68" t="str">
        <f>IFERROR(VLOOKUP(A296,已除帳印單!B:D,3,0),"")</f>
        <v/>
      </c>
      <c r="W296" s="69" t="str">
        <f>IFERROR(VLOOKUP(A296,已除帳印單!B:E,4,0),"")</f>
        <v/>
      </c>
      <c r="X296" s="68" t="str">
        <f>IFERROR(INDEX(刷條碼區!A:C,MATCH(點上線資訊!S296,刷條碼區!C:C,0),1),"")</f>
        <v/>
      </c>
      <c r="Y296" s="69" t="str">
        <f>IFERROR(INDEX(刷條碼區!A:C,MATCH(點上線資訊!S296,刷條碼區!C:C,0),2),"")</f>
        <v/>
      </c>
      <c r="Z296" s="70" t="str">
        <f>IFERROR(INDEX(刷條碼區!D:G,MATCH(點上線資訊!S296,刷條碼區!F:F,0),1),"")</f>
        <v/>
      </c>
      <c r="AA296" s="71" t="str">
        <f>IFERROR(INDEX(刷條碼區!D:G,MATCH(點上線資訊!S296,刷條碼區!F:F,0),2),"")</f>
        <v/>
      </c>
      <c r="AB296" s="20">
        <f t="shared" si="26"/>
        <v>20</v>
      </c>
      <c r="AC296" s="20" t="b">
        <f t="shared" si="27"/>
        <v>0</v>
      </c>
      <c r="AD296" s="17" t="b">
        <f t="shared" si="28"/>
        <v>0</v>
      </c>
      <c r="AE296" s="17" t="b">
        <f t="shared" si="29"/>
        <v>0</v>
      </c>
    </row>
    <row r="297" spans="1:31" x14ac:dyDescent="0.2">
      <c r="A297" s="16">
        <v>5000493684</v>
      </c>
      <c r="B297" t="s">
        <v>301</v>
      </c>
      <c r="C297" t="s">
        <v>301</v>
      </c>
      <c r="D297" t="s">
        <v>1</v>
      </c>
      <c r="E297" t="s">
        <v>356</v>
      </c>
      <c r="F297" t="s">
        <v>501</v>
      </c>
      <c r="G297" s="2">
        <v>20</v>
      </c>
      <c r="H297" t="s">
        <v>461</v>
      </c>
      <c r="I297" t="s">
        <v>3</v>
      </c>
      <c r="J297" t="s">
        <v>8</v>
      </c>
      <c r="K297" t="s">
        <v>602</v>
      </c>
      <c r="L297" t="s">
        <v>603</v>
      </c>
      <c r="M297" t="s">
        <v>602</v>
      </c>
      <c r="N297" t="s">
        <v>602</v>
      </c>
      <c r="O297" t="s">
        <v>603</v>
      </c>
      <c r="P297" t="s">
        <v>602</v>
      </c>
      <c r="Q297" s="17">
        <f>IFERROR(VLOOKUP(A297,已除帳印單!B:C,1,0),0)*1</f>
        <v>0</v>
      </c>
      <c r="R297" s="67" t="str">
        <f>IFERROR(VLOOKUP(J297,線別!A:B,2,1),"")</f>
        <v>裝一線</v>
      </c>
      <c r="S297" s="17" t="str">
        <f>IFERROR(VLOOKUP(A297,已除帳印單!B:C,2,0),"")</f>
        <v/>
      </c>
      <c r="T297" s="68">
        <f t="shared" si="30"/>
        <v>43894</v>
      </c>
      <c r="U297" s="69">
        <f t="shared" si="31"/>
        <v>84.168796296296293</v>
      </c>
      <c r="V297" s="68" t="str">
        <f>IFERROR(VLOOKUP(A297,已除帳印單!B:D,3,0),"")</f>
        <v/>
      </c>
      <c r="W297" s="69" t="str">
        <f>IFERROR(VLOOKUP(A297,已除帳印單!B:E,4,0),"")</f>
        <v/>
      </c>
      <c r="X297" s="68" t="str">
        <f>IFERROR(INDEX(刷條碼區!A:C,MATCH(點上線資訊!S297,刷條碼區!C:C,0),1),"")</f>
        <v/>
      </c>
      <c r="Y297" s="69" t="str">
        <f>IFERROR(INDEX(刷條碼區!A:C,MATCH(點上線資訊!S297,刷條碼區!C:C,0),2),"")</f>
        <v/>
      </c>
      <c r="Z297" s="70" t="str">
        <f>IFERROR(INDEX(刷條碼區!D:G,MATCH(點上線資訊!S297,刷條碼區!F:F,0),1),"")</f>
        <v/>
      </c>
      <c r="AA297" s="71" t="str">
        <f>IFERROR(INDEX(刷條碼區!D:G,MATCH(點上線資訊!S297,刷條碼區!F:F,0),2),"")</f>
        <v/>
      </c>
      <c r="AB297" s="20">
        <f t="shared" si="26"/>
        <v>20</v>
      </c>
      <c r="AC297" s="20" t="b">
        <f t="shared" si="27"/>
        <v>0</v>
      </c>
      <c r="AD297" s="17" t="b">
        <f t="shared" si="28"/>
        <v>0</v>
      </c>
      <c r="AE297" s="17" t="b">
        <f t="shared" si="29"/>
        <v>0</v>
      </c>
    </row>
    <row r="298" spans="1:31" x14ac:dyDescent="0.2">
      <c r="A298" s="16">
        <v>5000493685</v>
      </c>
      <c r="B298" t="s">
        <v>301</v>
      </c>
      <c r="C298" t="s">
        <v>301</v>
      </c>
      <c r="D298" t="s">
        <v>1</v>
      </c>
      <c r="E298" t="s">
        <v>356</v>
      </c>
      <c r="F298" t="s">
        <v>501</v>
      </c>
      <c r="G298" s="2">
        <v>20</v>
      </c>
      <c r="H298" t="s">
        <v>461</v>
      </c>
      <c r="I298" t="s">
        <v>3</v>
      </c>
      <c r="J298" t="s">
        <v>8</v>
      </c>
      <c r="K298" t="s">
        <v>602</v>
      </c>
      <c r="L298" t="s">
        <v>603</v>
      </c>
      <c r="M298" t="s">
        <v>602</v>
      </c>
      <c r="N298" t="s">
        <v>602</v>
      </c>
      <c r="O298" t="s">
        <v>603</v>
      </c>
      <c r="P298" t="s">
        <v>602</v>
      </c>
      <c r="Q298" s="17">
        <f>IFERROR(VLOOKUP(A298,已除帳印單!B:C,1,0),0)*1</f>
        <v>0</v>
      </c>
      <c r="R298" s="67" t="str">
        <f>IFERROR(VLOOKUP(J298,線別!A:B,2,1),"")</f>
        <v>裝一線</v>
      </c>
      <c r="S298" s="17" t="str">
        <f>IFERROR(VLOOKUP(A298,已除帳印單!B:C,2,0),"")</f>
        <v/>
      </c>
      <c r="T298" s="68">
        <f t="shared" si="30"/>
        <v>43894</v>
      </c>
      <c r="U298" s="69">
        <f t="shared" si="31"/>
        <v>84.168796296296293</v>
      </c>
      <c r="V298" s="68" t="str">
        <f>IFERROR(VLOOKUP(A298,已除帳印單!B:D,3,0),"")</f>
        <v/>
      </c>
      <c r="W298" s="69" t="str">
        <f>IFERROR(VLOOKUP(A298,已除帳印單!B:E,4,0),"")</f>
        <v/>
      </c>
      <c r="X298" s="68" t="str">
        <f>IFERROR(INDEX(刷條碼區!A:C,MATCH(點上線資訊!S298,刷條碼區!C:C,0),1),"")</f>
        <v/>
      </c>
      <c r="Y298" s="69" t="str">
        <f>IFERROR(INDEX(刷條碼區!A:C,MATCH(點上線資訊!S298,刷條碼區!C:C,0),2),"")</f>
        <v/>
      </c>
      <c r="Z298" s="70" t="str">
        <f>IFERROR(INDEX(刷條碼區!D:G,MATCH(點上線資訊!S298,刷條碼區!F:F,0),1),"")</f>
        <v/>
      </c>
      <c r="AA298" s="71" t="str">
        <f>IFERROR(INDEX(刷條碼區!D:G,MATCH(點上線資訊!S298,刷條碼區!F:F,0),2),"")</f>
        <v/>
      </c>
      <c r="AB298" s="20">
        <f t="shared" si="26"/>
        <v>20</v>
      </c>
      <c r="AC298" s="20" t="b">
        <f t="shared" si="27"/>
        <v>0</v>
      </c>
      <c r="AD298" s="17" t="b">
        <f t="shared" si="28"/>
        <v>0</v>
      </c>
      <c r="AE298" s="17" t="b">
        <f t="shared" si="29"/>
        <v>0</v>
      </c>
    </row>
    <row r="299" spans="1:31" x14ac:dyDescent="0.2">
      <c r="A299" s="16">
        <v>5000493686</v>
      </c>
      <c r="B299" t="s">
        <v>301</v>
      </c>
      <c r="C299" t="s">
        <v>301</v>
      </c>
      <c r="D299" t="s">
        <v>1</v>
      </c>
      <c r="E299" t="s">
        <v>356</v>
      </c>
      <c r="F299" t="s">
        <v>501</v>
      </c>
      <c r="G299" s="2">
        <v>20</v>
      </c>
      <c r="H299" t="s">
        <v>461</v>
      </c>
      <c r="I299" t="s">
        <v>3</v>
      </c>
      <c r="J299" t="s">
        <v>8</v>
      </c>
      <c r="K299" t="s">
        <v>602</v>
      </c>
      <c r="L299" t="s">
        <v>603</v>
      </c>
      <c r="M299" t="s">
        <v>602</v>
      </c>
      <c r="N299" t="s">
        <v>602</v>
      </c>
      <c r="O299" t="s">
        <v>603</v>
      </c>
      <c r="P299" t="s">
        <v>602</v>
      </c>
      <c r="Q299" s="17">
        <f>IFERROR(VLOOKUP(A299,已除帳印單!B:C,1,0),0)*1</f>
        <v>0</v>
      </c>
      <c r="R299" s="67" t="str">
        <f>IFERROR(VLOOKUP(J299,線別!A:B,2,1),"")</f>
        <v>裝一線</v>
      </c>
      <c r="S299" s="17" t="str">
        <f>IFERROR(VLOOKUP(A299,已除帳印單!B:C,2,0),"")</f>
        <v/>
      </c>
      <c r="T299" s="68">
        <f t="shared" si="30"/>
        <v>43894</v>
      </c>
      <c r="U299" s="69">
        <f t="shared" si="31"/>
        <v>84.168796296296293</v>
      </c>
      <c r="V299" s="68" t="str">
        <f>IFERROR(VLOOKUP(A299,已除帳印單!B:D,3,0),"")</f>
        <v/>
      </c>
      <c r="W299" s="69" t="str">
        <f>IFERROR(VLOOKUP(A299,已除帳印單!B:E,4,0),"")</f>
        <v/>
      </c>
      <c r="X299" s="68" t="str">
        <f>IFERROR(INDEX(刷條碼區!A:C,MATCH(點上線資訊!S299,刷條碼區!C:C,0),1),"")</f>
        <v/>
      </c>
      <c r="Y299" s="69" t="str">
        <f>IFERROR(INDEX(刷條碼區!A:C,MATCH(點上線資訊!S299,刷條碼區!C:C,0),2),"")</f>
        <v/>
      </c>
      <c r="Z299" s="70" t="str">
        <f>IFERROR(INDEX(刷條碼區!D:G,MATCH(點上線資訊!S299,刷條碼區!F:F,0),1),"")</f>
        <v/>
      </c>
      <c r="AA299" s="71" t="str">
        <f>IFERROR(INDEX(刷條碼區!D:G,MATCH(點上線資訊!S299,刷條碼區!F:F,0),2),"")</f>
        <v/>
      </c>
      <c r="AB299" s="20">
        <f t="shared" si="26"/>
        <v>20</v>
      </c>
      <c r="AC299" s="20" t="b">
        <f t="shared" si="27"/>
        <v>0</v>
      </c>
      <c r="AD299" s="17" t="b">
        <f t="shared" si="28"/>
        <v>0</v>
      </c>
      <c r="AE299" s="17" t="b">
        <f t="shared" si="29"/>
        <v>0</v>
      </c>
    </row>
    <row r="300" spans="1:31" x14ac:dyDescent="0.2">
      <c r="A300" s="16">
        <v>5000493687</v>
      </c>
      <c r="B300" t="s">
        <v>301</v>
      </c>
      <c r="C300" t="s">
        <v>301</v>
      </c>
      <c r="D300" t="s">
        <v>1</v>
      </c>
      <c r="E300" t="s">
        <v>356</v>
      </c>
      <c r="F300" t="s">
        <v>501</v>
      </c>
      <c r="G300" s="2">
        <v>20</v>
      </c>
      <c r="H300" t="s">
        <v>461</v>
      </c>
      <c r="I300" t="s">
        <v>3</v>
      </c>
      <c r="J300" t="s">
        <v>8</v>
      </c>
      <c r="K300" t="s">
        <v>602</v>
      </c>
      <c r="L300" t="s">
        <v>603</v>
      </c>
      <c r="M300" t="s">
        <v>602</v>
      </c>
      <c r="N300" t="s">
        <v>602</v>
      </c>
      <c r="O300" t="s">
        <v>603</v>
      </c>
      <c r="P300" t="s">
        <v>602</v>
      </c>
      <c r="Q300" s="17">
        <f>IFERROR(VLOOKUP(A300,已除帳印單!B:C,1,0),0)*1</f>
        <v>0</v>
      </c>
      <c r="R300" s="67" t="str">
        <f>IFERROR(VLOOKUP(J300,線別!A:B,2,1),"")</f>
        <v>裝一線</v>
      </c>
      <c r="S300" s="17" t="str">
        <f>IFERROR(VLOOKUP(A300,已除帳印單!B:C,2,0),"")</f>
        <v/>
      </c>
      <c r="T300" s="68">
        <f t="shared" si="30"/>
        <v>43894</v>
      </c>
      <c r="U300" s="69">
        <f t="shared" si="31"/>
        <v>84.168796296296293</v>
      </c>
      <c r="V300" s="68" t="str">
        <f>IFERROR(VLOOKUP(A300,已除帳印單!B:D,3,0),"")</f>
        <v/>
      </c>
      <c r="W300" s="69" t="str">
        <f>IFERROR(VLOOKUP(A300,已除帳印單!B:E,4,0),"")</f>
        <v/>
      </c>
      <c r="X300" s="68" t="str">
        <f>IFERROR(INDEX(刷條碼區!A:C,MATCH(點上線資訊!S300,刷條碼區!C:C,0),1),"")</f>
        <v/>
      </c>
      <c r="Y300" s="69" t="str">
        <f>IFERROR(INDEX(刷條碼區!A:C,MATCH(點上線資訊!S300,刷條碼區!C:C,0),2),"")</f>
        <v/>
      </c>
      <c r="Z300" s="70" t="str">
        <f>IFERROR(INDEX(刷條碼區!D:G,MATCH(點上線資訊!S300,刷條碼區!F:F,0),1),"")</f>
        <v/>
      </c>
      <c r="AA300" s="71" t="str">
        <f>IFERROR(INDEX(刷條碼區!D:G,MATCH(點上線資訊!S300,刷條碼區!F:F,0),2),"")</f>
        <v/>
      </c>
      <c r="AB300" s="20">
        <f t="shared" si="26"/>
        <v>20</v>
      </c>
      <c r="AC300" s="20" t="b">
        <f t="shared" si="27"/>
        <v>0</v>
      </c>
      <c r="AD300" s="17" t="b">
        <f t="shared" si="28"/>
        <v>0</v>
      </c>
      <c r="AE300" s="17" t="b">
        <f t="shared" si="29"/>
        <v>0</v>
      </c>
    </row>
    <row r="301" spans="1:31" x14ac:dyDescent="0.2">
      <c r="A301" s="16">
        <v>5000493688</v>
      </c>
      <c r="B301" t="s">
        <v>0</v>
      </c>
      <c r="C301" t="s">
        <v>0</v>
      </c>
      <c r="D301" t="s">
        <v>1</v>
      </c>
      <c r="E301" t="s">
        <v>811</v>
      </c>
      <c r="F301" t="s">
        <v>812</v>
      </c>
      <c r="G301" s="2">
        <v>20</v>
      </c>
      <c r="H301" t="s">
        <v>461</v>
      </c>
      <c r="I301" t="s">
        <v>3</v>
      </c>
      <c r="J301" t="s">
        <v>8</v>
      </c>
      <c r="K301" t="s">
        <v>605</v>
      </c>
      <c r="L301" t="s">
        <v>608</v>
      </c>
      <c r="M301" t="s">
        <v>668</v>
      </c>
      <c r="N301" t="s">
        <v>602</v>
      </c>
      <c r="O301" t="s">
        <v>603</v>
      </c>
      <c r="P301" t="s">
        <v>602</v>
      </c>
      <c r="Q301" s="17">
        <f>IFERROR(VLOOKUP(A301,已除帳印單!B:C,1,0),0)*1</f>
        <v>0</v>
      </c>
      <c r="R301" s="67" t="str">
        <f>IFERROR(VLOOKUP(J301,線別!A:B,2,1),"")</f>
        <v>裝一線</v>
      </c>
      <c r="S301" s="17" t="str">
        <f>IFERROR(VLOOKUP(A301,已除帳印單!B:C,2,0),"")</f>
        <v/>
      </c>
      <c r="T301" s="68">
        <f t="shared" si="30"/>
        <v>43892</v>
      </c>
      <c r="U301" s="69">
        <f t="shared" si="31"/>
        <v>84.168773148148148</v>
      </c>
      <c r="V301" s="68" t="str">
        <f>IFERROR(VLOOKUP(A301,已除帳印單!B:D,3,0),"")</f>
        <v/>
      </c>
      <c r="W301" s="69" t="str">
        <f>IFERROR(VLOOKUP(A301,已除帳印單!B:E,4,0),"")</f>
        <v/>
      </c>
      <c r="X301" s="68" t="str">
        <f>IFERROR(INDEX(刷條碼區!A:C,MATCH(點上線資訊!S301,刷條碼區!C:C,0),1),"")</f>
        <v/>
      </c>
      <c r="Y301" s="69" t="str">
        <f>IFERROR(INDEX(刷條碼區!A:C,MATCH(點上線資訊!S301,刷條碼區!C:C,0),2),"")</f>
        <v/>
      </c>
      <c r="Z301" s="70" t="str">
        <f>IFERROR(INDEX(刷條碼區!D:G,MATCH(點上線資訊!S301,刷條碼區!F:F,0),1),"")</f>
        <v/>
      </c>
      <c r="AA301" s="71" t="str">
        <f>IFERROR(INDEX(刷條碼區!D:G,MATCH(點上線資訊!S301,刷條碼區!F:F,0),2),"")</f>
        <v/>
      </c>
      <c r="AB301" s="20" t="b">
        <f t="shared" si="26"/>
        <v>0</v>
      </c>
      <c r="AC301" s="20" t="b">
        <f t="shared" si="27"/>
        <v>0</v>
      </c>
      <c r="AD301" s="17" t="b">
        <f t="shared" si="28"/>
        <v>0</v>
      </c>
      <c r="AE301" s="17" t="b">
        <f t="shared" si="29"/>
        <v>0</v>
      </c>
    </row>
    <row r="302" spans="1:31" x14ac:dyDescent="0.2">
      <c r="A302" s="16">
        <v>5000493690</v>
      </c>
      <c r="B302" t="s">
        <v>301</v>
      </c>
      <c r="C302" t="s">
        <v>301</v>
      </c>
      <c r="D302" t="s">
        <v>1</v>
      </c>
      <c r="E302" t="s">
        <v>336</v>
      </c>
      <c r="F302" t="s">
        <v>508</v>
      </c>
      <c r="G302" s="2">
        <v>5</v>
      </c>
      <c r="H302" t="s">
        <v>461</v>
      </c>
      <c r="I302" t="s">
        <v>3</v>
      </c>
      <c r="J302" t="s">
        <v>8</v>
      </c>
      <c r="K302" t="s">
        <v>602</v>
      </c>
      <c r="L302" t="s">
        <v>603</v>
      </c>
      <c r="M302" t="s">
        <v>602</v>
      </c>
      <c r="N302" t="s">
        <v>602</v>
      </c>
      <c r="O302" t="s">
        <v>603</v>
      </c>
      <c r="P302" t="s">
        <v>602</v>
      </c>
      <c r="Q302" s="17">
        <f>IFERROR(VLOOKUP(A302,已除帳印單!B:C,1,0),0)*1</f>
        <v>0</v>
      </c>
      <c r="R302" s="67" t="str">
        <f>IFERROR(VLOOKUP(J302,線別!A:B,2,1),"")</f>
        <v>裝一線</v>
      </c>
      <c r="S302" s="17" t="str">
        <f>IFERROR(VLOOKUP(A302,已除帳印單!B:C,2,0),"")</f>
        <v/>
      </c>
      <c r="T302" s="68">
        <f t="shared" si="30"/>
        <v>43894</v>
      </c>
      <c r="U302" s="69">
        <f t="shared" si="31"/>
        <v>84.168796296296293</v>
      </c>
      <c r="V302" s="68" t="str">
        <f>IFERROR(VLOOKUP(A302,已除帳印單!B:D,3,0),"")</f>
        <v/>
      </c>
      <c r="W302" s="69" t="str">
        <f>IFERROR(VLOOKUP(A302,已除帳印單!B:E,4,0),"")</f>
        <v/>
      </c>
      <c r="X302" s="68" t="str">
        <f>IFERROR(INDEX(刷條碼區!A:C,MATCH(點上線資訊!S302,刷條碼區!C:C,0),1),"")</f>
        <v/>
      </c>
      <c r="Y302" s="69" t="str">
        <f>IFERROR(INDEX(刷條碼區!A:C,MATCH(點上線資訊!S302,刷條碼區!C:C,0),2),"")</f>
        <v/>
      </c>
      <c r="Z302" s="70" t="str">
        <f>IFERROR(INDEX(刷條碼區!D:G,MATCH(點上線資訊!S302,刷條碼區!F:F,0),1),"")</f>
        <v/>
      </c>
      <c r="AA302" s="71" t="str">
        <f>IFERROR(INDEX(刷條碼區!D:G,MATCH(點上線資訊!S302,刷條碼區!F:F,0),2),"")</f>
        <v/>
      </c>
      <c r="AB302" s="20">
        <f t="shared" si="26"/>
        <v>5</v>
      </c>
      <c r="AC302" s="20" t="b">
        <f t="shared" si="27"/>
        <v>0</v>
      </c>
      <c r="AD302" s="17" t="b">
        <f t="shared" si="28"/>
        <v>0</v>
      </c>
      <c r="AE302" s="17" t="b">
        <f t="shared" si="29"/>
        <v>0</v>
      </c>
    </row>
    <row r="303" spans="1:31" x14ac:dyDescent="0.2">
      <c r="A303" s="16">
        <v>5000493695</v>
      </c>
      <c r="B303" t="s">
        <v>0</v>
      </c>
      <c r="C303" t="s">
        <v>0</v>
      </c>
      <c r="D303" t="s">
        <v>1</v>
      </c>
      <c r="E303" t="s">
        <v>119</v>
      </c>
      <c r="F303" t="s">
        <v>120</v>
      </c>
      <c r="G303" s="2">
        <v>20</v>
      </c>
      <c r="H303" t="s">
        <v>461</v>
      </c>
      <c r="I303" t="s">
        <v>3</v>
      </c>
      <c r="J303" t="s">
        <v>107</v>
      </c>
      <c r="K303" t="s">
        <v>605</v>
      </c>
      <c r="L303" t="s">
        <v>608</v>
      </c>
      <c r="M303" t="s">
        <v>454</v>
      </c>
      <c r="N303" t="s">
        <v>602</v>
      </c>
      <c r="O303" t="s">
        <v>603</v>
      </c>
      <c r="P303" t="s">
        <v>602</v>
      </c>
      <c r="Q303" s="17">
        <f>IFERROR(VLOOKUP(A303,已除帳印單!B:C,1,0),0)*1</f>
        <v>0</v>
      </c>
      <c r="R303" s="67" t="str">
        <f>IFERROR(VLOOKUP(J303,線別!A:B,2,1),"")</f>
        <v>IA線</v>
      </c>
      <c r="S303" s="17" t="str">
        <f>IFERROR(VLOOKUP(A303,已除帳印單!B:C,2,0),"")</f>
        <v/>
      </c>
      <c r="T303" s="68">
        <f t="shared" si="30"/>
        <v>43892</v>
      </c>
      <c r="U303" s="69">
        <f t="shared" si="31"/>
        <v>84.168773148148148</v>
      </c>
      <c r="V303" s="68" t="str">
        <f>IFERROR(VLOOKUP(A303,已除帳印單!B:D,3,0),"")</f>
        <v/>
      </c>
      <c r="W303" s="69" t="str">
        <f>IFERROR(VLOOKUP(A303,已除帳印單!B:E,4,0),"")</f>
        <v/>
      </c>
      <c r="X303" s="68" t="str">
        <f>IFERROR(INDEX(刷條碼區!A:C,MATCH(點上線資訊!S303,刷條碼區!C:C,0),1),"")</f>
        <v/>
      </c>
      <c r="Y303" s="69" t="str">
        <f>IFERROR(INDEX(刷條碼區!A:C,MATCH(點上線資訊!S303,刷條碼區!C:C,0),2),"")</f>
        <v/>
      </c>
      <c r="Z303" s="70" t="str">
        <f>IFERROR(INDEX(刷條碼區!D:G,MATCH(點上線資訊!S303,刷條碼區!F:F,0),1),"")</f>
        <v/>
      </c>
      <c r="AA303" s="71" t="str">
        <f>IFERROR(INDEX(刷條碼區!D:G,MATCH(點上線資訊!S303,刷條碼區!F:F,0),2),"")</f>
        <v/>
      </c>
      <c r="AB303" s="20" t="b">
        <f t="shared" si="26"/>
        <v>0</v>
      </c>
      <c r="AC303" s="20" t="b">
        <f t="shared" si="27"/>
        <v>0</v>
      </c>
      <c r="AD303" s="17" t="b">
        <f t="shared" si="28"/>
        <v>0</v>
      </c>
      <c r="AE303" s="17" t="b">
        <f t="shared" si="29"/>
        <v>0</v>
      </c>
    </row>
    <row r="304" spans="1:31" x14ac:dyDescent="0.2">
      <c r="A304" s="16">
        <v>5000494299</v>
      </c>
      <c r="B304" t="s">
        <v>0</v>
      </c>
      <c r="C304" t="s">
        <v>0</v>
      </c>
      <c r="D304" t="s">
        <v>1</v>
      </c>
      <c r="E304" t="s">
        <v>892</v>
      </c>
      <c r="F304" t="s">
        <v>893</v>
      </c>
      <c r="G304" s="2">
        <v>10</v>
      </c>
      <c r="H304" t="s">
        <v>461</v>
      </c>
      <c r="I304" t="s">
        <v>3</v>
      </c>
      <c r="J304" t="s">
        <v>53</v>
      </c>
      <c r="K304" t="s">
        <v>605</v>
      </c>
      <c r="L304" t="s">
        <v>608</v>
      </c>
      <c r="M304" t="s">
        <v>894</v>
      </c>
      <c r="N304" t="s">
        <v>602</v>
      </c>
      <c r="O304" t="s">
        <v>603</v>
      </c>
      <c r="P304" t="s">
        <v>602</v>
      </c>
      <c r="Q304" s="17">
        <f>IFERROR(VLOOKUP(A304,已除帳印單!B:C,1,0),0)*1</f>
        <v>0</v>
      </c>
      <c r="R304" s="67" t="str">
        <f>IFERROR(VLOOKUP(J304,線別!A:B,2,1),"")</f>
        <v>裝二線</v>
      </c>
      <c r="S304" s="17" t="str">
        <f>IFERROR(VLOOKUP(A304,已除帳印單!B:C,2,0),"")</f>
        <v/>
      </c>
      <c r="T304" s="68">
        <f t="shared" si="30"/>
        <v>43892</v>
      </c>
      <c r="U304" s="69">
        <f t="shared" si="31"/>
        <v>84.168773148148148</v>
      </c>
      <c r="V304" s="68" t="str">
        <f>IFERROR(VLOOKUP(A304,已除帳印單!B:D,3,0),"")</f>
        <v/>
      </c>
      <c r="W304" s="69" t="str">
        <f>IFERROR(VLOOKUP(A304,已除帳印單!B:E,4,0),"")</f>
        <v/>
      </c>
      <c r="X304" s="68" t="str">
        <f>IFERROR(INDEX(刷條碼區!A:C,MATCH(點上線資訊!S304,刷條碼區!C:C,0),1),"")</f>
        <v/>
      </c>
      <c r="Y304" s="69" t="str">
        <f>IFERROR(INDEX(刷條碼區!A:C,MATCH(點上線資訊!S304,刷條碼區!C:C,0),2),"")</f>
        <v/>
      </c>
      <c r="Z304" s="70" t="str">
        <f>IFERROR(INDEX(刷條碼區!D:G,MATCH(點上線資訊!S304,刷條碼區!F:F,0),1),"")</f>
        <v/>
      </c>
      <c r="AA304" s="71" t="str">
        <f>IFERROR(INDEX(刷條碼區!D:G,MATCH(點上線資訊!S304,刷條碼區!F:F,0),2),"")</f>
        <v/>
      </c>
      <c r="AB304" s="20" t="b">
        <f t="shared" si="26"/>
        <v>0</v>
      </c>
      <c r="AC304" s="20" t="b">
        <f t="shared" si="27"/>
        <v>0</v>
      </c>
      <c r="AD304" s="17" t="b">
        <f t="shared" si="28"/>
        <v>0</v>
      </c>
      <c r="AE304" s="17" t="b">
        <f t="shared" si="29"/>
        <v>0</v>
      </c>
    </row>
    <row r="305" spans="1:31" x14ac:dyDescent="0.2">
      <c r="A305" s="16">
        <v>5000494303</v>
      </c>
      <c r="B305" t="s">
        <v>0</v>
      </c>
      <c r="C305" t="s">
        <v>0</v>
      </c>
      <c r="D305" t="s">
        <v>1</v>
      </c>
      <c r="E305" t="s">
        <v>55</v>
      </c>
      <c r="F305" t="s">
        <v>56</v>
      </c>
      <c r="G305" s="2">
        <v>7</v>
      </c>
      <c r="H305" t="s">
        <v>461</v>
      </c>
      <c r="I305" t="s">
        <v>3</v>
      </c>
      <c r="J305" t="s">
        <v>53</v>
      </c>
      <c r="K305" t="s">
        <v>605</v>
      </c>
      <c r="L305" t="s">
        <v>608</v>
      </c>
      <c r="M305" t="s">
        <v>815</v>
      </c>
      <c r="N305" t="s">
        <v>602</v>
      </c>
      <c r="O305" t="s">
        <v>603</v>
      </c>
      <c r="P305" t="s">
        <v>602</v>
      </c>
      <c r="Q305" s="17">
        <f>IFERROR(VLOOKUP(A305,已除帳印單!B:C,1,0),0)*1</f>
        <v>0</v>
      </c>
      <c r="R305" s="67" t="str">
        <f>IFERROR(VLOOKUP(J305,線別!A:B,2,1),"")</f>
        <v>裝二線</v>
      </c>
      <c r="S305" s="17" t="str">
        <f>IFERROR(VLOOKUP(A305,已除帳印單!B:C,2,0),"")</f>
        <v/>
      </c>
      <c r="T305" s="68">
        <f t="shared" si="30"/>
        <v>43892</v>
      </c>
      <c r="U305" s="69">
        <f t="shared" si="31"/>
        <v>84.168773148148148</v>
      </c>
      <c r="V305" s="68" t="str">
        <f>IFERROR(VLOOKUP(A305,已除帳印單!B:D,3,0),"")</f>
        <v/>
      </c>
      <c r="W305" s="69" t="str">
        <f>IFERROR(VLOOKUP(A305,已除帳印單!B:E,4,0),"")</f>
        <v/>
      </c>
      <c r="X305" s="68" t="str">
        <f>IFERROR(INDEX(刷條碼區!A:C,MATCH(點上線資訊!S305,刷條碼區!C:C,0),1),"")</f>
        <v/>
      </c>
      <c r="Y305" s="69" t="str">
        <f>IFERROR(INDEX(刷條碼區!A:C,MATCH(點上線資訊!S305,刷條碼區!C:C,0),2),"")</f>
        <v/>
      </c>
      <c r="Z305" s="70" t="str">
        <f>IFERROR(INDEX(刷條碼區!D:G,MATCH(點上線資訊!S305,刷條碼區!F:F,0),1),"")</f>
        <v/>
      </c>
      <c r="AA305" s="71" t="str">
        <f>IFERROR(INDEX(刷條碼區!D:G,MATCH(點上線資訊!S305,刷條碼區!F:F,0),2),"")</f>
        <v/>
      </c>
      <c r="AB305" s="20" t="b">
        <f t="shared" si="26"/>
        <v>0</v>
      </c>
      <c r="AC305" s="20" t="b">
        <f t="shared" si="27"/>
        <v>0</v>
      </c>
      <c r="AD305" s="17" t="b">
        <f t="shared" si="28"/>
        <v>0</v>
      </c>
      <c r="AE305" s="17" t="b">
        <f t="shared" si="29"/>
        <v>0</v>
      </c>
    </row>
    <row r="306" spans="1:31" x14ac:dyDescent="0.2">
      <c r="A306" s="16">
        <v>5000494305</v>
      </c>
      <c r="B306" t="s">
        <v>6</v>
      </c>
      <c r="C306" t="s">
        <v>6</v>
      </c>
      <c r="D306" t="s">
        <v>1</v>
      </c>
      <c r="E306" t="s">
        <v>268</v>
      </c>
      <c r="F306" t="s">
        <v>269</v>
      </c>
      <c r="G306" s="2">
        <v>20</v>
      </c>
      <c r="H306" t="s">
        <v>461</v>
      </c>
      <c r="I306" t="s">
        <v>3</v>
      </c>
      <c r="J306" t="s">
        <v>53</v>
      </c>
      <c r="K306" t="s">
        <v>602</v>
      </c>
      <c r="L306" t="s">
        <v>603</v>
      </c>
      <c r="M306" t="s">
        <v>602</v>
      </c>
      <c r="N306" t="s">
        <v>602</v>
      </c>
      <c r="O306" t="s">
        <v>603</v>
      </c>
      <c r="P306" t="s">
        <v>602</v>
      </c>
      <c r="Q306" s="17">
        <f>IFERROR(VLOOKUP(A306,已除帳印單!B:C,1,0),0)*1</f>
        <v>0</v>
      </c>
      <c r="R306" s="67" t="str">
        <f>IFERROR(VLOOKUP(J306,線別!A:B,2,1),"")</f>
        <v>裝二線</v>
      </c>
      <c r="S306" s="17" t="str">
        <f>IFERROR(VLOOKUP(A306,已除帳印單!B:C,2,0),"")</f>
        <v/>
      </c>
      <c r="T306" s="68">
        <f t="shared" si="30"/>
        <v>43893</v>
      </c>
      <c r="U306" s="69">
        <f t="shared" si="31"/>
        <v>84.168784722222213</v>
      </c>
      <c r="V306" s="68" t="str">
        <f>IFERROR(VLOOKUP(A306,已除帳印單!B:D,3,0),"")</f>
        <v/>
      </c>
      <c r="W306" s="69" t="str">
        <f>IFERROR(VLOOKUP(A306,已除帳印單!B:E,4,0),"")</f>
        <v/>
      </c>
      <c r="X306" s="68" t="str">
        <f>IFERROR(INDEX(刷條碼區!A:C,MATCH(點上線資訊!S306,刷條碼區!C:C,0),1),"")</f>
        <v/>
      </c>
      <c r="Y306" s="69" t="str">
        <f>IFERROR(INDEX(刷條碼區!A:C,MATCH(點上線資訊!S306,刷條碼區!C:C,0),2),"")</f>
        <v/>
      </c>
      <c r="Z306" s="70" t="str">
        <f>IFERROR(INDEX(刷條碼區!D:G,MATCH(點上線資訊!S306,刷條碼區!F:F,0),1),"")</f>
        <v/>
      </c>
      <c r="AA306" s="71" t="str">
        <f>IFERROR(INDEX(刷條碼區!D:G,MATCH(點上線資訊!S306,刷條碼區!F:F,0),2),"")</f>
        <v/>
      </c>
      <c r="AB306" s="20">
        <f t="shared" si="26"/>
        <v>20</v>
      </c>
      <c r="AC306" s="20" t="b">
        <f t="shared" si="27"/>
        <v>0</v>
      </c>
      <c r="AD306" s="17" t="b">
        <f t="shared" si="28"/>
        <v>0</v>
      </c>
      <c r="AE306" s="17" t="b">
        <f t="shared" si="29"/>
        <v>0</v>
      </c>
    </row>
    <row r="307" spans="1:31" x14ac:dyDescent="0.2">
      <c r="A307" s="16">
        <v>5000494307</v>
      </c>
      <c r="B307" t="s">
        <v>0</v>
      </c>
      <c r="C307" t="s">
        <v>0</v>
      </c>
      <c r="D307" t="s">
        <v>1</v>
      </c>
      <c r="E307" t="s">
        <v>57</v>
      </c>
      <c r="F307" t="s">
        <v>58</v>
      </c>
      <c r="G307" s="2">
        <v>5</v>
      </c>
      <c r="H307" t="s">
        <v>461</v>
      </c>
      <c r="I307" t="s">
        <v>3</v>
      </c>
      <c r="J307" t="s">
        <v>53</v>
      </c>
      <c r="K307" t="s">
        <v>605</v>
      </c>
      <c r="L307" t="s">
        <v>608</v>
      </c>
      <c r="M307" t="s">
        <v>815</v>
      </c>
      <c r="N307" t="s">
        <v>602</v>
      </c>
      <c r="O307" t="s">
        <v>603</v>
      </c>
      <c r="P307" t="s">
        <v>602</v>
      </c>
      <c r="Q307" s="17">
        <f>IFERROR(VLOOKUP(A307,已除帳印單!B:C,1,0),0)*1</f>
        <v>0</v>
      </c>
      <c r="R307" s="67" t="str">
        <f>IFERROR(VLOOKUP(J307,線別!A:B,2,1),"")</f>
        <v>裝二線</v>
      </c>
      <c r="S307" s="17" t="str">
        <f>IFERROR(VLOOKUP(A307,已除帳印單!B:C,2,0),"")</f>
        <v/>
      </c>
      <c r="T307" s="68">
        <f t="shared" si="30"/>
        <v>43892</v>
      </c>
      <c r="U307" s="69">
        <f t="shared" si="31"/>
        <v>84.168773148148148</v>
      </c>
      <c r="V307" s="68" t="str">
        <f>IFERROR(VLOOKUP(A307,已除帳印單!B:D,3,0),"")</f>
        <v/>
      </c>
      <c r="W307" s="69" t="str">
        <f>IFERROR(VLOOKUP(A307,已除帳印單!B:E,4,0),"")</f>
        <v/>
      </c>
      <c r="X307" s="68" t="str">
        <f>IFERROR(INDEX(刷條碼區!A:C,MATCH(點上線資訊!S307,刷條碼區!C:C,0),1),"")</f>
        <v/>
      </c>
      <c r="Y307" s="69" t="str">
        <f>IFERROR(INDEX(刷條碼區!A:C,MATCH(點上線資訊!S307,刷條碼區!C:C,0),2),"")</f>
        <v/>
      </c>
      <c r="Z307" s="70" t="str">
        <f>IFERROR(INDEX(刷條碼區!D:G,MATCH(點上線資訊!S307,刷條碼區!F:F,0),1),"")</f>
        <v/>
      </c>
      <c r="AA307" s="71" t="str">
        <f>IFERROR(INDEX(刷條碼區!D:G,MATCH(點上線資訊!S307,刷條碼區!F:F,0),2),"")</f>
        <v/>
      </c>
      <c r="AB307" s="20" t="b">
        <f t="shared" si="26"/>
        <v>0</v>
      </c>
      <c r="AC307" s="20" t="b">
        <f t="shared" si="27"/>
        <v>0</v>
      </c>
      <c r="AD307" s="17" t="b">
        <f t="shared" si="28"/>
        <v>0</v>
      </c>
      <c r="AE307" s="17" t="b">
        <f t="shared" si="29"/>
        <v>0</v>
      </c>
    </row>
    <row r="308" spans="1:31" x14ac:dyDescent="0.2">
      <c r="A308" s="16">
        <v>5000494311</v>
      </c>
      <c r="B308" t="s">
        <v>6</v>
      </c>
      <c r="C308" t="s">
        <v>6</v>
      </c>
      <c r="D308" t="s">
        <v>1</v>
      </c>
      <c r="E308" t="s">
        <v>270</v>
      </c>
      <c r="F308" t="s">
        <v>271</v>
      </c>
      <c r="G308" s="2">
        <v>20</v>
      </c>
      <c r="H308" t="s">
        <v>461</v>
      </c>
      <c r="I308" t="s">
        <v>3</v>
      </c>
      <c r="J308" t="s">
        <v>53</v>
      </c>
      <c r="K308" t="s">
        <v>602</v>
      </c>
      <c r="L308" t="s">
        <v>603</v>
      </c>
      <c r="M308" t="s">
        <v>602</v>
      </c>
      <c r="N308" t="s">
        <v>602</v>
      </c>
      <c r="O308" t="s">
        <v>603</v>
      </c>
      <c r="P308" t="s">
        <v>602</v>
      </c>
      <c r="Q308" s="17">
        <f>IFERROR(VLOOKUP(A308,已除帳印單!B:C,1,0),0)*1</f>
        <v>0</v>
      </c>
      <c r="R308" s="67" t="str">
        <f>IFERROR(VLOOKUP(J308,線別!A:B,2,1),"")</f>
        <v>裝二線</v>
      </c>
      <c r="S308" s="17" t="str">
        <f>IFERROR(VLOOKUP(A308,已除帳印單!B:C,2,0),"")</f>
        <v/>
      </c>
      <c r="T308" s="68">
        <f t="shared" si="30"/>
        <v>43893</v>
      </c>
      <c r="U308" s="69">
        <f t="shared" si="31"/>
        <v>84.168784722222213</v>
      </c>
      <c r="V308" s="68" t="str">
        <f>IFERROR(VLOOKUP(A308,已除帳印單!B:D,3,0),"")</f>
        <v/>
      </c>
      <c r="W308" s="69" t="str">
        <f>IFERROR(VLOOKUP(A308,已除帳印單!B:E,4,0),"")</f>
        <v/>
      </c>
      <c r="X308" s="68" t="str">
        <f>IFERROR(INDEX(刷條碼區!A:C,MATCH(點上線資訊!S308,刷條碼區!C:C,0),1),"")</f>
        <v/>
      </c>
      <c r="Y308" s="69" t="str">
        <f>IFERROR(INDEX(刷條碼區!A:C,MATCH(點上線資訊!S308,刷條碼區!C:C,0),2),"")</f>
        <v/>
      </c>
      <c r="Z308" s="70" t="str">
        <f>IFERROR(INDEX(刷條碼區!D:G,MATCH(點上線資訊!S308,刷條碼區!F:F,0),1),"")</f>
        <v/>
      </c>
      <c r="AA308" s="71" t="str">
        <f>IFERROR(INDEX(刷條碼區!D:G,MATCH(點上線資訊!S308,刷條碼區!F:F,0),2),"")</f>
        <v/>
      </c>
      <c r="AB308" s="20">
        <f t="shared" si="26"/>
        <v>20</v>
      </c>
      <c r="AC308" s="20" t="b">
        <f t="shared" si="27"/>
        <v>0</v>
      </c>
      <c r="AD308" s="17" t="b">
        <f t="shared" si="28"/>
        <v>0</v>
      </c>
      <c r="AE308" s="17" t="b">
        <f t="shared" si="29"/>
        <v>0</v>
      </c>
    </row>
    <row r="309" spans="1:31" x14ac:dyDescent="0.2">
      <c r="A309" s="16">
        <v>5000494312</v>
      </c>
      <c r="B309" t="s">
        <v>6</v>
      </c>
      <c r="C309" t="s">
        <v>6</v>
      </c>
      <c r="D309" t="s">
        <v>1</v>
      </c>
      <c r="E309" t="s">
        <v>59</v>
      </c>
      <c r="F309" t="s">
        <v>498</v>
      </c>
      <c r="G309" s="2">
        <v>10</v>
      </c>
      <c r="H309" t="s">
        <v>461</v>
      </c>
      <c r="I309" t="s">
        <v>3</v>
      </c>
      <c r="J309" t="s">
        <v>53</v>
      </c>
      <c r="K309" t="s">
        <v>602</v>
      </c>
      <c r="L309" t="s">
        <v>603</v>
      </c>
      <c r="M309" t="s">
        <v>602</v>
      </c>
      <c r="N309" t="s">
        <v>602</v>
      </c>
      <c r="O309" t="s">
        <v>603</v>
      </c>
      <c r="P309" t="s">
        <v>602</v>
      </c>
      <c r="Q309" s="17">
        <f>IFERROR(VLOOKUP(A309,已除帳印單!B:C,1,0),0)*1</f>
        <v>0</v>
      </c>
      <c r="R309" s="67" t="str">
        <f>IFERROR(VLOOKUP(J309,線別!A:B,2,1),"")</f>
        <v>裝二線</v>
      </c>
      <c r="S309" s="17" t="str">
        <f>IFERROR(VLOOKUP(A309,已除帳印單!B:C,2,0),"")</f>
        <v/>
      </c>
      <c r="T309" s="68">
        <f t="shared" si="30"/>
        <v>43893</v>
      </c>
      <c r="U309" s="69">
        <f t="shared" si="31"/>
        <v>84.168784722222213</v>
      </c>
      <c r="V309" s="68" t="str">
        <f>IFERROR(VLOOKUP(A309,已除帳印單!B:D,3,0),"")</f>
        <v/>
      </c>
      <c r="W309" s="69" t="str">
        <f>IFERROR(VLOOKUP(A309,已除帳印單!B:E,4,0),"")</f>
        <v/>
      </c>
      <c r="X309" s="68" t="str">
        <f>IFERROR(INDEX(刷條碼區!A:C,MATCH(點上線資訊!S309,刷條碼區!C:C,0),1),"")</f>
        <v/>
      </c>
      <c r="Y309" s="69" t="str">
        <f>IFERROR(INDEX(刷條碼區!A:C,MATCH(點上線資訊!S309,刷條碼區!C:C,0),2),"")</f>
        <v/>
      </c>
      <c r="Z309" s="70" t="str">
        <f>IFERROR(INDEX(刷條碼區!D:G,MATCH(點上線資訊!S309,刷條碼區!F:F,0),1),"")</f>
        <v/>
      </c>
      <c r="AA309" s="71" t="str">
        <f>IFERROR(INDEX(刷條碼區!D:G,MATCH(點上線資訊!S309,刷條碼區!F:F,0),2),"")</f>
        <v/>
      </c>
      <c r="AB309" s="20">
        <f t="shared" si="26"/>
        <v>10</v>
      </c>
      <c r="AC309" s="20" t="b">
        <f t="shared" si="27"/>
        <v>0</v>
      </c>
      <c r="AD309" s="17" t="b">
        <f t="shared" si="28"/>
        <v>0</v>
      </c>
      <c r="AE309" s="17" t="b">
        <f t="shared" si="29"/>
        <v>0</v>
      </c>
    </row>
    <row r="310" spans="1:31" x14ac:dyDescent="0.2">
      <c r="A310" s="16">
        <v>5000494321</v>
      </c>
      <c r="B310" t="s">
        <v>301</v>
      </c>
      <c r="C310" t="s">
        <v>301</v>
      </c>
      <c r="D310" t="s">
        <v>1</v>
      </c>
      <c r="E310" t="s">
        <v>352</v>
      </c>
      <c r="F310" t="s">
        <v>505</v>
      </c>
      <c r="G310" s="2">
        <v>20</v>
      </c>
      <c r="H310" t="s">
        <v>461</v>
      </c>
      <c r="I310" t="s">
        <v>3</v>
      </c>
      <c r="J310" t="s">
        <v>339</v>
      </c>
      <c r="K310" t="s">
        <v>602</v>
      </c>
      <c r="L310" t="s">
        <v>603</v>
      </c>
      <c r="M310" t="s">
        <v>602</v>
      </c>
      <c r="N310" t="s">
        <v>602</v>
      </c>
      <c r="O310" t="s">
        <v>603</v>
      </c>
      <c r="P310" t="s">
        <v>602</v>
      </c>
      <c r="Q310" s="17">
        <f>IFERROR(VLOOKUP(A310,已除帳印單!B:C,1,0),0)*1</f>
        <v>0</v>
      </c>
      <c r="R310" s="67" t="str">
        <f>IFERROR(VLOOKUP(J310,線別!A:B,2,1),"")</f>
        <v>A+線</v>
      </c>
      <c r="S310" s="17" t="str">
        <f>IFERROR(VLOOKUP(A310,已除帳印單!B:C,2,0),"")</f>
        <v/>
      </c>
      <c r="T310" s="68">
        <f t="shared" si="30"/>
        <v>43894</v>
      </c>
      <c r="U310" s="69">
        <f t="shared" si="31"/>
        <v>84.168796296296293</v>
      </c>
      <c r="V310" s="68" t="str">
        <f>IFERROR(VLOOKUP(A310,已除帳印單!B:D,3,0),"")</f>
        <v/>
      </c>
      <c r="W310" s="69" t="str">
        <f>IFERROR(VLOOKUP(A310,已除帳印單!B:E,4,0),"")</f>
        <v/>
      </c>
      <c r="X310" s="68" t="str">
        <f>IFERROR(INDEX(刷條碼區!A:C,MATCH(點上線資訊!S310,刷條碼區!C:C,0),1),"")</f>
        <v/>
      </c>
      <c r="Y310" s="69" t="str">
        <f>IFERROR(INDEX(刷條碼區!A:C,MATCH(點上線資訊!S310,刷條碼區!C:C,0),2),"")</f>
        <v/>
      </c>
      <c r="Z310" s="70" t="str">
        <f>IFERROR(INDEX(刷條碼區!D:G,MATCH(點上線資訊!S310,刷條碼區!F:F,0),1),"")</f>
        <v/>
      </c>
      <c r="AA310" s="71" t="str">
        <f>IFERROR(INDEX(刷條碼區!D:G,MATCH(點上線資訊!S310,刷條碼區!F:F,0),2),"")</f>
        <v/>
      </c>
      <c r="AB310" s="20">
        <f t="shared" si="26"/>
        <v>20</v>
      </c>
      <c r="AC310" s="20" t="b">
        <f t="shared" si="27"/>
        <v>0</v>
      </c>
      <c r="AD310" s="17" t="b">
        <f t="shared" si="28"/>
        <v>0</v>
      </c>
      <c r="AE310" s="17" t="b">
        <f t="shared" si="29"/>
        <v>0</v>
      </c>
    </row>
    <row r="311" spans="1:31" x14ac:dyDescent="0.2">
      <c r="A311" s="16">
        <v>5000494322</v>
      </c>
      <c r="B311" t="s">
        <v>301</v>
      </c>
      <c r="C311" t="s">
        <v>301</v>
      </c>
      <c r="D311" t="s">
        <v>1</v>
      </c>
      <c r="E311" t="s">
        <v>352</v>
      </c>
      <c r="F311" t="s">
        <v>505</v>
      </c>
      <c r="G311" s="2">
        <v>20</v>
      </c>
      <c r="H311" t="s">
        <v>461</v>
      </c>
      <c r="I311" t="s">
        <v>3</v>
      </c>
      <c r="J311" t="s">
        <v>339</v>
      </c>
      <c r="K311" t="s">
        <v>602</v>
      </c>
      <c r="L311" t="s">
        <v>603</v>
      </c>
      <c r="M311" t="s">
        <v>602</v>
      </c>
      <c r="N311" t="s">
        <v>602</v>
      </c>
      <c r="O311" t="s">
        <v>603</v>
      </c>
      <c r="P311" t="s">
        <v>602</v>
      </c>
      <c r="Q311" s="17">
        <f>IFERROR(VLOOKUP(A311,已除帳印單!B:C,1,0),0)*1</f>
        <v>0</v>
      </c>
      <c r="R311" s="67" t="str">
        <f>IFERROR(VLOOKUP(J311,線別!A:B,2,1),"")</f>
        <v>A+線</v>
      </c>
      <c r="S311" s="17" t="str">
        <f>IFERROR(VLOOKUP(A311,已除帳印單!B:C,2,0),"")</f>
        <v/>
      </c>
      <c r="T311" s="68">
        <f t="shared" si="30"/>
        <v>43894</v>
      </c>
      <c r="U311" s="69">
        <f t="shared" si="31"/>
        <v>84.168796296296293</v>
      </c>
      <c r="V311" s="68" t="str">
        <f>IFERROR(VLOOKUP(A311,已除帳印單!B:D,3,0),"")</f>
        <v/>
      </c>
      <c r="W311" s="69" t="str">
        <f>IFERROR(VLOOKUP(A311,已除帳印單!B:E,4,0),"")</f>
        <v/>
      </c>
      <c r="X311" s="68" t="str">
        <f>IFERROR(INDEX(刷條碼區!A:C,MATCH(點上線資訊!S311,刷條碼區!C:C,0),1),"")</f>
        <v/>
      </c>
      <c r="Y311" s="69" t="str">
        <f>IFERROR(INDEX(刷條碼區!A:C,MATCH(點上線資訊!S311,刷條碼區!C:C,0),2),"")</f>
        <v/>
      </c>
      <c r="Z311" s="70" t="str">
        <f>IFERROR(INDEX(刷條碼區!D:G,MATCH(點上線資訊!S311,刷條碼區!F:F,0),1),"")</f>
        <v/>
      </c>
      <c r="AA311" s="71" t="str">
        <f>IFERROR(INDEX(刷條碼區!D:G,MATCH(點上線資訊!S311,刷條碼區!F:F,0),2),"")</f>
        <v/>
      </c>
      <c r="AB311" s="20">
        <f t="shared" si="26"/>
        <v>20</v>
      </c>
      <c r="AC311" s="20" t="b">
        <f t="shared" si="27"/>
        <v>0</v>
      </c>
      <c r="AD311" s="17" t="b">
        <f t="shared" si="28"/>
        <v>0</v>
      </c>
      <c r="AE311" s="17" t="b">
        <f t="shared" si="29"/>
        <v>0</v>
      </c>
    </row>
    <row r="312" spans="1:31" x14ac:dyDescent="0.2">
      <c r="A312" s="16">
        <v>5000494323</v>
      </c>
      <c r="B312" t="s">
        <v>301</v>
      </c>
      <c r="C312" t="s">
        <v>301</v>
      </c>
      <c r="D312" t="s">
        <v>1</v>
      </c>
      <c r="E312" t="s">
        <v>352</v>
      </c>
      <c r="F312" t="s">
        <v>505</v>
      </c>
      <c r="G312" s="2">
        <v>20</v>
      </c>
      <c r="H312" t="s">
        <v>461</v>
      </c>
      <c r="I312" t="s">
        <v>3</v>
      </c>
      <c r="J312" t="s">
        <v>339</v>
      </c>
      <c r="K312" t="s">
        <v>602</v>
      </c>
      <c r="L312" t="s">
        <v>603</v>
      </c>
      <c r="M312" t="s">
        <v>602</v>
      </c>
      <c r="N312" t="s">
        <v>602</v>
      </c>
      <c r="O312" t="s">
        <v>603</v>
      </c>
      <c r="P312" t="s">
        <v>602</v>
      </c>
      <c r="Q312" s="17">
        <f>IFERROR(VLOOKUP(A312,已除帳印單!B:C,1,0),0)*1</f>
        <v>0</v>
      </c>
      <c r="R312" s="67" t="str">
        <f>IFERROR(VLOOKUP(J312,線別!A:B,2,1),"")</f>
        <v>A+線</v>
      </c>
      <c r="S312" s="17" t="str">
        <f>IFERROR(VLOOKUP(A312,已除帳印單!B:C,2,0),"")</f>
        <v/>
      </c>
      <c r="T312" s="68">
        <f t="shared" si="30"/>
        <v>43894</v>
      </c>
      <c r="U312" s="69">
        <f t="shared" si="31"/>
        <v>84.168796296296293</v>
      </c>
      <c r="V312" s="68" t="str">
        <f>IFERROR(VLOOKUP(A312,已除帳印單!B:D,3,0),"")</f>
        <v/>
      </c>
      <c r="W312" s="69" t="str">
        <f>IFERROR(VLOOKUP(A312,已除帳印單!B:E,4,0),"")</f>
        <v/>
      </c>
      <c r="X312" s="68" t="str">
        <f>IFERROR(INDEX(刷條碼區!A:C,MATCH(點上線資訊!S312,刷條碼區!C:C,0),1),"")</f>
        <v/>
      </c>
      <c r="Y312" s="69" t="str">
        <f>IFERROR(INDEX(刷條碼區!A:C,MATCH(點上線資訊!S312,刷條碼區!C:C,0),2),"")</f>
        <v/>
      </c>
      <c r="Z312" s="70" t="str">
        <f>IFERROR(INDEX(刷條碼區!D:G,MATCH(點上線資訊!S312,刷條碼區!F:F,0),1),"")</f>
        <v/>
      </c>
      <c r="AA312" s="71" t="str">
        <f>IFERROR(INDEX(刷條碼區!D:G,MATCH(點上線資訊!S312,刷條碼區!F:F,0),2),"")</f>
        <v/>
      </c>
      <c r="AB312" s="20">
        <f t="shared" si="26"/>
        <v>20</v>
      </c>
      <c r="AC312" s="20" t="b">
        <f t="shared" si="27"/>
        <v>0</v>
      </c>
      <c r="AD312" s="17" t="b">
        <f t="shared" si="28"/>
        <v>0</v>
      </c>
      <c r="AE312" s="17" t="b">
        <f t="shared" si="29"/>
        <v>0</v>
      </c>
    </row>
    <row r="313" spans="1:31" x14ac:dyDescent="0.2">
      <c r="A313" s="16">
        <v>5000494325</v>
      </c>
      <c r="B313" t="s">
        <v>301</v>
      </c>
      <c r="C313" t="s">
        <v>301</v>
      </c>
      <c r="D313" t="s">
        <v>1</v>
      </c>
      <c r="E313" t="s">
        <v>352</v>
      </c>
      <c r="F313" t="s">
        <v>505</v>
      </c>
      <c r="G313" s="2">
        <v>20</v>
      </c>
      <c r="H313" t="s">
        <v>461</v>
      </c>
      <c r="I313" t="s">
        <v>3</v>
      </c>
      <c r="J313" t="s">
        <v>339</v>
      </c>
      <c r="K313" t="s">
        <v>602</v>
      </c>
      <c r="L313" t="s">
        <v>603</v>
      </c>
      <c r="M313" t="s">
        <v>602</v>
      </c>
      <c r="N313" t="s">
        <v>602</v>
      </c>
      <c r="O313" t="s">
        <v>603</v>
      </c>
      <c r="P313" t="s">
        <v>602</v>
      </c>
      <c r="Q313" s="17">
        <f>IFERROR(VLOOKUP(A313,已除帳印單!B:C,1,0),0)*1</f>
        <v>0</v>
      </c>
      <c r="R313" s="67" t="str">
        <f>IFERROR(VLOOKUP(J313,線別!A:B,2,1),"")</f>
        <v>A+線</v>
      </c>
      <c r="S313" s="17" t="str">
        <f>IFERROR(VLOOKUP(A313,已除帳印單!B:C,2,0),"")</f>
        <v/>
      </c>
      <c r="T313" s="68">
        <f t="shared" si="30"/>
        <v>43894</v>
      </c>
      <c r="U313" s="69">
        <f t="shared" si="31"/>
        <v>84.168796296296293</v>
      </c>
      <c r="V313" s="68" t="str">
        <f>IFERROR(VLOOKUP(A313,已除帳印單!B:D,3,0),"")</f>
        <v/>
      </c>
      <c r="W313" s="69" t="str">
        <f>IFERROR(VLOOKUP(A313,已除帳印單!B:E,4,0),"")</f>
        <v/>
      </c>
      <c r="X313" s="68" t="str">
        <f>IFERROR(INDEX(刷條碼區!A:C,MATCH(點上線資訊!S313,刷條碼區!C:C,0),1),"")</f>
        <v/>
      </c>
      <c r="Y313" s="69" t="str">
        <f>IFERROR(INDEX(刷條碼區!A:C,MATCH(點上線資訊!S313,刷條碼區!C:C,0),2),"")</f>
        <v/>
      </c>
      <c r="Z313" s="70" t="str">
        <f>IFERROR(INDEX(刷條碼區!D:G,MATCH(點上線資訊!S313,刷條碼區!F:F,0),1),"")</f>
        <v/>
      </c>
      <c r="AA313" s="71" t="str">
        <f>IFERROR(INDEX(刷條碼區!D:G,MATCH(點上線資訊!S313,刷條碼區!F:F,0),2),"")</f>
        <v/>
      </c>
      <c r="AB313" s="20">
        <f t="shared" si="26"/>
        <v>20</v>
      </c>
      <c r="AC313" s="20" t="b">
        <f t="shared" si="27"/>
        <v>0</v>
      </c>
      <c r="AD313" s="17" t="b">
        <f t="shared" si="28"/>
        <v>0</v>
      </c>
      <c r="AE313" s="17" t="b">
        <f t="shared" si="29"/>
        <v>0</v>
      </c>
    </row>
    <row r="314" spans="1:31" x14ac:dyDescent="0.2">
      <c r="A314" s="16">
        <v>5000494326</v>
      </c>
      <c r="B314" t="s">
        <v>0</v>
      </c>
      <c r="C314" t="s">
        <v>0</v>
      </c>
      <c r="D314" t="s">
        <v>1</v>
      </c>
      <c r="E314" t="s">
        <v>895</v>
      </c>
      <c r="F314" t="s">
        <v>896</v>
      </c>
      <c r="G314" s="2">
        <v>10</v>
      </c>
      <c r="H314" t="s">
        <v>461</v>
      </c>
      <c r="I314" t="s">
        <v>3</v>
      </c>
      <c r="J314" t="s">
        <v>53</v>
      </c>
      <c r="K314" t="s">
        <v>605</v>
      </c>
      <c r="L314" t="s">
        <v>608</v>
      </c>
      <c r="M314" t="s">
        <v>414</v>
      </c>
      <c r="N314" t="s">
        <v>602</v>
      </c>
      <c r="O314" t="s">
        <v>603</v>
      </c>
      <c r="P314" t="s">
        <v>602</v>
      </c>
      <c r="Q314" s="17">
        <f>IFERROR(VLOOKUP(A314,已除帳印單!B:C,1,0),0)*1</f>
        <v>0</v>
      </c>
      <c r="R314" s="67" t="str">
        <f>IFERROR(VLOOKUP(J314,線別!A:B,2,1),"")</f>
        <v>裝二線</v>
      </c>
      <c r="S314" s="17" t="str">
        <f>IFERROR(VLOOKUP(A314,已除帳印單!B:C,2,0),"")</f>
        <v/>
      </c>
      <c r="T314" s="68">
        <f t="shared" si="30"/>
        <v>43892</v>
      </c>
      <c r="U314" s="69">
        <f t="shared" si="31"/>
        <v>84.168773148148148</v>
      </c>
      <c r="V314" s="68" t="str">
        <f>IFERROR(VLOOKUP(A314,已除帳印單!B:D,3,0),"")</f>
        <v/>
      </c>
      <c r="W314" s="69" t="str">
        <f>IFERROR(VLOOKUP(A314,已除帳印單!B:E,4,0),"")</f>
        <v/>
      </c>
      <c r="X314" s="68" t="str">
        <f>IFERROR(INDEX(刷條碼區!A:C,MATCH(點上線資訊!S314,刷條碼區!C:C,0),1),"")</f>
        <v/>
      </c>
      <c r="Y314" s="69" t="str">
        <f>IFERROR(INDEX(刷條碼區!A:C,MATCH(點上線資訊!S314,刷條碼區!C:C,0),2),"")</f>
        <v/>
      </c>
      <c r="Z314" s="70" t="str">
        <f>IFERROR(INDEX(刷條碼區!D:G,MATCH(點上線資訊!S314,刷條碼區!F:F,0),1),"")</f>
        <v/>
      </c>
      <c r="AA314" s="71" t="str">
        <f>IFERROR(INDEX(刷條碼區!D:G,MATCH(點上線資訊!S314,刷條碼區!F:F,0),2),"")</f>
        <v/>
      </c>
      <c r="AB314" s="20" t="b">
        <f t="shared" si="26"/>
        <v>0</v>
      </c>
      <c r="AC314" s="20" t="b">
        <f t="shared" si="27"/>
        <v>0</v>
      </c>
      <c r="AD314" s="17" t="b">
        <f t="shared" si="28"/>
        <v>0</v>
      </c>
      <c r="AE314" s="17" t="b">
        <f t="shared" si="29"/>
        <v>0</v>
      </c>
    </row>
    <row r="315" spans="1:31" x14ac:dyDescent="0.2">
      <c r="A315" s="16">
        <v>5000494327</v>
      </c>
      <c r="B315" t="s">
        <v>6</v>
      </c>
      <c r="C315" t="s">
        <v>6</v>
      </c>
      <c r="D315" t="s">
        <v>1</v>
      </c>
      <c r="E315" t="s">
        <v>278</v>
      </c>
      <c r="F315" t="s">
        <v>509</v>
      </c>
      <c r="G315" s="2">
        <v>5</v>
      </c>
      <c r="H315" t="s">
        <v>461</v>
      </c>
      <c r="I315" t="s">
        <v>3</v>
      </c>
      <c r="J315" t="s">
        <v>53</v>
      </c>
      <c r="K315" t="s">
        <v>602</v>
      </c>
      <c r="L315" t="s">
        <v>603</v>
      </c>
      <c r="M315" t="s">
        <v>602</v>
      </c>
      <c r="N315" t="s">
        <v>602</v>
      </c>
      <c r="O315" t="s">
        <v>603</v>
      </c>
      <c r="P315" t="s">
        <v>602</v>
      </c>
      <c r="Q315" s="17">
        <f>IFERROR(VLOOKUP(A315,已除帳印單!B:C,1,0),0)*1</f>
        <v>0</v>
      </c>
      <c r="R315" s="67" t="str">
        <f>IFERROR(VLOOKUP(J315,線別!A:B,2,1),"")</f>
        <v>裝二線</v>
      </c>
      <c r="S315" s="17" t="str">
        <f>IFERROR(VLOOKUP(A315,已除帳印單!B:C,2,0),"")</f>
        <v/>
      </c>
      <c r="T315" s="68">
        <f t="shared" si="30"/>
        <v>43893</v>
      </c>
      <c r="U315" s="69">
        <f t="shared" si="31"/>
        <v>84.168784722222213</v>
      </c>
      <c r="V315" s="68" t="str">
        <f>IFERROR(VLOOKUP(A315,已除帳印單!B:D,3,0),"")</f>
        <v/>
      </c>
      <c r="W315" s="69" t="str">
        <f>IFERROR(VLOOKUP(A315,已除帳印單!B:E,4,0),"")</f>
        <v/>
      </c>
      <c r="X315" s="68" t="str">
        <f>IFERROR(INDEX(刷條碼區!A:C,MATCH(點上線資訊!S315,刷條碼區!C:C,0),1),"")</f>
        <v/>
      </c>
      <c r="Y315" s="69" t="str">
        <f>IFERROR(INDEX(刷條碼區!A:C,MATCH(點上線資訊!S315,刷條碼區!C:C,0),2),"")</f>
        <v/>
      </c>
      <c r="Z315" s="70" t="str">
        <f>IFERROR(INDEX(刷條碼區!D:G,MATCH(點上線資訊!S315,刷條碼區!F:F,0),1),"")</f>
        <v/>
      </c>
      <c r="AA315" s="71" t="str">
        <f>IFERROR(INDEX(刷條碼區!D:G,MATCH(點上線資訊!S315,刷條碼區!F:F,0),2),"")</f>
        <v/>
      </c>
      <c r="AB315" s="20">
        <f t="shared" si="26"/>
        <v>5</v>
      </c>
      <c r="AC315" s="20" t="b">
        <f t="shared" si="27"/>
        <v>0</v>
      </c>
      <c r="AD315" s="17" t="b">
        <f t="shared" si="28"/>
        <v>0</v>
      </c>
      <c r="AE315" s="17" t="b">
        <f t="shared" si="29"/>
        <v>0</v>
      </c>
    </row>
    <row r="316" spans="1:31" x14ac:dyDescent="0.2">
      <c r="A316" s="16">
        <v>5000494328</v>
      </c>
      <c r="B316" t="s">
        <v>6</v>
      </c>
      <c r="C316" t="s">
        <v>6</v>
      </c>
      <c r="D316" t="s">
        <v>1</v>
      </c>
      <c r="E316" t="s">
        <v>279</v>
      </c>
      <c r="F316" t="s">
        <v>510</v>
      </c>
      <c r="G316" s="2">
        <v>12</v>
      </c>
      <c r="H316" t="s">
        <v>461</v>
      </c>
      <c r="I316" t="s">
        <v>3</v>
      </c>
      <c r="J316" t="s">
        <v>53</v>
      </c>
      <c r="K316" t="s">
        <v>602</v>
      </c>
      <c r="L316" t="s">
        <v>603</v>
      </c>
      <c r="M316" t="s">
        <v>602</v>
      </c>
      <c r="N316" t="s">
        <v>602</v>
      </c>
      <c r="O316" t="s">
        <v>603</v>
      </c>
      <c r="P316" t="s">
        <v>602</v>
      </c>
      <c r="Q316" s="17">
        <f>IFERROR(VLOOKUP(A316,已除帳印單!B:C,1,0),0)*1</f>
        <v>0</v>
      </c>
      <c r="R316" s="67" t="str">
        <f>IFERROR(VLOOKUP(J316,線別!A:B,2,1),"")</f>
        <v>裝二線</v>
      </c>
      <c r="S316" s="17" t="str">
        <f>IFERROR(VLOOKUP(A316,已除帳印單!B:C,2,0),"")</f>
        <v/>
      </c>
      <c r="T316" s="68">
        <f t="shared" si="30"/>
        <v>43893</v>
      </c>
      <c r="U316" s="69">
        <f t="shared" si="31"/>
        <v>84.168784722222213</v>
      </c>
      <c r="V316" s="68" t="str">
        <f>IFERROR(VLOOKUP(A316,已除帳印單!B:D,3,0),"")</f>
        <v/>
      </c>
      <c r="W316" s="69" t="str">
        <f>IFERROR(VLOOKUP(A316,已除帳印單!B:E,4,0),"")</f>
        <v/>
      </c>
      <c r="X316" s="68" t="str">
        <f>IFERROR(INDEX(刷條碼區!A:C,MATCH(點上線資訊!S316,刷條碼區!C:C,0),1),"")</f>
        <v/>
      </c>
      <c r="Y316" s="69" t="str">
        <f>IFERROR(INDEX(刷條碼區!A:C,MATCH(點上線資訊!S316,刷條碼區!C:C,0),2),"")</f>
        <v/>
      </c>
      <c r="Z316" s="70" t="str">
        <f>IFERROR(INDEX(刷條碼區!D:G,MATCH(點上線資訊!S316,刷條碼區!F:F,0),1),"")</f>
        <v/>
      </c>
      <c r="AA316" s="71" t="str">
        <f>IFERROR(INDEX(刷條碼區!D:G,MATCH(點上線資訊!S316,刷條碼區!F:F,0),2),"")</f>
        <v/>
      </c>
      <c r="AB316" s="20">
        <f t="shared" si="26"/>
        <v>12</v>
      </c>
      <c r="AC316" s="20" t="b">
        <f t="shared" si="27"/>
        <v>0</v>
      </c>
      <c r="AD316" s="17" t="b">
        <f t="shared" si="28"/>
        <v>0</v>
      </c>
      <c r="AE316" s="17" t="b">
        <f t="shared" si="29"/>
        <v>0</v>
      </c>
    </row>
    <row r="317" spans="1:31" x14ac:dyDescent="0.2">
      <c r="A317" s="16">
        <v>5000494330</v>
      </c>
      <c r="B317" t="s">
        <v>6</v>
      </c>
      <c r="C317" t="s">
        <v>6</v>
      </c>
      <c r="D317" t="s">
        <v>1</v>
      </c>
      <c r="E317" t="s">
        <v>280</v>
      </c>
      <c r="F317" t="s">
        <v>58</v>
      </c>
      <c r="G317" s="2">
        <v>1</v>
      </c>
      <c r="H317" t="s">
        <v>461</v>
      </c>
      <c r="I317" t="s">
        <v>3</v>
      </c>
      <c r="J317" t="s">
        <v>53</v>
      </c>
      <c r="K317" t="s">
        <v>602</v>
      </c>
      <c r="L317" t="s">
        <v>603</v>
      </c>
      <c r="M317" t="s">
        <v>602</v>
      </c>
      <c r="N317" t="s">
        <v>602</v>
      </c>
      <c r="O317" t="s">
        <v>603</v>
      </c>
      <c r="P317" t="s">
        <v>602</v>
      </c>
      <c r="Q317" s="17">
        <f>IFERROR(VLOOKUP(A317,已除帳印單!B:C,1,0),0)*1</f>
        <v>0</v>
      </c>
      <c r="R317" s="67" t="str">
        <f>IFERROR(VLOOKUP(J317,線別!A:B,2,1),"")</f>
        <v>裝二線</v>
      </c>
      <c r="S317" s="17" t="str">
        <f>IFERROR(VLOOKUP(A317,已除帳印單!B:C,2,0),"")</f>
        <v/>
      </c>
      <c r="T317" s="68">
        <f t="shared" si="30"/>
        <v>43893</v>
      </c>
      <c r="U317" s="69">
        <f t="shared" si="31"/>
        <v>84.168784722222213</v>
      </c>
      <c r="V317" s="68" t="str">
        <f>IFERROR(VLOOKUP(A317,已除帳印單!B:D,3,0),"")</f>
        <v/>
      </c>
      <c r="W317" s="69" t="str">
        <f>IFERROR(VLOOKUP(A317,已除帳印單!B:E,4,0),"")</f>
        <v/>
      </c>
      <c r="X317" s="68" t="str">
        <f>IFERROR(INDEX(刷條碼區!A:C,MATCH(點上線資訊!S317,刷條碼區!C:C,0),1),"")</f>
        <v/>
      </c>
      <c r="Y317" s="69" t="str">
        <f>IFERROR(INDEX(刷條碼區!A:C,MATCH(點上線資訊!S317,刷條碼區!C:C,0),2),"")</f>
        <v/>
      </c>
      <c r="Z317" s="70" t="str">
        <f>IFERROR(INDEX(刷條碼區!D:G,MATCH(點上線資訊!S317,刷條碼區!F:F,0),1),"")</f>
        <v/>
      </c>
      <c r="AA317" s="71" t="str">
        <f>IFERROR(INDEX(刷條碼區!D:G,MATCH(點上線資訊!S317,刷條碼區!F:F,0),2),"")</f>
        <v/>
      </c>
      <c r="AB317" s="20">
        <f t="shared" si="26"/>
        <v>1</v>
      </c>
      <c r="AC317" s="20" t="b">
        <f t="shared" si="27"/>
        <v>0</v>
      </c>
      <c r="AD317" s="17" t="b">
        <f t="shared" si="28"/>
        <v>0</v>
      </c>
      <c r="AE317" s="17" t="b">
        <f t="shared" si="29"/>
        <v>0</v>
      </c>
    </row>
    <row r="318" spans="1:31" x14ac:dyDescent="0.2">
      <c r="A318" s="16">
        <v>5000494333</v>
      </c>
      <c r="B318" t="s">
        <v>6</v>
      </c>
      <c r="C318" t="s">
        <v>6</v>
      </c>
      <c r="D318" t="s">
        <v>1</v>
      </c>
      <c r="E318" t="s">
        <v>273</v>
      </c>
      <c r="F318" t="s">
        <v>511</v>
      </c>
      <c r="G318" s="2">
        <v>20</v>
      </c>
      <c r="H318" t="s">
        <v>461</v>
      </c>
      <c r="I318" t="s">
        <v>3</v>
      </c>
      <c r="J318" t="s">
        <v>53</v>
      </c>
      <c r="K318" t="s">
        <v>602</v>
      </c>
      <c r="L318" t="s">
        <v>603</v>
      </c>
      <c r="M318" t="s">
        <v>602</v>
      </c>
      <c r="N318" t="s">
        <v>602</v>
      </c>
      <c r="O318" t="s">
        <v>603</v>
      </c>
      <c r="P318" t="s">
        <v>602</v>
      </c>
      <c r="Q318" s="17">
        <f>IFERROR(VLOOKUP(A318,已除帳印單!B:C,1,0),0)*1</f>
        <v>0</v>
      </c>
      <c r="R318" s="67" t="str">
        <f>IFERROR(VLOOKUP(J318,線別!A:B,2,1),"")</f>
        <v>裝二線</v>
      </c>
      <c r="S318" s="17" t="str">
        <f>IFERROR(VLOOKUP(A318,已除帳印單!B:C,2,0),"")</f>
        <v/>
      </c>
      <c r="T318" s="68">
        <f t="shared" si="30"/>
        <v>43893</v>
      </c>
      <c r="U318" s="69">
        <f t="shared" si="31"/>
        <v>84.168784722222213</v>
      </c>
      <c r="V318" s="68" t="str">
        <f>IFERROR(VLOOKUP(A318,已除帳印單!B:D,3,0),"")</f>
        <v/>
      </c>
      <c r="W318" s="69" t="str">
        <f>IFERROR(VLOOKUP(A318,已除帳印單!B:E,4,0),"")</f>
        <v/>
      </c>
      <c r="X318" s="68" t="str">
        <f>IFERROR(INDEX(刷條碼區!A:C,MATCH(點上線資訊!S318,刷條碼區!C:C,0),1),"")</f>
        <v/>
      </c>
      <c r="Y318" s="69" t="str">
        <f>IFERROR(INDEX(刷條碼區!A:C,MATCH(點上線資訊!S318,刷條碼區!C:C,0),2),"")</f>
        <v/>
      </c>
      <c r="Z318" s="70" t="str">
        <f>IFERROR(INDEX(刷條碼區!D:G,MATCH(點上線資訊!S318,刷條碼區!F:F,0),1),"")</f>
        <v/>
      </c>
      <c r="AA318" s="71" t="str">
        <f>IFERROR(INDEX(刷條碼區!D:G,MATCH(點上線資訊!S318,刷條碼區!F:F,0),2),"")</f>
        <v/>
      </c>
      <c r="AB318" s="20">
        <f t="shared" si="26"/>
        <v>20</v>
      </c>
      <c r="AC318" s="20" t="b">
        <f t="shared" si="27"/>
        <v>0</v>
      </c>
      <c r="AD318" s="17" t="b">
        <f t="shared" si="28"/>
        <v>0</v>
      </c>
      <c r="AE318" s="17" t="b">
        <f t="shared" si="29"/>
        <v>0</v>
      </c>
    </row>
    <row r="319" spans="1:31" x14ac:dyDescent="0.2">
      <c r="A319" s="16">
        <v>5000494334</v>
      </c>
      <c r="B319" t="s">
        <v>0</v>
      </c>
      <c r="C319" t="s">
        <v>0</v>
      </c>
      <c r="D319" t="s">
        <v>1</v>
      </c>
      <c r="E319" t="s">
        <v>897</v>
      </c>
      <c r="F319" t="s">
        <v>898</v>
      </c>
      <c r="G319" s="2">
        <v>10</v>
      </c>
      <c r="H319" t="s">
        <v>461</v>
      </c>
      <c r="I319" t="s">
        <v>3</v>
      </c>
      <c r="J319" t="s">
        <v>53</v>
      </c>
      <c r="K319" t="s">
        <v>605</v>
      </c>
      <c r="L319" t="s">
        <v>608</v>
      </c>
      <c r="M319" t="s">
        <v>414</v>
      </c>
      <c r="N319" t="s">
        <v>602</v>
      </c>
      <c r="O319" t="s">
        <v>603</v>
      </c>
      <c r="P319" t="s">
        <v>602</v>
      </c>
      <c r="Q319" s="17">
        <f>IFERROR(VLOOKUP(A319,已除帳印單!B:C,1,0),0)*1</f>
        <v>0</v>
      </c>
      <c r="R319" s="67" t="str">
        <f>IFERROR(VLOOKUP(J319,線別!A:B,2,1),"")</f>
        <v>裝二線</v>
      </c>
      <c r="S319" s="17" t="str">
        <f>IFERROR(VLOOKUP(A319,已除帳印單!B:C,2,0),"")</f>
        <v/>
      </c>
      <c r="T319" s="68">
        <f t="shared" si="30"/>
        <v>43892</v>
      </c>
      <c r="U319" s="69">
        <f t="shared" si="31"/>
        <v>84.168773148148148</v>
      </c>
      <c r="V319" s="68" t="str">
        <f>IFERROR(VLOOKUP(A319,已除帳印單!B:D,3,0),"")</f>
        <v/>
      </c>
      <c r="W319" s="69" t="str">
        <f>IFERROR(VLOOKUP(A319,已除帳印單!B:E,4,0),"")</f>
        <v/>
      </c>
      <c r="X319" s="68" t="str">
        <f>IFERROR(INDEX(刷條碼區!A:C,MATCH(點上線資訊!S319,刷條碼區!C:C,0),1),"")</f>
        <v/>
      </c>
      <c r="Y319" s="69" t="str">
        <f>IFERROR(INDEX(刷條碼區!A:C,MATCH(點上線資訊!S319,刷條碼區!C:C,0),2),"")</f>
        <v/>
      </c>
      <c r="Z319" s="70" t="str">
        <f>IFERROR(INDEX(刷條碼區!D:G,MATCH(點上線資訊!S319,刷條碼區!F:F,0),1),"")</f>
        <v/>
      </c>
      <c r="AA319" s="71" t="str">
        <f>IFERROR(INDEX(刷條碼區!D:G,MATCH(點上線資訊!S319,刷條碼區!F:F,0),2),"")</f>
        <v/>
      </c>
      <c r="AB319" s="20" t="b">
        <f t="shared" si="26"/>
        <v>0</v>
      </c>
      <c r="AC319" s="20" t="b">
        <f t="shared" si="27"/>
        <v>0</v>
      </c>
      <c r="AD319" s="17" t="b">
        <f t="shared" si="28"/>
        <v>0</v>
      </c>
      <c r="AE319" s="17" t="b">
        <f t="shared" si="29"/>
        <v>0</v>
      </c>
    </row>
    <row r="320" spans="1:31" x14ac:dyDescent="0.2">
      <c r="A320" s="16">
        <v>5000494335</v>
      </c>
      <c r="B320" t="s">
        <v>0</v>
      </c>
      <c r="C320" t="s">
        <v>0</v>
      </c>
      <c r="D320" t="s">
        <v>1</v>
      </c>
      <c r="E320" t="s">
        <v>899</v>
      </c>
      <c r="F320" t="s">
        <v>900</v>
      </c>
      <c r="G320" s="2">
        <v>15</v>
      </c>
      <c r="H320" t="s">
        <v>461</v>
      </c>
      <c r="I320" t="s">
        <v>3</v>
      </c>
      <c r="J320" t="s">
        <v>53</v>
      </c>
      <c r="K320" t="s">
        <v>605</v>
      </c>
      <c r="L320" t="s">
        <v>608</v>
      </c>
      <c r="M320" t="s">
        <v>414</v>
      </c>
      <c r="N320" t="s">
        <v>602</v>
      </c>
      <c r="O320" t="s">
        <v>603</v>
      </c>
      <c r="P320" t="s">
        <v>602</v>
      </c>
      <c r="Q320" s="17">
        <f>IFERROR(VLOOKUP(A320,已除帳印單!B:C,1,0),0)*1</f>
        <v>0</v>
      </c>
      <c r="R320" s="67" t="str">
        <f>IFERROR(VLOOKUP(J320,線別!A:B,2,1),"")</f>
        <v>裝二線</v>
      </c>
      <c r="S320" s="17" t="str">
        <f>IFERROR(VLOOKUP(A320,已除帳印單!B:C,2,0),"")</f>
        <v/>
      </c>
      <c r="T320" s="68">
        <f t="shared" si="30"/>
        <v>43892</v>
      </c>
      <c r="U320" s="69">
        <f t="shared" si="31"/>
        <v>84.168773148148148</v>
      </c>
      <c r="V320" s="68" t="str">
        <f>IFERROR(VLOOKUP(A320,已除帳印單!B:D,3,0),"")</f>
        <v/>
      </c>
      <c r="W320" s="69" t="str">
        <f>IFERROR(VLOOKUP(A320,已除帳印單!B:E,4,0),"")</f>
        <v/>
      </c>
      <c r="X320" s="68" t="str">
        <f>IFERROR(INDEX(刷條碼區!A:C,MATCH(點上線資訊!S320,刷條碼區!C:C,0),1),"")</f>
        <v/>
      </c>
      <c r="Y320" s="69" t="str">
        <f>IFERROR(INDEX(刷條碼區!A:C,MATCH(點上線資訊!S320,刷條碼區!C:C,0),2),"")</f>
        <v/>
      </c>
      <c r="Z320" s="70" t="str">
        <f>IFERROR(INDEX(刷條碼區!D:G,MATCH(點上線資訊!S320,刷條碼區!F:F,0),1),"")</f>
        <v/>
      </c>
      <c r="AA320" s="71" t="str">
        <f>IFERROR(INDEX(刷條碼區!D:G,MATCH(點上線資訊!S320,刷條碼區!F:F,0),2),"")</f>
        <v/>
      </c>
      <c r="AB320" s="20" t="b">
        <f t="shared" si="26"/>
        <v>0</v>
      </c>
      <c r="AC320" s="20" t="b">
        <f t="shared" si="27"/>
        <v>0</v>
      </c>
      <c r="AD320" s="17" t="b">
        <f t="shared" si="28"/>
        <v>0</v>
      </c>
      <c r="AE320" s="17" t="b">
        <f t="shared" si="29"/>
        <v>0</v>
      </c>
    </row>
    <row r="321" spans="1:31" x14ac:dyDescent="0.2">
      <c r="A321" s="16">
        <v>5000494337</v>
      </c>
      <c r="B321" t="s">
        <v>0</v>
      </c>
      <c r="C321" t="s">
        <v>0</v>
      </c>
      <c r="D321" t="s">
        <v>1</v>
      </c>
      <c r="E321" t="s">
        <v>901</v>
      </c>
      <c r="F321" t="s">
        <v>902</v>
      </c>
      <c r="G321" s="2">
        <v>3</v>
      </c>
      <c r="H321" t="s">
        <v>461</v>
      </c>
      <c r="I321" t="s">
        <v>3</v>
      </c>
      <c r="J321" t="s">
        <v>53</v>
      </c>
      <c r="K321" t="s">
        <v>605</v>
      </c>
      <c r="L321" t="s">
        <v>608</v>
      </c>
      <c r="M321" t="s">
        <v>903</v>
      </c>
      <c r="N321" t="s">
        <v>602</v>
      </c>
      <c r="O321" t="s">
        <v>603</v>
      </c>
      <c r="P321" t="s">
        <v>602</v>
      </c>
      <c r="Q321" s="17">
        <f>IFERROR(VLOOKUP(A321,已除帳印單!B:C,1,0),0)*1</f>
        <v>0</v>
      </c>
      <c r="R321" s="67" t="str">
        <f>IFERROR(VLOOKUP(J321,線別!A:B,2,1),"")</f>
        <v>裝二線</v>
      </c>
      <c r="S321" s="17" t="str">
        <f>IFERROR(VLOOKUP(A321,已除帳印單!B:C,2,0),"")</f>
        <v/>
      </c>
      <c r="T321" s="68">
        <f t="shared" si="30"/>
        <v>43892</v>
      </c>
      <c r="U321" s="69">
        <f t="shared" si="31"/>
        <v>84.168773148148148</v>
      </c>
      <c r="V321" s="68" t="str">
        <f>IFERROR(VLOOKUP(A321,已除帳印單!B:D,3,0),"")</f>
        <v/>
      </c>
      <c r="W321" s="69" t="str">
        <f>IFERROR(VLOOKUP(A321,已除帳印單!B:E,4,0),"")</f>
        <v/>
      </c>
      <c r="X321" s="68" t="str">
        <f>IFERROR(INDEX(刷條碼區!A:C,MATCH(點上線資訊!S321,刷條碼區!C:C,0),1),"")</f>
        <v/>
      </c>
      <c r="Y321" s="69" t="str">
        <f>IFERROR(INDEX(刷條碼區!A:C,MATCH(點上線資訊!S321,刷條碼區!C:C,0),2),"")</f>
        <v/>
      </c>
      <c r="Z321" s="70" t="str">
        <f>IFERROR(INDEX(刷條碼區!D:G,MATCH(點上線資訊!S321,刷條碼區!F:F,0),1),"")</f>
        <v/>
      </c>
      <c r="AA321" s="71" t="str">
        <f>IFERROR(INDEX(刷條碼區!D:G,MATCH(點上線資訊!S321,刷條碼區!F:F,0),2),"")</f>
        <v/>
      </c>
      <c r="AB321" s="20" t="b">
        <f t="shared" si="26"/>
        <v>0</v>
      </c>
      <c r="AC321" s="20" t="b">
        <f t="shared" si="27"/>
        <v>0</v>
      </c>
      <c r="AD321" s="17" t="b">
        <f t="shared" si="28"/>
        <v>0</v>
      </c>
      <c r="AE321" s="17" t="b">
        <f t="shared" si="29"/>
        <v>0</v>
      </c>
    </row>
    <row r="322" spans="1:31" x14ac:dyDescent="0.2">
      <c r="A322" s="16">
        <v>5000494340</v>
      </c>
      <c r="B322" t="s">
        <v>0</v>
      </c>
      <c r="C322" t="s">
        <v>0</v>
      </c>
      <c r="D322" t="s">
        <v>1</v>
      </c>
      <c r="E322" t="s">
        <v>901</v>
      </c>
      <c r="F322" t="s">
        <v>902</v>
      </c>
      <c r="G322" s="2">
        <v>10</v>
      </c>
      <c r="H322" t="s">
        <v>461</v>
      </c>
      <c r="I322" t="s">
        <v>3</v>
      </c>
      <c r="J322" t="s">
        <v>53</v>
      </c>
      <c r="K322" t="s">
        <v>605</v>
      </c>
      <c r="L322" t="s">
        <v>608</v>
      </c>
      <c r="M322" t="s">
        <v>903</v>
      </c>
      <c r="N322" t="s">
        <v>602</v>
      </c>
      <c r="O322" t="s">
        <v>603</v>
      </c>
      <c r="P322" t="s">
        <v>602</v>
      </c>
      <c r="Q322" s="17">
        <f>IFERROR(VLOOKUP(A322,已除帳印單!B:C,1,0),0)*1</f>
        <v>0</v>
      </c>
      <c r="R322" s="67" t="str">
        <f>IFERROR(VLOOKUP(J322,線別!A:B,2,1),"")</f>
        <v>裝二線</v>
      </c>
      <c r="S322" s="17" t="str">
        <f>IFERROR(VLOOKUP(A322,已除帳印單!B:C,2,0),"")</f>
        <v/>
      </c>
      <c r="T322" s="68">
        <f t="shared" si="30"/>
        <v>43892</v>
      </c>
      <c r="U322" s="69">
        <f t="shared" si="31"/>
        <v>84.168773148148148</v>
      </c>
      <c r="V322" s="68" t="str">
        <f>IFERROR(VLOOKUP(A322,已除帳印單!B:D,3,0),"")</f>
        <v/>
      </c>
      <c r="W322" s="69" t="str">
        <f>IFERROR(VLOOKUP(A322,已除帳印單!B:E,4,0),"")</f>
        <v/>
      </c>
      <c r="X322" s="68" t="str">
        <f>IFERROR(INDEX(刷條碼區!A:C,MATCH(點上線資訊!S322,刷條碼區!C:C,0),1),"")</f>
        <v/>
      </c>
      <c r="Y322" s="69" t="str">
        <f>IFERROR(INDEX(刷條碼區!A:C,MATCH(點上線資訊!S322,刷條碼區!C:C,0),2),"")</f>
        <v/>
      </c>
      <c r="Z322" s="70" t="str">
        <f>IFERROR(INDEX(刷條碼區!D:G,MATCH(點上線資訊!S322,刷條碼區!F:F,0),1),"")</f>
        <v/>
      </c>
      <c r="AA322" s="71" t="str">
        <f>IFERROR(INDEX(刷條碼區!D:G,MATCH(點上線資訊!S322,刷條碼區!F:F,0),2),"")</f>
        <v/>
      </c>
      <c r="AB322" s="20" t="b">
        <f t="shared" si="26"/>
        <v>0</v>
      </c>
      <c r="AC322" s="20" t="b">
        <f t="shared" si="27"/>
        <v>0</v>
      </c>
      <c r="AD322" s="17" t="b">
        <f t="shared" si="28"/>
        <v>0</v>
      </c>
      <c r="AE322" s="17" t="b">
        <f t="shared" si="29"/>
        <v>0</v>
      </c>
    </row>
    <row r="323" spans="1:31" x14ac:dyDescent="0.2">
      <c r="A323" s="16">
        <v>5000494341</v>
      </c>
      <c r="B323" t="s">
        <v>0</v>
      </c>
      <c r="C323" t="s">
        <v>0</v>
      </c>
      <c r="D323" t="s">
        <v>1</v>
      </c>
      <c r="E323" t="s">
        <v>904</v>
      </c>
      <c r="F323" t="s">
        <v>905</v>
      </c>
      <c r="G323" s="2">
        <v>15</v>
      </c>
      <c r="H323" t="s">
        <v>461</v>
      </c>
      <c r="I323" t="s">
        <v>3</v>
      </c>
      <c r="J323" t="s">
        <v>53</v>
      </c>
      <c r="K323" t="s">
        <v>605</v>
      </c>
      <c r="L323" t="s">
        <v>608</v>
      </c>
      <c r="M323" t="s">
        <v>906</v>
      </c>
      <c r="N323" t="s">
        <v>602</v>
      </c>
      <c r="O323" t="s">
        <v>603</v>
      </c>
      <c r="P323" t="s">
        <v>602</v>
      </c>
      <c r="Q323" s="17">
        <f>IFERROR(VLOOKUP(A323,已除帳印單!B:C,1,0),0)*1</f>
        <v>0</v>
      </c>
      <c r="R323" s="67" t="str">
        <f>IFERROR(VLOOKUP(J323,線別!A:B,2,1),"")</f>
        <v>裝二線</v>
      </c>
      <c r="S323" s="17" t="str">
        <f>IFERROR(VLOOKUP(A323,已除帳印單!B:C,2,0),"")</f>
        <v/>
      </c>
      <c r="T323" s="68">
        <f t="shared" si="30"/>
        <v>43892</v>
      </c>
      <c r="U323" s="69">
        <f t="shared" si="31"/>
        <v>84.168773148148148</v>
      </c>
      <c r="V323" s="68" t="str">
        <f>IFERROR(VLOOKUP(A323,已除帳印單!B:D,3,0),"")</f>
        <v/>
      </c>
      <c r="W323" s="69" t="str">
        <f>IFERROR(VLOOKUP(A323,已除帳印單!B:E,4,0),"")</f>
        <v/>
      </c>
      <c r="X323" s="68" t="str">
        <f>IFERROR(INDEX(刷條碼區!A:C,MATCH(點上線資訊!S323,刷條碼區!C:C,0),1),"")</f>
        <v/>
      </c>
      <c r="Y323" s="69" t="str">
        <f>IFERROR(INDEX(刷條碼區!A:C,MATCH(點上線資訊!S323,刷條碼區!C:C,0),2),"")</f>
        <v/>
      </c>
      <c r="Z323" s="70" t="str">
        <f>IFERROR(INDEX(刷條碼區!D:G,MATCH(點上線資訊!S323,刷條碼區!F:F,0),1),"")</f>
        <v/>
      </c>
      <c r="AA323" s="71" t="str">
        <f>IFERROR(INDEX(刷條碼區!D:G,MATCH(點上線資訊!S323,刷條碼區!F:F,0),2),"")</f>
        <v/>
      </c>
      <c r="AB323" s="20" t="b">
        <f t="shared" ref="AB323:AB386" si="32">IF(K323&amp;N323="",G323)</f>
        <v>0</v>
      </c>
      <c r="AC323" s="20" t="b">
        <f t="shared" ref="AC323:AC386" si="33">IF(S323&lt;&gt;"",G323)</f>
        <v>0</v>
      </c>
      <c r="AD323" s="17" t="b">
        <f t="shared" ref="AD323:AD386" si="34">IF(X323&lt;&gt;"",G323)</f>
        <v>0</v>
      </c>
      <c r="AE323" s="17" t="b">
        <f t="shared" ref="AE323:AE386" si="35">IF(Z323&lt;&gt;"",G323)</f>
        <v>0</v>
      </c>
    </row>
    <row r="324" spans="1:31" x14ac:dyDescent="0.2">
      <c r="A324" s="16">
        <v>5000494342</v>
      </c>
      <c r="B324" t="s">
        <v>0</v>
      </c>
      <c r="C324" t="s">
        <v>0</v>
      </c>
      <c r="D324" t="s">
        <v>1</v>
      </c>
      <c r="E324" t="s">
        <v>904</v>
      </c>
      <c r="F324" t="s">
        <v>905</v>
      </c>
      <c r="G324" s="2">
        <v>15</v>
      </c>
      <c r="H324" t="s">
        <v>461</v>
      </c>
      <c r="I324" t="s">
        <v>3</v>
      </c>
      <c r="J324" t="s">
        <v>53</v>
      </c>
      <c r="K324" t="s">
        <v>605</v>
      </c>
      <c r="L324" t="s">
        <v>608</v>
      </c>
      <c r="M324" t="s">
        <v>906</v>
      </c>
      <c r="N324" t="s">
        <v>602</v>
      </c>
      <c r="O324" t="s">
        <v>603</v>
      </c>
      <c r="P324" t="s">
        <v>602</v>
      </c>
      <c r="Q324" s="17">
        <f>IFERROR(VLOOKUP(A324,已除帳印單!B:C,1,0),0)*1</f>
        <v>0</v>
      </c>
      <c r="R324" s="67" t="str">
        <f>IFERROR(VLOOKUP(J324,線別!A:B,2,1),"")</f>
        <v>裝二線</v>
      </c>
      <c r="S324" s="17" t="str">
        <f>IFERROR(VLOOKUP(A324,已除帳印單!B:C,2,0),"")</f>
        <v/>
      </c>
      <c r="T324" s="68">
        <f t="shared" si="30"/>
        <v>43892</v>
      </c>
      <c r="U324" s="69">
        <f t="shared" si="31"/>
        <v>84.168773148148148</v>
      </c>
      <c r="V324" s="68" t="str">
        <f>IFERROR(VLOOKUP(A324,已除帳印單!B:D,3,0),"")</f>
        <v/>
      </c>
      <c r="W324" s="69" t="str">
        <f>IFERROR(VLOOKUP(A324,已除帳印單!B:E,4,0),"")</f>
        <v/>
      </c>
      <c r="X324" s="68" t="str">
        <f>IFERROR(INDEX(刷條碼區!A:C,MATCH(點上線資訊!S324,刷條碼區!C:C,0),1),"")</f>
        <v/>
      </c>
      <c r="Y324" s="69" t="str">
        <f>IFERROR(INDEX(刷條碼區!A:C,MATCH(點上線資訊!S324,刷條碼區!C:C,0),2),"")</f>
        <v/>
      </c>
      <c r="Z324" s="70" t="str">
        <f>IFERROR(INDEX(刷條碼區!D:G,MATCH(點上線資訊!S324,刷條碼區!F:F,0),1),"")</f>
        <v/>
      </c>
      <c r="AA324" s="71" t="str">
        <f>IFERROR(INDEX(刷條碼區!D:G,MATCH(點上線資訊!S324,刷條碼區!F:F,0),2),"")</f>
        <v/>
      </c>
      <c r="AB324" s="20" t="b">
        <f t="shared" si="32"/>
        <v>0</v>
      </c>
      <c r="AC324" s="20" t="b">
        <f t="shared" si="33"/>
        <v>0</v>
      </c>
      <c r="AD324" s="17" t="b">
        <f t="shared" si="34"/>
        <v>0</v>
      </c>
      <c r="AE324" s="17" t="b">
        <f t="shared" si="35"/>
        <v>0</v>
      </c>
    </row>
    <row r="325" spans="1:31" x14ac:dyDescent="0.2">
      <c r="A325" s="16">
        <v>5000494343</v>
      </c>
      <c r="B325" t="s">
        <v>0</v>
      </c>
      <c r="C325" t="s">
        <v>0</v>
      </c>
      <c r="D325" t="s">
        <v>1</v>
      </c>
      <c r="E325" t="s">
        <v>907</v>
      </c>
      <c r="F325" t="s">
        <v>908</v>
      </c>
      <c r="G325" s="2">
        <v>10</v>
      </c>
      <c r="H325" t="s">
        <v>461</v>
      </c>
      <c r="I325" t="s">
        <v>3</v>
      </c>
      <c r="J325" t="s">
        <v>53</v>
      </c>
      <c r="K325" t="s">
        <v>605</v>
      </c>
      <c r="L325" t="s">
        <v>608</v>
      </c>
      <c r="M325" t="s">
        <v>903</v>
      </c>
      <c r="N325" t="s">
        <v>602</v>
      </c>
      <c r="O325" t="s">
        <v>603</v>
      </c>
      <c r="P325" t="s">
        <v>602</v>
      </c>
      <c r="Q325" s="17">
        <f>IFERROR(VLOOKUP(A325,已除帳印單!B:C,1,0),0)*1</f>
        <v>0</v>
      </c>
      <c r="R325" s="67" t="str">
        <f>IFERROR(VLOOKUP(J325,線別!A:B,2,1),"")</f>
        <v>裝二線</v>
      </c>
      <c r="S325" s="17" t="str">
        <f>IFERROR(VLOOKUP(A325,已除帳印單!B:C,2,0),"")</f>
        <v/>
      </c>
      <c r="T325" s="68">
        <f t="shared" si="30"/>
        <v>43892</v>
      </c>
      <c r="U325" s="69">
        <f t="shared" si="31"/>
        <v>84.168773148148148</v>
      </c>
      <c r="V325" s="68" t="str">
        <f>IFERROR(VLOOKUP(A325,已除帳印單!B:D,3,0),"")</f>
        <v/>
      </c>
      <c r="W325" s="69" t="str">
        <f>IFERROR(VLOOKUP(A325,已除帳印單!B:E,4,0),"")</f>
        <v/>
      </c>
      <c r="X325" s="68" t="str">
        <f>IFERROR(INDEX(刷條碼區!A:C,MATCH(點上線資訊!S325,刷條碼區!C:C,0),1),"")</f>
        <v/>
      </c>
      <c r="Y325" s="69" t="str">
        <f>IFERROR(INDEX(刷條碼區!A:C,MATCH(點上線資訊!S325,刷條碼區!C:C,0),2),"")</f>
        <v/>
      </c>
      <c r="Z325" s="70" t="str">
        <f>IFERROR(INDEX(刷條碼區!D:G,MATCH(點上線資訊!S325,刷條碼區!F:F,0),1),"")</f>
        <v/>
      </c>
      <c r="AA325" s="71" t="str">
        <f>IFERROR(INDEX(刷條碼區!D:G,MATCH(點上線資訊!S325,刷條碼區!F:F,0),2),"")</f>
        <v/>
      </c>
      <c r="AB325" s="20" t="b">
        <f t="shared" si="32"/>
        <v>0</v>
      </c>
      <c r="AC325" s="20" t="b">
        <f t="shared" si="33"/>
        <v>0</v>
      </c>
      <c r="AD325" s="17" t="b">
        <f t="shared" si="34"/>
        <v>0</v>
      </c>
      <c r="AE325" s="17" t="b">
        <f t="shared" si="35"/>
        <v>0</v>
      </c>
    </row>
    <row r="326" spans="1:31" x14ac:dyDescent="0.2">
      <c r="A326" s="16">
        <v>5000494344</v>
      </c>
      <c r="B326" t="s">
        <v>0</v>
      </c>
      <c r="C326" t="s">
        <v>0</v>
      </c>
      <c r="D326" t="s">
        <v>1</v>
      </c>
      <c r="E326" t="s">
        <v>137</v>
      </c>
      <c r="F326" t="s">
        <v>514</v>
      </c>
      <c r="G326" s="2">
        <v>10</v>
      </c>
      <c r="H326" t="s">
        <v>461</v>
      </c>
      <c r="I326" t="s">
        <v>3</v>
      </c>
      <c r="J326" t="s">
        <v>53</v>
      </c>
      <c r="K326" t="s">
        <v>605</v>
      </c>
      <c r="L326" t="s">
        <v>608</v>
      </c>
      <c r="M326" t="s">
        <v>903</v>
      </c>
      <c r="N326" t="s">
        <v>602</v>
      </c>
      <c r="O326" t="s">
        <v>603</v>
      </c>
      <c r="P326" t="s">
        <v>602</v>
      </c>
      <c r="Q326" s="17">
        <f>IFERROR(VLOOKUP(A326,已除帳印單!B:C,1,0),0)*1</f>
        <v>0</v>
      </c>
      <c r="R326" s="67" t="str">
        <f>IFERROR(VLOOKUP(J326,線別!A:B,2,1),"")</f>
        <v>裝二線</v>
      </c>
      <c r="S326" s="17" t="str">
        <f>IFERROR(VLOOKUP(A326,已除帳印單!B:C,2,0),"")</f>
        <v/>
      </c>
      <c r="T326" s="68">
        <f t="shared" si="30"/>
        <v>43892</v>
      </c>
      <c r="U326" s="69">
        <f t="shared" si="31"/>
        <v>84.168773148148148</v>
      </c>
      <c r="V326" s="68" t="str">
        <f>IFERROR(VLOOKUP(A326,已除帳印單!B:D,3,0),"")</f>
        <v/>
      </c>
      <c r="W326" s="69" t="str">
        <f>IFERROR(VLOOKUP(A326,已除帳印單!B:E,4,0),"")</f>
        <v/>
      </c>
      <c r="X326" s="68" t="str">
        <f>IFERROR(INDEX(刷條碼區!A:C,MATCH(點上線資訊!S326,刷條碼區!C:C,0),1),"")</f>
        <v/>
      </c>
      <c r="Y326" s="69" t="str">
        <f>IFERROR(INDEX(刷條碼區!A:C,MATCH(點上線資訊!S326,刷條碼區!C:C,0),2),"")</f>
        <v/>
      </c>
      <c r="Z326" s="70" t="str">
        <f>IFERROR(INDEX(刷條碼區!D:G,MATCH(點上線資訊!S326,刷條碼區!F:F,0),1),"")</f>
        <v/>
      </c>
      <c r="AA326" s="71" t="str">
        <f>IFERROR(INDEX(刷條碼區!D:G,MATCH(點上線資訊!S326,刷條碼區!F:F,0),2),"")</f>
        <v/>
      </c>
      <c r="AB326" s="20" t="b">
        <f t="shared" si="32"/>
        <v>0</v>
      </c>
      <c r="AC326" s="20" t="b">
        <f t="shared" si="33"/>
        <v>0</v>
      </c>
      <c r="AD326" s="17" t="b">
        <f t="shared" si="34"/>
        <v>0</v>
      </c>
      <c r="AE326" s="17" t="b">
        <f t="shared" si="35"/>
        <v>0</v>
      </c>
    </row>
    <row r="327" spans="1:31" x14ac:dyDescent="0.2">
      <c r="A327" s="16">
        <v>5000494346</v>
      </c>
      <c r="B327" t="s">
        <v>0</v>
      </c>
      <c r="C327" t="s">
        <v>0</v>
      </c>
      <c r="D327" t="s">
        <v>1</v>
      </c>
      <c r="E327" t="s">
        <v>137</v>
      </c>
      <c r="F327" t="s">
        <v>514</v>
      </c>
      <c r="G327" s="2">
        <v>10</v>
      </c>
      <c r="H327" t="s">
        <v>461</v>
      </c>
      <c r="I327" t="s">
        <v>3</v>
      </c>
      <c r="J327" t="s">
        <v>53</v>
      </c>
      <c r="K327" t="s">
        <v>605</v>
      </c>
      <c r="L327" t="s">
        <v>608</v>
      </c>
      <c r="M327" t="s">
        <v>903</v>
      </c>
      <c r="N327" t="s">
        <v>602</v>
      </c>
      <c r="O327" t="s">
        <v>603</v>
      </c>
      <c r="P327" t="s">
        <v>602</v>
      </c>
      <c r="Q327" s="17">
        <f>IFERROR(VLOOKUP(A327,已除帳印單!B:C,1,0),0)*1</f>
        <v>0</v>
      </c>
      <c r="R327" s="67" t="str">
        <f>IFERROR(VLOOKUP(J327,線別!A:B,2,1),"")</f>
        <v>裝二線</v>
      </c>
      <c r="S327" s="17" t="str">
        <f>IFERROR(VLOOKUP(A327,已除帳印單!B:C,2,0),"")</f>
        <v/>
      </c>
      <c r="T327" s="68">
        <f t="shared" si="30"/>
        <v>43892</v>
      </c>
      <c r="U327" s="69">
        <f t="shared" si="31"/>
        <v>84.168773148148148</v>
      </c>
      <c r="V327" s="68" t="str">
        <f>IFERROR(VLOOKUP(A327,已除帳印單!B:D,3,0),"")</f>
        <v/>
      </c>
      <c r="W327" s="69" t="str">
        <f>IFERROR(VLOOKUP(A327,已除帳印單!B:E,4,0),"")</f>
        <v/>
      </c>
      <c r="X327" s="68" t="str">
        <f>IFERROR(INDEX(刷條碼區!A:C,MATCH(點上線資訊!S327,刷條碼區!C:C,0),1),"")</f>
        <v/>
      </c>
      <c r="Y327" s="69" t="str">
        <f>IFERROR(INDEX(刷條碼區!A:C,MATCH(點上線資訊!S327,刷條碼區!C:C,0),2),"")</f>
        <v/>
      </c>
      <c r="Z327" s="70" t="str">
        <f>IFERROR(INDEX(刷條碼區!D:G,MATCH(點上線資訊!S327,刷條碼區!F:F,0),1),"")</f>
        <v/>
      </c>
      <c r="AA327" s="71" t="str">
        <f>IFERROR(INDEX(刷條碼區!D:G,MATCH(點上線資訊!S327,刷條碼區!F:F,0),2),"")</f>
        <v/>
      </c>
      <c r="AB327" s="20" t="b">
        <f t="shared" si="32"/>
        <v>0</v>
      </c>
      <c r="AC327" s="20" t="b">
        <f t="shared" si="33"/>
        <v>0</v>
      </c>
      <c r="AD327" s="17" t="b">
        <f t="shared" si="34"/>
        <v>0</v>
      </c>
      <c r="AE327" s="17" t="b">
        <f t="shared" si="35"/>
        <v>0</v>
      </c>
    </row>
    <row r="328" spans="1:31" x14ac:dyDescent="0.2">
      <c r="A328" s="16">
        <v>5000494347</v>
      </c>
      <c r="B328" t="s">
        <v>6</v>
      </c>
      <c r="C328" t="s">
        <v>6</v>
      </c>
      <c r="D328" t="s">
        <v>1</v>
      </c>
      <c r="E328" t="s">
        <v>272</v>
      </c>
      <c r="F328" t="s">
        <v>512</v>
      </c>
      <c r="G328" s="2">
        <v>12</v>
      </c>
      <c r="H328" t="s">
        <v>461</v>
      </c>
      <c r="I328" t="s">
        <v>3</v>
      </c>
      <c r="J328" t="s">
        <v>53</v>
      </c>
      <c r="K328" t="s">
        <v>602</v>
      </c>
      <c r="L328" t="s">
        <v>603</v>
      </c>
      <c r="M328" t="s">
        <v>602</v>
      </c>
      <c r="N328" t="s">
        <v>602</v>
      </c>
      <c r="O328" t="s">
        <v>603</v>
      </c>
      <c r="P328" t="s">
        <v>602</v>
      </c>
      <c r="Q328" s="17">
        <f>IFERROR(VLOOKUP(A328,已除帳印單!B:C,1,0),0)*1</f>
        <v>0</v>
      </c>
      <c r="R328" s="67" t="str">
        <f>IFERROR(VLOOKUP(J328,線別!A:B,2,1),"")</f>
        <v>裝二線</v>
      </c>
      <c r="S328" s="17" t="str">
        <f>IFERROR(VLOOKUP(A328,已除帳印單!B:C,2,0),"")</f>
        <v/>
      </c>
      <c r="T328" s="68">
        <f t="shared" si="30"/>
        <v>43893</v>
      </c>
      <c r="U328" s="69">
        <f t="shared" si="31"/>
        <v>84.168784722222213</v>
      </c>
      <c r="V328" s="68" t="str">
        <f>IFERROR(VLOOKUP(A328,已除帳印單!B:D,3,0),"")</f>
        <v/>
      </c>
      <c r="W328" s="69" t="str">
        <f>IFERROR(VLOOKUP(A328,已除帳印單!B:E,4,0),"")</f>
        <v/>
      </c>
      <c r="X328" s="68" t="str">
        <f>IFERROR(INDEX(刷條碼區!A:C,MATCH(點上線資訊!S328,刷條碼區!C:C,0),1),"")</f>
        <v/>
      </c>
      <c r="Y328" s="69" t="str">
        <f>IFERROR(INDEX(刷條碼區!A:C,MATCH(點上線資訊!S328,刷條碼區!C:C,0),2),"")</f>
        <v/>
      </c>
      <c r="Z328" s="70" t="str">
        <f>IFERROR(INDEX(刷條碼區!D:G,MATCH(點上線資訊!S328,刷條碼區!F:F,0),1),"")</f>
        <v/>
      </c>
      <c r="AA328" s="71" t="str">
        <f>IFERROR(INDEX(刷條碼區!D:G,MATCH(點上線資訊!S328,刷條碼區!F:F,0),2),"")</f>
        <v/>
      </c>
      <c r="AB328" s="20">
        <f t="shared" si="32"/>
        <v>12</v>
      </c>
      <c r="AC328" s="20" t="b">
        <f t="shared" si="33"/>
        <v>0</v>
      </c>
      <c r="AD328" s="17" t="b">
        <f t="shared" si="34"/>
        <v>0</v>
      </c>
      <c r="AE328" s="17" t="b">
        <f t="shared" si="35"/>
        <v>0</v>
      </c>
    </row>
    <row r="329" spans="1:31" x14ac:dyDescent="0.2">
      <c r="A329" s="16">
        <v>5000494348</v>
      </c>
      <c r="B329" t="s">
        <v>301</v>
      </c>
      <c r="C329" t="s">
        <v>301</v>
      </c>
      <c r="D329" t="s">
        <v>1</v>
      </c>
      <c r="E329" t="s">
        <v>106</v>
      </c>
      <c r="F329" t="s">
        <v>513</v>
      </c>
      <c r="G329" s="2">
        <v>20</v>
      </c>
      <c r="H329" t="s">
        <v>461</v>
      </c>
      <c r="I329" t="s">
        <v>3</v>
      </c>
      <c r="J329" t="s">
        <v>53</v>
      </c>
      <c r="K329" t="s">
        <v>602</v>
      </c>
      <c r="L329" t="s">
        <v>603</v>
      </c>
      <c r="M329" t="s">
        <v>602</v>
      </c>
      <c r="N329" t="s">
        <v>602</v>
      </c>
      <c r="O329" t="s">
        <v>603</v>
      </c>
      <c r="P329" t="s">
        <v>602</v>
      </c>
      <c r="Q329" s="17">
        <f>IFERROR(VLOOKUP(A329,已除帳印單!B:C,1,0),0)*1</f>
        <v>0</v>
      </c>
      <c r="R329" s="67" t="str">
        <f>IFERROR(VLOOKUP(J329,線別!A:B,2,1),"")</f>
        <v>裝二線</v>
      </c>
      <c r="S329" s="17" t="str">
        <f>IFERROR(VLOOKUP(A329,已除帳印單!B:C,2,0),"")</f>
        <v/>
      </c>
      <c r="T329" s="68">
        <f t="shared" si="30"/>
        <v>43894</v>
      </c>
      <c r="U329" s="69">
        <f t="shared" si="31"/>
        <v>84.168796296296293</v>
      </c>
      <c r="V329" s="68" t="str">
        <f>IFERROR(VLOOKUP(A329,已除帳印單!B:D,3,0),"")</f>
        <v/>
      </c>
      <c r="W329" s="69" t="str">
        <f>IFERROR(VLOOKUP(A329,已除帳印單!B:E,4,0),"")</f>
        <v/>
      </c>
      <c r="X329" s="68" t="str">
        <f>IFERROR(INDEX(刷條碼區!A:C,MATCH(點上線資訊!S329,刷條碼區!C:C,0),1),"")</f>
        <v/>
      </c>
      <c r="Y329" s="69" t="str">
        <f>IFERROR(INDEX(刷條碼區!A:C,MATCH(點上線資訊!S329,刷條碼區!C:C,0),2),"")</f>
        <v/>
      </c>
      <c r="Z329" s="70" t="str">
        <f>IFERROR(INDEX(刷條碼區!D:G,MATCH(點上線資訊!S329,刷條碼區!F:F,0),1),"")</f>
        <v/>
      </c>
      <c r="AA329" s="71" t="str">
        <f>IFERROR(INDEX(刷條碼區!D:G,MATCH(點上線資訊!S329,刷條碼區!F:F,0),2),"")</f>
        <v/>
      </c>
      <c r="AB329" s="20">
        <f t="shared" si="32"/>
        <v>20</v>
      </c>
      <c r="AC329" s="20" t="b">
        <f t="shared" si="33"/>
        <v>0</v>
      </c>
      <c r="AD329" s="17" t="b">
        <f t="shared" si="34"/>
        <v>0</v>
      </c>
      <c r="AE329" s="17" t="b">
        <f t="shared" si="35"/>
        <v>0</v>
      </c>
    </row>
    <row r="330" spans="1:31" x14ac:dyDescent="0.2">
      <c r="A330" s="16">
        <v>5000494349</v>
      </c>
      <c r="B330" t="s">
        <v>0</v>
      </c>
      <c r="C330" t="s">
        <v>0</v>
      </c>
      <c r="D330" t="s">
        <v>1</v>
      </c>
      <c r="E330" t="s">
        <v>137</v>
      </c>
      <c r="F330" t="s">
        <v>514</v>
      </c>
      <c r="G330" s="2">
        <v>20</v>
      </c>
      <c r="H330" t="s">
        <v>461</v>
      </c>
      <c r="I330" t="s">
        <v>3</v>
      </c>
      <c r="J330" t="s">
        <v>53</v>
      </c>
      <c r="K330" t="s">
        <v>605</v>
      </c>
      <c r="L330" t="s">
        <v>608</v>
      </c>
      <c r="M330" t="s">
        <v>903</v>
      </c>
      <c r="N330" t="s">
        <v>602</v>
      </c>
      <c r="O330" t="s">
        <v>603</v>
      </c>
      <c r="P330" t="s">
        <v>602</v>
      </c>
      <c r="Q330" s="17">
        <f>IFERROR(VLOOKUP(A330,已除帳印單!B:C,1,0),0)*1</f>
        <v>0</v>
      </c>
      <c r="R330" s="67" t="str">
        <f>IFERROR(VLOOKUP(J330,線別!A:B,2,1),"")</f>
        <v>裝二線</v>
      </c>
      <c r="S330" s="17" t="str">
        <f>IFERROR(VLOOKUP(A330,已除帳印單!B:C,2,0),"")</f>
        <v/>
      </c>
      <c r="T330" s="68">
        <f t="shared" ref="T330:T393" si="36">--TEXT(B330,"0000-00-00")</f>
        <v>43892</v>
      </c>
      <c r="U330" s="69">
        <f t="shared" ref="U330:U393" si="37">--TEXT(C330,"00\:00\:00")</f>
        <v>84.168773148148148</v>
      </c>
      <c r="V330" s="68" t="str">
        <f>IFERROR(VLOOKUP(A330,已除帳印單!B:D,3,0),"")</f>
        <v/>
      </c>
      <c r="W330" s="69" t="str">
        <f>IFERROR(VLOOKUP(A330,已除帳印單!B:E,4,0),"")</f>
        <v/>
      </c>
      <c r="X330" s="68" t="str">
        <f>IFERROR(INDEX(刷條碼區!A:C,MATCH(點上線資訊!S330,刷條碼區!C:C,0),1),"")</f>
        <v/>
      </c>
      <c r="Y330" s="69" t="str">
        <f>IFERROR(INDEX(刷條碼區!A:C,MATCH(點上線資訊!S330,刷條碼區!C:C,0),2),"")</f>
        <v/>
      </c>
      <c r="Z330" s="70" t="str">
        <f>IFERROR(INDEX(刷條碼區!D:G,MATCH(點上線資訊!S330,刷條碼區!F:F,0),1),"")</f>
        <v/>
      </c>
      <c r="AA330" s="71" t="str">
        <f>IFERROR(INDEX(刷條碼區!D:G,MATCH(點上線資訊!S330,刷條碼區!F:F,0),2),"")</f>
        <v/>
      </c>
      <c r="AB330" s="20" t="b">
        <f t="shared" si="32"/>
        <v>0</v>
      </c>
      <c r="AC330" s="20" t="b">
        <f t="shared" si="33"/>
        <v>0</v>
      </c>
      <c r="AD330" s="17" t="b">
        <f t="shared" si="34"/>
        <v>0</v>
      </c>
      <c r="AE330" s="17" t="b">
        <f t="shared" si="35"/>
        <v>0</v>
      </c>
    </row>
    <row r="331" spans="1:31" x14ac:dyDescent="0.2">
      <c r="A331" s="16">
        <v>5000494351</v>
      </c>
      <c r="B331" t="s">
        <v>301</v>
      </c>
      <c r="C331" t="s">
        <v>301</v>
      </c>
      <c r="D331" t="s">
        <v>1</v>
      </c>
      <c r="E331" t="s">
        <v>316</v>
      </c>
      <c r="F331" t="s">
        <v>317</v>
      </c>
      <c r="G331" s="2">
        <v>20</v>
      </c>
      <c r="H331" t="s">
        <v>461</v>
      </c>
      <c r="I331" t="s">
        <v>3</v>
      </c>
      <c r="J331" t="s">
        <v>53</v>
      </c>
      <c r="K331" t="s">
        <v>602</v>
      </c>
      <c r="L331" t="s">
        <v>603</v>
      </c>
      <c r="M331" t="s">
        <v>602</v>
      </c>
      <c r="N331" t="s">
        <v>602</v>
      </c>
      <c r="O331" t="s">
        <v>603</v>
      </c>
      <c r="P331" t="s">
        <v>602</v>
      </c>
      <c r="Q331" s="17">
        <f>IFERROR(VLOOKUP(A331,已除帳印單!B:C,1,0),0)*1</f>
        <v>0</v>
      </c>
      <c r="R331" s="67" t="str">
        <f>IFERROR(VLOOKUP(J331,線別!A:B,2,1),"")</f>
        <v>裝二線</v>
      </c>
      <c r="S331" s="17" t="str">
        <f>IFERROR(VLOOKUP(A331,已除帳印單!B:C,2,0),"")</f>
        <v/>
      </c>
      <c r="T331" s="68">
        <f t="shared" si="36"/>
        <v>43894</v>
      </c>
      <c r="U331" s="69">
        <f t="shared" si="37"/>
        <v>84.168796296296293</v>
      </c>
      <c r="V331" s="68" t="str">
        <f>IFERROR(VLOOKUP(A331,已除帳印單!B:D,3,0),"")</f>
        <v/>
      </c>
      <c r="W331" s="69" t="str">
        <f>IFERROR(VLOOKUP(A331,已除帳印單!B:E,4,0),"")</f>
        <v/>
      </c>
      <c r="X331" s="68" t="str">
        <f>IFERROR(INDEX(刷條碼區!A:C,MATCH(點上線資訊!S331,刷條碼區!C:C,0),1),"")</f>
        <v/>
      </c>
      <c r="Y331" s="69" t="str">
        <f>IFERROR(INDEX(刷條碼區!A:C,MATCH(點上線資訊!S331,刷條碼區!C:C,0),2),"")</f>
        <v/>
      </c>
      <c r="Z331" s="70" t="str">
        <f>IFERROR(INDEX(刷條碼區!D:G,MATCH(點上線資訊!S331,刷條碼區!F:F,0),1),"")</f>
        <v/>
      </c>
      <c r="AA331" s="71" t="str">
        <f>IFERROR(INDEX(刷條碼區!D:G,MATCH(點上線資訊!S331,刷條碼區!F:F,0),2),"")</f>
        <v/>
      </c>
      <c r="AB331" s="20">
        <f t="shared" si="32"/>
        <v>20</v>
      </c>
      <c r="AC331" s="20" t="b">
        <f t="shared" si="33"/>
        <v>0</v>
      </c>
      <c r="AD331" s="17" t="b">
        <f t="shared" si="34"/>
        <v>0</v>
      </c>
      <c r="AE331" s="17" t="b">
        <f t="shared" si="35"/>
        <v>0</v>
      </c>
    </row>
    <row r="332" spans="1:31" x14ac:dyDescent="0.2">
      <c r="A332" s="16">
        <v>5000494352</v>
      </c>
      <c r="B332" t="s">
        <v>301</v>
      </c>
      <c r="C332" t="s">
        <v>301</v>
      </c>
      <c r="D332" t="s">
        <v>1</v>
      </c>
      <c r="E332" t="s">
        <v>137</v>
      </c>
      <c r="F332" t="s">
        <v>514</v>
      </c>
      <c r="G332" s="2">
        <v>20</v>
      </c>
      <c r="H332" t="s">
        <v>461</v>
      </c>
      <c r="I332" t="s">
        <v>3</v>
      </c>
      <c r="J332" t="s">
        <v>53</v>
      </c>
      <c r="K332" t="s">
        <v>602</v>
      </c>
      <c r="L332" t="s">
        <v>603</v>
      </c>
      <c r="M332" t="s">
        <v>602</v>
      </c>
      <c r="N332" t="s">
        <v>602</v>
      </c>
      <c r="O332" t="s">
        <v>603</v>
      </c>
      <c r="P332" t="s">
        <v>602</v>
      </c>
      <c r="Q332" s="17">
        <f>IFERROR(VLOOKUP(A332,已除帳印單!B:C,1,0),0)*1</f>
        <v>0</v>
      </c>
      <c r="R332" s="67" t="str">
        <f>IFERROR(VLOOKUP(J332,線別!A:B,2,1),"")</f>
        <v>裝二線</v>
      </c>
      <c r="S332" s="17" t="str">
        <f>IFERROR(VLOOKUP(A332,已除帳印單!B:C,2,0),"")</f>
        <v/>
      </c>
      <c r="T332" s="68">
        <f t="shared" si="36"/>
        <v>43894</v>
      </c>
      <c r="U332" s="69">
        <f t="shared" si="37"/>
        <v>84.168796296296293</v>
      </c>
      <c r="V332" s="68" t="str">
        <f>IFERROR(VLOOKUP(A332,已除帳印單!B:D,3,0),"")</f>
        <v/>
      </c>
      <c r="W332" s="69" t="str">
        <f>IFERROR(VLOOKUP(A332,已除帳印單!B:E,4,0),"")</f>
        <v/>
      </c>
      <c r="X332" s="68" t="str">
        <f>IFERROR(INDEX(刷條碼區!A:C,MATCH(點上線資訊!S332,刷條碼區!C:C,0),1),"")</f>
        <v/>
      </c>
      <c r="Y332" s="69" t="str">
        <f>IFERROR(INDEX(刷條碼區!A:C,MATCH(點上線資訊!S332,刷條碼區!C:C,0),2),"")</f>
        <v/>
      </c>
      <c r="Z332" s="70" t="str">
        <f>IFERROR(INDEX(刷條碼區!D:G,MATCH(點上線資訊!S332,刷條碼區!F:F,0),1),"")</f>
        <v/>
      </c>
      <c r="AA332" s="71" t="str">
        <f>IFERROR(INDEX(刷條碼區!D:G,MATCH(點上線資訊!S332,刷條碼區!F:F,0),2),"")</f>
        <v/>
      </c>
      <c r="AB332" s="20">
        <f t="shared" si="32"/>
        <v>20</v>
      </c>
      <c r="AC332" s="20" t="b">
        <f t="shared" si="33"/>
        <v>0</v>
      </c>
      <c r="AD332" s="17" t="b">
        <f t="shared" si="34"/>
        <v>0</v>
      </c>
      <c r="AE332" s="17" t="b">
        <f t="shared" si="35"/>
        <v>0</v>
      </c>
    </row>
    <row r="333" spans="1:31" x14ac:dyDescent="0.2">
      <c r="A333" s="16">
        <v>5000494353</v>
      </c>
      <c r="B333" t="s">
        <v>301</v>
      </c>
      <c r="C333" t="s">
        <v>301</v>
      </c>
      <c r="D333" t="s">
        <v>1</v>
      </c>
      <c r="E333" t="s">
        <v>316</v>
      </c>
      <c r="F333" t="s">
        <v>317</v>
      </c>
      <c r="G333" s="2">
        <v>20</v>
      </c>
      <c r="H333" t="s">
        <v>461</v>
      </c>
      <c r="I333" t="s">
        <v>3</v>
      </c>
      <c r="J333" t="s">
        <v>53</v>
      </c>
      <c r="K333" t="s">
        <v>602</v>
      </c>
      <c r="L333" t="s">
        <v>603</v>
      </c>
      <c r="M333" t="s">
        <v>602</v>
      </c>
      <c r="N333" t="s">
        <v>602</v>
      </c>
      <c r="O333" t="s">
        <v>603</v>
      </c>
      <c r="P333" t="s">
        <v>602</v>
      </c>
      <c r="Q333" s="17">
        <f>IFERROR(VLOOKUP(A333,已除帳印單!B:C,1,0),0)*1</f>
        <v>0</v>
      </c>
      <c r="R333" s="67" t="str">
        <f>IFERROR(VLOOKUP(J333,線別!A:B,2,1),"")</f>
        <v>裝二線</v>
      </c>
      <c r="S333" s="17" t="str">
        <f>IFERROR(VLOOKUP(A333,已除帳印單!B:C,2,0),"")</f>
        <v/>
      </c>
      <c r="T333" s="68">
        <f t="shared" si="36"/>
        <v>43894</v>
      </c>
      <c r="U333" s="69">
        <f t="shared" si="37"/>
        <v>84.168796296296293</v>
      </c>
      <c r="V333" s="68" t="str">
        <f>IFERROR(VLOOKUP(A333,已除帳印單!B:D,3,0),"")</f>
        <v/>
      </c>
      <c r="W333" s="69" t="str">
        <f>IFERROR(VLOOKUP(A333,已除帳印單!B:E,4,0),"")</f>
        <v/>
      </c>
      <c r="X333" s="68" t="str">
        <f>IFERROR(INDEX(刷條碼區!A:C,MATCH(點上線資訊!S333,刷條碼區!C:C,0),1),"")</f>
        <v/>
      </c>
      <c r="Y333" s="69" t="str">
        <f>IFERROR(INDEX(刷條碼區!A:C,MATCH(點上線資訊!S333,刷條碼區!C:C,0),2),"")</f>
        <v/>
      </c>
      <c r="Z333" s="70" t="str">
        <f>IFERROR(INDEX(刷條碼區!D:G,MATCH(點上線資訊!S333,刷條碼區!F:F,0),1),"")</f>
        <v/>
      </c>
      <c r="AA333" s="71" t="str">
        <f>IFERROR(INDEX(刷條碼區!D:G,MATCH(點上線資訊!S333,刷條碼區!F:F,0),2),"")</f>
        <v/>
      </c>
      <c r="AB333" s="20">
        <f t="shared" si="32"/>
        <v>20</v>
      </c>
      <c r="AC333" s="20" t="b">
        <f t="shared" si="33"/>
        <v>0</v>
      </c>
      <c r="AD333" s="17" t="b">
        <f t="shared" si="34"/>
        <v>0</v>
      </c>
      <c r="AE333" s="17" t="b">
        <f t="shared" si="35"/>
        <v>0</v>
      </c>
    </row>
    <row r="334" spans="1:31" x14ac:dyDescent="0.2">
      <c r="A334" s="16">
        <v>5000494354</v>
      </c>
      <c r="B334" t="s">
        <v>301</v>
      </c>
      <c r="C334" t="s">
        <v>301</v>
      </c>
      <c r="D334" t="s">
        <v>1</v>
      </c>
      <c r="E334" t="s">
        <v>316</v>
      </c>
      <c r="F334" t="s">
        <v>317</v>
      </c>
      <c r="G334" s="2">
        <v>5</v>
      </c>
      <c r="H334" t="s">
        <v>461</v>
      </c>
      <c r="I334" t="s">
        <v>3</v>
      </c>
      <c r="J334" t="s">
        <v>53</v>
      </c>
      <c r="K334" t="s">
        <v>602</v>
      </c>
      <c r="L334" t="s">
        <v>603</v>
      </c>
      <c r="M334" t="s">
        <v>602</v>
      </c>
      <c r="N334" t="s">
        <v>602</v>
      </c>
      <c r="O334" t="s">
        <v>603</v>
      </c>
      <c r="P334" t="s">
        <v>602</v>
      </c>
      <c r="Q334" s="17">
        <f>IFERROR(VLOOKUP(A334,已除帳印單!B:C,1,0),0)*1</f>
        <v>0</v>
      </c>
      <c r="R334" s="67" t="str">
        <f>IFERROR(VLOOKUP(J334,線別!A:B,2,1),"")</f>
        <v>裝二線</v>
      </c>
      <c r="S334" s="17" t="str">
        <f>IFERROR(VLOOKUP(A334,已除帳印單!B:C,2,0),"")</f>
        <v/>
      </c>
      <c r="T334" s="68">
        <f t="shared" si="36"/>
        <v>43894</v>
      </c>
      <c r="U334" s="69">
        <f t="shared" si="37"/>
        <v>84.168796296296293</v>
      </c>
      <c r="V334" s="68" t="str">
        <f>IFERROR(VLOOKUP(A334,已除帳印單!B:D,3,0),"")</f>
        <v/>
      </c>
      <c r="W334" s="69" t="str">
        <f>IFERROR(VLOOKUP(A334,已除帳印單!B:E,4,0),"")</f>
        <v/>
      </c>
      <c r="X334" s="68" t="str">
        <f>IFERROR(INDEX(刷條碼區!A:C,MATCH(點上線資訊!S334,刷條碼區!C:C,0),1),"")</f>
        <v/>
      </c>
      <c r="Y334" s="69" t="str">
        <f>IFERROR(INDEX(刷條碼區!A:C,MATCH(點上線資訊!S334,刷條碼區!C:C,0),2),"")</f>
        <v/>
      </c>
      <c r="Z334" s="70" t="str">
        <f>IFERROR(INDEX(刷條碼區!D:G,MATCH(點上線資訊!S334,刷條碼區!F:F,0),1),"")</f>
        <v/>
      </c>
      <c r="AA334" s="71" t="str">
        <f>IFERROR(INDEX(刷條碼區!D:G,MATCH(點上線資訊!S334,刷條碼區!F:F,0),2),"")</f>
        <v/>
      </c>
      <c r="AB334" s="20">
        <f t="shared" si="32"/>
        <v>5</v>
      </c>
      <c r="AC334" s="20" t="b">
        <f t="shared" si="33"/>
        <v>0</v>
      </c>
      <c r="AD334" s="17" t="b">
        <f t="shared" si="34"/>
        <v>0</v>
      </c>
      <c r="AE334" s="17" t="b">
        <f t="shared" si="35"/>
        <v>0</v>
      </c>
    </row>
    <row r="335" spans="1:31" x14ac:dyDescent="0.2">
      <c r="A335" s="16">
        <v>5000494355</v>
      </c>
      <c r="B335" t="s">
        <v>301</v>
      </c>
      <c r="C335" t="s">
        <v>301</v>
      </c>
      <c r="D335" t="s">
        <v>1</v>
      </c>
      <c r="E335" t="s">
        <v>334</v>
      </c>
      <c r="F335" t="s">
        <v>488</v>
      </c>
      <c r="G335" s="2">
        <v>16</v>
      </c>
      <c r="H335" t="s">
        <v>461</v>
      </c>
      <c r="I335" t="s">
        <v>3</v>
      </c>
      <c r="J335" t="s">
        <v>53</v>
      </c>
      <c r="K335" t="s">
        <v>602</v>
      </c>
      <c r="L335" t="s">
        <v>603</v>
      </c>
      <c r="M335" t="s">
        <v>602</v>
      </c>
      <c r="N335" t="s">
        <v>602</v>
      </c>
      <c r="O335" t="s">
        <v>603</v>
      </c>
      <c r="P335" t="s">
        <v>602</v>
      </c>
      <c r="Q335" s="17">
        <f>IFERROR(VLOOKUP(A335,已除帳印單!B:C,1,0),0)*1</f>
        <v>0</v>
      </c>
      <c r="R335" s="67" t="str">
        <f>IFERROR(VLOOKUP(J335,線別!A:B,2,1),"")</f>
        <v>裝二線</v>
      </c>
      <c r="S335" s="17" t="str">
        <f>IFERROR(VLOOKUP(A335,已除帳印單!B:C,2,0),"")</f>
        <v/>
      </c>
      <c r="T335" s="68">
        <f t="shared" si="36"/>
        <v>43894</v>
      </c>
      <c r="U335" s="69">
        <f t="shared" si="37"/>
        <v>84.168796296296293</v>
      </c>
      <c r="V335" s="68" t="str">
        <f>IFERROR(VLOOKUP(A335,已除帳印單!B:D,3,0),"")</f>
        <v/>
      </c>
      <c r="W335" s="69" t="str">
        <f>IFERROR(VLOOKUP(A335,已除帳印單!B:E,4,0),"")</f>
        <v/>
      </c>
      <c r="X335" s="68" t="str">
        <f>IFERROR(INDEX(刷條碼區!A:C,MATCH(點上線資訊!S335,刷條碼區!C:C,0),1),"")</f>
        <v/>
      </c>
      <c r="Y335" s="69" t="str">
        <f>IFERROR(INDEX(刷條碼區!A:C,MATCH(點上線資訊!S335,刷條碼區!C:C,0),2),"")</f>
        <v/>
      </c>
      <c r="Z335" s="70" t="str">
        <f>IFERROR(INDEX(刷條碼區!D:G,MATCH(點上線資訊!S335,刷條碼區!F:F,0),1),"")</f>
        <v/>
      </c>
      <c r="AA335" s="71" t="str">
        <f>IFERROR(INDEX(刷條碼區!D:G,MATCH(點上線資訊!S335,刷條碼區!F:F,0),2),"")</f>
        <v/>
      </c>
      <c r="AB335" s="20">
        <f t="shared" si="32"/>
        <v>16</v>
      </c>
      <c r="AC335" s="20" t="b">
        <f t="shared" si="33"/>
        <v>0</v>
      </c>
      <c r="AD335" s="17" t="b">
        <f t="shared" si="34"/>
        <v>0</v>
      </c>
      <c r="AE335" s="17" t="b">
        <f t="shared" si="35"/>
        <v>0</v>
      </c>
    </row>
    <row r="336" spans="1:31" x14ac:dyDescent="0.2">
      <c r="A336" s="16">
        <v>5000494356</v>
      </c>
      <c r="B336" t="s">
        <v>301</v>
      </c>
      <c r="C336" t="s">
        <v>301</v>
      </c>
      <c r="D336" t="s">
        <v>1</v>
      </c>
      <c r="E336" t="s">
        <v>334</v>
      </c>
      <c r="F336" t="s">
        <v>488</v>
      </c>
      <c r="G336" s="2">
        <v>4</v>
      </c>
      <c r="H336" t="s">
        <v>461</v>
      </c>
      <c r="I336" t="s">
        <v>3</v>
      </c>
      <c r="J336" t="s">
        <v>53</v>
      </c>
      <c r="K336" t="s">
        <v>602</v>
      </c>
      <c r="L336" t="s">
        <v>603</v>
      </c>
      <c r="M336" t="s">
        <v>602</v>
      </c>
      <c r="N336" t="s">
        <v>602</v>
      </c>
      <c r="O336" t="s">
        <v>603</v>
      </c>
      <c r="P336" t="s">
        <v>602</v>
      </c>
      <c r="Q336" s="17">
        <f>IFERROR(VLOOKUP(A336,已除帳印單!B:C,1,0),0)*1</f>
        <v>0</v>
      </c>
      <c r="R336" s="67" t="str">
        <f>IFERROR(VLOOKUP(J336,線別!A:B,2,1),"")</f>
        <v>裝二線</v>
      </c>
      <c r="S336" s="17" t="str">
        <f>IFERROR(VLOOKUP(A336,已除帳印單!B:C,2,0),"")</f>
        <v/>
      </c>
      <c r="T336" s="68">
        <f t="shared" si="36"/>
        <v>43894</v>
      </c>
      <c r="U336" s="69">
        <f t="shared" si="37"/>
        <v>84.168796296296293</v>
      </c>
      <c r="V336" s="68" t="str">
        <f>IFERROR(VLOOKUP(A336,已除帳印單!B:D,3,0),"")</f>
        <v/>
      </c>
      <c r="W336" s="69" t="str">
        <f>IFERROR(VLOOKUP(A336,已除帳印單!B:E,4,0),"")</f>
        <v/>
      </c>
      <c r="X336" s="68" t="str">
        <f>IFERROR(INDEX(刷條碼區!A:C,MATCH(點上線資訊!S336,刷條碼區!C:C,0),1),"")</f>
        <v/>
      </c>
      <c r="Y336" s="69" t="str">
        <f>IFERROR(INDEX(刷條碼區!A:C,MATCH(點上線資訊!S336,刷條碼區!C:C,0),2),"")</f>
        <v/>
      </c>
      <c r="Z336" s="70" t="str">
        <f>IFERROR(INDEX(刷條碼區!D:G,MATCH(點上線資訊!S336,刷條碼區!F:F,0),1),"")</f>
        <v/>
      </c>
      <c r="AA336" s="71" t="str">
        <f>IFERROR(INDEX(刷條碼區!D:G,MATCH(點上線資訊!S336,刷條碼區!F:F,0),2),"")</f>
        <v/>
      </c>
      <c r="AB336" s="20">
        <f t="shared" si="32"/>
        <v>4</v>
      </c>
      <c r="AC336" s="20" t="b">
        <f t="shared" si="33"/>
        <v>0</v>
      </c>
      <c r="AD336" s="17" t="b">
        <f t="shared" si="34"/>
        <v>0</v>
      </c>
      <c r="AE336" s="17" t="b">
        <f t="shared" si="35"/>
        <v>0</v>
      </c>
    </row>
    <row r="337" spans="1:31" x14ac:dyDescent="0.2">
      <c r="A337" s="16">
        <v>5000494357</v>
      </c>
      <c r="B337" t="s">
        <v>6</v>
      </c>
      <c r="C337" t="s">
        <v>6</v>
      </c>
      <c r="D337" t="s">
        <v>1</v>
      </c>
      <c r="E337" t="s">
        <v>286</v>
      </c>
      <c r="F337" t="s">
        <v>515</v>
      </c>
      <c r="G337" s="2">
        <v>8</v>
      </c>
      <c r="H337" t="s">
        <v>461</v>
      </c>
      <c r="I337" t="s">
        <v>3</v>
      </c>
      <c r="J337" t="s">
        <v>283</v>
      </c>
      <c r="K337" t="s">
        <v>602</v>
      </c>
      <c r="L337" t="s">
        <v>603</v>
      </c>
      <c r="M337" t="s">
        <v>602</v>
      </c>
      <c r="N337" t="s">
        <v>602</v>
      </c>
      <c r="O337" t="s">
        <v>603</v>
      </c>
      <c r="P337" t="s">
        <v>602</v>
      </c>
      <c r="Q337" s="17">
        <f>IFERROR(VLOOKUP(A337,已除帳印單!B:C,1,0),0)*1</f>
        <v>0</v>
      </c>
      <c r="R337" s="67" t="str">
        <f>IFERROR(VLOOKUP(J337,線別!A:B,2,1),"")</f>
        <v>裝二線AGV</v>
      </c>
      <c r="S337" s="17" t="str">
        <f>IFERROR(VLOOKUP(A337,已除帳印單!B:C,2,0),"")</f>
        <v/>
      </c>
      <c r="T337" s="68">
        <f t="shared" si="36"/>
        <v>43893</v>
      </c>
      <c r="U337" s="69">
        <f t="shared" si="37"/>
        <v>84.168784722222213</v>
      </c>
      <c r="V337" s="68" t="str">
        <f>IFERROR(VLOOKUP(A337,已除帳印單!B:D,3,0),"")</f>
        <v/>
      </c>
      <c r="W337" s="69" t="str">
        <f>IFERROR(VLOOKUP(A337,已除帳印單!B:E,4,0),"")</f>
        <v/>
      </c>
      <c r="X337" s="68" t="str">
        <f>IFERROR(INDEX(刷條碼區!A:C,MATCH(點上線資訊!S337,刷條碼區!C:C,0),1),"")</f>
        <v/>
      </c>
      <c r="Y337" s="69" t="str">
        <f>IFERROR(INDEX(刷條碼區!A:C,MATCH(點上線資訊!S337,刷條碼區!C:C,0),2),"")</f>
        <v/>
      </c>
      <c r="Z337" s="70" t="str">
        <f>IFERROR(INDEX(刷條碼區!D:G,MATCH(點上線資訊!S337,刷條碼區!F:F,0),1),"")</f>
        <v/>
      </c>
      <c r="AA337" s="71" t="str">
        <f>IFERROR(INDEX(刷條碼區!D:G,MATCH(點上線資訊!S337,刷條碼區!F:F,0),2),"")</f>
        <v/>
      </c>
      <c r="AB337" s="20">
        <f t="shared" si="32"/>
        <v>8</v>
      </c>
      <c r="AC337" s="20" t="b">
        <f t="shared" si="33"/>
        <v>0</v>
      </c>
      <c r="AD337" s="17" t="b">
        <f t="shared" si="34"/>
        <v>0</v>
      </c>
      <c r="AE337" s="17" t="b">
        <f t="shared" si="35"/>
        <v>0</v>
      </c>
    </row>
    <row r="338" spans="1:31" x14ac:dyDescent="0.2">
      <c r="A338" s="16">
        <v>5000494358</v>
      </c>
      <c r="B338" t="s">
        <v>301</v>
      </c>
      <c r="C338" t="s">
        <v>301</v>
      </c>
      <c r="D338" t="s">
        <v>1</v>
      </c>
      <c r="E338" t="s">
        <v>312</v>
      </c>
      <c r="F338" t="s">
        <v>313</v>
      </c>
      <c r="G338" s="2">
        <v>20</v>
      </c>
      <c r="H338" t="s">
        <v>461</v>
      </c>
      <c r="I338" t="s">
        <v>3</v>
      </c>
      <c r="J338" t="s">
        <v>53</v>
      </c>
      <c r="K338" t="s">
        <v>602</v>
      </c>
      <c r="L338" t="s">
        <v>603</v>
      </c>
      <c r="M338" t="s">
        <v>602</v>
      </c>
      <c r="N338" t="s">
        <v>602</v>
      </c>
      <c r="O338" t="s">
        <v>603</v>
      </c>
      <c r="P338" t="s">
        <v>602</v>
      </c>
      <c r="Q338" s="17">
        <f>IFERROR(VLOOKUP(A338,已除帳印單!B:C,1,0),0)*1</f>
        <v>0</v>
      </c>
      <c r="R338" s="67" t="str">
        <f>IFERROR(VLOOKUP(J338,線別!A:B,2,1),"")</f>
        <v>裝二線</v>
      </c>
      <c r="S338" s="17" t="str">
        <f>IFERROR(VLOOKUP(A338,已除帳印單!B:C,2,0),"")</f>
        <v/>
      </c>
      <c r="T338" s="68">
        <f t="shared" si="36"/>
        <v>43894</v>
      </c>
      <c r="U338" s="69">
        <f t="shared" si="37"/>
        <v>84.168796296296293</v>
      </c>
      <c r="V338" s="68" t="str">
        <f>IFERROR(VLOOKUP(A338,已除帳印單!B:D,3,0),"")</f>
        <v/>
      </c>
      <c r="W338" s="69" t="str">
        <f>IFERROR(VLOOKUP(A338,已除帳印單!B:E,4,0),"")</f>
        <v/>
      </c>
      <c r="X338" s="68" t="str">
        <f>IFERROR(INDEX(刷條碼區!A:C,MATCH(點上線資訊!S338,刷條碼區!C:C,0),1),"")</f>
        <v/>
      </c>
      <c r="Y338" s="69" t="str">
        <f>IFERROR(INDEX(刷條碼區!A:C,MATCH(點上線資訊!S338,刷條碼區!C:C,0),2),"")</f>
        <v/>
      </c>
      <c r="Z338" s="70" t="str">
        <f>IFERROR(INDEX(刷條碼區!D:G,MATCH(點上線資訊!S338,刷條碼區!F:F,0),1),"")</f>
        <v/>
      </c>
      <c r="AA338" s="71" t="str">
        <f>IFERROR(INDEX(刷條碼區!D:G,MATCH(點上線資訊!S338,刷條碼區!F:F,0),2),"")</f>
        <v/>
      </c>
      <c r="AB338" s="20">
        <f t="shared" si="32"/>
        <v>20</v>
      </c>
      <c r="AC338" s="20" t="b">
        <f t="shared" si="33"/>
        <v>0</v>
      </c>
      <c r="AD338" s="17" t="b">
        <f t="shared" si="34"/>
        <v>0</v>
      </c>
      <c r="AE338" s="17" t="b">
        <f t="shared" si="35"/>
        <v>0</v>
      </c>
    </row>
    <row r="339" spans="1:31" x14ac:dyDescent="0.2">
      <c r="A339" s="16">
        <v>5000494359</v>
      </c>
      <c r="B339" t="s">
        <v>301</v>
      </c>
      <c r="C339" t="s">
        <v>301</v>
      </c>
      <c r="D339" t="s">
        <v>1</v>
      </c>
      <c r="E339" t="s">
        <v>312</v>
      </c>
      <c r="F339" t="s">
        <v>313</v>
      </c>
      <c r="G339" s="2">
        <v>20</v>
      </c>
      <c r="H339" t="s">
        <v>461</v>
      </c>
      <c r="I339" t="s">
        <v>3</v>
      </c>
      <c r="J339" t="s">
        <v>53</v>
      </c>
      <c r="K339" t="s">
        <v>602</v>
      </c>
      <c r="L339" t="s">
        <v>603</v>
      </c>
      <c r="M339" t="s">
        <v>602</v>
      </c>
      <c r="N339" t="s">
        <v>602</v>
      </c>
      <c r="O339" t="s">
        <v>603</v>
      </c>
      <c r="P339" t="s">
        <v>602</v>
      </c>
      <c r="Q339" s="17">
        <f>IFERROR(VLOOKUP(A339,已除帳印單!B:C,1,0),0)*1</f>
        <v>0</v>
      </c>
      <c r="R339" s="67" t="str">
        <f>IFERROR(VLOOKUP(J339,線別!A:B,2,1),"")</f>
        <v>裝二線</v>
      </c>
      <c r="S339" s="17" t="str">
        <f>IFERROR(VLOOKUP(A339,已除帳印單!B:C,2,0),"")</f>
        <v/>
      </c>
      <c r="T339" s="68">
        <f t="shared" si="36"/>
        <v>43894</v>
      </c>
      <c r="U339" s="69">
        <f t="shared" si="37"/>
        <v>84.168796296296293</v>
      </c>
      <c r="V339" s="68" t="str">
        <f>IFERROR(VLOOKUP(A339,已除帳印單!B:D,3,0),"")</f>
        <v/>
      </c>
      <c r="W339" s="69" t="str">
        <f>IFERROR(VLOOKUP(A339,已除帳印單!B:E,4,0),"")</f>
        <v/>
      </c>
      <c r="X339" s="68" t="str">
        <f>IFERROR(INDEX(刷條碼區!A:C,MATCH(點上線資訊!S339,刷條碼區!C:C,0),1),"")</f>
        <v/>
      </c>
      <c r="Y339" s="69" t="str">
        <f>IFERROR(INDEX(刷條碼區!A:C,MATCH(點上線資訊!S339,刷條碼區!C:C,0),2),"")</f>
        <v/>
      </c>
      <c r="Z339" s="70" t="str">
        <f>IFERROR(INDEX(刷條碼區!D:G,MATCH(點上線資訊!S339,刷條碼區!F:F,0),1),"")</f>
        <v/>
      </c>
      <c r="AA339" s="71" t="str">
        <f>IFERROR(INDEX(刷條碼區!D:G,MATCH(點上線資訊!S339,刷條碼區!F:F,0),2),"")</f>
        <v/>
      </c>
      <c r="AB339" s="20">
        <f t="shared" si="32"/>
        <v>20</v>
      </c>
      <c r="AC339" s="20" t="b">
        <f t="shared" si="33"/>
        <v>0</v>
      </c>
      <c r="AD339" s="17" t="b">
        <f t="shared" si="34"/>
        <v>0</v>
      </c>
      <c r="AE339" s="17" t="b">
        <f t="shared" si="35"/>
        <v>0</v>
      </c>
    </row>
    <row r="340" spans="1:31" x14ac:dyDescent="0.2">
      <c r="A340" s="16">
        <v>5000494360</v>
      </c>
      <c r="B340" t="s">
        <v>301</v>
      </c>
      <c r="C340" t="s">
        <v>301</v>
      </c>
      <c r="D340" t="s">
        <v>1</v>
      </c>
      <c r="E340" t="s">
        <v>312</v>
      </c>
      <c r="F340" t="s">
        <v>313</v>
      </c>
      <c r="G340" s="2">
        <v>20</v>
      </c>
      <c r="H340" t="s">
        <v>461</v>
      </c>
      <c r="I340" t="s">
        <v>3</v>
      </c>
      <c r="J340" t="s">
        <v>53</v>
      </c>
      <c r="K340" t="s">
        <v>602</v>
      </c>
      <c r="L340" t="s">
        <v>603</v>
      </c>
      <c r="M340" t="s">
        <v>602</v>
      </c>
      <c r="N340" t="s">
        <v>602</v>
      </c>
      <c r="O340" t="s">
        <v>603</v>
      </c>
      <c r="P340" t="s">
        <v>602</v>
      </c>
      <c r="Q340" s="17">
        <f>IFERROR(VLOOKUP(A340,已除帳印單!B:C,1,0),0)*1</f>
        <v>0</v>
      </c>
      <c r="R340" s="67" t="str">
        <f>IFERROR(VLOOKUP(J340,線別!A:B,2,1),"")</f>
        <v>裝二線</v>
      </c>
      <c r="S340" s="17" t="str">
        <f>IFERROR(VLOOKUP(A340,已除帳印單!B:C,2,0),"")</f>
        <v/>
      </c>
      <c r="T340" s="68">
        <f t="shared" si="36"/>
        <v>43894</v>
      </c>
      <c r="U340" s="69">
        <f t="shared" si="37"/>
        <v>84.168796296296293</v>
      </c>
      <c r="V340" s="68" t="str">
        <f>IFERROR(VLOOKUP(A340,已除帳印單!B:D,3,0),"")</f>
        <v/>
      </c>
      <c r="W340" s="69" t="str">
        <f>IFERROR(VLOOKUP(A340,已除帳印單!B:E,4,0),"")</f>
        <v/>
      </c>
      <c r="X340" s="68" t="str">
        <f>IFERROR(INDEX(刷條碼區!A:C,MATCH(點上線資訊!S340,刷條碼區!C:C,0),1),"")</f>
        <v/>
      </c>
      <c r="Y340" s="69" t="str">
        <f>IFERROR(INDEX(刷條碼區!A:C,MATCH(點上線資訊!S340,刷條碼區!C:C,0),2),"")</f>
        <v/>
      </c>
      <c r="Z340" s="70" t="str">
        <f>IFERROR(INDEX(刷條碼區!D:G,MATCH(點上線資訊!S340,刷條碼區!F:F,0),1),"")</f>
        <v/>
      </c>
      <c r="AA340" s="71" t="str">
        <f>IFERROR(INDEX(刷條碼區!D:G,MATCH(點上線資訊!S340,刷條碼區!F:F,0),2),"")</f>
        <v/>
      </c>
      <c r="AB340" s="20">
        <f t="shared" si="32"/>
        <v>20</v>
      </c>
      <c r="AC340" s="20" t="b">
        <f t="shared" si="33"/>
        <v>0</v>
      </c>
      <c r="AD340" s="17" t="b">
        <f t="shared" si="34"/>
        <v>0</v>
      </c>
      <c r="AE340" s="17" t="b">
        <f t="shared" si="35"/>
        <v>0</v>
      </c>
    </row>
    <row r="341" spans="1:31" x14ac:dyDescent="0.2">
      <c r="A341" s="16">
        <v>5000494361</v>
      </c>
      <c r="B341" t="s">
        <v>6</v>
      </c>
      <c r="C341" t="s">
        <v>6</v>
      </c>
      <c r="D341" t="s">
        <v>1</v>
      </c>
      <c r="E341" t="s">
        <v>281</v>
      </c>
      <c r="F341" t="s">
        <v>516</v>
      </c>
      <c r="G341" s="2">
        <v>20</v>
      </c>
      <c r="H341" t="s">
        <v>461</v>
      </c>
      <c r="I341" t="s">
        <v>3</v>
      </c>
      <c r="J341" t="s">
        <v>53</v>
      </c>
      <c r="K341" t="s">
        <v>602</v>
      </c>
      <c r="L341" t="s">
        <v>603</v>
      </c>
      <c r="M341" t="s">
        <v>602</v>
      </c>
      <c r="N341" t="s">
        <v>602</v>
      </c>
      <c r="O341" t="s">
        <v>603</v>
      </c>
      <c r="P341" t="s">
        <v>602</v>
      </c>
      <c r="Q341" s="17">
        <f>IFERROR(VLOOKUP(A341,已除帳印單!B:C,1,0),0)*1</f>
        <v>0</v>
      </c>
      <c r="R341" s="67" t="str">
        <f>IFERROR(VLOOKUP(J341,線別!A:B,2,1),"")</f>
        <v>裝二線</v>
      </c>
      <c r="S341" s="17" t="str">
        <f>IFERROR(VLOOKUP(A341,已除帳印單!B:C,2,0),"")</f>
        <v/>
      </c>
      <c r="T341" s="68">
        <f t="shared" si="36"/>
        <v>43893</v>
      </c>
      <c r="U341" s="69">
        <f t="shared" si="37"/>
        <v>84.168784722222213</v>
      </c>
      <c r="V341" s="68" t="str">
        <f>IFERROR(VLOOKUP(A341,已除帳印單!B:D,3,0),"")</f>
        <v/>
      </c>
      <c r="W341" s="69" t="str">
        <f>IFERROR(VLOOKUP(A341,已除帳印單!B:E,4,0),"")</f>
        <v/>
      </c>
      <c r="X341" s="68" t="str">
        <f>IFERROR(INDEX(刷條碼區!A:C,MATCH(點上線資訊!S341,刷條碼區!C:C,0),1),"")</f>
        <v/>
      </c>
      <c r="Y341" s="69" t="str">
        <f>IFERROR(INDEX(刷條碼區!A:C,MATCH(點上線資訊!S341,刷條碼區!C:C,0),2),"")</f>
        <v/>
      </c>
      <c r="Z341" s="70" t="str">
        <f>IFERROR(INDEX(刷條碼區!D:G,MATCH(點上線資訊!S341,刷條碼區!F:F,0),1),"")</f>
        <v/>
      </c>
      <c r="AA341" s="71" t="str">
        <f>IFERROR(INDEX(刷條碼區!D:G,MATCH(點上線資訊!S341,刷條碼區!F:F,0),2),"")</f>
        <v/>
      </c>
      <c r="AB341" s="20">
        <f t="shared" si="32"/>
        <v>20</v>
      </c>
      <c r="AC341" s="20" t="b">
        <f t="shared" si="33"/>
        <v>0</v>
      </c>
      <c r="AD341" s="17" t="b">
        <f t="shared" si="34"/>
        <v>0</v>
      </c>
      <c r="AE341" s="17" t="b">
        <f t="shared" si="35"/>
        <v>0</v>
      </c>
    </row>
    <row r="342" spans="1:31" x14ac:dyDescent="0.2">
      <c r="A342" s="16">
        <v>5000494362</v>
      </c>
      <c r="B342" t="s">
        <v>301</v>
      </c>
      <c r="C342" t="s">
        <v>301</v>
      </c>
      <c r="D342" t="s">
        <v>1</v>
      </c>
      <c r="E342" t="s">
        <v>310</v>
      </c>
      <c r="F342" t="s">
        <v>311</v>
      </c>
      <c r="G342" s="2">
        <v>20</v>
      </c>
      <c r="H342" t="s">
        <v>461</v>
      </c>
      <c r="I342" t="s">
        <v>3</v>
      </c>
      <c r="J342" t="s">
        <v>53</v>
      </c>
      <c r="K342" t="s">
        <v>602</v>
      </c>
      <c r="L342" t="s">
        <v>603</v>
      </c>
      <c r="M342" t="s">
        <v>602</v>
      </c>
      <c r="N342" t="s">
        <v>602</v>
      </c>
      <c r="O342" t="s">
        <v>603</v>
      </c>
      <c r="P342" t="s">
        <v>602</v>
      </c>
      <c r="Q342" s="17">
        <f>IFERROR(VLOOKUP(A342,已除帳印單!B:C,1,0),0)*1</f>
        <v>0</v>
      </c>
      <c r="R342" s="67" t="str">
        <f>IFERROR(VLOOKUP(J342,線別!A:B,2,1),"")</f>
        <v>裝二線</v>
      </c>
      <c r="S342" s="17" t="str">
        <f>IFERROR(VLOOKUP(A342,已除帳印單!B:C,2,0),"")</f>
        <v/>
      </c>
      <c r="T342" s="68">
        <f t="shared" si="36"/>
        <v>43894</v>
      </c>
      <c r="U342" s="69">
        <f t="shared" si="37"/>
        <v>84.168796296296293</v>
      </c>
      <c r="V342" s="68" t="str">
        <f>IFERROR(VLOOKUP(A342,已除帳印單!B:D,3,0),"")</f>
        <v/>
      </c>
      <c r="W342" s="69" t="str">
        <f>IFERROR(VLOOKUP(A342,已除帳印單!B:E,4,0),"")</f>
        <v/>
      </c>
      <c r="X342" s="68" t="str">
        <f>IFERROR(INDEX(刷條碼區!A:C,MATCH(點上線資訊!S342,刷條碼區!C:C,0),1),"")</f>
        <v/>
      </c>
      <c r="Y342" s="69" t="str">
        <f>IFERROR(INDEX(刷條碼區!A:C,MATCH(點上線資訊!S342,刷條碼區!C:C,0),2),"")</f>
        <v/>
      </c>
      <c r="Z342" s="70" t="str">
        <f>IFERROR(INDEX(刷條碼區!D:G,MATCH(點上線資訊!S342,刷條碼區!F:F,0),1),"")</f>
        <v/>
      </c>
      <c r="AA342" s="71" t="str">
        <f>IFERROR(INDEX(刷條碼區!D:G,MATCH(點上線資訊!S342,刷條碼區!F:F,0),2),"")</f>
        <v/>
      </c>
      <c r="AB342" s="20">
        <f t="shared" si="32"/>
        <v>20</v>
      </c>
      <c r="AC342" s="20" t="b">
        <f t="shared" si="33"/>
        <v>0</v>
      </c>
      <c r="AD342" s="17" t="b">
        <f t="shared" si="34"/>
        <v>0</v>
      </c>
      <c r="AE342" s="17" t="b">
        <f t="shared" si="35"/>
        <v>0</v>
      </c>
    </row>
    <row r="343" spans="1:31" x14ac:dyDescent="0.2">
      <c r="A343" s="16">
        <v>5000494369</v>
      </c>
      <c r="B343" t="s">
        <v>0</v>
      </c>
      <c r="C343" t="s">
        <v>0</v>
      </c>
      <c r="D343" t="s">
        <v>1</v>
      </c>
      <c r="E343" t="s">
        <v>892</v>
      </c>
      <c r="F343" t="s">
        <v>893</v>
      </c>
      <c r="G343" s="2">
        <v>20</v>
      </c>
      <c r="H343" t="s">
        <v>461</v>
      </c>
      <c r="I343" t="s">
        <v>3</v>
      </c>
      <c r="J343" t="s">
        <v>53</v>
      </c>
      <c r="K343" t="s">
        <v>605</v>
      </c>
      <c r="L343" t="s">
        <v>608</v>
      </c>
      <c r="M343" t="s">
        <v>894</v>
      </c>
      <c r="N343" t="s">
        <v>602</v>
      </c>
      <c r="O343" t="s">
        <v>603</v>
      </c>
      <c r="P343" t="s">
        <v>602</v>
      </c>
      <c r="Q343" s="17">
        <f>IFERROR(VLOOKUP(A343,已除帳印單!B:C,1,0),0)*1</f>
        <v>0</v>
      </c>
      <c r="R343" s="67" t="str">
        <f>IFERROR(VLOOKUP(J343,線別!A:B,2,1),"")</f>
        <v>裝二線</v>
      </c>
      <c r="S343" s="17" t="str">
        <f>IFERROR(VLOOKUP(A343,已除帳印單!B:C,2,0),"")</f>
        <v/>
      </c>
      <c r="T343" s="68">
        <f t="shared" si="36"/>
        <v>43892</v>
      </c>
      <c r="U343" s="69">
        <f t="shared" si="37"/>
        <v>84.168773148148148</v>
      </c>
      <c r="V343" s="68" t="str">
        <f>IFERROR(VLOOKUP(A343,已除帳印單!B:D,3,0),"")</f>
        <v/>
      </c>
      <c r="W343" s="69" t="str">
        <f>IFERROR(VLOOKUP(A343,已除帳印單!B:E,4,0),"")</f>
        <v/>
      </c>
      <c r="X343" s="68" t="str">
        <f>IFERROR(INDEX(刷條碼區!A:C,MATCH(點上線資訊!S343,刷條碼區!C:C,0),1),"")</f>
        <v/>
      </c>
      <c r="Y343" s="69" t="str">
        <f>IFERROR(INDEX(刷條碼區!A:C,MATCH(點上線資訊!S343,刷條碼區!C:C,0),2),"")</f>
        <v/>
      </c>
      <c r="Z343" s="70" t="str">
        <f>IFERROR(INDEX(刷條碼區!D:G,MATCH(點上線資訊!S343,刷條碼區!F:F,0),1),"")</f>
        <v/>
      </c>
      <c r="AA343" s="71" t="str">
        <f>IFERROR(INDEX(刷條碼區!D:G,MATCH(點上線資訊!S343,刷條碼區!F:F,0),2),"")</f>
        <v/>
      </c>
      <c r="AB343" s="20" t="b">
        <f t="shared" si="32"/>
        <v>0</v>
      </c>
      <c r="AC343" s="20" t="b">
        <f t="shared" si="33"/>
        <v>0</v>
      </c>
      <c r="AD343" s="17" t="b">
        <f t="shared" si="34"/>
        <v>0</v>
      </c>
      <c r="AE343" s="17" t="b">
        <f t="shared" si="35"/>
        <v>0</v>
      </c>
    </row>
    <row r="344" spans="1:31" x14ac:dyDescent="0.2">
      <c r="A344" s="16">
        <v>5000494372</v>
      </c>
      <c r="B344" t="s">
        <v>0</v>
      </c>
      <c r="C344" t="s">
        <v>0</v>
      </c>
      <c r="D344" t="s">
        <v>1</v>
      </c>
      <c r="E344" t="s">
        <v>892</v>
      </c>
      <c r="F344" t="s">
        <v>893</v>
      </c>
      <c r="G344" s="2">
        <v>20</v>
      </c>
      <c r="H344" t="s">
        <v>461</v>
      </c>
      <c r="I344" t="s">
        <v>3</v>
      </c>
      <c r="J344" t="s">
        <v>53</v>
      </c>
      <c r="K344" t="s">
        <v>605</v>
      </c>
      <c r="L344" t="s">
        <v>608</v>
      </c>
      <c r="M344" t="s">
        <v>894</v>
      </c>
      <c r="N344" t="s">
        <v>602</v>
      </c>
      <c r="O344" t="s">
        <v>603</v>
      </c>
      <c r="P344" t="s">
        <v>602</v>
      </c>
      <c r="Q344" s="17">
        <f>IFERROR(VLOOKUP(A344,已除帳印單!B:C,1,0),0)*1</f>
        <v>0</v>
      </c>
      <c r="R344" s="67" t="str">
        <f>IFERROR(VLOOKUP(J344,線別!A:B,2,1),"")</f>
        <v>裝二線</v>
      </c>
      <c r="S344" s="17" t="str">
        <f>IFERROR(VLOOKUP(A344,已除帳印單!B:C,2,0),"")</f>
        <v/>
      </c>
      <c r="T344" s="68">
        <f t="shared" si="36"/>
        <v>43892</v>
      </c>
      <c r="U344" s="69">
        <f t="shared" si="37"/>
        <v>84.168773148148148</v>
      </c>
      <c r="V344" s="68" t="str">
        <f>IFERROR(VLOOKUP(A344,已除帳印單!B:D,3,0),"")</f>
        <v/>
      </c>
      <c r="W344" s="69" t="str">
        <f>IFERROR(VLOOKUP(A344,已除帳印單!B:E,4,0),"")</f>
        <v/>
      </c>
      <c r="X344" s="68" t="str">
        <f>IFERROR(INDEX(刷條碼區!A:C,MATCH(點上線資訊!S344,刷條碼區!C:C,0),1),"")</f>
        <v/>
      </c>
      <c r="Y344" s="69" t="str">
        <f>IFERROR(INDEX(刷條碼區!A:C,MATCH(點上線資訊!S344,刷條碼區!C:C,0),2),"")</f>
        <v/>
      </c>
      <c r="Z344" s="70" t="str">
        <f>IFERROR(INDEX(刷條碼區!D:G,MATCH(點上線資訊!S344,刷條碼區!F:F,0),1),"")</f>
        <v/>
      </c>
      <c r="AA344" s="71" t="str">
        <f>IFERROR(INDEX(刷條碼區!D:G,MATCH(點上線資訊!S344,刷條碼區!F:F,0),2),"")</f>
        <v/>
      </c>
      <c r="AB344" s="20" t="b">
        <f t="shared" si="32"/>
        <v>0</v>
      </c>
      <c r="AC344" s="20" t="b">
        <f t="shared" si="33"/>
        <v>0</v>
      </c>
      <c r="AD344" s="17" t="b">
        <f t="shared" si="34"/>
        <v>0</v>
      </c>
      <c r="AE344" s="17" t="b">
        <f t="shared" si="35"/>
        <v>0</v>
      </c>
    </row>
    <row r="345" spans="1:31" x14ac:dyDescent="0.2">
      <c r="A345" s="16">
        <v>5000494383</v>
      </c>
      <c r="B345" t="s">
        <v>301</v>
      </c>
      <c r="C345" t="s">
        <v>301</v>
      </c>
      <c r="D345" t="s">
        <v>1</v>
      </c>
      <c r="E345" t="s">
        <v>329</v>
      </c>
      <c r="F345" t="s">
        <v>514</v>
      </c>
      <c r="G345" s="2">
        <v>10</v>
      </c>
      <c r="H345" t="s">
        <v>461</v>
      </c>
      <c r="I345" t="s">
        <v>3</v>
      </c>
      <c r="J345" t="s">
        <v>53</v>
      </c>
      <c r="K345" t="s">
        <v>602</v>
      </c>
      <c r="L345" t="s">
        <v>603</v>
      </c>
      <c r="M345" t="s">
        <v>602</v>
      </c>
      <c r="N345" t="s">
        <v>602</v>
      </c>
      <c r="O345" t="s">
        <v>603</v>
      </c>
      <c r="P345" t="s">
        <v>602</v>
      </c>
      <c r="Q345" s="17">
        <f>IFERROR(VLOOKUP(A345,已除帳印單!B:C,1,0),0)*1</f>
        <v>0</v>
      </c>
      <c r="R345" s="67" t="str">
        <f>IFERROR(VLOOKUP(J345,線別!A:B,2,1),"")</f>
        <v>裝二線</v>
      </c>
      <c r="S345" s="17" t="str">
        <f>IFERROR(VLOOKUP(A345,已除帳印單!B:C,2,0),"")</f>
        <v/>
      </c>
      <c r="T345" s="68">
        <f t="shared" si="36"/>
        <v>43894</v>
      </c>
      <c r="U345" s="69">
        <f t="shared" si="37"/>
        <v>84.168796296296293</v>
      </c>
      <c r="V345" s="68" t="str">
        <f>IFERROR(VLOOKUP(A345,已除帳印單!B:D,3,0),"")</f>
        <v/>
      </c>
      <c r="W345" s="69" t="str">
        <f>IFERROR(VLOOKUP(A345,已除帳印單!B:E,4,0),"")</f>
        <v/>
      </c>
      <c r="X345" s="68" t="str">
        <f>IFERROR(INDEX(刷條碼區!A:C,MATCH(點上線資訊!S345,刷條碼區!C:C,0),1),"")</f>
        <v/>
      </c>
      <c r="Y345" s="69" t="str">
        <f>IFERROR(INDEX(刷條碼區!A:C,MATCH(點上線資訊!S345,刷條碼區!C:C,0),2),"")</f>
        <v/>
      </c>
      <c r="Z345" s="70" t="str">
        <f>IFERROR(INDEX(刷條碼區!D:G,MATCH(點上線資訊!S345,刷條碼區!F:F,0),1),"")</f>
        <v/>
      </c>
      <c r="AA345" s="71" t="str">
        <f>IFERROR(INDEX(刷條碼區!D:G,MATCH(點上線資訊!S345,刷條碼區!F:F,0),2),"")</f>
        <v/>
      </c>
      <c r="AB345" s="20">
        <f t="shared" si="32"/>
        <v>10</v>
      </c>
      <c r="AC345" s="20" t="b">
        <f t="shared" si="33"/>
        <v>0</v>
      </c>
      <c r="AD345" s="17" t="b">
        <f t="shared" si="34"/>
        <v>0</v>
      </c>
      <c r="AE345" s="17" t="b">
        <f t="shared" si="35"/>
        <v>0</v>
      </c>
    </row>
    <row r="346" spans="1:31" x14ac:dyDescent="0.2">
      <c r="A346" s="16">
        <v>5000494392</v>
      </c>
      <c r="B346" t="s">
        <v>0</v>
      </c>
      <c r="C346" t="s">
        <v>0</v>
      </c>
      <c r="D346" t="s">
        <v>1</v>
      </c>
      <c r="E346" t="s">
        <v>54</v>
      </c>
      <c r="F346" t="s">
        <v>517</v>
      </c>
      <c r="G346" s="2">
        <v>20</v>
      </c>
      <c r="H346" t="s">
        <v>461</v>
      </c>
      <c r="I346" t="s">
        <v>3</v>
      </c>
      <c r="J346" t="s">
        <v>53</v>
      </c>
      <c r="K346" t="s">
        <v>605</v>
      </c>
      <c r="L346" t="s">
        <v>608</v>
      </c>
      <c r="M346" t="s">
        <v>894</v>
      </c>
      <c r="N346" t="s">
        <v>602</v>
      </c>
      <c r="O346" t="s">
        <v>603</v>
      </c>
      <c r="P346" t="s">
        <v>602</v>
      </c>
      <c r="Q346" s="17">
        <f>IFERROR(VLOOKUP(A346,已除帳印單!B:C,1,0),0)*1</f>
        <v>0</v>
      </c>
      <c r="R346" s="67" t="str">
        <f>IFERROR(VLOOKUP(J346,線別!A:B,2,1),"")</f>
        <v>裝二線</v>
      </c>
      <c r="S346" s="17" t="str">
        <f>IFERROR(VLOOKUP(A346,已除帳印單!B:C,2,0),"")</f>
        <v/>
      </c>
      <c r="T346" s="68">
        <f t="shared" si="36"/>
        <v>43892</v>
      </c>
      <c r="U346" s="69">
        <f t="shared" si="37"/>
        <v>84.168773148148148</v>
      </c>
      <c r="V346" s="68" t="str">
        <f>IFERROR(VLOOKUP(A346,已除帳印單!B:D,3,0),"")</f>
        <v/>
      </c>
      <c r="W346" s="69" t="str">
        <f>IFERROR(VLOOKUP(A346,已除帳印單!B:E,4,0),"")</f>
        <v/>
      </c>
      <c r="X346" s="68" t="str">
        <f>IFERROR(INDEX(刷條碼區!A:C,MATCH(點上線資訊!S346,刷條碼區!C:C,0),1),"")</f>
        <v/>
      </c>
      <c r="Y346" s="69" t="str">
        <f>IFERROR(INDEX(刷條碼區!A:C,MATCH(點上線資訊!S346,刷條碼區!C:C,0),2),"")</f>
        <v/>
      </c>
      <c r="Z346" s="70" t="str">
        <f>IFERROR(INDEX(刷條碼區!D:G,MATCH(點上線資訊!S346,刷條碼區!F:F,0),1),"")</f>
        <v/>
      </c>
      <c r="AA346" s="71" t="str">
        <f>IFERROR(INDEX(刷條碼區!D:G,MATCH(點上線資訊!S346,刷條碼區!F:F,0),2),"")</f>
        <v/>
      </c>
      <c r="AB346" s="20" t="b">
        <f t="shared" si="32"/>
        <v>0</v>
      </c>
      <c r="AC346" s="20" t="b">
        <f t="shared" si="33"/>
        <v>0</v>
      </c>
      <c r="AD346" s="17" t="b">
        <f t="shared" si="34"/>
        <v>0</v>
      </c>
      <c r="AE346" s="17" t="b">
        <f t="shared" si="35"/>
        <v>0</v>
      </c>
    </row>
    <row r="347" spans="1:31" x14ac:dyDescent="0.2">
      <c r="A347" s="16">
        <v>5000494394</v>
      </c>
      <c r="B347" t="s">
        <v>0</v>
      </c>
      <c r="C347" t="s">
        <v>0</v>
      </c>
      <c r="D347" t="s">
        <v>1</v>
      </c>
      <c r="E347" t="s">
        <v>54</v>
      </c>
      <c r="F347" t="s">
        <v>517</v>
      </c>
      <c r="G347" s="2">
        <v>20</v>
      </c>
      <c r="H347" t="s">
        <v>461</v>
      </c>
      <c r="I347" t="s">
        <v>3</v>
      </c>
      <c r="J347" t="s">
        <v>53</v>
      </c>
      <c r="K347" t="s">
        <v>605</v>
      </c>
      <c r="L347" t="s">
        <v>608</v>
      </c>
      <c r="M347" t="s">
        <v>894</v>
      </c>
      <c r="N347" t="s">
        <v>602</v>
      </c>
      <c r="O347" t="s">
        <v>603</v>
      </c>
      <c r="P347" t="s">
        <v>602</v>
      </c>
      <c r="Q347" s="17">
        <f>IFERROR(VLOOKUP(A347,已除帳印單!B:C,1,0),0)*1</f>
        <v>0</v>
      </c>
      <c r="R347" s="67" t="str">
        <f>IFERROR(VLOOKUP(J347,線別!A:B,2,1),"")</f>
        <v>裝二線</v>
      </c>
      <c r="S347" s="17" t="str">
        <f>IFERROR(VLOOKUP(A347,已除帳印單!B:C,2,0),"")</f>
        <v/>
      </c>
      <c r="T347" s="68">
        <f t="shared" si="36"/>
        <v>43892</v>
      </c>
      <c r="U347" s="69">
        <f t="shared" si="37"/>
        <v>84.168773148148148</v>
      </c>
      <c r="V347" s="68" t="str">
        <f>IFERROR(VLOOKUP(A347,已除帳印單!B:D,3,0),"")</f>
        <v/>
      </c>
      <c r="W347" s="69" t="str">
        <f>IFERROR(VLOOKUP(A347,已除帳印單!B:E,4,0),"")</f>
        <v/>
      </c>
      <c r="X347" s="68" t="str">
        <f>IFERROR(INDEX(刷條碼區!A:C,MATCH(點上線資訊!S347,刷條碼區!C:C,0),1),"")</f>
        <v/>
      </c>
      <c r="Y347" s="69" t="str">
        <f>IFERROR(INDEX(刷條碼區!A:C,MATCH(點上線資訊!S347,刷條碼區!C:C,0),2),"")</f>
        <v/>
      </c>
      <c r="Z347" s="70" t="str">
        <f>IFERROR(INDEX(刷條碼區!D:G,MATCH(點上線資訊!S347,刷條碼區!F:F,0),1),"")</f>
        <v/>
      </c>
      <c r="AA347" s="71" t="str">
        <f>IFERROR(INDEX(刷條碼區!D:G,MATCH(點上線資訊!S347,刷條碼區!F:F,0),2),"")</f>
        <v/>
      </c>
      <c r="AB347" s="20" t="b">
        <f t="shared" si="32"/>
        <v>0</v>
      </c>
      <c r="AC347" s="20" t="b">
        <f t="shared" si="33"/>
        <v>0</v>
      </c>
      <c r="AD347" s="17" t="b">
        <f t="shared" si="34"/>
        <v>0</v>
      </c>
      <c r="AE347" s="17" t="b">
        <f t="shared" si="35"/>
        <v>0</v>
      </c>
    </row>
    <row r="348" spans="1:31" x14ac:dyDescent="0.2">
      <c r="A348" s="16">
        <v>5000494395</v>
      </c>
      <c r="B348" t="s">
        <v>0</v>
      </c>
      <c r="C348" t="s">
        <v>0</v>
      </c>
      <c r="D348" t="s">
        <v>1</v>
      </c>
      <c r="E348" t="s">
        <v>54</v>
      </c>
      <c r="F348" t="s">
        <v>517</v>
      </c>
      <c r="G348" s="2">
        <v>20</v>
      </c>
      <c r="H348" t="s">
        <v>461</v>
      </c>
      <c r="I348" t="s">
        <v>3</v>
      </c>
      <c r="J348" t="s">
        <v>53</v>
      </c>
      <c r="K348" t="s">
        <v>605</v>
      </c>
      <c r="L348" t="s">
        <v>608</v>
      </c>
      <c r="M348" t="s">
        <v>894</v>
      </c>
      <c r="N348" t="s">
        <v>602</v>
      </c>
      <c r="O348" t="s">
        <v>603</v>
      </c>
      <c r="P348" t="s">
        <v>602</v>
      </c>
      <c r="Q348" s="17">
        <f>IFERROR(VLOOKUP(A348,已除帳印單!B:C,1,0),0)*1</f>
        <v>0</v>
      </c>
      <c r="R348" s="67" t="str">
        <f>IFERROR(VLOOKUP(J348,線別!A:B,2,1),"")</f>
        <v>裝二線</v>
      </c>
      <c r="S348" s="17" t="str">
        <f>IFERROR(VLOOKUP(A348,已除帳印單!B:C,2,0),"")</f>
        <v/>
      </c>
      <c r="T348" s="68">
        <f t="shared" si="36"/>
        <v>43892</v>
      </c>
      <c r="U348" s="69">
        <f t="shared" si="37"/>
        <v>84.168773148148148</v>
      </c>
      <c r="V348" s="68" t="str">
        <f>IFERROR(VLOOKUP(A348,已除帳印單!B:D,3,0),"")</f>
        <v/>
      </c>
      <c r="W348" s="69" t="str">
        <f>IFERROR(VLOOKUP(A348,已除帳印單!B:E,4,0),"")</f>
        <v/>
      </c>
      <c r="X348" s="68" t="str">
        <f>IFERROR(INDEX(刷條碼區!A:C,MATCH(點上線資訊!S348,刷條碼區!C:C,0),1),"")</f>
        <v/>
      </c>
      <c r="Y348" s="69" t="str">
        <f>IFERROR(INDEX(刷條碼區!A:C,MATCH(點上線資訊!S348,刷條碼區!C:C,0),2),"")</f>
        <v/>
      </c>
      <c r="Z348" s="70" t="str">
        <f>IFERROR(INDEX(刷條碼區!D:G,MATCH(點上線資訊!S348,刷條碼區!F:F,0),1),"")</f>
        <v/>
      </c>
      <c r="AA348" s="71" t="str">
        <f>IFERROR(INDEX(刷條碼區!D:G,MATCH(點上線資訊!S348,刷條碼區!F:F,0),2),"")</f>
        <v/>
      </c>
      <c r="AB348" s="20" t="b">
        <f t="shared" si="32"/>
        <v>0</v>
      </c>
      <c r="AC348" s="20" t="b">
        <f t="shared" si="33"/>
        <v>0</v>
      </c>
      <c r="AD348" s="17" t="b">
        <f t="shared" si="34"/>
        <v>0</v>
      </c>
      <c r="AE348" s="17" t="b">
        <f t="shared" si="35"/>
        <v>0</v>
      </c>
    </row>
    <row r="349" spans="1:31" x14ac:dyDescent="0.2">
      <c r="A349" s="16">
        <v>5000494397</v>
      </c>
      <c r="B349" t="s">
        <v>6</v>
      </c>
      <c r="C349" t="s">
        <v>6</v>
      </c>
      <c r="D349" t="s">
        <v>1</v>
      </c>
      <c r="E349" t="s">
        <v>54</v>
      </c>
      <c r="F349" t="s">
        <v>517</v>
      </c>
      <c r="G349" s="2">
        <v>20</v>
      </c>
      <c r="H349" t="s">
        <v>461</v>
      </c>
      <c r="I349" t="s">
        <v>3</v>
      </c>
      <c r="J349" t="s">
        <v>53</v>
      </c>
      <c r="K349" t="s">
        <v>602</v>
      </c>
      <c r="L349" t="s">
        <v>603</v>
      </c>
      <c r="M349" t="s">
        <v>602</v>
      </c>
      <c r="N349" t="s">
        <v>602</v>
      </c>
      <c r="O349" t="s">
        <v>603</v>
      </c>
      <c r="P349" t="s">
        <v>602</v>
      </c>
      <c r="Q349" s="17">
        <f>IFERROR(VLOOKUP(A349,已除帳印單!B:C,1,0),0)*1</f>
        <v>0</v>
      </c>
      <c r="R349" s="67" t="str">
        <f>IFERROR(VLOOKUP(J349,線別!A:B,2,1),"")</f>
        <v>裝二線</v>
      </c>
      <c r="S349" s="17" t="str">
        <f>IFERROR(VLOOKUP(A349,已除帳印單!B:C,2,0),"")</f>
        <v/>
      </c>
      <c r="T349" s="68">
        <f t="shared" si="36"/>
        <v>43893</v>
      </c>
      <c r="U349" s="69">
        <f t="shared" si="37"/>
        <v>84.168784722222213</v>
      </c>
      <c r="V349" s="68" t="str">
        <f>IFERROR(VLOOKUP(A349,已除帳印單!B:D,3,0),"")</f>
        <v/>
      </c>
      <c r="W349" s="69" t="str">
        <f>IFERROR(VLOOKUP(A349,已除帳印單!B:E,4,0),"")</f>
        <v/>
      </c>
      <c r="X349" s="68" t="str">
        <f>IFERROR(INDEX(刷條碼區!A:C,MATCH(點上線資訊!S349,刷條碼區!C:C,0),1),"")</f>
        <v/>
      </c>
      <c r="Y349" s="69" t="str">
        <f>IFERROR(INDEX(刷條碼區!A:C,MATCH(點上線資訊!S349,刷條碼區!C:C,0),2),"")</f>
        <v/>
      </c>
      <c r="Z349" s="70" t="str">
        <f>IFERROR(INDEX(刷條碼區!D:G,MATCH(點上線資訊!S349,刷條碼區!F:F,0),1),"")</f>
        <v/>
      </c>
      <c r="AA349" s="71" t="str">
        <f>IFERROR(INDEX(刷條碼區!D:G,MATCH(點上線資訊!S349,刷條碼區!F:F,0),2),"")</f>
        <v/>
      </c>
      <c r="AB349" s="20">
        <f t="shared" si="32"/>
        <v>20</v>
      </c>
      <c r="AC349" s="20" t="b">
        <f t="shared" si="33"/>
        <v>0</v>
      </c>
      <c r="AD349" s="17" t="b">
        <f t="shared" si="34"/>
        <v>0</v>
      </c>
      <c r="AE349" s="17" t="b">
        <f t="shared" si="35"/>
        <v>0</v>
      </c>
    </row>
    <row r="350" spans="1:31" x14ac:dyDescent="0.2">
      <c r="A350" s="16">
        <v>5000494401</v>
      </c>
      <c r="B350" t="s">
        <v>301</v>
      </c>
      <c r="C350" t="s">
        <v>301</v>
      </c>
      <c r="D350" t="s">
        <v>1</v>
      </c>
      <c r="E350" t="s">
        <v>323</v>
      </c>
      <c r="F350" t="s">
        <v>498</v>
      </c>
      <c r="G350" s="2">
        <v>5</v>
      </c>
      <c r="H350" t="s">
        <v>461</v>
      </c>
      <c r="I350" t="s">
        <v>3</v>
      </c>
      <c r="J350" t="s">
        <v>53</v>
      </c>
      <c r="K350" t="s">
        <v>602</v>
      </c>
      <c r="L350" t="s">
        <v>603</v>
      </c>
      <c r="M350" t="s">
        <v>602</v>
      </c>
      <c r="N350" t="s">
        <v>602</v>
      </c>
      <c r="O350" t="s">
        <v>603</v>
      </c>
      <c r="P350" t="s">
        <v>602</v>
      </c>
      <c r="Q350" s="17">
        <f>IFERROR(VLOOKUP(A350,已除帳印單!B:C,1,0),0)*1</f>
        <v>0</v>
      </c>
      <c r="R350" s="67" t="str">
        <f>IFERROR(VLOOKUP(J350,線別!A:B,2,1),"")</f>
        <v>裝二線</v>
      </c>
      <c r="S350" s="17" t="str">
        <f>IFERROR(VLOOKUP(A350,已除帳印單!B:C,2,0),"")</f>
        <v/>
      </c>
      <c r="T350" s="68">
        <f t="shared" si="36"/>
        <v>43894</v>
      </c>
      <c r="U350" s="69">
        <f t="shared" si="37"/>
        <v>84.168796296296293</v>
      </c>
      <c r="V350" s="68" t="str">
        <f>IFERROR(VLOOKUP(A350,已除帳印單!B:D,3,0),"")</f>
        <v/>
      </c>
      <c r="W350" s="69" t="str">
        <f>IFERROR(VLOOKUP(A350,已除帳印單!B:E,4,0),"")</f>
        <v/>
      </c>
      <c r="X350" s="68" t="str">
        <f>IFERROR(INDEX(刷條碼區!A:C,MATCH(點上線資訊!S350,刷條碼區!C:C,0),1),"")</f>
        <v/>
      </c>
      <c r="Y350" s="69" t="str">
        <f>IFERROR(INDEX(刷條碼區!A:C,MATCH(點上線資訊!S350,刷條碼區!C:C,0),2),"")</f>
        <v/>
      </c>
      <c r="Z350" s="70" t="str">
        <f>IFERROR(INDEX(刷條碼區!D:G,MATCH(點上線資訊!S350,刷條碼區!F:F,0),1),"")</f>
        <v/>
      </c>
      <c r="AA350" s="71" t="str">
        <f>IFERROR(INDEX(刷條碼區!D:G,MATCH(點上線資訊!S350,刷條碼區!F:F,0),2),"")</f>
        <v/>
      </c>
      <c r="AB350" s="20">
        <f t="shared" si="32"/>
        <v>5</v>
      </c>
      <c r="AC350" s="20" t="b">
        <f t="shared" si="33"/>
        <v>0</v>
      </c>
      <c r="AD350" s="17" t="b">
        <f t="shared" si="34"/>
        <v>0</v>
      </c>
      <c r="AE350" s="17" t="b">
        <f t="shared" si="35"/>
        <v>0</v>
      </c>
    </row>
    <row r="351" spans="1:31" x14ac:dyDescent="0.2">
      <c r="A351" s="16">
        <v>5000494405</v>
      </c>
      <c r="B351" t="s">
        <v>6</v>
      </c>
      <c r="C351" t="s">
        <v>6</v>
      </c>
      <c r="D351" t="s">
        <v>1</v>
      </c>
      <c r="E351" t="s">
        <v>281</v>
      </c>
      <c r="F351" t="s">
        <v>516</v>
      </c>
      <c r="G351" s="2">
        <v>20</v>
      </c>
      <c r="H351" t="s">
        <v>461</v>
      </c>
      <c r="I351" t="s">
        <v>3</v>
      </c>
      <c r="J351" t="s">
        <v>53</v>
      </c>
      <c r="K351" t="s">
        <v>602</v>
      </c>
      <c r="L351" t="s">
        <v>603</v>
      </c>
      <c r="M351" t="s">
        <v>602</v>
      </c>
      <c r="N351" t="s">
        <v>602</v>
      </c>
      <c r="O351" t="s">
        <v>603</v>
      </c>
      <c r="P351" t="s">
        <v>602</v>
      </c>
      <c r="Q351" s="17">
        <f>IFERROR(VLOOKUP(A351,已除帳印單!B:C,1,0),0)*1</f>
        <v>0</v>
      </c>
      <c r="R351" s="67" t="str">
        <f>IFERROR(VLOOKUP(J351,線別!A:B,2,1),"")</f>
        <v>裝二線</v>
      </c>
      <c r="S351" s="17" t="str">
        <f>IFERROR(VLOOKUP(A351,已除帳印單!B:C,2,0),"")</f>
        <v/>
      </c>
      <c r="T351" s="68">
        <f t="shared" si="36"/>
        <v>43893</v>
      </c>
      <c r="U351" s="69">
        <f t="shared" si="37"/>
        <v>84.168784722222213</v>
      </c>
      <c r="V351" s="68" t="str">
        <f>IFERROR(VLOOKUP(A351,已除帳印單!B:D,3,0),"")</f>
        <v/>
      </c>
      <c r="W351" s="69" t="str">
        <f>IFERROR(VLOOKUP(A351,已除帳印單!B:E,4,0),"")</f>
        <v/>
      </c>
      <c r="X351" s="68" t="str">
        <f>IFERROR(INDEX(刷條碼區!A:C,MATCH(點上線資訊!S351,刷條碼區!C:C,0),1),"")</f>
        <v/>
      </c>
      <c r="Y351" s="69" t="str">
        <f>IFERROR(INDEX(刷條碼區!A:C,MATCH(點上線資訊!S351,刷條碼區!C:C,0),2),"")</f>
        <v/>
      </c>
      <c r="Z351" s="70" t="str">
        <f>IFERROR(INDEX(刷條碼區!D:G,MATCH(點上線資訊!S351,刷條碼區!F:F,0),1),"")</f>
        <v/>
      </c>
      <c r="AA351" s="71" t="str">
        <f>IFERROR(INDEX(刷條碼區!D:G,MATCH(點上線資訊!S351,刷條碼區!F:F,0),2),"")</f>
        <v/>
      </c>
      <c r="AB351" s="20">
        <f t="shared" si="32"/>
        <v>20</v>
      </c>
      <c r="AC351" s="20" t="b">
        <f t="shared" si="33"/>
        <v>0</v>
      </c>
      <c r="AD351" s="17" t="b">
        <f t="shared" si="34"/>
        <v>0</v>
      </c>
      <c r="AE351" s="17" t="b">
        <f t="shared" si="35"/>
        <v>0</v>
      </c>
    </row>
    <row r="352" spans="1:31" x14ac:dyDescent="0.2">
      <c r="A352" s="16">
        <v>5000494411</v>
      </c>
      <c r="B352" t="s">
        <v>0</v>
      </c>
      <c r="C352" t="s">
        <v>0</v>
      </c>
      <c r="D352" t="s">
        <v>1</v>
      </c>
      <c r="E352" t="s">
        <v>909</v>
      </c>
      <c r="F352" t="s">
        <v>910</v>
      </c>
      <c r="G352" s="2">
        <v>20</v>
      </c>
      <c r="H352" t="s">
        <v>461</v>
      </c>
      <c r="I352" t="s">
        <v>3</v>
      </c>
      <c r="J352" t="s">
        <v>53</v>
      </c>
      <c r="K352" t="s">
        <v>605</v>
      </c>
      <c r="L352" t="s">
        <v>608</v>
      </c>
      <c r="M352" t="s">
        <v>894</v>
      </c>
      <c r="N352" t="s">
        <v>602</v>
      </c>
      <c r="O352" t="s">
        <v>603</v>
      </c>
      <c r="P352" t="s">
        <v>602</v>
      </c>
      <c r="Q352" s="17">
        <f>IFERROR(VLOOKUP(A352,已除帳印單!B:C,1,0),0)*1</f>
        <v>0</v>
      </c>
      <c r="R352" s="67" t="str">
        <f>IFERROR(VLOOKUP(J352,線別!A:B,2,1),"")</f>
        <v>裝二線</v>
      </c>
      <c r="S352" s="17" t="str">
        <f>IFERROR(VLOOKUP(A352,已除帳印單!B:C,2,0),"")</f>
        <v/>
      </c>
      <c r="T352" s="68">
        <f t="shared" si="36"/>
        <v>43892</v>
      </c>
      <c r="U352" s="69">
        <f t="shared" si="37"/>
        <v>84.168773148148148</v>
      </c>
      <c r="V352" s="68" t="str">
        <f>IFERROR(VLOOKUP(A352,已除帳印單!B:D,3,0),"")</f>
        <v/>
      </c>
      <c r="W352" s="69" t="str">
        <f>IFERROR(VLOOKUP(A352,已除帳印單!B:E,4,0),"")</f>
        <v/>
      </c>
      <c r="X352" s="68" t="str">
        <f>IFERROR(INDEX(刷條碼區!A:C,MATCH(點上線資訊!S352,刷條碼區!C:C,0),1),"")</f>
        <v/>
      </c>
      <c r="Y352" s="69" t="str">
        <f>IFERROR(INDEX(刷條碼區!A:C,MATCH(點上線資訊!S352,刷條碼區!C:C,0),2),"")</f>
        <v/>
      </c>
      <c r="Z352" s="70" t="str">
        <f>IFERROR(INDEX(刷條碼區!D:G,MATCH(點上線資訊!S352,刷條碼區!F:F,0),1),"")</f>
        <v/>
      </c>
      <c r="AA352" s="71" t="str">
        <f>IFERROR(INDEX(刷條碼區!D:G,MATCH(點上線資訊!S352,刷條碼區!F:F,0),2),"")</f>
        <v/>
      </c>
      <c r="AB352" s="20" t="b">
        <f t="shared" si="32"/>
        <v>0</v>
      </c>
      <c r="AC352" s="20" t="b">
        <f t="shared" si="33"/>
        <v>0</v>
      </c>
      <c r="AD352" s="17" t="b">
        <f t="shared" si="34"/>
        <v>0</v>
      </c>
      <c r="AE352" s="17" t="b">
        <f t="shared" si="35"/>
        <v>0</v>
      </c>
    </row>
    <row r="353" spans="1:31" x14ac:dyDescent="0.2">
      <c r="A353" s="16">
        <v>5000494413</v>
      </c>
      <c r="B353" t="s">
        <v>6</v>
      </c>
      <c r="C353" t="s">
        <v>6</v>
      </c>
      <c r="D353" t="s">
        <v>1</v>
      </c>
      <c r="E353" t="s">
        <v>281</v>
      </c>
      <c r="F353" t="s">
        <v>516</v>
      </c>
      <c r="G353" s="2">
        <v>20</v>
      </c>
      <c r="H353" t="s">
        <v>461</v>
      </c>
      <c r="I353" t="s">
        <v>3</v>
      </c>
      <c r="J353" t="s">
        <v>53</v>
      </c>
      <c r="K353" t="s">
        <v>602</v>
      </c>
      <c r="L353" t="s">
        <v>603</v>
      </c>
      <c r="M353" t="s">
        <v>602</v>
      </c>
      <c r="N353" t="s">
        <v>602</v>
      </c>
      <c r="O353" t="s">
        <v>603</v>
      </c>
      <c r="P353" t="s">
        <v>602</v>
      </c>
      <c r="Q353" s="17">
        <f>IFERROR(VLOOKUP(A353,已除帳印單!B:C,1,0),0)*1</f>
        <v>0</v>
      </c>
      <c r="R353" s="67" t="str">
        <f>IFERROR(VLOOKUP(J353,線別!A:B,2,1),"")</f>
        <v>裝二線</v>
      </c>
      <c r="S353" s="17" t="str">
        <f>IFERROR(VLOOKUP(A353,已除帳印單!B:C,2,0),"")</f>
        <v/>
      </c>
      <c r="T353" s="68">
        <f t="shared" si="36"/>
        <v>43893</v>
      </c>
      <c r="U353" s="69">
        <f t="shared" si="37"/>
        <v>84.168784722222213</v>
      </c>
      <c r="V353" s="68" t="str">
        <f>IFERROR(VLOOKUP(A353,已除帳印單!B:D,3,0),"")</f>
        <v/>
      </c>
      <c r="W353" s="69" t="str">
        <f>IFERROR(VLOOKUP(A353,已除帳印單!B:E,4,0),"")</f>
        <v/>
      </c>
      <c r="X353" s="68" t="str">
        <f>IFERROR(INDEX(刷條碼區!A:C,MATCH(點上線資訊!S353,刷條碼區!C:C,0),1),"")</f>
        <v/>
      </c>
      <c r="Y353" s="69" t="str">
        <f>IFERROR(INDEX(刷條碼區!A:C,MATCH(點上線資訊!S353,刷條碼區!C:C,0),2),"")</f>
        <v/>
      </c>
      <c r="Z353" s="70" t="str">
        <f>IFERROR(INDEX(刷條碼區!D:G,MATCH(點上線資訊!S353,刷條碼區!F:F,0),1),"")</f>
        <v/>
      </c>
      <c r="AA353" s="71" t="str">
        <f>IFERROR(INDEX(刷條碼區!D:G,MATCH(點上線資訊!S353,刷條碼區!F:F,0),2),"")</f>
        <v/>
      </c>
      <c r="AB353" s="20">
        <f t="shared" si="32"/>
        <v>20</v>
      </c>
      <c r="AC353" s="20" t="b">
        <f t="shared" si="33"/>
        <v>0</v>
      </c>
      <c r="AD353" s="17" t="b">
        <f t="shared" si="34"/>
        <v>0</v>
      </c>
      <c r="AE353" s="17" t="b">
        <f t="shared" si="35"/>
        <v>0</v>
      </c>
    </row>
    <row r="354" spans="1:31" x14ac:dyDescent="0.2">
      <c r="A354" s="16">
        <v>5000494417</v>
      </c>
      <c r="B354" t="s">
        <v>6</v>
      </c>
      <c r="C354" t="s">
        <v>6</v>
      </c>
      <c r="D354" t="s">
        <v>1</v>
      </c>
      <c r="E354" t="s">
        <v>281</v>
      </c>
      <c r="F354" t="s">
        <v>516</v>
      </c>
      <c r="G354" s="2">
        <v>20</v>
      </c>
      <c r="H354" t="s">
        <v>461</v>
      </c>
      <c r="I354" t="s">
        <v>3</v>
      </c>
      <c r="J354" t="s">
        <v>53</v>
      </c>
      <c r="K354" t="s">
        <v>602</v>
      </c>
      <c r="L354" t="s">
        <v>603</v>
      </c>
      <c r="M354" t="s">
        <v>602</v>
      </c>
      <c r="N354" t="s">
        <v>602</v>
      </c>
      <c r="O354" t="s">
        <v>603</v>
      </c>
      <c r="P354" t="s">
        <v>602</v>
      </c>
      <c r="Q354" s="17">
        <f>IFERROR(VLOOKUP(A354,已除帳印單!B:C,1,0),0)*1</f>
        <v>0</v>
      </c>
      <c r="R354" s="67" t="str">
        <f>IFERROR(VLOOKUP(J354,線別!A:B,2,1),"")</f>
        <v>裝二線</v>
      </c>
      <c r="S354" s="17" t="str">
        <f>IFERROR(VLOOKUP(A354,已除帳印單!B:C,2,0),"")</f>
        <v/>
      </c>
      <c r="T354" s="68">
        <f t="shared" si="36"/>
        <v>43893</v>
      </c>
      <c r="U354" s="69">
        <f t="shared" si="37"/>
        <v>84.168784722222213</v>
      </c>
      <c r="V354" s="68" t="str">
        <f>IFERROR(VLOOKUP(A354,已除帳印單!B:D,3,0),"")</f>
        <v/>
      </c>
      <c r="W354" s="69" t="str">
        <f>IFERROR(VLOOKUP(A354,已除帳印單!B:E,4,0),"")</f>
        <v/>
      </c>
      <c r="X354" s="68" t="str">
        <f>IFERROR(INDEX(刷條碼區!A:C,MATCH(點上線資訊!S354,刷條碼區!C:C,0),1),"")</f>
        <v/>
      </c>
      <c r="Y354" s="69" t="str">
        <f>IFERROR(INDEX(刷條碼區!A:C,MATCH(點上線資訊!S354,刷條碼區!C:C,0),2),"")</f>
        <v/>
      </c>
      <c r="Z354" s="70" t="str">
        <f>IFERROR(INDEX(刷條碼區!D:G,MATCH(點上線資訊!S354,刷條碼區!F:F,0),1),"")</f>
        <v/>
      </c>
      <c r="AA354" s="71" t="str">
        <f>IFERROR(INDEX(刷條碼區!D:G,MATCH(點上線資訊!S354,刷條碼區!F:F,0),2),"")</f>
        <v/>
      </c>
      <c r="AB354" s="20">
        <f t="shared" si="32"/>
        <v>20</v>
      </c>
      <c r="AC354" s="20" t="b">
        <f t="shared" si="33"/>
        <v>0</v>
      </c>
      <c r="AD354" s="17" t="b">
        <f t="shared" si="34"/>
        <v>0</v>
      </c>
      <c r="AE354" s="17" t="b">
        <f t="shared" si="35"/>
        <v>0</v>
      </c>
    </row>
    <row r="355" spans="1:31" x14ac:dyDescent="0.2">
      <c r="A355" s="16">
        <v>5000494424</v>
      </c>
      <c r="B355" t="s">
        <v>0</v>
      </c>
      <c r="C355" t="s">
        <v>0</v>
      </c>
      <c r="D355" t="s">
        <v>1</v>
      </c>
      <c r="E355" t="s">
        <v>909</v>
      </c>
      <c r="F355" t="s">
        <v>910</v>
      </c>
      <c r="G355" s="2">
        <v>20</v>
      </c>
      <c r="H355" t="s">
        <v>461</v>
      </c>
      <c r="I355" t="s">
        <v>3</v>
      </c>
      <c r="J355" t="s">
        <v>53</v>
      </c>
      <c r="K355" t="s">
        <v>605</v>
      </c>
      <c r="L355" t="s">
        <v>608</v>
      </c>
      <c r="M355" t="s">
        <v>894</v>
      </c>
      <c r="N355" t="s">
        <v>602</v>
      </c>
      <c r="O355" t="s">
        <v>603</v>
      </c>
      <c r="P355" t="s">
        <v>602</v>
      </c>
      <c r="Q355" s="17">
        <f>IFERROR(VLOOKUP(A355,已除帳印單!B:C,1,0),0)*1</f>
        <v>0</v>
      </c>
      <c r="R355" s="67" t="str">
        <f>IFERROR(VLOOKUP(J355,線別!A:B,2,1),"")</f>
        <v>裝二線</v>
      </c>
      <c r="S355" s="17" t="str">
        <f>IFERROR(VLOOKUP(A355,已除帳印單!B:C,2,0),"")</f>
        <v/>
      </c>
      <c r="T355" s="68">
        <f t="shared" si="36"/>
        <v>43892</v>
      </c>
      <c r="U355" s="69">
        <f t="shared" si="37"/>
        <v>84.168773148148148</v>
      </c>
      <c r="V355" s="68" t="str">
        <f>IFERROR(VLOOKUP(A355,已除帳印單!B:D,3,0),"")</f>
        <v/>
      </c>
      <c r="W355" s="69" t="str">
        <f>IFERROR(VLOOKUP(A355,已除帳印單!B:E,4,0),"")</f>
        <v/>
      </c>
      <c r="X355" s="68" t="str">
        <f>IFERROR(INDEX(刷條碼區!A:C,MATCH(點上線資訊!S355,刷條碼區!C:C,0),1),"")</f>
        <v/>
      </c>
      <c r="Y355" s="69" t="str">
        <f>IFERROR(INDEX(刷條碼區!A:C,MATCH(點上線資訊!S355,刷條碼區!C:C,0),2),"")</f>
        <v/>
      </c>
      <c r="Z355" s="70" t="str">
        <f>IFERROR(INDEX(刷條碼區!D:G,MATCH(點上線資訊!S355,刷條碼區!F:F,0),1),"")</f>
        <v/>
      </c>
      <c r="AA355" s="71" t="str">
        <f>IFERROR(INDEX(刷條碼區!D:G,MATCH(點上線資訊!S355,刷條碼區!F:F,0),2),"")</f>
        <v/>
      </c>
      <c r="AB355" s="20" t="b">
        <f t="shared" si="32"/>
        <v>0</v>
      </c>
      <c r="AC355" s="20" t="b">
        <f t="shared" si="33"/>
        <v>0</v>
      </c>
      <c r="AD355" s="17" t="b">
        <f t="shared" si="34"/>
        <v>0</v>
      </c>
      <c r="AE355" s="17" t="b">
        <f t="shared" si="35"/>
        <v>0</v>
      </c>
    </row>
    <row r="356" spans="1:31" x14ac:dyDescent="0.2">
      <c r="A356" s="16">
        <v>5000494427</v>
      </c>
      <c r="B356" t="s">
        <v>0</v>
      </c>
      <c r="C356" t="s">
        <v>0</v>
      </c>
      <c r="D356" t="s">
        <v>1</v>
      </c>
      <c r="E356" t="s">
        <v>909</v>
      </c>
      <c r="F356" t="s">
        <v>910</v>
      </c>
      <c r="G356" s="2">
        <v>20</v>
      </c>
      <c r="H356" t="s">
        <v>461</v>
      </c>
      <c r="I356" t="s">
        <v>3</v>
      </c>
      <c r="J356" t="s">
        <v>53</v>
      </c>
      <c r="K356" t="s">
        <v>605</v>
      </c>
      <c r="L356" t="s">
        <v>608</v>
      </c>
      <c r="M356" t="s">
        <v>894</v>
      </c>
      <c r="N356" t="s">
        <v>602</v>
      </c>
      <c r="O356" t="s">
        <v>603</v>
      </c>
      <c r="P356" t="s">
        <v>602</v>
      </c>
      <c r="Q356" s="17">
        <f>IFERROR(VLOOKUP(A356,已除帳印單!B:C,1,0),0)*1</f>
        <v>0</v>
      </c>
      <c r="R356" s="67" t="str">
        <f>IFERROR(VLOOKUP(J356,線別!A:B,2,1),"")</f>
        <v>裝二線</v>
      </c>
      <c r="S356" s="17" t="str">
        <f>IFERROR(VLOOKUP(A356,已除帳印單!B:C,2,0),"")</f>
        <v/>
      </c>
      <c r="T356" s="68">
        <f t="shared" si="36"/>
        <v>43892</v>
      </c>
      <c r="U356" s="69">
        <f t="shared" si="37"/>
        <v>84.168773148148148</v>
      </c>
      <c r="V356" s="68" t="str">
        <f>IFERROR(VLOOKUP(A356,已除帳印單!B:D,3,0),"")</f>
        <v/>
      </c>
      <c r="W356" s="69" t="str">
        <f>IFERROR(VLOOKUP(A356,已除帳印單!B:E,4,0),"")</f>
        <v/>
      </c>
      <c r="X356" s="68" t="str">
        <f>IFERROR(INDEX(刷條碼區!A:C,MATCH(點上線資訊!S356,刷條碼區!C:C,0),1),"")</f>
        <v/>
      </c>
      <c r="Y356" s="69" t="str">
        <f>IFERROR(INDEX(刷條碼區!A:C,MATCH(點上線資訊!S356,刷條碼區!C:C,0),2),"")</f>
        <v/>
      </c>
      <c r="Z356" s="70" t="str">
        <f>IFERROR(INDEX(刷條碼區!D:G,MATCH(點上線資訊!S356,刷條碼區!F:F,0),1),"")</f>
        <v/>
      </c>
      <c r="AA356" s="71" t="str">
        <f>IFERROR(INDEX(刷條碼區!D:G,MATCH(點上線資訊!S356,刷條碼區!F:F,0),2),"")</f>
        <v/>
      </c>
      <c r="AB356" s="20" t="b">
        <f t="shared" si="32"/>
        <v>0</v>
      </c>
      <c r="AC356" s="20" t="b">
        <f t="shared" si="33"/>
        <v>0</v>
      </c>
      <c r="AD356" s="17" t="b">
        <f t="shared" si="34"/>
        <v>0</v>
      </c>
      <c r="AE356" s="17" t="b">
        <f t="shared" si="35"/>
        <v>0</v>
      </c>
    </row>
    <row r="357" spans="1:31" x14ac:dyDescent="0.2">
      <c r="A357" s="16">
        <v>5000494438</v>
      </c>
      <c r="B357" t="s">
        <v>6</v>
      </c>
      <c r="C357" t="s">
        <v>6</v>
      </c>
      <c r="D357" t="s">
        <v>1</v>
      </c>
      <c r="E357" t="s">
        <v>54</v>
      </c>
      <c r="F357" t="s">
        <v>517</v>
      </c>
      <c r="G357" s="2">
        <v>20</v>
      </c>
      <c r="H357" t="s">
        <v>461</v>
      </c>
      <c r="I357" t="s">
        <v>3</v>
      </c>
      <c r="J357" t="s">
        <v>53</v>
      </c>
      <c r="K357" t="s">
        <v>602</v>
      </c>
      <c r="L357" t="s">
        <v>603</v>
      </c>
      <c r="M357" t="s">
        <v>602</v>
      </c>
      <c r="N357" t="s">
        <v>602</v>
      </c>
      <c r="O357" t="s">
        <v>603</v>
      </c>
      <c r="P357" t="s">
        <v>602</v>
      </c>
      <c r="Q357" s="17">
        <f>IFERROR(VLOOKUP(A357,已除帳印單!B:C,1,0),0)*1</f>
        <v>0</v>
      </c>
      <c r="R357" s="67" t="str">
        <f>IFERROR(VLOOKUP(J357,線別!A:B,2,1),"")</f>
        <v>裝二線</v>
      </c>
      <c r="S357" s="17" t="str">
        <f>IFERROR(VLOOKUP(A357,已除帳印單!B:C,2,0),"")</f>
        <v/>
      </c>
      <c r="T357" s="68">
        <f t="shared" si="36"/>
        <v>43893</v>
      </c>
      <c r="U357" s="69">
        <f t="shared" si="37"/>
        <v>84.168784722222213</v>
      </c>
      <c r="V357" s="68" t="str">
        <f>IFERROR(VLOOKUP(A357,已除帳印單!B:D,3,0),"")</f>
        <v/>
      </c>
      <c r="W357" s="69" t="str">
        <f>IFERROR(VLOOKUP(A357,已除帳印單!B:E,4,0),"")</f>
        <v/>
      </c>
      <c r="X357" s="68" t="str">
        <f>IFERROR(INDEX(刷條碼區!A:C,MATCH(點上線資訊!S357,刷條碼區!C:C,0),1),"")</f>
        <v/>
      </c>
      <c r="Y357" s="69" t="str">
        <f>IFERROR(INDEX(刷條碼區!A:C,MATCH(點上線資訊!S357,刷條碼區!C:C,0),2),"")</f>
        <v/>
      </c>
      <c r="Z357" s="70" t="str">
        <f>IFERROR(INDEX(刷條碼區!D:G,MATCH(點上線資訊!S357,刷條碼區!F:F,0),1),"")</f>
        <v/>
      </c>
      <c r="AA357" s="71" t="str">
        <f>IFERROR(INDEX(刷條碼區!D:G,MATCH(點上線資訊!S357,刷條碼區!F:F,0),2),"")</f>
        <v/>
      </c>
      <c r="AB357" s="20">
        <f t="shared" si="32"/>
        <v>20</v>
      </c>
      <c r="AC357" s="20" t="b">
        <f t="shared" si="33"/>
        <v>0</v>
      </c>
      <c r="AD357" s="17" t="b">
        <f t="shared" si="34"/>
        <v>0</v>
      </c>
      <c r="AE357" s="17" t="b">
        <f t="shared" si="35"/>
        <v>0</v>
      </c>
    </row>
    <row r="358" spans="1:31" x14ac:dyDescent="0.2">
      <c r="A358" s="16">
        <v>5000494440</v>
      </c>
      <c r="B358" t="s">
        <v>6</v>
      </c>
      <c r="C358" t="s">
        <v>6</v>
      </c>
      <c r="D358" t="s">
        <v>1</v>
      </c>
      <c r="E358" t="s">
        <v>54</v>
      </c>
      <c r="F358" t="s">
        <v>517</v>
      </c>
      <c r="G358" s="2">
        <v>20</v>
      </c>
      <c r="H358" t="s">
        <v>461</v>
      </c>
      <c r="I358" t="s">
        <v>3</v>
      </c>
      <c r="J358" t="s">
        <v>53</v>
      </c>
      <c r="K358" t="s">
        <v>602</v>
      </c>
      <c r="L358" t="s">
        <v>603</v>
      </c>
      <c r="M358" t="s">
        <v>602</v>
      </c>
      <c r="N358" t="s">
        <v>602</v>
      </c>
      <c r="O358" t="s">
        <v>603</v>
      </c>
      <c r="P358" t="s">
        <v>602</v>
      </c>
      <c r="Q358" s="17">
        <f>IFERROR(VLOOKUP(A358,已除帳印單!B:C,1,0),0)*1</f>
        <v>0</v>
      </c>
      <c r="R358" s="67" t="str">
        <f>IFERROR(VLOOKUP(J358,線別!A:B,2,1),"")</f>
        <v>裝二線</v>
      </c>
      <c r="S358" s="17" t="str">
        <f>IFERROR(VLOOKUP(A358,已除帳印單!B:C,2,0),"")</f>
        <v/>
      </c>
      <c r="T358" s="68">
        <f t="shared" si="36"/>
        <v>43893</v>
      </c>
      <c r="U358" s="69">
        <f t="shared" si="37"/>
        <v>84.168784722222213</v>
      </c>
      <c r="V358" s="68" t="str">
        <f>IFERROR(VLOOKUP(A358,已除帳印單!B:D,3,0),"")</f>
        <v/>
      </c>
      <c r="W358" s="69" t="str">
        <f>IFERROR(VLOOKUP(A358,已除帳印單!B:E,4,0),"")</f>
        <v/>
      </c>
      <c r="X358" s="68" t="str">
        <f>IFERROR(INDEX(刷條碼區!A:C,MATCH(點上線資訊!S358,刷條碼區!C:C,0),1),"")</f>
        <v/>
      </c>
      <c r="Y358" s="69" t="str">
        <f>IFERROR(INDEX(刷條碼區!A:C,MATCH(點上線資訊!S358,刷條碼區!C:C,0),2),"")</f>
        <v/>
      </c>
      <c r="Z358" s="70" t="str">
        <f>IFERROR(INDEX(刷條碼區!D:G,MATCH(點上線資訊!S358,刷條碼區!F:F,0),1),"")</f>
        <v/>
      </c>
      <c r="AA358" s="71" t="str">
        <f>IFERROR(INDEX(刷條碼區!D:G,MATCH(點上線資訊!S358,刷條碼區!F:F,0),2),"")</f>
        <v/>
      </c>
      <c r="AB358" s="20">
        <f t="shared" si="32"/>
        <v>20</v>
      </c>
      <c r="AC358" s="20" t="b">
        <f t="shared" si="33"/>
        <v>0</v>
      </c>
      <c r="AD358" s="17" t="b">
        <f t="shared" si="34"/>
        <v>0</v>
      </c>
      <c r="AE358" s="17" t="b">
        <f t="shared" si="35"/>
        <v>0</v>
      </c>
    </row>
    <row r="359" spans="1:31" x14ac:dyDescent="0.2">
      <c r="A359" s="16">
        <v>5000494441</v>
      </c>
      <c r="B359" t="s">
        <v>6</v>
      </c>
      <c r="C359" t="s">
        <v>6</v>
      </c>
      <c r="D359" t="s">
        <v>1</v>
      </c>
      <c r="E359" t="s">
        <v>54</v>
      </c>
      <c r="F359" t="s">
        <v>517</v>
      </c>
      <c r="G359" s="2">
        <v>20</v>
      </c>
      <c r="H359" t="s">
        <v>461</v>
      </c>
      <c r="I359" t="s">
        <v>3</v>
      </c>
      <c r="J359" t="s">
        <v>53</v>
      </c>
      <c r="K359" t="s">
        <v>602</v>
      </c>
      <c r="L359" t="s">
        <v>603</v>
      </c>
      <c r="M359" t="s">
        <v>602</v>
      </c>
      <c r="N359" t="s">
        <v>602</v>
      </c>
      <c r="O359" t="s">
        <v>603</v>
      </c>
      <c r="P359" t="s">
        <v>602</v>
      </c>
      <c r="Q359" s="17">
        <f>IFERROR(VLOOKUP(A359,已除帳印單!B:C,1,0),0)*1</f>
        <v>0</v>
      </c>
      <c r="R359" s="67" t="str">
        <f>IFERROR(VLOOKUP(J359,線別!A:B,2,1),"")</f>
        <v>裝二線</v>
      </c>
      <c r="S359" s="17" t="str">
        <f>IFERROR(VLOOKUP(A359,已除帳印單!B:C,2,0),"")</f>
        <v/>
      </c>
      <c r="T359" s="68">
        <f t="shared" si="36"/>
        <v>43893</v>
      </c>
      <c r="U359" s="69">
        <f t="shared" si="37"/>
        <v>84.168784722222213</v>
      </c>
      <c r="V359" s="68" t="str">
        <f>IFERROR(VLOOKUP(A359,已除帳印單!B:D,3,0),"")</f>
        <v/>
      </c>
      <c r="W359" s="69" t="str">
        <f>IFERROR(VLOOKUP(A359,已除帳印單!B:E,4,0),"")</f>
        <v/>
      </c>
      <c r="X359" s="68" t="str">
        <f>IFERROR(INDEX(刷條碼區!A:C,MATCH(點上線資訊!S359,刷條碼區!C:C,0),1),"")</f>
        <v/>
      </c>
      <c r="Y359" s="69" t="str">
        <f>IFERROR(INDEX(刷條碼區!A:C,MATCH(點上線資訊!S359,刷條碼區!C:C,0),2),"")</f>
        <v/>
      </c>
      <c r="Z359" s="70" t="str">
        <f>IFERROR(INDEX(刷條碼區!D:G,MATCH(點上線資訊!S359,刷條碼區!F:F,0),1),"")</f>
        <v/>
      </c>
      <c r="AA359" s="71" t="str">
        <f>IFERROR(INDEX(刷條碼區!D:G,MATCH(點上線資訊!S359,刷條碼區!F:F,0),2),"")</f>
        <v/>
      </c>
      <c r="AB359" s="20">
        <f t="shared" si="32"/>
        <v>20</v>
      </c>
      <c r="AC359" s="20" t="b">
        <f t="shared" si="33"/>
        <v>0</v>
      </c>
      <c r="AD359" s="17" t="b">
        <f t="shared" si="34"/>
        <v>0</v>
      </c>
      <c r="AE359" s="17" t="b">
        <f t="shared" si="35"/>
        <v>0</v>
      </c>
    </row>
    <row r="360" spans="1:31" x14ac:dyDescent="0.2">
      <c r="A360" s="16">
        <v>5000494461</v>
      </c>
      <c r="B360" t="s">
        <v>0</v>
      </c>
      <c r="C360" t="s">
        <v>0</v>
      </c>
      <c r="D360" t="s">
        <v>1</v>
      </c>
      <c r="E360" t="s">
        <v>911</v>
      </c>
      <c r="F360" t="s">
        <v>912</v>
      </c>
      <c r="G360" s="2">
        <v>6</v>
      </c>
      <c r="H360" t="s">
        <v>461</v>
      </c>
      <c r="I360" t="s">
        <v>3</v>
      </c>
      <c r="J360" t="s">
        <v>8</v>
      </c>
      <c r="K360" t="s">
        <v>605</v>
      </c>
      <c r="L360" t="s">
        <v>608</v>
      </c>
      <c r="M360" t="s">
        <v>798</v>
      </c>
      <c r="N360" t="s">
        <v>602</v>
      </c>
      <c r="O360" t="s">
        <v>603</v>
      </c>
      <c r="P360" t="s">
        <v>602</v>
      </c>
      <c r="Q360" s="17">
        <f>IFERROR(VLOOKUP(A360,已除帳印單!B:C,1,0),0)*1</f>
        <v>0</v>
      </c>
      <c r="R360" s="67" t="str">
        <f>IFERROR(VLOOKUP(J360,線別!A:B,2,1),"")</f>
        <v>裝一線</v>
      </c>
      <c r="S360" s="17" t="str">
        <f>IFERROR(VLOOKUP(A360,已除帳印單!B:C,2,0),"")</f>
        <v/>
      </c>
      <c r="T360" s="68">
        <f t="shared" si="36"/>
        <v>43892</v>
      </c>
      <c r="U360" s="69">
        <f t="shared" si="37"/>
        <v>84.168773148148148</v>
      </c>
      <c r="V360" s="68" t="str">
        <f>IFERROR(VLOOKUP(A360,已除帳印單!B:D,3,0),"")</f>
        <v/>
      </c>
      <c r="W360" s="69" t="str">
        <f>IFERROR(VLOOKUP(A360,已除帳印單!B:E,4,0),"")</f>
        <v/>
      </c>
      <c r="X360" s="68" t="str">
        <f>IFERROR(INDEX(刷條碼區!A:C,MATCH(點上線資訊!S360,刷條碼區!C:C,0),1),"")</f>
        <v/>
      </c>
      <c r="Y360" s="69" t="str">
        <f>IFERROR(INDEX(刷條碼區!A:C,MATCH(點上線資訊!S360,刷條碼區!C:C,0),2),"")</f>
        <v/>
      </c>
      <c r="Z360" s="70" t="str">
        <f>IFERROR(INDEX(刷條碼區!D:G,MATCH(點上線資訊!S360,刷條碼區!F:F,0),1),"")</f>
        <v/>
      </c>
      <c r="AA360" s="71" t="str">
        <f>IFERROR(INDEX(刷條碼區!D:G,MATCH(點上線資訊!S360,刷條碼區!F:F,0),2),"")</f>
        <v/>
      </c>
      <c r="AB360" s="20" t="b">
        <f t="shared" si="32"/>
        <v>0</v>
      </c>
      <c r="AC360" s="20" t="b">
        <f t="shared" si="33"/>
        <v>0</v>
      </c>
      <c r="AD360" s="17" t="b">
        <f t="shared" si="34"/>
        <v>0</v>
      </c>
      <c r="AE360" s="17" t="b">
        <f t="shared" si="35"/>
        <v>0</v>
      </c>
    </row>
    <row r="361" spans="1:31" x14ac:dyDescent="0.2">
      <c r="A361" s="16">
        <v>5000494462</v>
      </c>
      <c r="B361" t="s">
        <v>0</v>
      </c>
      <c r="C361" t="s">
        <v>0</v>
      </c>
      <c r="D361" t="s">
        <v>1</v>
      </c>
      <c r="E361" t="s">
        <v>911</v>
      </c>
      <c r="F361" t="s">
        <v>912</v>
      </c>
      <c r="G361" s="2">
        <v>1</v>
      </c>
      <c r="H361" t="s">
        <v>461</v>
      </c>
      <c r="I361" t="s">
        <v>3</v>
      </c>
      <c r="J361" t="s">
        <v>8</v>
      </c>
      <c r="K361" t="s">
        <v>605</v>
      </c>
      <c r="L361" t="s">
        <v>608</v>
      </c>
      <c r="M361" t="s">
        <v>798</v>
      </c>
      <c r="N361" t="s">
        <v>602</v>
      </c>
      <c r="O361" t="s">
        <v>603</v>
      </c>
      <c r="P361" t="s">
        <v>602</v>
      </c>
      <c r="Q361" s="17">
        <f>IFERROR(VLOOKUP(A361,已除帳印單!B:C,1,0),0)*1</f>
        <v>0</v>
      </c>
      <c r="R361" s="67" t="str">
        <f>IFERROR(VLOOKUP(J361,線別!A:B,2,1),"")</f>
        <v>裝一線</v>
      </c>
      <c r="S361" s="17" t="str">
        <f>IFERROR(VLOOKUP(A361,已除帳印單!B:C,2,0),"")</f>
        <v/>
      </c>
      <c r="T361" s="68">
        <f t="shared" si="36"/>
        <v>43892</v>
      </c>
      <c r="U361" s="69">
        <f t="shared" si="37"/>
        <v>84.168773148148148</v>
      </c>
      <c r="V361" s="68" t="str">
        <f>IFERROR(VLOOKUP(A361,已除帳印單!B:D,3,0),"")</f>
        <v/>
      </c>
      <c r="W361" s="69" t="str">
        <f>IFERROR(VLOOKUP(A361,已除帳印單!B:E,4,0),"")</f>
        <v/>
      </c>
      <c r="X361" s="68" t="str">
        <f>IFERROR(INDEX(刷條碼區!A:C,MATCH(點上線資訊!S361,刷條碼區!C:C,0),1),"")</f>
        <v/>
      </c>
      <c r="Y361" s="69" t="str">
        <f>IFERROR(INDEX(刷條碼區!A:C,MATCH(點上線資訊!S361,刷條碼區!C:C,0),2),"")</f>
        <v/>
      </c>
      <c r="Z361" s="70" t="str">
        <f>IFERROR(INDEX(刷條碼區!D:G,MATCH(點上線資訊!S361,刷條碼區!F:F,0),1),"")</f>
        <v/>
      </c>
      <c r="AA361" s="71" t="str">
        <f>IFERROR(INDEX(刷條碼區!D:G,MATCH(點上線資訊!S361,刷條碼區!F:F,0),2),"")</f>
        <v/>
      </c>
      <c r="AB361" s="20" t="b">
        <f t="shared" si="32"/>
        <v>0</v>
      </c>
      <c r="AC361" s="20" t="b">
        <f t="shared" si="33"/>
        <v>0</v>
      </c>
      <c r="AD361" s="17" t="b">
        <f t="shared" si="34"/>
        <v>0</v>
      </c>
      <c r="AE361" s="17" t="b">
        <f t="shared" si="35"/>
        <v>0</v>
      </c>
    </row>
    <row r="362" spans="1:31" x14ac:dyDescent="0.2">
      <c r="A362" s="16">
        <v>5000494463</v>
      </c>
      <c r="B362" t="s">
        <v>0</v>
      </c>
      <c r="C362" t="s">
        <v>0</v>
      </c>
      <c r="D362" t="s">
        <v>1</v>
      </c>
      <c r="E362" t="s">
        <v>913</v>
      </c>
      <c r="F362" t="s">
        <v>914</v>
      </c>
      <c r="G362" s="2">
        <v>5</v>
      </c>
      <c r="H362" t="s">
        <v>461</v>
      </c>
      <c r="I362" t="s">
        <v>3</v>
      </c>
      <c r="J362" t="s">
        <v>8</v>
      </c>
      <c r="K362" t="s">
        <v>605</v>
      </c>
      <c r="L362" t="s">
        <v>608</v>
      </c>
      <c r="M362" t="s">
        <v>798</v>
      </c>
      <c r="N362" t="s">
        <v>602</v>
      </c>
      <c r="O362" t="s">
        <v>603</v>
      </c>
      <c r="P362" t="s">
        <v>602</v>
      </c>
      <c r="Q362" s="17">
        <f>IFERROR(VLOOKUP(A362,已除帳印單!B:C,1,0),0)*1</f>
        <v>0</v>
      </c>
      <c r="R362" s="67" t="str">
        <f>IFERROR(VLOOKUP(J362,線別!A:B,2,1),"")</f>
        <v>裝一線</v>
      </c>
      <c r="S362" s="17" t="str">
        <f>IFERROR(VLOOKUP(A362,已除帳印單!B:C,2,0),"")</f>
        <v/>
      </c>
      <c r="T362" s="68">
        <f t="shared" si="36"/>
        <v>43892</v>
      </c>
      <c r="U362" s="69">
        <f t="shared" si="37"/>
        <v>84.168773148148148</v>
      </c>
      <c r="V362" s="68" t="str">
        <f>IFERROR(VLOOKUP(A362,已除帳印單!B:D,3,0),"")</f>
        <v/>
      </c>
      <c r="W362" s="69" t="str">
        <f>IFERROR(VLOOKUP(A362,已除帳印單!B:E,4,0),"")</f>
        <v/>
      </c>
      <c r="X362" s="68" t="str">
        <f>IFERROR(INDEX(刷條碼區!A:C,MATCH(點上線資訊!S362,刷條碼區!C:C,0),1),"")</f>
        <v/>
      </c>
      <c r="Y362" s="69" t="str">
        <f>IFERROR(INDEX(刷條碼區!A:C,MATCH(點上線資訊!S362,刷條碼區!C:C,0),2),"")</f>
        <v/>
      </c>
      <c r="Z362" s="70" t="str">
        <f>IFERROR(INDEX(刷條碼區!D:G,MATCH(點上線資訊!S362,刷條碼區!F:F,0),1),"")</f>
        <v/>
      </c>
      <c r="AA362" s="71" t="str">
        <f>IFERROR(INDEX(刷條碼區!D:G,MATCH(點上線資訊!S362,刷條碼區!F:F,0),2),"")</f>
        <v/>
      </c>
      <c r="AB362" s="20" t="b">
        <f t="shared" si="32"/>
        <v>0</v>
      </c>
      <c r="AC362" s="20" t="b">
        <f t="shared" si="33"/>
        <v>0</v>
      </c>
      <c r="AD362" s="17" t="b">
        <f t="shared" si="34"/>
        <v>0</v>
      </c>
      <c r="AE362" s="17" t="b">
        <f t="shared" si="35"/>
        <v>0</v>
      </c>
    </row>
    <row r="363" spans="1:31" x14ac:dyDescent="0.2">
      <c r="A363" s="16">
        <v>5000494464</v>
      </c>
      <c r="B363" t="s">
        <v>0</v>
      </c>
      <c r="C363" t="s">
        <v>0</v>
      </c>
      <c r="D363" t="s">
        <v>1</v>
      </c>
      <c r="E363" t="s">
        <v>913</v>
      </c>
      <c r="F363" t="s">
        <v>914</v>
      </c>
      <c r="G363" s="2">
        <v>1</v>
      </c>
      <c r="H363" t="s">
        <v>461</v>
      </c>
      <c r="I363" t="s">
        <v>3</v>
      </c>
      <c r="J363" t="s">
        <v>8</v>
      </c>
      <c r="K363" t="s">
        <v>605</v>
      </c>
      <c r="L363" t="s">
        <v>608</v>
      </c>
      <c r="M363" t="s">
        <v>798</v>
      </c>
      <c r="N363" t="s">
        <v>602</v>
      </c>
      <c r="O363" t="s">
        <v>603</v>
      </c>
      <c r="P363" t="s">
        <v>602</v>
      </c>
      <c r="Q363" s="17">
        <f>IFERROR(VLOOKUP(A363,已除帳印單!B:C,1,0),0)*1</f>
        <v>0</v>
      </c>
      <c r="R363" s="67" t="str">
        <f>IFERROR(VLOOKUP(J363,線別!A:B,2,1),"")</f>
        <v>裝一線</v>
      </c>
      <c r="S363" s="17" t="str">
        <f>IFERROR(VLOOKUP(A363,已除帳印單!B:C,2,0),"")</f>
        <v/>
      </c>
      <c r="T363" s="68">
        <f t="shared" si="36"/>
        <v>43892</v>
      </c>
      <c r="U363" s="69">
        <f t="shared" si="37"/>
        <v>84.168773148148148</v>
      </c>
      <c r="V363" s="68" t="str">
        <f>IFERROR(VLOOKUP(A363,已除帳印單!B:D,3,0),"")</f>
        <v/>
      </c>
      <c r="W363" s="69" t="str">
        <f>IFERROR(VLOOKUP(A363,已除帳印單!B:E,4,0),"")</f>
        <v/>
      </c>
      <c r="X363" s="68" t="str">
        <f>IFERROR(INDEX(刷條碼區!A:C,MATCH(點上線資訊!S363,刷條碼區!C:C,0),1),"")</f>
        <v/>
      </c>
      <c r="Y363" s="69" t="str">
        <f>IFERROR(INDEX(刷條碼區!A:C,MATCH(點上線資訊!S363,刷條碼區!C:C,0),2),"")</f>
        <v/>
      </c>
      <c r="Z363" s="70" t="str">
        <f>IFERROR(INDEX(刷條碼區!D:G,MATCH(點上線資訊!S363,刷條碼區!F:F,0),1),"")</f>
        <v/>
      </c>
      <c r="AA363" s="71" t="str">
        <f>IFERROR(INDEX(刷條碼區!D:G,MATCH(點上線資訊!S363,刷條碼區!F:F,0),2),"")</f>
        <v/>
      </c>
      <c r="AB363" s="20" t="b">
        <f t="shared" si="32"/>
        <v>0</v>
      </c>
      <c r="AC363" s="20" t="b">
        <f t="shared" si="33"/>
        <v>0</v>
      </c>
      <c r="AD363" s="17" t="b">
        <f t="shared" si="34"/>
        <v>0</v>
      </c>
      <c r="AE363" s="17" t="b">
        <f t="shared" si="35"/>
        <v>0</v>
      </c>
    </row>
    <row r="364" spans="1:31" x14ac:dyDescent="0.2">
      <c r="A364" s="16">
        <v>5000494465</v>
      </c>
      <c r="B364" t="s">
        <v>0</v>
      </c>
      <c r="C364" t="s">
        <v>0</v>
      </c>
      <c r="D364" t="s">
        <v>1</v>
      </c>
      <c r="E364" t="s">
        <v>915</v>
      </c>
      <c r="F364" t="s">
        <v>800</v>
      </c>
      <c r="G364" s="2">
        <v>1</v>
      </c>
      <c r="H364" t="s">
        <v>461</v>
      </c>
      <c r="I364" t="s">
        <v>3</v>
      </c>
      <c r="J364" t="s">
        <v>8</v>
      </c>
      <c r="K364" t="s">
        <v>605</v>
      </c>
      <c r="L364" t="s">
        <v>608</v>
      </c>
      <c r="M364" t="s">
        <v>798</v>
      </c>
      <c r="N364" t="s">
        <v>602</v>
      </c>
      <c r="O364" t="s">
        <v>603</v>
      </c>
      <c r="P364" t="s">
        <v>602</v>
      </c>
      <c r="Q364" s="17">
        <f>IFERROR(VLOOKUP(A364,已除帳印單!B:C,1,0),0)*1</f>
        <v>0</v>
      </c>
      <c r="R364" s="67" t="str">
        <f>IFERROR(VLOOKUP(J364,線別!A:B,2,1),"")</f>
        <v>裝一線</v>
      </c>
      <c r="S364" s="17" t="str">
        <f>IFERROR(VLOOKUP(A364,已除帳印單!B:C,2,0),"")</f>
        <v/>
      </c>
      <c r="T364" s="68">
        <f t="shared" si="36"/>
        <v>43892</v>
      </c>
      <c r="U364" s="69">
        <f t="shared" si="37"/>
        <v>84.168773148148148</v>
      </c>
      <c r="V364" s="68" t="str">
        <f>IFERROR(VLOOKUP(A364,已除帳印單!B:D,3,0),"")</f>
        <v/>
      </c>
      <c r="W364" s="69" t="str">
        <f>IFERROR(VLOOKUP(A364,已除帳印單!B:E,4,0),"")</f>
        <v/>
      </c>
      <c r="X364" s="68" t="str">
        <f>IFERROR(INDEX(刷條碼區!A:C,MATCH(點上線資訊!S364,刷條碼區!C:C,0),1),"")</f>
        <v/>
      </c>
      <c r="Y364" s="69" t="str">
        <f>IFERROR(INDEX(刷條碼區!A:C,MATCH(點上線資訊!S364,刷條碼區!C:C,0),2),"")</f>
        <v/>
      </c>
      <c r="Z364" s="70" t="str">
        <f>IFERROR(INDEX(刷條碼區!D:G,MATCH(點上線資訊!S364,刷條碼區!F:F,0),1),"")</f>
        <v/>
      </c>
      <c r="AA364" s="71" t="str">
        <f>IFERROR(INDEX(刷條碼區!D:G,MATCH(點上線資訊!S364,刷條碼區!F:F,0),2),"")</f>
        <v/>
      </c>
      <c r="AB364" s="20" t="b">
        <f t="shared" si="32"/>
        <v>0</v>
      </c>
      <c r="AC364" s="20" t="b">
        <f t="shared" si="33"/>
        <v>0</v>
      </c>
      <c r="AD364" s="17" t="b">
        <f t="shared" si="34"/>
        <v>0</v>
      </c>
      <c r="AE364" s="17" t="b">
        <f t="shared" si="35"/>
        <v>0</v>
      </c>
    </row>
    <row r="365" spans="1:31" x14ac:dyDescent="0.2">
      <c r="A365" s="16">
        <v>5000494466</v>
      </c>
      <c r="B365" t="s">
        <v>0</v>
      </c>
      <c r="C365" t="s">
        <v>0</v>
      </c>
      <c r="D365" t="s">
        <v>1</v>
      </c>
      <c r="E365" t="s">
        <v>916</v>
      </c>
      <c r="F365" t="s">
        <v>917</v>
      </c>
      <c r="G365" s="2">
        <v>2</v>
      </c>
      <c r="H365" t="s">
        <v>461</v>
      </c>
      <c r="I365" t="s">
        <v>3</v>
      </c>
      <c r="J365" t="s">
        <v>8</v>
      </c>
      <c r="K365" t="s">
        <v>605</v>
      </c>
      <c r="L365" t="s">
        <v>608</v>
      </c>
      <c r="M365" t="s">
        <v>918</v>
      </c>
      <c r="N365" t="s">
        <v>602</v>
      </c>
      <c r="O365" t="s">
        <v>603</v>
      </c>
      <c r="P365" t="s">
        <v>602</v>
      </c>
      <c r="Q365" s="17">
        <f>IFERROR(VLOOKUP(A365,已除帳印單!B:C,1,0),0)*1</f>
        <v>0</v>
      </c>
      <c r="R365" s="67" t="str">
        <f>IFERROR(VLOOKUP(J365,線別!A:B,2,1),"")</f>
        <v>裝一線</v>
      </c>
      <c r="S365" s="17" t="str">
        <f>IFERROR(VLOOKUP(A365,已除帳印單!B:C,2,0),"")</f>
        <v/>
      </c>
      <c r="T365" s="68">
        <f t="shared" si="36"/>
        <v>43892</v>
      </c>
      <c r="U365" s="69">
        <f t="shared" si="37"/>
        <v>84.168773148148148</v>
      </c>
      <c r="V365" s="68" t="str">
        <f>IFERROR(VLOOKUP(A365,已除帳印單!B:D,3,0),"")</f>
        <v/>
      </c>
      <c r="W365" s="69" t="str">
        <f>IFERROR(VLOOKUP(A365,已除帳印單!B:E,4,0),"")</f>
        <v/>
      </c>
      <c r="X365" s="68" t="str">
        <f>IFERROR(INDEX(刷條碼區!A:C,MATCH(點上線資訊!S365,刷條碼區!C:C,0),1),"")</f>
        <v/>
      </c>
      <c r="Y365" s="69" t="str">
        <f>IFERROR(INDEX(刷條碼區!A:C,MATCH(點上線資訊!S365,刷條碼區!C:C,0),2),"")</f>
        <v/>
      </c>
      <c r="Z365" s="70" t="str">
        <f>IFERROR(INDEX(刷條碼區!D:G,MATCH(點上線資訊!S365,刷條碼區!F:F,0),1),"")</f>
        <v/>
      </c>
      <c r="AA365" s="71" t="str">
        <f>IFERROR(INDEX(刷條碼區!D:G,MATCH(點上線資訊!S365,刷條碼區!F:F,0),2),"")</f>
        <v/>
      </c>
      <c r="AB365" s="20" t="b">
        <f t="shared" si="32"/>
        <v>0</v>
      </c>
      <c r="AC365" s="20" t="b">
        <f t="shared" si="33"/>
        <v>0</v>
      </c>
      <c r="AD365" s="17" t="b">
        <f t="shared" si="34"/>
        <v>0</v>
      </c>
      <c r="AE365" s="17" t="b">
        <f t="shared" si="35"/>
        <v>0</v>
      </c>
    </row>
    <row r="366" spans="1:31" x14ac:dyDescent="0.2">
      <c r="A366" s="16">
        <v>5000494467</v>
      </c>
      <c r="B366" t="s">
        <v>0</v>
      </c>
      <c r="C366" t="s">
        <v>0</v>
      </c>
      <c r="D366" t="s">
        <v>1</v>
      </c>
      <c r="E366" t="s">
        <v>916</v>
      </c>
      <c r="F366" t="s">
        <v>917</v>
      </c>
      <c r="G366" s="2">
        <v>1</v>
      </c>
      <c r="H366" t="s">
        <v>461</v>
      </c>
      <c r="I366" t="s">
        <v>3</v>
      </c>
      <c r="J366" t="s">
        <v>8</v>
      </c>
      <c r="K366" t="s">
        <v>605</v>
      </c>
      <c r="L366" t="s">
        <v>608</v>
      </c>
      <c r="M366" t="s">
        <v>918</v>
      </c>
      <c r="N366" t="s">
        <v>602</v>
      </c>
      <c r="O366" t="s">
        <v>603</v>
      </c>
      <c r="P366" t="s">
        <v>602</v>
      </c>
      <c r="Q366" s="17">
        <f>IFERROR(VLOOKUP(A366,已除帳印單!B:C,1,0),0)*1</f>
        <v>0</v>
      </c>
      <c r="R366" s="67" t="str">
        <f>IFERROR(VLOOKUP(J366,線別!A:B,2,1),"")</f>
        <v>裝一線</v>
      </c>
      <c r="S366" s="17" t="str">
        <f>IFERROR(VLOOKUP(A366,已除帳印單!B:C,2,0),"")</f>
        <v/>
      </c>
      <c r="T366" s="68">
        <f t="shared" si="36"/>
        <v>43892</v>
      </c>
      <c r="U366" s="69">
        <f t="shared" si="37"/>
        <v>84.168773148148148</v>
      </c>
      <c r="V366" s="68" t="str">
        <f>IFERROR(VLOOKUP(A366,已除帳印單!B:D,3,0),"")</f>
        <v/>
      </c>
      <c r="W366" s="69" t="str">
        <f>IFERROR(VLOOKUP(A366,已除帳印單!B:E,4,0),"")</f>
        <v/>
      </c>
      <c r="X366" s="68" t="str">
        <f>IFERROR(INDEX(刷條碼區!A:C,MATCH(點上線資訊!S366,刷條碼區!C:C,0),1),"")</f>
        <v/>
      </c>
      <c r="Y366" s="69" t="str">
        <f>IFERROR(INDEX(刷條碼區!A:C,MATCH(點上線資訊!S366,刷條碼區!C:C,0),2),"")</f>
        <v/>
      </c>
      <c r="Z366" s="70" t="str">
        <f>IFERROR(INDEX(刷條碼區!D:G,MATCH(點上線資訊!S366,刷條碼區!F:F,0),1),"")</f>
        <v/>
      </c>
      <c r="AA366" s="71" t="str">
        <f>IFERROR(INDEX(刷條碼區!D:G,MATCH(點上線資訊!S366,刷條碼區!F:F,0),2),"")</f>
        <v/>
      </c>
      <c r="AB366" s="20" t="b">
        <f t="shared" si="32"/>
        <v>0</v>
      </c>
      <c r="AC366" s="20" t="b">
        <f t="shared" si="33"/>
        <v>0</v>
      </c>
      <c r="AD366" s="17" t="b">
        <f t="shared" si="34"/>
        <v>0</v>
      </c>
      <c r="AE366" s="17" t="b">
        <f t="shared" si="35"/>
        <v>0</v>
      </c>
    </row>
    <row r="367" spans="1:31" x14ac:dyDescent="0.2">
      <c r="A367" s="16">
        <v>5000494474</v>
      </c>
      <c r="B367" t="s">
        <v>6</v>
      </c>
      <c r="C367" t="s">
        <v>6</v>
      </c>
      <c r="D367" t="s">
        <v>1</v>
      </c>
      <c r="E367" t="s">
        <v>629</v>
      </c>
      <c r="F367" t="s">
        <v>630</v>
      </c>
      <c r="G367" s="2">
        <v>3</v>
      </c>
      <c r="H367" t="s">
        <v>461</v>
      </c>
      <c r="I367" t="s">
        <v>3</v>
      </c>
      <c r="J367" t="s">
        <v>136</v>
      </c>
      <c r="K367" t="s">
        <v>605</v>
      </c>
      <c r="L367" t="s">
        <v>608</v>
      </c>
      <c r="M367" t="s">
        <v>397</v>
      </c>
      <c r="N367" t="s">
        <v>602</v>
      </c>
      <c r="O367" t="s">
        <v>603</v>
      </c>
      <c r="P367" t="s">
        <v>602</v>
      </c>
      <c r="Q367" s="17">
        <f>IFERROR(VLOOKUP(A367,已除帳印單!B:C,1,0),0)*1</f>
        <v>0</v>
      </c>
      <c r="R367" s="67" t="str">
        <f>IFERROR(VLOOKUP(J367,線別!A:B,2,1),"")</f>
        <v>SCB線</v>
      </c>
      <c r="S367" s="17" t="str">
        <f>IFERROR(VLOOKUP(A367,已除帳印單!B:C,2,0),"")</f>
        <v/>
      </c>
      <c r="T367" s="68">
        <f t="shared" si="36"/>
        <v>43893</v>
      </c>
      <c r="U367" s="69">
        <f t="shared" si="37"/>
        <v>84.168784722222213</v>
      </c>
      <c r="V367" s="68" t="str">
        <f>IFERROR(VLOOKUP(A367,已除帳印單!B:D,3,0),"")</f>
        <v/>
      </c>
      <c r="W367" s="69" t="str">
        <f>IFERROR(VLOOKUP(A367,已除帳印單!B:E,4,0),"")</f>
        <v/>
      </c>
      <c r="X367" s="68" t="str">
        <f>IFERROR(INDEX(刷條碼區!A:C,MATCH(點上線資訊!S367,刷條碼區!C:C,0),1),"")</f>
        <v/>
      </c>
      <c r="Y367" s="69" t="str">
        <f>IFERROR(INDEX(刷條碼區!A:C,MATCH(點上線資訊!S367,刷條碼區!C:C,0),2),"")</f>
        <v/>
      </c>
      <c r="Z367" s="70" t="str">
        <f>IFERROR(INDEX(刷條碼區!D:G,MATCH(點上線資訊!S367,刷條碼區!F:F,0),1),"")</f>
        <v/>
      </c>
      <c r="AA367" s="71" t="str">
        <f>IFERROR(INDEX(刷條碼區!D:G,MATCH(點上線資訊!S367,刷條碼區!F:F,0),2),"")</f>
        <v/>
      </c>
      <c r="AB367" s="20" t="b">
        <f t="shared" si="32"/>
        <v>0</v>
      </c>
      <c r="AC367" s="20" t="b">
        <f t="shared" si="33"/>
        <v>0</v>
      </c>
      <c r="AD367" s="17" t="b">
        <f t="shared" si="34"/>
        <v>0</v>
      </c>
      <c r="AE367" s="17" t="b">
        <f t="shared" si="35"/>
        <v>0</v>
      </c>
    </row>
    <row r="368" spans="1:31" x14ac:dyDescent="0.2">
      <c r="A368" s="16">
        <v>5000494483</v>
      </c>
      <c r="B368" t="s">
        <v>0</v>
      </c>
      <c r="C368" t="s">
        <v>0</v>
      </c>
      <c r="D368" t="s">
        <v>1</v>
      </c>
      <c r="E368" t="s">
        <v>919</v>
      </c>
      <c r="F368" t="s">
        <v>920</v>
      </c>
      <c r="G368" s="2">
        <v>10</v>
      </c>
      <c r="H368" t="s">
        <v>461</v>
      </c>
      <c r="I368" t="s">
        <v>3</v>
      </c>
      <c r="J368" t="s">
        <v>339</v>
      </c>
      <c r="K368" t="s">
        <v>605</v>
      </c>
      <c r="L368" t="s">
        <v>608</v>
      </c>
      <c r="M368" t="s">
        <v>921</v>
      </c>
      <c r="N368" t="s">
        <v>602</v>
      </c>
      <c r="O368" t="s">
        <v>603</v>
      </c>
      <c r="P368" t="s">
        <v>602</v>
      </c>
      <c r="Q368" s="17">
        <f>IFERROR(VLOOKUP(A368,已除帳印單!B:C,1,0),0)*1</f>
        <v>0</v>
      </c>
      <c r="R368" s="67" t="str">
        <f>IFERROR(VLOOKUP(J368,線別!A:B,2,1),"")</f>
        <v>A+線</v>
      </c>
      <c r="S368" s="17" t="str">
        <f>IFERROR(VLOOKUP(A368,已除帳印單!B:C,2,0),"")</f>
        <v/>
      </c>
      <c r="T368" s="68">
        <f t="shared" si="36"/>
        <v>43892</v>
      </c>
      <c r="U368" s="69">
        <f t="shared" si="37"/>
        <v>84.168773148148148</v>
      </c>
      <c r="V368" s="68" t="str">
        <f>IFERROR(VLOOKUP(A368,已除帳印單!B:D,3,0),"")</f>
        <v/>
      </c>
      <c r="W368" s="69" t="str">
        <f>IFERROR(VLOOKUP(A368,已除帳印單!B:E,4,0),"")</f>
        <v/>
      </c>
      <c r="X368" s="68" t="str">
        <f>IFERROR(INDEX(刷條碼區!A:C,MATCH(點上線資訊!S368,刷條碼區!C:C,0),1),"")</f>
        <v/>
      </c>
      <c r="Y368" s="69" t="str">
        <f>IFERROR(INDEX(刷條碼區!A:C,MATCH(點上線資訊!S368,刷條碼區!C:C,0),2),"")</f>
        <v/>
      </c>
      <c r="Z368" s="70" t="str">
        <f>IFERROR(INDEX(刷條碼區!D:G,MATCH(點上線資訊!S368,刷條碼區!F:F,0),1),"")</f>
        <v/>
      </c>
      <c r="AA368" s="71" t="str">
        <f>IFERROR(INDEX(刷條碼區!D:G,MATCH(點上線資訊!S368,刷條碼區!F:F,0),2),"")</f>
        <v/>
      </c>
      <c r="AB368" s="20" t="b">
        <f t="shared" si="32"/>
        <v>0</v>
      </c>
      <c r="AC368" s="20" t="b">
        <f t="shared" si="33"/>
        <v>0</v>
      </c>
      <c r="AD368" s="17" t="b">
        <f t="shared" si="34"/>
        <v>0</v>
      </c>
      <c r="AE368" s="17" t="b">
        <f t="shared" si="35"/>
        <v>0</v>
      </c>
    </row>
    <row r="369" spans="1:31" x14ac:dyDescent="0.2">
      <c r="A369" s="16">
        <v>5000494484</v>
      </c>
      <c r="B369" t="s">
        <v>0</v>
      </c>
      <c r="C369" t="s">
        <v>0</v>
      </c>
      <c r="D369" t="s">
        <v>1</v>
      </c>
      <c r="E369" t="s">
        <v>919</v>
      </c>
      <c r="F369" t="s">
        <v>920</v>
      </c>
      <c r="G369" s="2">
        <v>10</v>
      </c>
      <c r="H369" t="s">
        <v>461</v>
      </c>
      <c r="I369" t="s">
        <v>3</v>
      </c>
      <c r="J369" t="s">
        <v>339</v>
      </c>
      <c r="K369" t="s">
        <v>605</v>
      </c>
      <c r="L369" t="s">
        <v>608</v>
      </c>
      <c r="M369" t="s">
        <v>921</v>
      </c>
      <c r="N369" t="s">
        <v>602</v>
      </c>
      <c r="O369" t="s">
        <v>603</v>
      </c>
      <c r="P369" t="s">
        <v>602</v>
      </c>
      <c r="Q369" s="17">
        <f>IFERROR(VLOOKUP(A369,已除帳印單!B:C,1,0),0)*1</f>
        <v>0</v>
      </c>
      <c r="R369" s="67" t="str">
        <f>IFERROR(VLOOKUP(J369,線別!A:B,2,1),"")</f>
        <v>A+線</v>
      </c>
      <c r="S369" s="17" t="str">
        <f>IFERROR(VLOOKUP(A369,已除帳印單!B:C,2,0),"")</f>
        <v/>
      </c>
      <c r="T369" s="68">
        <f t="shared" si="36"/>
        <v>43892</v>
      </c>
      <c r="U369" s="69">
        <f t="shared" si="37"/>
        <v>84.168773148148148</v>
      </c>
      <c r="V369" s="68" t="str">
        <f>IFERROR(VLOOKUP(A369,已除帳印單!B:D,3,0),"")</f>
        <v/>
      </c>
      <c r="W369" s="69" t="str">
        <f>IFERROR(VLOOKUP(A369,已除帳印單!B:E,4,0),"")</f>
        <v/>
      </c>
      <c r="X369" s="68" t="str">
        <f>IFERROR(INDEX(刷條碼區!A:C,MATCH(點上線資訊!S369,刷條碼區!C:C,0),1),"")</f>
        <v/>
      </c>
      <c r="Y369" s="69" t="str">
        <f>IFERROR(INDEX(刷條碼區!A:C,MATCH(點上線資訊!S369,刷條碼區!C:C,0),2),"")</f>
        <v/>
      </c>
      <c r="Z369" s="70" t="str">
        <f>IFERROR(INDEX(刷條碼區!D:G,MATCH(點上線資訊!S369,刷條碼區!F:F,0),1),"")</f>
        <v/>
      </c>
      <c r="AA369" s="71" t="str">
        <f>IFERROR(INDEX(刷條碼區!D:G,MATCH(點上線資訊!S369,刷條碼區!F:F,0),2),"")</f>
        <v/>
      </c>
      <c r="AB369" s="20" t="b">
        <f t="shared" si="32"/>
        <v>0</v>
      </c>
      <c r="AC369" s="20" t="b">
        <f t="shared" si="33"/>
        <v>0</v>
      </c>
      <c r="AD369" s="17" t="b">
        <f t="shared" si="34"/>
        <v>0</v>
      </c>
      <c r="AE369" s="17" t="b">
        <f t="shared" si="35"/>
        <v>0</v>
      </c>
    </row>
    <row r="370" spans="1:31" x14ac:dyDescent="0.2">
      <c r="A370" s="16">
        <v>5000494485</v>
      </c>
      <c r="B370" t="s">
        <v>0</v>
      </c>
      <c r="C370" t="s">
        <v>0</v>
      </c>
      <c r="D370" t="s">
        <v>1</v>
      </c>
      <c r="E370" t="s">
        <v>922</v>
      </c>
      <c r="F370" t="s">
        <v>923</v>
      </c>
      <c r="G370" s="2">
        <v>18</v>
      </c>
      <c r="H370" t="s">
        <v>461</v>
      </c>
      <c r="I370" t="s">
        <v>3</v>
      </c>
      <c r="J370" t="s">
        <v>4</v>
      </c>
      <c r="K370" t="s">
        <v>605</v>
      </c>
      <c r="L370" t="s">
        <v>608</v>
      </c>
      <c r="M370" t="s">
        <v>415</v>
      </c>
      <c r="N370" t="s">
        <v>602</v>
      </c>
      <c r="O370" t="s">
        <v>603</v>
      </c>
      <c r="P370" t="s">
        <v>602</v>
      </c>
      <c r="Q370" s="17">
        <f>IFERROR(VLOOKUP(A370,已除帳印單!B:C,1,0),0)*1</f>
        <v>0</v>
      </c>
      <c r="R370" s="67" t="str">
        <f>IFERROR(VLOOKUP(J370,線別!A:B,2,1),"")</f>
        <v>IA線</v>
      </c>
      <c r="S370" s="17" t="str">
        <f>IFERROR(VLOOKUP(A370,已除帳印單!B:C,2,0),"")</f>
        <v/>
      </c>
      <c r="T370" s="68">
        <f t="shared" si="36"/>
        <v>43892</v>
      </c>
      <c r="U370" s="69">
        <f t="shared" si="37"/>
        <v>84.168773148148148</v>
      </c>
      <c r="V370" s="68" t="str">
        <f>IFERROR(VLOOKUP(A370,已除帳印單!B:D,3,0),"")</f>
        <v/>
      </c>
      <c r="W370" s="69" t="str">
        <f>IFERROR(VLOOKUP(A370,已除帳印單!B:E,4,0),"")</f>
        <v/>
      </c>
      <c r="X370" s="68" t="str">
        <f>IFERROR(INDEX(刷條碼區!A:C,MATCH(點上線資訊!S370,刷條碼區!C:C,0),1),"")</f>
        <v/>
      </c>
      <c r="Y370" s="69" t="str">
        <f>IFERROR(INDEX(刷條碼區!A:C,MATCH(點上線資訊!S370,刷條碼區!C:C,0),2),"")</f>
        <v/>
      </c>
      <c r="Z370" s="70" t="str">
        <f>IFERROR(INDEX(刷條碼區!D:G,MATCH(點上線資訊!S370,刷條碼區!F:F,0),1),"")</f>
        <v/>
      </c>
      <c r="AA370" s="71" t="str">
        <f>IFERROR(INDEX(刷條碼區!D:G,MATCH(點上線資訊!S370,刷條碼區!F:F,0),2),"")</f>
        <v/>
      </c>
      <c r="AB370" s="20" t="b">
        <f t="shared" si="32"/>
        <v>0</v>
      </c>
      <c r="AC370" s="20" t="b">
        <f t="shared" si="33"/>
        <v>0</v>
      </c>
      <c r="AD370" s="17" t="b">
        <f t="shared" si="34"/>
        <v>0</v>
      </c>
      <c r="AE370" s="17" t="b">
        <f t="shared" si="35"/>
        <v>0</v>
      </c>
    </row>
    <row r="371" spans="1:31" x14ac:dyDescent="0.2">
      <c r="A371" s="16">
        <v>5000494486</v>
      </c>
      <c r="B371" t="s">
        <v>0</v>
      </c>
      <c r="C371" t="s">
        <v>0</v>
      </c>
      <c r="D371" t="s">
        <v>1</v>
      </c>
      <c r="E371" t="s">
        <v>922</v>
      </c>
      <c r="F371" t="s">
        <v>923</v>
      </c>
      <c r="G371" s="2">
        <v>9</v>
      </c>
      <c r="H371" t="s">
        <v>461</v>
      </c>
      <c r="I371" t="s">
        <v>3</v>
      </c>
      <c r="J371" t="s">
        <v>4</v>
      </c>
      <c r="K371" t="s">
        <v>605</v>
      </c>
      <c r="L371" t="s">
        <v>608</v>
      </c>
      <c r="M371" t="s">
        <v>415</v>
      </c>
      <c r="N371" t="s">
        <v>602</v>
      </c>
      <c r="O371" t="s">
        <v>603</v>
      </c>
      <c r="P371" t="s">
        <v>602</v>
      </c>
      <c r="Q371" s="17">
        <f>IFERROR(VLOOKUP(A371,已除帳印單!B:C,1,0),0)*1</f>
        <v>0</v>
      </c>
      <c r="R371" s="67" t="str">
        <f>IFERROR(VLOOKUP(J371,線別!A:B,2,1),"")</f>
        <v>IA線</v>
      </c>
      <c r="S371" s="17" t="str">
        <f>IFERROR(VLOOKUP(A371,已除帳印單!B:C,2,0),"")</f>
        <v/>
      </c>
      <c r="T371" s="68">
        <f t="shared" si="36"/>
        <v>43892</v>
      </c>
      <c r="U371" s="69">
        <f t="shared" si="37"/>
        <v>84.168773148148148</v>
      </c>
      <c r="V371" s="68" t="str">
        <f>IFERROR(VLOOKUP(A371,已除帳印單!B:D,3,0),"")</f>
        <v/>
      </c>
      <c r="W371" s="69" t="str">
        <f>IFERROR(VLOOKUP(A371,已除帳印單!B:E,4,0),"")</f>
        <v/>
      </c>
      <c r="X371" s="68" t="str">
        <f>IFERROR(INDEX(刷條碼區!A:C,MATCH(點上線資訊!S371,刷條碼區!C:C,0),1),"")</f>
        <v/>
      </c>
      <c r="Y371" s="69" t="str">
        <f>IFERROR(INDEX(刷條碼區!A:C,MATCH(點上線資訊!S371,刷條碼區!C:C,0),2),"")</f>
        <v/>
      </c>
      <c r="Z371" s="70" t="str">
        <f>IFERROR(INDEX(刷條碼區!D:G,MATCH(點上線資訊!S371,刷條碼區!F:F,0),1),"")</f>
        <v/>
      </c>
      <c r="AA371" s="71" t="str">
        <f>IFERROR(INDEX(刷條碼區!D:G,MATCH(點上線資訊!S371,刷條碼區!F:F,0),2),"")</f>
        <v/>
      </c>
      <c r="AB371" s="20" t="b">
        <f t="shared" si="32"/>
        <v>0</v>
      </c>
      <c r="AC371" s="20" t="b">
        <f t="shared" si="33"/>
        <v>0</v>
      </c>
      <c r="AD371" s="17" t="b">
        <f t="shared" si="34"/>
        <v>0</v>
      </c>
      <c r="AE371" s="17" t="b">
        <f t="shared" si="35"/>
        <v>0</v>
      </c>
    </row>
    <row r="372" spans="1:31" x14ac:dyDescent="0.2">
      <c r="A372" s="16">
        <v>5000494487</v>
      </c>
      <c r="B372" t="s">
        <v>0</v>
      </c>
      <c r="C372" t="s">
        <v>0</v>
      </c>
      <c r="D372" t="s">
        <v>1</v>
      </c>
      <c r="E372" t="s">
        <v>924</v>
      </c>
      <c r="F372" t="s">
        <v>925</v>
      </c>
      <c r="G372" s="2">
        <v>20</v>
      </c>
      <c r="H372" t="s">
        <v>461</v>
      </c>
      <c r="I372" t="s">
        <v>3</v>
      </c>
      <c r="J372" t="s">
        <v>4</v>
      </c>
      <c r="K372" t="s">
        <v>605</v>
      </c>
      <c r="L372" t="s">
        <v>608</v>
      </c>
      <c r="M372" t="s">
        <v>415</v>
      </c>
      <c r="N372" t="s">
        <v>602</v>
      </c>
      <c r="O372" t="s">
        <v>603</v>
      </c>
      <c r="P372" t="s">
        <v>602</v>
      </c>
      <c r="Q372" s="17">
        <f>IFERROR(VLOOKUP(A372,已除帳印單!B:C,1,0),0)*1</f>
        <v>0</v>
      </c>
      <c r="R372" s="67" t="str">
        <f>IFERROR(VLOOKUP(J372,線別!A:B,2,1),"")</f>
        <v>IA線</v>
      </c>
      <c r="S372" s="17" t="str">
        <f>IFERROR(VLOOKUP(A372,已除帳印單!B:C,2,0),"")</f>
        <v/>
      </c>
      <c r="T372" s="68">
        <f t="shared" si="36"/>
        <v>43892</v>
      </c>
      <c r="U372" s="69">
        <f t="shared" si="37"/>
        <v>84.168773148148148</v>
      </c>
      <c r="V372" s="68" t="str">
        <f>IFERROR(VLOOKUP(A372,已除帳印單!B:D,3,0),"")</f>
        <v/>
      </c>
      <c r="W372" s="69" t="str">
        <f>IFERROR(VLOOKUP(A372,已除帳印單!B:E,4,0),"")</f>
        <v/>
      </c>
      <c r="X372" s="68" t="str">
        <f>IFERROR(INDEX(刷條碼區!A:C,MATCH(點上線資訊!S372,刷條碼區!C:C,0),1),"")</f>
        <v/>
      </c>
      <c r="Y372" s="69" t="str">
        <f>IFERROR(INDEX(刷條碼區!A:C,MATCH(點上線資訊!S372,刷條碼區!C:C,0),2),"")</f>
        <v/>
      </c>
      <c r="Z372" s="70" t="str">
        <f>IFERROR(INDEX(刷條碼區!D:G,MATCH(點上線資訊!S372,刷條碼區!F:F,0),1),"")</f>
        <v/>
      </c>
      <c r="AA372" s="71" t="str">
        <f>IFERROR(INDEX(刷條碼區!D:G,MATCH(點上線資訊!S372,刷條碼區!F:F,0),2),"")</f>
        <v/>
      </c>
      <c r="AB372" s="20" t="b">
        <f t="shared" si="32"/>
        <v>0</v>
      </c>
      <c r="AC372" s="20" t="b">
        <f t="shared" si="33"/>
        <v>0</v>
      </c>
      <c r="AD372" s="17" t="b">
        <f t="shared" si="34"/>
        <v>0</v>
      </c>
      <c r="AE372" s="17" t="b">
        <f t="shared" si="35"/>
        <v>0</v>
      </c>
    </row>
    <row r="373" spans="1:31" x14ac:dyDescent="0.2">
      <c r="A373" s="16">
        <v>5000494488</v>
      </c>
      <c r="B373" t="s">
        <v>0</v>
      </c>
      <c r="C373" t="s">
        <v>0</v>
      </c>
      <c r="D373" t="s">
        <v>1</v>
      </c>
      <c r="E373" t="s">
        <v>114</v>
      </c>
      <c r="F373" t="s">
        <v>115</v>
      </c>
      <c r="G373" s="2">
        <v>10</v>
      </c>
      <c r="H373" t="s">
        <v>461</v>
      </c>
      <c r="I373" t="s">
        <v>3</v>
      </c>
      <c r="J373" t="s">
        <v>339</v>
      </c>
      <c r="K373" t="s">
        <v>605</v>
      </c>
      <c r="L373" t="s">
        <v>608</v>
      </c>
      <c r="M373" t="s">
        <v>921</v>
      </c>
      <c r="N373" t="s">
        <v>602</v>
      </c>
      <c r="O373" t="s">
        <v>603</v>
      </c>
      <c r="P373" t="s">
        <v>602</v>
      </c>
      <c r="Q373" s="17">
        <f>IFERROR(VLOOKUP(A373,已除帳印單!B:C,1,0),0)*1</f>
        <v>0</v>
      </c>
      <c r="R373" s="67" t="str">
        <f>IFERROR(VLOOKUP(J373,線別!A:B,2,1),"")</f>
        <v>A+線</v>
      </c>
      <c r="S373" s="17" t="str">
        <f>IFERROR(VLOOKUP(A373,已除帳印單!B:C,2,0),"")</f>
        <v/>
      </c>
      <c r="T373" s="68">
        <f t="shared" si="36"/>
        <v>43892</v>
      </c>
      <c r="U373" s="69">
        <f t="shared" si="37"/>
        <v>84.168773148148148</v>
      </c>
      <c r="V373" s="68" t="str">
        <f>IFERROR(VLOOKUP(A373,已除帳印單!B:D,3,0),"")</f>
        <v/>
      </c>
      <c r="W373" s="69" t="str">
        <f>IFERROR(VLOOKUP(A373,已除帳印單!B:E,4,0),"")</f>
        <v/>
      </c>
      <c r="X373" s="68" t="str">
        <f>IFERROR(INDEX(刷條碼區!A:C,MATCH(點上線資訊!S373,刷條碼區!C:C,0),1),"")</f>
        <v/>
      </c>
      <c r="Y373" s="69" t="str">
        <f>IFERROR(INDEX(刷條碼區!A:C,MATCH(點上線資訊!S373,刷條碼區!C:C,0),2),"")</f>
        <v/>
      </c>
      <c r="Z373" s="70" t="str">
        <f>IFERROR(INDEX(刷條碼區!D:G,MATCH(點上線資訊!S373,刷條碼區!F:F,0),1),"")</f>
        <v/>
      </c>
      <c r="AA373" s="71" t="str">
        <f>IFERROR(INDEX(刷條碼區!D:G,MATCH(點上線資訊!S373,刷條碼區!F:F,0),2),"")</f>
        <v/>
      </c>
      <c r="AB373" s="20" t="b">
        <f t="shared" si="32"/>
        <v>0</v>
      </c>
      <c r="AC373" s="20" t="b">
        <f t="shared" si="33"/>
        <v>0</v>
      </c>
      <c r="AD373" s="17" t="b">
        <f t="shared" si="34"/>
        <v>0</v>
      </c>
      <c r="AE373" s="17" t="b">
        <f t="shared" si="35"/>
        <v>0</v>
      </c>
    </row>
    <row r="374" spans="1:31" x14ac:dyDescent="0.2">
      <c r="A374" s="16">
        <v>5000494489</v>
      </c>
      <c r="B374" t="s">
        <v>0</v>
      </c>
      <c r="C374" t="s">
        <v>0</v>
      </c>
      <c r="D374" t="s">
        <v>1</v>
      </c>
      <c r="E374" t="s">
        <v>114</v>
      </c>
      <c r="F374" t="s">
        <v>115</v>
      </c>
      <c r="G374" s="2">
        <v>10</v>
      </c>
      <c r="H374" t="s">
        <v>461</v>
      </c>
      <c r="I374" t="s">
        <v>3</v>
      </c>
      <c r="J374" t="s">
        <v>339</v>
      </c>
      <c r="K374" t="s">
        <v>605</v>
      </c>
      <c r="L374" t="s">
        <v>608</v>
      </c>
      <c r="M374" t="s">
        <v>921</v>
      </c>
      <c r="N374" t="s">
        <v>602</v>
      </c>
      <c r="O374" t="s">
        <v>603</v>
      </c>
      <c r="P374" t="s">
        <v>602</v>
      </c>
      <c r="Q374" s="17">
        <f>IFERROR(VLOOKUP(A374,已除帳印單!B:C,1,0),0)*1</f>
        <v>0</v>
      </c>
      <c r="R374" s="67" t="str">
        <f>IFERROR(VLOOKUP(J374,線別!A:B,2,1),"")</f>
        <v>A+線</v>
      </c>
      <c r="S374" s="17" t="str">
        <f>IFERROR(VLOOKUP(A374,已除帳印單!B:C,2,0),"")</f>
        <v/>
      </c>
      <c r="T374" s="68">
        <f t="shared" si="36"/>
        <v>43892</v>
      </c>
      <c r="U374" s="69">
        <f t="shared" si="37"/>
        <v>84.168773148148148</v>
      </c>
      <c r="V374" s="68" t="str">
        <f>IFERROR(VLOOKUP(A374,已除帳印單!B:D,3,0),"")</f>
        <v/>
      </c>
      <c r="W374" s="69" t="str">
        <f>IFERROR(VLOOKUP(A374,已除帳印單!B:E,4,0),"")</f>
        <v/>
      </c>
      <c r="X374" s="68" t="str">
        <f>IFERROR(INDEX(刷條碼區!A:C,MATCH(點上線資訊!S374,刷條碼區!C:C,0),1),"")</f>
        <v/>
      </c>
      <c r="Y374" s="69" t="str">
        <f>IFERROR(INDEX(刷條碼區!A:C,MATCH(點上線資訊!S374,刷條碼區!C:C,0),2),"")</f>
        <v/>
      </c>
      <c r="Z374" s="70" t="str">
        <f>IFERROR(INDEX(刷條碼區!D:G,MATCH(點上線資訊!S374,刷條碼區!F:F,0),1),"")</f>
        <v/>
      </c>
      <c r="AA374" s="71" t="str">
        <f>IFERROR(INDEX(刷條碼區!D:G,MATCH(點上線資訊!S374,刷條碼區!F:F,0),2),"")</f>
        <v/>
      </c>
      <c r="AB374" s="20" t="b">
        <f t="shared" si="32"/>
        <v>0</v>
      </c>
      <c r="AC374" s="20" t="b">
        <f t="shared" si="33"/>
        <v>0</v>
      </c>
      <c r="AD374" s="17" t="b">
        <f t="shared" si="34"/>
        <v>0</v>
      </c>
      <c r="AE374" s="17" t="b">
        <f t="shared" si="35"/>
        <v>0</v>
      </c>
    </row>
    <row r="375" spans="1:31" x14ac:dyDescent="0.2">
      <c r="A375" s="16">
        <v>5000494490</v>
      </c>
      <c r="B375" t="s">
        <v>0</v>
      </c>
      <c r="C375" t="s">
        <v>0</v>
      </c>
      <c r="D375" t="s">
        <v>1</v>
      </c>
      <c r="E375" t="s">
        <v>114</v>
      </c>
      <c r="F375" t="s">
        <v>115</v>
      </c>
      <c r="G375" s="2">
        <v>3</v>
      </c>
      <c r="H375" t="s">
        <v>461</v>
      </c>
      <c r="I375" t="s">
        <v>3</v>
      </c>
      <c r="J375" t="s">
        <v>339</v>
      </c>
      <c r="K375" t="s">
        <v>605</v>
      </c>
      <c r="L375" t="s">
        <v>608</v>
      </c>
      <c r="M375" t="s">
        <v>921</v>
      </c>
      <c r="N375" t="s">
        <v>602</v>
      </c>
      <c r="O375" t="s">
        <v>603</v>
      </c>
      <c r="P375" t="s">
        <v>602</v>
      </c>
      <c r="Q375" s="17">
        <f>IFERROR(VLOOKUP(A375,已除帳印單!B:C,1,0),0)*1</f>
        <v>0</v>
      </c>
      <c r="R375" s="67" t="str">
        <f>IFERROR(VLOOKUP(J375,線別!A:B,2,1),"")</f>
        <v>A+線</v>
      </c>
      <c r="S375" s="17" t="str">
        <f>IFERROR(VLOOKUP(A375,已除帳印單!B:C,2,0),"")</f>
        <v/>
      </c>
      <c r="T375" s="68">
        <f t="shared" si="36"/>
        <v>43892</v>
      </c>
      <c r="U375" s="69">
        <f t="shared" si="37"/>
        <v>84.168773148148148</v>
      </c>
      <c r="V375" s="68" t="str">
        <f>IFERROR(VLOOKUP(A375,已除帳印單!B:D,3,0),"")</f>
        <v/>
      </c>
      <c r="W375" s="69" t="str">
        <f>IFERROR(VLOOKUP(A375,已除帳印單!B:E,4,0),"")</f>
        <v/>
      </c>
      <c r="X375" s="68" t="str">
        <f>IFERROR(INDEX(刷條碼區!A:C,MATCH(點上線資訊!S375,刷條碼區!C:C,0),1),"")</f>
        <v/>
      </c>
      <c r="Y375" s="69" t="str">
        <f>IFERROR(INDEX(刷條碼區!A:C,MATCH(點上線資訊!S375,刷條碼區!C:C,0),2),"")</f>
        <v/>
      </c>
      <c r="Z375" s="70" t="str">
        <f>IFERROR(INDEX(刷條碼區!D:G,MATCH(點上線資訊!S375,刷條碼區!F:F,0),1),"")</f>
        <v/>
      </c>
      <c r="AA375" s="71" t="str">
        <f>IFERROR(INDEX(刷條碼區!D:G,MATCH(點上線資訊!S375,刷條碼區!F:F,0),2),"")</f>
        <v/>
      </c>
      <c r="AB375" s="20" t="b">
        <f t="shared" si="32"/>
        <v>0</v>
      </c>
      <c r="AC375" s="20" t="b">
        <f t="shared" si="33"/>
        <v>0</v>
      </c>
      <c r="AD375" s="17" t="b">
        <f t="shared" si="34"/>
        <v>0</v>
      </c>
      <c r="AE375" s="17" t="b">
        <f t="shared" si="35"/>
        <v>0</v>
      </c>
    </row>
    <row r="376" spans="1:31" x14ac:dyDescent="0.2">
      <c r="A376" s="16">
        <v>5000494491</v>
      </c>
      <c r="B376" t="s">
        <v>0</v>
      </c>
      <c r="C376" t="s">
        <v>0</v>
      </c>
      <c r="D376" t="s">
        <v>1</v>
      </c>
      <c r="E376" t="s">
        <v>114</v>
      </c>
      <c r="F376" t="s">
        <v>115</v>
      </c>
      <c r="G376" s="2">
        <v>10</v>
      </c>
      <c r="H376" t="s">
        <v>461</v>
      </c>
      <c r="I376" t="s">
        <v>3</v>
      </c>
      <c r="J376" t="s">
        <v>339</v>
      </c>
      <c r="K376" t="s">
        <v>605</v>
      </c>
      <c r="L376" t="s">
        <v>608</v>
      </c>
      <c r="M376" t="s">
        <v>921</v>
      </c>
      <c r="N376" t="s">
        <v>602</v>
      </c>
      <c r="O376" t="s">
        <v>603</v>
      </c>
      <c r="P376" t="s">
        <v>602</v>
      </c>
      <c r="Q376" s="17">
        <f>IFERROR(VLOOKUP(A376,已除帳印單!B:C,1,0),0)*1</f>
        <v>0</v>
      </c>
      <c r="R376" s="67" t="str">
        <f>IFERROR(VLOOKUP(J376,線別!A:B,2,1),"")</f>
        <v>A+線</v>
      </c>
      <c r="S376" s="17" t="str">
        <f>IFERROR(VLOOKUP(A376,已除帳印單!B:C,2,0),"")</f>
        <v/>
      </c>
      <c r="T376" s="68">
        <f t="shared" si="36"/>
        <v>43892</v>
      </c>
      <c r="U376" s="69">
        <f t="shared" si="37"/>
        <v>84.168773148148148</v>
      </c>
      <c r="V376" s="68" t="str">
        <f>IFERROR(VLOOKUP(A376,已除帳印單!B:D,3,0),"")</f>
        <v/>
      </c>
      <c r="W376" s="69" t="str">
        <f>IFERROR(VLOOKUP(A376,已除帳印單!B:E,4,0),"")</f>
        <v/>
      </c>
      <c r="X376" s="68" t="str">
        <f>IFERROR(INDEX(刷條碼區!A:C,MATCH(點上線資訊!S376,刷條碼區!C:C,0),1),"")</f>
        <v/>
      </c>
      <c r="Y376" s="69" t="str">
        <f>IFERROR(INDEX(刷條碼區!A:C,MATCH(點上線資訊!S376,刷條碼區!C:C,0),2),"")</f>
        <v/>
      </c>
      <c r="Z376" s="70" t="str">
        <f>IFERROR(INDEX(刷條碼區!D:G,MATCH(點上線資訊!S376,刷條碼區!F:F,0),1),"")</f>
        <v/>
      </c>
      <c r="AA376" s="71" t="str">
        <f>IFERROR(INDEX(刷條碼區!D:G,MATCH(點上線資訊!S376,刷條碼區!F:F,0),2),"")</f>
        <v/>
      </c>
      <c r="AB376" s="20" t="b">
        <f t="shared" si="32"/>
        <v>0</v>
      </c>
      <c r="AC376" s="20" t="b">
        <f t="shared" si="33"/>
        <v>0</v>
      </c>
      <c r="AD376" s="17" t="b">
        <f t="shared" si="34"/>
        <v>0</v>
      </c>
      <c r="AE376" s="17" t="b">
        <f t="shared" si="35"/>
        <v>0</v>
      </c>
    </row>
    <row r="377" spans="1:31" x14ac:dyDescent="0.2">
      <c r="A377" s="16">
        <v>5000494492</v>
      </c>
      <c r="B377" t="s">
        <v>0</v>
      </c>
      <c r="C377" t="s">
        <v>0</v>
      </c>
      <c r="D377" t="s">
        <v>1</v>
      </c>
      <c r="E377" t="s">
        <v>114</v>
      </c>
      <c r="F377" t="s">
        <v>115</v>
      </c>
      <c r="G377" s="2">
        <v>10</v>
      </c>
      <c r="H377" t="s">
        <v>461</v>
      </c>
      <c r="I377" t="s">
        <v>3</v>
      </c>
      <c r="J377" t="s">
        <v>339</v>
      </c>
      <c r="K377" t="s">
        <v>605</v>
      </c>
      <c r="L377" t="s">
        <v>608</v>
      </c>
      <c r="M377" t="s">
        <v>921</v>
      </c>
      <c r="N377" t="s">
        <v>602</v>
      </c>
      <c r="O377" t="s">
        <v>603</v>
      </c>
      <c r="P377" t="s">
        <v>602</v>
      </c>
      <c r="Q377" s="17">
        <f>IFERROR(VLOOKUP(A377,已除帳印單!B:C,1,0),0)*1</f>
        <v>0</v>
      </c>
      <c r="R377" s="67" t="str">
        <f>IFERROR(VLOOKUP(J377,線別!A:B,2,1),"")</f>
        <v>A+線</v>
      </c>
      <c r="S377" s="17" t="str">
        <f>IFERROR(VLOOKUP(A377,已除帳印單!B:C,2,0),"")</f>
        <v/>
      </c>
      <c r="T377" s="68">
        <f t="shared" si="36"/>
        <v>43892</v>
      </c>
      <c r="U377" s="69">
        <f t="shared" si="37"/>
        <v>84.168773148148148</v>
      </c>
      <c r="V377" s="68" t="str">
        <f>IFERROR(VLOOKUP(A377,已除帳印單!B:D,3,0),"")</f>
        <v/>
      </c>
      <c r="W377" s="69" t="str">
        <f>IFERROR(VLOOKUP(A377,已除帳印單!B:E,4,0),"")</f>
        <v/>
      </c>
      <c r="X377" s="68" t="str">
        <f>IFERROR(INDEX(刷條碼區!A:C,MATCH(點上線資訊!S377,刷條碼區!C:C,0),1),"")</f>
        <v/>
      </c>
      <c r="Y377" s="69" t="str">
        <f>IFERROR(INDEX(刷條碼區!A:C,MATCH(點上線資訊!S377,刷條碼區!C:C,0),2),"")</f>
        <v/>
      </c>
      <c r="Z377" s="70" t="str">
        <f>IFERROR(INDEX(刷條碼區!D:G,MATCH(點上線資訊!S377,刷條碼區!F:F,0),1),"")</f>
        <v/>
      </c>
      <c r="AA377" s="71" t="str">
        <f>IFERROR(INDEX(刷條碼區!D:G,MATCH(點上線資訊!S377,刷條碼區!F:F,0),2),"")</f>
        <v/>
      </c>
      <c r="AB377" s="20" t="b">
        <f t="shared" si="32"/>
        <v>0</v>
      </c>
      <c r="AC377" s="20" t="b">
        <f t="shared" si="33"/>
        <v>0</v>
      </c>
      <c r="AD377" s="17" t="b">
        <f t="shared" si="34"/>
        <v>0</v>
      </c>
      <c r="AE377" s="17" t="b">
        <f t="shared" si="35"/>
        <v>0</v>
      </c>
    </row>
    <row r="378" spans="1:31" x14ac:dyDescent="0.2">
      <c r="A378" s="16">
        <v>5000494493</v>
      </c>
      <c r="B378" t="s">
        <v>0</v>
      </c>
      <c r="C378" t="s">
        <v>0</v>
      </c>
      <c r="D378" t="s">
        <v>1</v>
      </c>
      <c r="E378" t="s">
        <v>114</v>
      </c>
      <c r="F378" t="s">
        <v>115</v>
      </c>
      <c r="G378" s="2">
        <v>10</v>
      </c>
      <c r="H378" t="s">
        <v>461</v>
      </c>
      <c r="I378" t="s">
        <v>3</v>
      </c>
      <c r="J378" t="s">
        <v>339</v>
      </c>
      <c r="K378" t="s">
        <v>605</v>
      </c>
      <c r="L378" t="s">
        <v>608</v>
      </c>
      <c r="M378" t="s">
        <v>921</v>
      </c>
      <c r="N378" t="s">
        <v>602</v>
      </c>
      <c r="O378" t="s">
        <v>603</v>
      </c>
      <c r="P378" t="s">
        <v>602</v>
      </c>
      <c r="Q378" s="17">
        <f>IFERROR(VLOOKUP(A378,已除帳印單!B:C,1,0),0)*1</f>
        <v>0</v>
      </c>
      <c r="R378" s="67" t="str">
        <f>IFERROR(VLOOKUP(J378,線別!A:B,2,1),"")</f>
        <v>A+線</v>
      </c>
      <c r="S378" s="17" t="str">
        <f>IFERROR(VLOOKUP(A378,已除帳印單!B:C,2,0),"")</f>
        <v/>
      </c>
      <c r="T378" s="68">
        <f t="shared" si="36"/>
        <v>43892</v>
      </c>
      <c r="U378" s="69">
        <f t="shared" si="37"/>
        <v>84.168773148148148</v>
      </c>
      <c r="V378" s="68" t="str">
        <f>IFERROR(VLOOKUP(A378,已除帳印單!B:D,3,0),"")</f>
        <v/>
      </c>
      <c r="W378" s="69" t="str">
        <f>IFERROR(VLOOKUP(A378,已除帳印單!B:E,4,0),"")</f>
        <v/>
      </c>
      <c r="X378" s="68" t="str">
        <f>IFERROR(INDEX(刷條碼區!A:C,MATCH(點上線資訊!S378,刷條碼區!C:C,0),1),"")</f>
        <v/>
      </c>
      <c r="Y378" s="69" t="str">
        <f>IFERROR(INDEX(刷條碼區!A:C,MATCH(點上線資訊!S378,刷條碼區!C:C,0),2),"")</f>
        <v/>
      </c>
      <c r="Z378" s="70" t="str">
        <f>IFERROR(INDEX(刷條碼區!D:G,MATCH(點上線資訊!S378,刷條碼區!F:F,0),1),"")</f>
        <v/>
      </c>
      <c r="AA378" s="71" t="str">
        <f>IFERROR(INDEX(刷條碼區!D:G,MATCH(點上線資訊!S378,刷條碼區!F:F,0),2),"")</f>
        <v/>
      </c>
      <c r="AB378" s="20" t="b">
        <f t="shared" si="32"/>
        <v>0</v>
      </c>
      <c r="AC378" s="20" t="b">
        <f t="shared" si="33"/>
        <v>0</v>
      </c>
      <c r="AD378" s="17" t="b">
        <f t="shared" si="34"/>
        <v>0</v>
      </c>
      <c r="AE378" s="17" t="b">
        <f t="shared" si="35"/>
        <v>0</v>
      </c>
    </row>
    <row r="379" spans="1:31" x14ac:dyDescent="0.2">
      <c r="A379" s="16">
        <v>5000494494</v>
      </c>
      <c r="B379" t="s">
        <v>0</v>
      </c>
      <c r="C379" t="s">
        <v>0</v>
      </c>
      <c r="D379" t="s">
        <v>1</v>
      </c>
      <c r="E379" t="s">
        <v>114</v>
      </c>
      <c r="F379" t="s">
        <v>115</v>
      </c>
      <c r="G379" s="2">
        <v>10</v>
      </c>
      <c r="H379" t="s">
        <v>461</v>
      </c>
      <c r="I379" t="s">
        <v>3</v>
      </c>
      <c r="J379" t="s">
        <v>339</v>
      </c>
      <c r="K379" t="s">
        <v>605</v>
      </c>
      <c r="L379" t="s">
        <v>608</v>
      </c>
      <c r="M379" t="s">
        <v>921</v>
      </c>
      <c r="N379" t="s">
        <v>602</v>
      </c>
      <c r="O379" t="s">
        <v>603</v>
      </c>
      <c r="P379" t="s">
        <v>602</v>
      </c>
      <c r="Q379" s="17">
        <f>IFERROR(VLOOKUP(A379,已除帳印單!B:C,1,0),0)*1</f>
        <v>0</v>
      </c>
      <c r="R379" s="67" t="str">
        <f>IFERROR(VLOOKUP(J379,線別!A:B,2,1),"")</f>
        <v>A+線</v>
      </c>
      <c r="S379" s="17" t="str">
        <f>IFERROR(VLOOKUP(A379,已除帳印單!B:C,2,0),"")</f>
        <v/>
      </c>
      <c r="T379" s="68">
        <f t="shared" si="36"/>
        <v>43892</v>
      </c>
      <c r="U379" s="69">
        <f t="shared" si="37"/>
        <v>84.168773148148148</v>
      </c>
      <c r="V379" s="68" t="str">
        <f>IFERROR(VLOOKUP(A379,已除帳印單!B:D,3,0),"")</f>
        <v/>
      </c>
      <c r="W379" s="69" t="str">
        <f>IFERROR(VLOOKUP(A379,已除帳印單!B:E,4,0),"")</f>
        <v/>
      </c>
      <c r="X379" s="68" t="str">
        <f>IFERROR(INDEX(刷條碼區!A:C,MATCH(點上線資訊!S379,刷條碼區!C:C,0),1),"")</f>
        <v/>
      </c>
      <c r="Y379" s="69" t="str">
        <f>IFERROR(INDEX(刷條碼區!A:C,MATCH(點上線資訊!S379,刷條碼區!C:C,0),2),"")</f>
        <v/>
      </c>
      <c r="Z379" s="70" t="str">
        <f>IFERROR(INDEX(刷條碼區!D:G,MATCH(點上線資訊!S379,刷條碼區!F:F,0),1),"")</f>
        <v/>
      </c>
      <c r="AA379" s="71" t="str">
        <f>IFERROR(INDEX(刷條碼區!D:G,MATCH(點上線資訊!S379,刷條碼區!F:F,0),2),"")</f>
        <v/>
      </c>
      <c r="AB379" s="20" t="b">
        <f t="shared" si="32"/>
        <v>0</v>
      </c>
      <c r="AC379" s="20" t="b">
        <f t="shared" si="33"/>
        <v>0</v>
      </c>
      <c r="AD379" s="17" t="b">
        <f t="shared" si="34"/>
        <v>0</v>
      </c>
      <c r="AE379" s="17" t="b">
        <f t="shared" si="35"/>
        <v>0</v>
      </c>
    </row>
    <row r="380" spans="1:31" x14ac:dyDescent="0.2">
      <c r="A380" s="16">
        <v>5000494495</v>
      </c>
      <c r="B380" t="s">
        <v>0</v>
      </c>
      <c r="C380" t="s">
        <v>0</v>
      </c>
      <c r="D380" t="s">
        <v>1</v>
      </c>
      <c r="E380" t="s">
        <v>919</v>
      </c>
      <c r="F380" t="s">
        <v>920</v>
      </c>
      <c r="G380" s="2">
        <v>10</v>
      </c>
      <c r="H380" t="s">
        <v>461</v>
      </c>
      <c r="I380" t="s">
        <v>3</v>
      </c>
      <c r="J380" t="s">
        <v>339</v>
      </c>
      <c r="K380" t="s">
        <v>605</v>
      </c>
      <c r="L380" t="s">
        <v>608</v>
      </c>
      <c r="M380" t="s">
        <v>921</v>
      </c>
      <c r="N380" t="s">
        <v>602</v>
      </c>
      <c r="O380" t="s">
        <v>603</v>
      </c>
      <c r="P380" t="s">
        <v>602</v>
      </c>
      <c r="Q380" s="17">
        <f>IFERROR(VLOOKUP(A380,已除帳印單!B:C,1,0),0)*1</f>
        <v>0</v>
      </c>
      <c r="R380" s="67" t="str">
        <f>IFERROR(VLOOKUP(J380,線別!A:B,2,1),"")</f>
        <v>A+線</v>
      </c>
      <c r="S380" s="17" t="str">
        <f>IFERROR(VLOOKUP(A380,已除帳印單!B:C,2,0),"")</f>
        <v/>
      </c>
      <c r="T380" s="68">
        <f t="shared" si="36"/>
        <v>43892</v>
      </c>
      <c r="U380" s="69">
        <f t="shared" si="37"/>
        <v>84.168773148148148</v>
      </c>
      <c r="V380" s="68" t="str">
        <f>IFERROR(VLOOKUP(A380,已除帳印單!B:D,3,0),"")</f>
        <v/>
      </c>
      <c r="W380" s="69" t="str">
        <f>IFERROR(VLOOKUP(A380,已除帳印單!B:E,4,0),"")</f>
        <v/>
      </c>
      <c r="X380" s="68" t="str">
        <f>IFERROR(INDEX(刷條碼區!A:C,MATCH(點上線資訊!S380,刷條碼區!C:C,0),1),"")</f>
        <v/>
      </c>
      <c r="Y380" s="69" t="str">
        <f>IFERROR(INDEX(刷條碼區!A:C,MATCH(點上線資訊!S380,刷條碼區!C:C,0),2),"")</f>
        <v/>
      </c>
      <c r="Z380" s="70" t="str">
        <f>IFERROR(INDEX(刷條碼區!D:G,MATCH(點上線資訊!S380,刷條碼區!F:F,0),1),"")</f>
        <v/>
      </c>
      <c r="AA380" s="71" t="str">
        <f>IFERROR(INDEX(刷條碼區!D:G,MATCH(點上線資訊!S380,刷條碼區!F:F,0),2),"")</f>
        <v/>
      </c>
      <c r="AB380" s="20" t="b">
        <f t="shared" si="32"/>
        <v>0</v>
      </c>
      <c r="AC380" s="20" t="b">
        <f t="shared" si="33"/>
        <v>0</v>
      </c>
      <c r="AD380" s="17" t="b">
        <f t="shared" si="34"/>
        <v>0</v>
      </c>
      <c r="AE380" s="17" t="b">
        <f t="shared" si="35"/>
        <v>0</v>
      </c>
    </row>
    <row r="381" spans="1:31" x14ac:dyDescent="0.2">
      <c r="A381" s="16">
        <v>5000494496</v>
      </c>
      <c r="B381" t="s">
        <v>0</v>
      </c>
      <c r="C381" t="s">
        <v>0</v>
      </c>
      <c r="D381" t="s">
        <v>1</v>
      </c>
      <c r="E381" t="s">
        <v>926</v>
      </c>
      <c r="F381" t="s">
        <v>927</v>
      </c>
      <c r="G381" s="2">
        <v>20</v>
      </c>
      <c r="H381" t="s">
        <v>461</v>
      </c>
      <c r="I381" t="s">
        <v>3</v>
      </c>
      <c r="J381" t="s">
        <v>339</v>
      </c>
      <c r="K381" t="s">
        <v>605</v>
      </c>
      <c r="L381" t="s">
        <v>608</v>
      </c>
      <c r="M381" t="s">
        <v>921</v>
      </c>
      <c r="N381" t="s">
        <v>602</v>
      </c>
      <c r="O381" t="s">
        <v>603</v>
      </c>
      <c r="P381" t="s">
        <v>602</v>
      </c>
      <c r="Q381" s="17">
        <f>IFERROR(VLOOKUP(A381,已除帳印單!B:C,1,0),0)*1</f>
        <v>0</v>
      </c>
      <c r="R381" s="67" t="str">
        <f>IFERROR(VLOOKUP(J381,線別!A:B,2,1),"")</f>
        <v>A+線</v>
      </c>
      <c r="S381" s="17" t="str">
        <f>IFERROR(VLOOKUP(A381,已除帳印單!B:C,2,0),"")</f>
        <v/>
      </c>
      <c r="T381" s="68">
        <f t="shared" si="36"/>
        <v>43892</v>
      </c>
      <c r="U381" s="69">
        <f t="shared" si="37"/>
        <v>84.168773148148148</v>
      </c>
      <c r="V381" s="68" t="str">
        <f>IFERROR(VLOOKUP(A381,已除帳印單!B:D,3,0),"")</f>
        <v/>
      </c>
      <c r="W381" s="69" t="str">
        <f>IFERROR(VLOOKUP(A381,已除帳印單!B:E,4,0),"")</f>
        <v/>
      </c>
      <c r="X381" s="68" t="str">
        <f>IFERROR(INDEX(刷條碼區!A:C,MATCH(點上線資訊!S381,刷條碼區!C:C,0),1),"")</f>
        <v/>
      </c>
      <c r="Y381" s="69" t="str">
        <f>IFERROR(INDEX(刷條碼區!A:C,MATCH(點上線資訊!S381,刷條碼區!C:C,0),2),"")</f>
        <v/>
      </c>
      <c r="Z381" s="70" t="str">
        <f>IFERROR(INDEX(刷條碼區!D:G,MATCH(點上線資訊!S381,刷條碼區!F:F,0),1),"")</f>
        <v/>
      </c>
      <c r="AA381" s="71" t="str">
        <f>IFERROR(INDEX(刷條碼區!D:G,MATCH(點上線資訊!S381,刷條碼區!F:F,0),2),"")</f>
        <v/>
      </c>
      <c r="AB381" s="20" t="b">
        <f t="shared" si="32"/>
        <v>0</v>
      </c>
      <c r="AC381" s="20" t="b">
        <f t="shared" si="33"/>
        <v>0</v>
      </c>
      <c r="AD381" s="17" t="b">
        <f t="shared" si="34"/>
        <v>0</v>
      </c>
      <c r="AE381" s="17" t="b">
        <f t="shared" si="35"/>
        <v>0</v>
      </c>
    </row>
    <row r="382" spans="1:31" x14ac:dyDescent="0.2">
      <c r="A382" s="16">
        <v>5000494503</v>
      </c>
      <c r="B382" t="s">
        <v>6</v>
      </c>
      <c r="C382" t="s">
        <v>6</v>
      </c>
      <c r="D382" t="s">
        <v>1</v>
      </c>
      <c r="E382" t="s">
        <v>928</v>
      </c>
      <c r="F382" t="s">
        <v>929</v>
      </c>
      <c r="G382" s="2">
        <v>20</v>
      </c>
      <c r="H382" t="s">
        <v>461</v>
      </c>
      <c r="I382" t="s">
        <v>3</v>
      </c>
      <c r="J382" t="s">
        <v>19</v>
      </c>
      <c r="K382" t="s">
        <v>605</v>
      </c>
      <c r="L382" t="s">
        <v>608</v>
      </c>
      <c r="M382" t="s">
        <v>416</v>
      </c>
      <c r="N382" t="s">
        <v>602</v>
      </c>
      <c r="O382" t="s">
        <v>603</v>
      </c>
      <c r="P382" t="s">
        <v>602</v>
      </c>
      <c r="Q382" s="17">
        <f>IFERROR(VLOOKUP(A382,已除帳印單!B:C,1,0),0)*1</f>
        <v>0</v>
      </c>
      <c r="R382" s="67" t="str">
        <f>IFERROR(VLOOKUP(J382,線別!A:B,2,1),"")</f>
        <v>FM_IA預組</v>
      </c>
      <c r="S382" s="17" t="str">
        <f>IFERROR(VLOOKUP(A382,已除帳印單!B:C,2,0),"")</f>
        <v/>
      </c>
      <c r="T382" s="68">
        <f t="shared" si="36"/>
        <v>43893</v>
      </c>
      <c r="U382" s="69">
        <f t="shared" si="37"/>
        <v>84.168784722222213</v>
      </c>
      <c r="V382" s="68" t="str">
        <f>IFERROR(VLOOKUP(A382,已除帳印單!B:D,3,0),"")</f>
        <v/>
      </c>
      <c r="W382" s="69" t="str">
        <f>IFERROR(VLOOKUP(A382,已除帳印單!B:E,4,0),"")</f>
        <v/>
      </c>
      <c r="X382" s="68" t="str">
        <f>IFERROR(INDEX(刷條碼區!A:C,MATCH(點上線資訊!S382,刷條碼區!C:C,0),1),"")</f>
        <v/>
      </c>
      <c r="Y382" s="69" t="str">
        <f>IFERROR(INDEX(刷條碼區!A:C,MATCH(點上線資訊!S382,刷條碼區!C:C,0),2),"")</f>
        <v/>
      </c>
      <c r="Z382" s="70" t="str">
        <f>IFERROR(INDEX(刷條碼區!D:G,MATCH(點上線資訊!S382,刷條碼區!F:F,0),1),"")</f>
        <v/>
      </c>
      <c r="AA382" s="71" t="str">
        <f>IFERROR(INDEX(刷條碼區!D:G,MATCH(點上線資訊!S382,刷條碼區!F:F,0),2),"")</f>
        <v/>
      </c>
      <c r="AB382" s="20" t="b">
        <f t="shared" si="32"/>
        <v>0</v>
      </c>
      <c r="AC382" s="20" t="b">
        <f t="shared" si="33"/>
        <v>0</v>
      </c>
      <c r="AD382" s="17" t="b">
        <f t="shared" si="34"/>
        <v>0</v>
      </c>
      <c r="AE382" s="17" t="b">
        <f t="shared" si="35"/>
        <v>0</v>
      </c>
    </row>
    <row r="383" spans="1:31" x14ac:dyDescent="0.2">
      <c r="A383" s="16">
        <v>5000494504</v>
      </c>
      <c r="B383" t="s">
        <v>6</v>
      </c>
      <c r="C383" t="s">
        <v>6</v>
      </c>
      <c r="D383" t="s">
        <v>1</v>
      </c>
      <c r="E383" t="s">
        <v>874</v>
      </c>
      <c r="F383" t="s">
        <v>875</v>
      </c>
      <c r="G383" s="2">
        <v>11</v>
      </c>
      <c r="H383" t="s">
        <v>461</v>
      </c>
      <c r="I383" t="s">
        <v>3</v>
      </c>
      <c r="J383" t="s">
        <v>19</v>
      </c>
      <c r="K383" t="s">
        <v>605</v>
      </c>
      <c r="L383" t="s">
        <v>608</v>
      </c>
      <c r="M383" t="s">
        <v>416</v>
      </c>
      <c r="N383" t="s">
        <v>602</v>
      </c>
      <c r="O383" t="s">
        <v>603</v>
      </c>
      <c r="P383" t="s">
        <v>602</v>
      </c>
      <c r="Q383" s="17">
        <f>IFERROR(VLOOKUP(A383,已除帳印單!B:C,1,0),0)*1</f>
        <v>0</v>
      </c>
      <c r="R383" s="67" t="str">
        <f>IFERROR(VLOOKUP(J383,線別!A:B,2,1),"")</f>
        <v>FM_IA預組</v>
      </c>
      <c r="S383" s="17" t="str">
        <f>IFERROR(VLOOKUP(A383,已除帳印單!B:C,2,0),"")</f>
        <v/>
      </c>
      <c r="T383" s="68">
        <f t="shared" si="36"/>
        <v>43893</v>
      </c>
      <c r="U383" s="69">
        <f t="shared" si="37"/>
        <v>84.168784722222213</v>
      </c>
      <c r="V383" s="68" t="str">
        <f>IFERROR(VLOOKUP(A383,已除帳印單!B:D,3,0),"")</f>
        <v/>
      </c>
      <c r="W383" s="69" t="str">
        <f>IFERROR(VLOOKUP(A383,已除帳印單!B:E,4,0),"")</f>
        <v/>
      </c>
      <c r="X383" s="68" t="str">
        <f>IFERROR(INDEX(刷條碼區!A:C,MATCH(點上線資訊!S383,刷條碼區!C:C,0),1),"")</f>
        <v/>
      </c>
      <c r="Y383" s="69" t="str">
        <f>IFERROR(INDEX(刷條碼區!A:C,MATCH(點上線資訊!S383,刷條碼區!C:C,0),2),"")</f>
        <v/>
      </c>
      <c r="Z383" s="70" t="str">
        <f>IFERROR(INDEX(刷條碼區!D:G,MATCH(點上線資訊!S383,刷條碼區!F:F,0),1),"")</f>
        <v/>
      </c>
      <c r="AA383" s="71" t="str">
        <f>IFERROR(INDEX(刷條碼區!D:G,MATCH(點上線資訊!S383,刷條碼區!F:F,0),2),"")</f>
        <v/>
      </c>
      <c r="AB383" s="20" t="b">
        <f t="shared" si="32"/>
        <v>0</v>
      </c>
      <c r="AC383" s="20" t="b">
        <f t="shared" si="33"/>
        <v>0</v>
      </c>
      <c r="AD383" s="17" t="b">
        <f t="shared" si="34"/>
        <v>0</v>
      </c>
      <c r="AE383" s="17" t="b">
        <f t="shared" si="35"/>
        <v>0</v>
      </c>
    </row>
    <row r="384" spans="1:31" x14ac:dyDescent="0.2">
      <c r="A384" s="16">
        <v>5000494505</v>
      </c>
      <c r="B384" t="s">
        <v>6</v>
      </c>
      <c r="C384" t="s">
        <v>6</v>
      </c>
      <c r="D384" t="s">
        <v>1</v>
      </c>
      <c r="E384" t="s">
        <v>928</v>
      </c>
      <c r="F384" t="s">
        <v>929</v>
      </c>
      <c r="G384" s="2">
        <v>9</v>
      </c>
      <c r="H384" t="s">
        <v>461</v>
      </c>
      <c r="I384" t="s">
        <v>3</v>
      </c>
      <c r="J384" t="s">
        <v>19</v>
      </c>
      <c r="K384" t="s">
        <v>605</v>
      </c>
      <c r="L384" t="s">
        <v>608</v>
      </c>
      <c r="M384" t="s">
        <v>416</v>
      </c>
      <c r="N384" t="s">
        <v>602</v>
      </c>
      <c r="O384" t="s">
        <v>603</v>
      </c>
      <c r="P384" t="s">
        <v>602</v>
      </c>
      <c r="Q384" s="17">
        <f>IFERROR(VLOOKUP(A384,已除帳印單!B:C,1,0),0)*1</f>
        <v>0</v>
      </c>
      <c r="R384" s="67" t="str">
        <f>IFERROR(VLOOKUP(J384,線別!A:B,2,1),"")</f>
        <v>FM_IA預組</v>
      </c>
      <c r="S384" s="17" t="str">
        <f>IFERROR(VLOOKUP(A384,已除帳印單!B:C,2,0),"")</f>
        <v/>
      </c>
      <c r="T384" s="68">
        <f t="shared" si="36"/>
        <v>43893</v>
      </c>
      <c r="U384" s="69">
        <f t="shared" si="37"/>
        <v>84.168784722222213</v>
      </c>
      <c r="V384" s="68" t="str">
        <f>IFERROR(VLOOKUP(A384,已除帳印單!B:D,3,0),"")</f>
        <v/>
      </c>
      <c r="W384" s="69" t="str">
        <f>IFERROR(VLOOKUP(A384,已除帳印單!B:E,4,0),"")</f>
        <v/>
      </c>
      <c r="X384" s="68" t="str">
        <f>IFERROR(INDEX(刷條碼區!A:C,MATCH(點上線資訊!S384,刷條碼區!C:C,0),1),"")</f>
        <v/>
      </c>
      <c r="Y384" s="69" t="str">
        <f>IFERROR(INDEX(刷條碼區!A:C,MATCH(點上線資訊!S384,刷條碼區!C:C,0),2),"")</f>
        <v/>
      </c>
      <c r="Z384" s="70" t="str">
        <f>IFERROR(INDEX(刷條碼區!D:G,MATCH(點上線資訊!S384,刷條碼區!F:F,0),1),"")</f>
        <v/>
      </c>
      <c r="AA384" s="71" t="str">
        <f>IFERROR(INDEX(刷條碼區!D:G,MATCH(點上線資訊!S384,刷條碼區!F:F,0),2),"")</f>
        <v/>
      </c>
      <c r="AB384" s="20" t="b">
        <f t="shared" si="32"/>
        <v>0</v>
      </c>
      <c r="AC384" s="20" t="b">
        <f t="shared" si="33"/>
        <v>0</v>
      </c>
      <c r="AD384" s="17" t="b">
        <f t="shared" si="34"/>
        <v>0</v>
      </c>
      <c r="AE384" s="17" t="b">
        <f t="shared" si="35"/>
        <v>0</v>
      </c>
    </row>
    <row r="385" spans="1:31" x14ac:dyDescent="0.2">
      <c r="A385" s="16">
        <v>5000494506</v>
      </c>
      <c r="B385" t="s">
        <v>0</v>
      </c>
      <c r="C385" t="s">
        <v>0</v>
      </c>
      <c r="D385" t="s">
        <v>1</v>
      </c>
      <c r="E385" t="s">
        <v>930</v>
      </c>
      <c r="F385" t="s">
        <v>931</v>
      </c>
      <c r="G385" s="2">
        <v>7</v>
      </c>
      <c r="H385" t="s">
        <v>461</v>
      </c>
      <c r="I385" t="s">
        <v>3</v>
      </c>
      <c r="J385" t="s">
        <v>19</v>
      </c>
      <c r="K385" t="s">
        <v>605</v>
      </c>
      <c r="L385" t="s">
        <v>608</v>
      </c>
      <c r="M385" t="s">
        <v>672</v>
      </c>
      <c r="N385" t="s">
        <v>602</v>
      </c>
      <c r="O385" t="s">
        <v>603</v>
      </c>
      <c r="P385" t="s">
        <v>602</v>
      </c>
      <c r="Q385" s="17">
        <f>IFERROR(VLOOKUP(A385,已除帳印單!B:C,1,0),0)*1</f>
        <v>0</v>
      </c>
      <c r="R385" s="67" t="str">
        <f>IFERROR(VLOOKUP(J385,線別!A:B,2,1),"")</f>
        <v>FM_IA預組</v>
      </c>
      <c r="S385" s="17" t="str">
        <f>IFERROR(VLOOKUP(A385,已除帳印單!B:C,2,0),"")</f>
        <v/>
      </c>
      <c r="T385" s="68">
        <f t="shared" si="36"/>
        <v>43892</v>
      </c>
      <c r="U385" s="69">
        <f t="shared" si="37"/>
        <v>84.168773148148148</v>
      </c>
      <c r="V385" s="68" t="str">
        <f>IFERROR(VLOOKUP(A385,已除帳印單!B:D,3,0),"")</f>
        <v/>
      </c>
      <c r="W385" s="69" t="str">
        <f>IFERROR(VLOOKUP(A385,已除帳印單!B:E,4,0),"")</f>
        <v/>
      </c>
      <c r="X385" s="68" t="str">
        <f>IFERROR(INDEX(刷條碼區!A:C,MATCH(點上線資訊!S385,刷條碼區!C:C,0),1),"")</f>
        <v/>
      </c>
      <c r="Y385" s="69" t="str">
        <f>IFERROR(INDEX(刷條碼區!A:C,MATCH(點上線資訊!S385,刷條碼區!C:C,0),2),"")</f>
        <v/>
      </c>
      <c r="Z385" s="70" t="str">
        <f>IFERROR(INDEX(刷條碼區!D:G,MATCH(點上線資訊!S385,刷條碼區!F:F,0),1),"")</f>
        <v/>
      </c>
      <c r="AA385" s="71" t="str">
        <f>IFERROR(INDEX(刷條碼區!D:G,MATCH(點上線資訊!S385,刷條碼區!F:F,0),2),"")</f>
        <v/>
      </c>
      <c r="AB385" s="20" t="b">
        <f t="shared" si="32"/>
        <v>0</v>
      </c>
      <c r="AC385" s="20" t="b">
        <f t="shared" si="33"/>
        <v>0</v>
      </c>
      <c r="AD385" s="17" t="b">
        <f t="shared" si="34"/>
        <v>0</v>
      </c>
      <c r="AE385" s="17" t="b">
        <f t="shared" si="35"/>
        <v>0</v>
      </c>
    </row>
    <row r="386" spans="1:31" x14ac:dyDescent="0.2">
      <c r="A386" s="16">
        <v>5000494507</v>
      </c>
      <c r="B386" t="s">
        <v>0</v>
      </c>
      <c r="C386" t="s">
        <v>0</v>
      </c>
      <c r="D386" t="s">
        <v>1</v>
      </c>
      <c r="E386" t="s">
        <v>930</v>
      </c>
      <c r="F386" t="s">
        <v>931</v>
      </c>
      <c r="G386" s="2">
        <v>20</v>
      </c>
      <c r="H386" t="s">
        <v>461</v>
      </c>
      <c r="I386" t="s">
        <v>3</v>
      </c>
      <c r="J386" t="s">
        <v>19</v>
      </c>
      <c r="K386" t="s">
        <v>605</v>
      </c>
      <c r="L386" t="s">
        <v>608</v>
      </c>
      <c r="M386" t="s">
        <v>672</v>
      </c>
      <c r="N386" t="s">
        <v>602</v>
      </c>
      <c r="O386" t="s">
        <v>603</v>
      </c>
      <c r="P386" t="s">
        <v>602</v>
      </c>
      <c r="Q386" s="17">
        <f>IFERROR(VLOOKUP(A386,已除帳印單!B:C,1,0),0)*1</f>
        <v>0</v>
      </c>
      <c r="R386" s="67" t="str">
        <f>IFERROR(VLOOKUP(J386,線別!A:B,2,1),"")</f>
        <v>FM_IA預組</v>
      </c>
      <c r="S386" s="17" t="str">
        <f>IFERROR(VLOOKUP(A386,已除帳印單!B:C,2,0),"")</f>
        <v/>
      </c>
      <c r="T386" s="68">
        <f t="shared" si="36"/>
        <v>43892</v>
      </c>
      <c r="U386" s="69">
        <f t="shared" si="37"/>
        <v>84.168773148148148</v>
      </c>
      <c r="V386" s="68" t="str">
        <f>IFERROR(VLOOKUP(A386,已除帳印單!B:D,3,0),"")</f>
        <v/>
      </c>
      <c r="W386" s="69" t="str">
        <f>IFERROR(VLOOKUP(A386,已除帳印單!B:E,4,0),"")</f>
        <v/>
      </c>
      <c r="X386" s="68" t="str">
        <f>IFERROR(INDEX(刷條碼區!A:C,MATCH(點上線資訊!S386,刷條碼區!C:C,0),1),"")</f>
        <v/>
      </c>
      <c r="Y386" s="69" t="str">
        <f>IFERROR(INDEX(刷條碼區!A:C,MATCH(點上線資訊!S386,刷條碼區!C:C,0),2),"")</f>
        <v/>
      </c>
      <c r="Z386" s="70" t="str">
        <f>IFERROR(INDEX(刷條碼區!D:G,MATCH(點上線資訊!S386,刷條碼區!F:F,0),1),"")</f>
        <v/>
      </c>
      <c r="AA386" s="71" t="str">
        <f>IFERROR(INDEX(刷條碼區!D:G,MATCH(點上線資訊!S386,刷條碼區!F:F,0),2),"")</f>
        <v/>
      </c>
      <c r="AB386" s="20" t="b">
        <f t="shared" si="32"/>
        <v>0</v>
      </c>
      <c r="AC386" s="20" t="b">
        <f t="shared" si="33"/>
        <v>0</v>
      </c>
      <c r="AD386" s="17" t="b">
        <f t="shared" si="34"/>
        <v>0</v>
      </c>
      <c r="AE386" s="17" t="b">
        <f t="shared" si="35"/>
        <v>0</v>
      </c>
    </row>
    <row r="387" spans="1:31" x14ac:dyDescent="0.2">
      <c r="A387" s="16">
        <v>5000494508</v>
      </c>
      <c r="B387" t="s">
        <v>301</v>
      </c>
      <c r="C387" t="s">
        <v>301</v>
      </c>
      <c r="D387" t="s">
        <v>1</v>
      </c>
      <c r="E387" t="s">
        <v>357</v>
      </c>
      <c r="F387" t="s">
        <v>507</v>
      </c>
      <c r="G387" s="2">
        <v>20</v>
      </c>
      <c r="H387" t="s">
        <v>461</v>
      </c>
      <c r="I387" t="s">
        <v>3</v>
      </c>
      <c r="J387" t="s">
        <v>8</v>
      </c>
      <c r="K387" t="s">
        <v>602</v>
      </c>
      <c r="L387" t="s">
        <v>603</v>
      </c>
      <c r="M387" t="s">
        <v>602</v>
      </c>
      <c r="N387" t="s">
        <v>602</v>
      </c>
      <c r="O387" t="s">
        <v>603</v>
      </c>
      <c r="P387" t="s">
        <v>602</v>
      </c>
      <c r="Q387" s="17">
        <f>IFERROR(VLOOKUP(A387,已除帳印單!B:C,1,0),0)*1</f>
        <v>0</v>
      </c>
      <c r="R387" s="67" t="str">
        <f>IFERROR(VLOOKUP(J387,線別!A:B,2,1),"")</f>
        <v>裝一線</v>
      </c>
      <c r="S387" s="17" t="str">
        <f>IFERROR(VLOOKUP(A387,已除帳印單!B:C,2,0),"")</f>
        <v/>
      </c>
      <c r="T387" s="68">
        <f t="shared" si="36"/>
        <v>43894</v>
      </c>
      <c r="U387" s="69">
        <f t="shared" si="37"/>
        <v>84.168796296296293</v>
      </c>
      <c r="V387" s="68" t="str">
        <f>IFERROR(VLOOKUP(A387,已除帳印單!B:D,3,0),"")</f>
        <v/>
      </c>
      <c r="W387" s="69" t="str">
        <f>IFERROR(VLOOKUP(A387,已除帳印單!B:E,4,0),"")</f>
        <v/>
      </c>
      <c r="X387" s="68" t="str">
        <f>IFERROR(INDEX(刷條碼區!A:C,MATCH(點上線資訊!S387,刷條碼區!C:C,0),1),"")</f>
        <v/>
      </c>
      <c r="Y387" s="69" t="str">
        <f>IFERROR(INDEX(刷條碼區!A:C,MATCH(點上線資訊!S387,刷條碼區!C:C,0),2),"")</f>
        <v/>
      </c>
      <c r="Z387" s="70" t="str">
        <f>IFERROR(INDEX(刷條碼區!D:G,MATCH(點上線資訊!S387,刷條碼區!F:F,0),1),"")</f>
        <v/>
      </c>
      <c r="AA387" s="71" t="str">
        <f>IFERROR(INDEX(刷條碼區!D:G,MATCH(點上線資訊!S387,刷條碼區!F:F,0),2),"")</f>
        <v/>
      </c>
      <c r="AB387" s="20">
        <f t="shared" ref="AB387:AB450" si="38">IF(K387&amp;N387="",G387)</f>
        <v>20</v>
      </c>
      <c r="AC387" s="20" t="b">
        <f t="shared" ref="AC387:AC450" si="39">IF(S387&lt;&gt;"",G387)</f>
        <v>0</v>
      </c>
      <c r="AD387" s="17" t="b">
        <f t="shared" ref="AD387:AD450" si="40">IF(X387&lt;&gt;"",G387)</f>
        <v>0</v>
      </c>
      <c r="AE387" s="17" t="b">
        <f t="shared" ref="AE387:AE450" si="41">IF(Z387&lt;&gt;"",G387)</f>
        <v>0</v>
      </c>
    </row>
    <row r="388" spans="1:31" x14ac:dyDescent="0.2">
      <c r="A388" s="16">
        <v>5000494510</v>
      </c>
      <c r="B388" t="s">
        <v>301</v>
      </c>
      <c r="C388" t="s">
        <v>301</v>
      </c>
      <c r="D388" t="s">
        <v>1</v>
      </c>
      <c r="E388" t="s">
        <v>354</v>
      </c>
      <c r="F388" t="s">
        <v>518</v>
      </c>
      <c r="G388" s="2">
        <v>20</v>
      </c>
      <c r="H388" t="s">
        <v>461</v>
      </c>
      <c r="I388" t="s">
        <v>3</v>
      </c>
      <c r="J388" t="s">
        <v>8</v>
      </c>
      <c r="K388" t="s">
        <v>602</v>
      </c>
      <c r="L388" t="s">
        <v>603</v>
      </c>
      <c r="M388" t="s">
        <v>602</v>
      </c>
      <c r="N388" t="s">
        <v>602</v>
      </c>
      <c r="O388" t="s">
        <v>603</v>
      </c>
      <c r="P388" t="s">
        <v>602</v>
      </c>
      <c r="Q388" s="17">
        <f>IFERROR(VLOOKUP(A388,已除帳印單!B:C,1,0),0)*1</f>
        <v>0</v>
      </c>
      <c r="R388" s="67" t="str">
        <f>IFERROR(VLOOKUP(J388,線別!A:B,2,1),"")</f>
        <v>裝一線</v>
      </c>
      <c r="S388" s="17" t="str">
        <f>IFERROR(VLOOKUP(A388,已除帳印單!B:C,2,0),"")</f>
        <v/>
      </c>
      <c r="T388" s="68">
        <f t="shared" si="36"/>
        <v>43894</v>
      </c>
      <c r="U388" s="69">
        <f t="shared" si="37"/>
        <v>84.168796296296293</v>
      </c>
      <c r="V388" s="68" t="str">
        <f>IFERROR(VLOOKUP(A388,已除帳印單!B:D,3,0),"")</f>
        <v/>
      </c>
      <c r="W388" s="69" t="str">
        <f>IFERROR(VLOOKUP(A388,已除帳印單!B:E,4,0),"")</f>
        <v/>
      </c>
      <c r="X388" s="68" t="str">
        <f>IFERROR(INDEX(刷條碼區!A:C,MATCH(點上線資訊!S388,刷條碼區!C:C,0),1),"")</f>
        <v/>
      </c>
      <c r="Y388" s="69" t="str">
        <f>IFERROR(INDEX(刷條碼區!A:C,MATCH(點上線資訊!S388,刷條碼區!C:C,0),2),"")</f>
        <v/>
      </c>
      <c r="Z388" s="70" t="str">
        <f>IFERROR(INDEX(刷條碼區!D:G,MATCH(點上線資訊!S388,刷條碼區!F:F,0),1),"")</f>
        <v/>
      </c>
      <c r="AA388" s="71" t="str">
        <f>IFERROR(INDEX(刷條碼區!D:G,MATCH(點上線資訊!S388,刷條碼區!F:F,0),2),"")</f>
        <v/>
      </c>
      <c r="AB388" s="20">
        <f t="shared" si="38"/>
        <v>20</v>
      </c>
      <c r="AC388" s="20" t="b">
        <f t="shared" si="39"/>
        <v>0</v>
      </c>
      <c r="AD388" s="17" t="b">
        <f t="shared" si="40"/>
        <v>0</v>
      </c>
      <c r="AE388" s="17" t="b">
        <f t="shared" si="41"/>
        <v>0</v>
      </c>
    </row>
    <row r="389" spans="1:31" x14ac:dyDescent="0.2">
      <c r="A389" s="16">
        <v>5000494511</v>
      </c>
      <c r="B389" t="s">
        <v>301</v>
      </c>
      <c r="C389" t="s">
        <v>301</v>
      </c>
      <c r="D389" t="s">
        <v>1</v>
      </c>
      <c r="E389" t="s">
        <v>354</v>
      </c>
      <c r="F389" t="s">
        <v>518</v>
      </c>
      <c r="G389" s="2">
        <v>20</v>
      </c>
      <c r="H389" t="s">
        <v>461</v>
      </c>
      <c r="I389" t="s">
        <v>3</v>
      </c>
      <c r="J389" t="s">
        <v>8</v>
      </c>
      <c r="K389" t="s">
        <v>602</v>
      </c>
      <c r="L389" t="s">
        <v>603</v>
      </c>
      <c r="M389" t="s">
        <v>602</v>
      </c>
      <c r="N389" t="s">
        <v>602</v>
      </c>
      <c r="O389" t="s">
        <v>603</v>
      </c>
      <c r="P389" t="s">
        <v>602</v>
      </c>
      <c r="Q389" s="17">
        <f>IFERROR(VLOOKUP(A389,已除帳印單!B:C,1,0),0)*1</f>
        <v>0</v>
      </c>
      <c r="R389" s="67" t="str">
        <f>IFERROR(VLOOKUP(J389,線別!A:B,2,1),"")</f>
        <v>裝一線</v>
      </c>
      <c r="S389" s="17" t="str">
        <f>IFERROR(VLOOKUP(A389,已除帳印單!B:C,2,0),"")</f>
        <v/>
      </c>
      <c r="T389" s="68">
        <f t="shared" si="36"/>
        <v>43894</v>
      </c>
      <c r="U389" s="69">
        <f t="shared" si="37"/>
        <v>84.168796296296293</v>
      </c>
      <c r="V389" s="68" t="str">
        <f>IFERROR(VLOOKUP(A389,已除帳印單!B:D,3,0),"")</f>
        <v/>
      </c>
      <c r="W389" s="69" t="str">
        <f>IFERROR(VLOOKUP(A389,已除帳印單!B:E,4,0),"")</f>
        <v/>
      </c>
      <c r="X389" s="68" t="str">
        <f>IFERROR(INDEX(刷條碼區!A:C,MATCH(點上線資訊!S389,刷條碼區!C:C,0),1),"")</f>
        <v/>
      </c>
      <c r="Y389" s="69" t="str">
        <f>IFERROR(INDEX(刷條碼區!A:C,MATCH(點上線資訊!S389,刷條碼區!C:C,0),2),"")</f>
        <v/>
      </c>
      <c r="Z389" s="70" t="str">
        <f>IFERROR(INDEX(刷條碼區!D:G,MATCH(點上線資訊!S389,刷條碼區!F:F,0),1),"")</f>
        <v/>
      </c>
      <c r="AA389" s="71" t="str">
        <f>IFERROR(INDEX(刷條碼區!D:G,MATCH(點上線資訊!S389,刷條碼區!F:F,0),2),"")</f>
        <v/>
      </c>
      <c r="AB389" s="20">
        <f t="shared" si="38"/>
        <v>20</v>
      </c>
      <c r="AC389" s="20" t="b">
        <f t="shared" si="39"/>
        <v>0</v>
      </c>
      <c r="AD389" s="17" t="b">
        <f t="shared" si="40"/>
        <v>0</v>
      </c>
      <c r="AE389" s="17" t="b">
        <f t="shared" si="41"/>
        <v>0</v>
      </c>
    </row>
    <row r="390" spans="1:31" x14ac:dyDescent="0.2">
      <c r="A390" s="16">
        <v>5000494512</v>
      </c>
      <c r="B390" t="s">
        <v>301</v>
      </c>
      <c r="C390" t="s">
        <v>301</v>
      </c>
      <c r="D390" t="s">
        <v>1</v>
      </c>
      <c r="E390" t="s">
        <v>354</v>
      </c>
      <c r="F390" t="s">
        <v>518</v>
      </c>
      <c r="G390" s="2">
        <v>10</v>
      </c>
      <c r="H390" t="s">
        <v>461</v>
      </c>
      <c r="I390" t="s">
        <v>3</v>
      </c>
      <c r="J390" t="s">
        <v>8</v>
      </c>
      <c r="K390" t="s">
        <v>602</v>
      </c>
      <c r="L390" t="s">
        <v>603</v>
      </c>
      <c r="M390" t="s">
        <v>602</v>
      </c>
      <c r="N390" t="s">
        <v>602</v>
      </c>
      <c r="O390" t="s">
        <v>603</v>
      </c>
      <c r="P390" t="s">
        <v>602</v>
      </c>
      <c r="Q390" s="17">
        <f>IFERROR(VLOOKUP(A390,已除帳印單!B:C,1,0),0)*1</f>
        <v>0</v>
      </c>
      <c r="R390" s="67" t="str">
        <f>IFERROR(VLOOKUP(J390,線別!A:B,2,1),"")</f>
        <v>裝一線</v>
      </c>
      <c r="S390" s="17" t="str">
        <f>IFERROR(VLOOKUP(A390,已除帳印單!B:C,2,0),"")</f>
        <v/>
      </c>
      <c r="T390" s="68">
        <f t="shared" si="36"/>
        <v>43894</v>
      </c>
      <c r="U390" s="69">
        <f t="shared" si="37"/>
        <v>84.168796296296293</v>
      </c>
      <c r="V390" s="68" t="str">
        <f>IFERROR(VLOOKUP(A390,已除帳印單!B:D,3,0),"")</f>
        <v/>
      </c>
      <c r="W390" s="69" t="str">
        <f>IFERROR(VLOOKUP(A390,已除帳印單!B:E,4,0),"")</f>
        <v/>
      </c>
      <c r="X390" s="68" t="str">
        <f>IFERROR(INDEX(刷條碼區!A:C,MATCH(點上線資訊!S390,刷條碼區!C:C,0),1),"")</f>
        <v/>
      </c>
      <c r="Y390" s="69" t="str">
        <f>IFERROR(INDEX(刷條碼區!A:C,MATCH(點上線資訊!S390,刷條碼區!C:C,0),2),"")</f>
        <v/>
      </c>
      <c r="Z390" s="70" t="str">
        <f>IFERROR(INDEX(刷條碼區!D:G,MATCH(點上線資訊!S390,刷條碼區!F:F,0),1),"")</f>
        <v/>
      </c>
      <c r="AA390" s="71" t="str">
        <f>IFERROR(INDEX(刷條碼區!D:G,MATCH(點上線資訊!S390,刷條碼區!F:F,0),2),"")</f>
        <v/>
      </c>
      <c r="AB390" s="20">
        <f t="shared" si="38"/>
        <v>10</v>
      </c>
      <c r="AC390" s="20" t="b">
        <f t="shared" si="39"/>
        <v>0</v>
      </c>
      <c r="AD390" s="17" t="b">
        <f t="shared" si="40"/>
        <v>0</v>
      </c>
      <c r="AE390" s="17" t="b">
        <f t="shared" si="41"/>
        <v>0</v>
      </c>
    </row>
    <row r="391" spans="1:31" x14ac:dyDescent="0.2">
      <c r="A391" s="16">
        <v>5000494514</v>
      </c>
      <c r="B391" t="s">
        <v>301</v>
      </c>
      <c r="C391" t="s">
        <v>301</v>
      </c>
      <c r="D391" t="s">
        <v>1</v>
      </c>
      <c r="E391" t="s">
        <v>356</v>
      </c>
      <c r="F391" t="s">
        <v>501</v>
      </c>
      <c r="G391" s="2">
        <v>20</v>
      </c>
      <c r="H391" t="s">
        <v>461</v>
      </c>
      <c r="I391" t="s">
        <v>3</v>
      </c>
      <c r="J391" t="s">
        <v>8</v>
      </c>
      <c r="K391" t="s">
        <v>602</v>
      </c>
      <c r="L391" t="s">
        <v>603</v>
      </c>
      <c r="M391" t="s">
        <v>602</v>
      </c>
      <c r="N391" t="s">
        <v>602</v>
      </c>
      <c r="O391" t="s">
        <v>603</v>
      </c>
      <c r="P391" t="s">
        <v>602</v>
      </c>
      <c r="Q391" s="17">
        <f>IFERROR(VLOOKUP(A391,已除帳印單!B:C,1,0),0)*1</f>
        <v>0</v>
      </c>
      <c r="R391" s="67" t="str">
        <f>IFERROR(VLOOKUP(J391,線別!A:B,2,1),"")</f>
        <v>裝一線</v>
      </c>
      <c r="S391" s="17" t="str">
        <f>IFERROR(VLOOKUP(A391,已除帳印單!B:C,2,0),"")</f>
        <v/>
      </c>
      <c r="T391" s="68">
        <f t="shared" si="36"/>
        <v>43894</v>
      </c>
      <c r="U391" s="69">
        <f t="shared" si="37"/>
        <v>84.168796296296293</v>
      </c>
      <c r="V391" s="68" t="str">
        <f>IFERROR(VLOOKUP(A391,已除帳印單!B:D,3,0),"")</f>
        <v/>
      </c>
      <c r="W391" s="69" t="str">
        <f>IFERROR(VLOOKUP(A391,已除帳印單!B:E,4,0),"")</f>
        <v/>
      </c>
      <c r="X391" s="68" t="str">
        <f>IFERROR(INDEX(刷條碼區!A:C,MATCH(點上線資訊!S391,刷條碼區!C:C,0),1),"")</f>
        <v/>
      </c>
      <c r="Y391" s="69" t="str">
        <f>IFERROR(INDEX(刷條碼區!A:C,MATCH(點上線資訊!S391,刷條碼區!C:C,0),2),"")</f>
        <v/>
      </c>
      <c r="Z391" s="70" t="str">
        <f>IFERROR(INDEX(刷條碼區!D:G,MATCH(點上線資訊!S391,刷條碼區!F:F,0),1),"")</f>
        <v/>
      </c>
      <c r="AA391" s="71" t="str">
        <f>IFERROR(INDEX(刷條碼區!D:G,MATCH(點上線資訊!S391,刷條碼區!F:F,0),2),"")</f>
        <v/>
      </c>
      <c r="AB391" s="20">
        <f t="shared" si="38"/>
        <v>20</v>
      </c>
      <c r="AC391" s="20" t="b">
        <f t="shared" si="39"/>
        <v>0</v>
      </c>
      <c r="AD391" s="17" t="b">
        <f t="shared" si="40"/>
        <v>0</v>
      </c>
      <c r="AE391" s="17" t="b">
        <f t="shared" si="41"/>
        <v>0</v>
      </c>
    </row>
    <row r="392" spans="1:31" x14ac:dyDescent="0.2">
      <c r="A392" s="16">
        <v>5000494515</v>
      </c>
      <c r="B392" t="s">
        <v>301</v>
      </c>
      <c r="C392" t="s">
        <v>301</v>
      </c>
      <c r="D392" t="s">
        <v>1</v>
      </c>
      <c r="E392" t="s">
        <v>356</v>
      </c>
      <c r="F392" t="s">
        <v>501</v>
      </c>
      <c r="G392" s="2">
        <v>20</v>
      </c>
      <c r="H392" t="s">
        <v>461</v>
      </c>
      <c r="I392" t="s">
        <v>3</v>
      </c>
      <c r="J392" t="s">
        <v>8</v>
      </c>
      <c r="K392" t="s">
        <v>602</v>
      </c>
      <c r="L392" t="s">
        <v>603</v>
      </c>
      <c r="M392" t="s">
        <v>602</v>
      </c>
      <c r="N392" t="s">
        <v>602</v>
      </c>
      <c r="O392" t="s">
        <v>603</v>
      </c>
      <c r="P392" t="s">
        <v>602</v>
      </c>
      <c r="Q392" s="17">
        <f>IFERROR(VLOOKUP(A392,已除帳印單!B:C,1,0),0)*1</f>
        <v>0</v>
      </c>
      <c r="R392" s="67" t="str">
        <f>IFERROR(VLOOKUP(J392,線別!A:B,2,1),"")</f>
        <v>裝一線</v>
      </c>
      <c r="S392" s="17" t="str">
        <f>IFERROR(VLOOKUP(A392,已除帳印單!B:C,2,0),"")</f>
        <v/>
      </c>
      <c r="T392" s="68">
        <f t="shared" si="36"/>
        <v>43894</v>
      </c>
      <c r="U392" s="69">
        <f t="shared" si="37"/>
        <v>84.168796296296293</v>
      </c>
      <c r="V392" s="68" t="str">
        <f>IFERROR(VLOOKUP(A392,已除帳印單!B:D,3,0),"")</f>
        <v/>
      </c>
      <c r="W392" s="69" t="str">
        <f>IFERROR(VLOOKUP(A392,已除帳印單!B:E,4,0),"")</f>
        <v/>
      </c>
      <c r="X392" s="68" t="str">
        <f>IFERROR(INDEX(刷條碼區!A:C,MATCH(點上線資訊!S392,刷條碼區!C:C,0),1),"")</f>
        <v/>
      </c>
      <c r="Y392" s="69" t="str">
        <f>IFERROR(INDEX(刷條碼區!A:C,MATCH(點上線資訊!S392,刷條碼區!C:C,0),2),"")</f>
        <v/>
      </c>
      <c r="Z392" s="70" t="str">
        <f>IFERROR(INDEX(刷條碼區!D:G,MATCH(點上線資訊!S392,刷條碼區!F:F,0),1),"")</f>
        <v/>
      </c>
      <c r="AA392" s="71" t="str">
        <f>IFERROR(INDEX(刷條碼區!D:G,MATCH(點上線資訊!S392,刷條碼區!F:F,0),2),"")</f>
        <v/>
      </c>
      <c r="AB392" s="20">
        <f t="shared" si="38"/>
        <v>20</v>
      </c>
      <c r="AC392" s="20" t="b">
        <f t="shared" si="39"/>
        <v>0</v>
      </c>
      <c r="AD392" s="17" t="b">
        <f t="shared" si="40"/>
        <v>0</v>
      </c>
      <c r="AE392" s="17" t="b">
        <f t="shared" si="41"/>
        <v>0</v>
      </c>
    </row>
    <row r="393" spans="1:31" x14ac:dyDescent="0.2">
      <c r="A393" s="16">
        <v>5000494516</v>
      </c>
      <c r="B393" t="s">
        <v>301</v>
      </c>
      <c r="C393" t="s">
        <v>301</v>
      </c>
      <c r="D393" t="s">
        <v>1</v>
      </c>
      <c r="E393" t="s">
        <v>356</v>
      </c>
      <c r="F393" t="s">
        <v>501</v>
      </c>
      <c r="G393" s="2">
        <v>20</v>
      </c>
      <c r="H393" t="s">
        <v>461</v>
      </c>
      <c r="I393" t="s">
        <v>3</v>
      </c>
      <c r="J393" t="s">
        <v>8</v>
      </c>
      <c r="K393" t="s">
        <v>602</v>
      </c>
      <c r="L393" t="s">
        <v>603</v>
      </c>
      <c r="M393" t="s">
        <v>602</v>
      </c>
      <c r="N393" t="s">
        <v>602</v>
      </c>
      <c r="O393" t="s">
        <v>603</v>
      </c>
      <c r="P393" t="s">
        <v>602</v>
      </c>
      <c r="Q393" s="17">
        <f>IFERROR(VLOOKUP(A393,已除帳印單!B:C,1,0),0)*1</f>
        <v>0</v>
      </c>
      <c r="R393" s="67" t="str">
        <f>IFERROR(VLOOKUP(J393,線別!A:B,2,1),"")</f>
        <v>裝一線</v>
      </c>
      <c r="S393" s="17" t="str">
        <f>IFERROR(VLOOKUP(A393,已除帳印單!B:C,2,0),"")</f>
        <v/>
      </c>
      <c r="T393" s="68">
        <f t="shared" si="36"/>
        <v>43894</v>
      </c>
      <c r="U393" s="69">
        <f t="shared" si="37"/>
        <v>84.168796296296293</v>
      </c>
      <c r="V393" s="68" t="str">
        <f>IFERROR(VLOOKUP(A393,已除帳印單!B:D,3,0),"")</f>
        <v/>
      </c>
      <c r="W393" s="69" t="str">
        <f>IFERROR(VLOOKUP(A393,已除帳印單!B:E,4,0),"")</f>
        <v/>
      </c>
      <c r="X393" s="68" t="str">
        <f>IFERROR(INDEX(刷條碼區!A:C,MATCH(點上線資訊!S393,刷條碼區!C:C,0),1),"")</f>
        <v/>
      </c>
      <c r="Y393" s="69" t="str">
        <f>IFERROR(INDEX(刷條碼區!A:C,MATCH(點上線資訊!S393,刷條碼區!C:C,0),2),"")</f>
        <v/>
      </c>
      <c r="Z393" s="70" t="str">
        <f>IFERROR(INDEX(刷條碼區!D:G,MATCH(點上線資訊!S393,刷條碼區!F:F,0),1),"")</f>
        <v/>
      </c>
      <c r="AA393" s="71" t="str">
        <f>IFERROR(INDEX(刷條碼區!D:G,MATCH(點上線資訊!S393,刷條碼區!F:F,0),2),"")</f>
        <v/>
      </c>
      <c r="AB393" s="20">
        <f t="shared" si="38"/>
        <v>20</v>
      </c>
      <c r="AC393" s="20" t="b">
        <f t="shared" si="39"/>
        <v>0</v>
      </c>
      <c r="AD393" s="17" t="b">
        <f t="shared" si="40"/>
        <v>0</v>
      </c>
      <c r="AE393" s="17" t="b">
        <f t="shared" si="41"/>
        <v>0</v>
      </c>
    </row>
    <row r="394" spans="1:31" x14ac:dyDescent="0.2">
      <c r="A394" s="16">
        <v>5000494517</v>
      </c>
      <c r="B394" t="s">
        <v>0</v>
      </c>
      <c r="C394" t="s">
        <v>0</v>
      </c>
      <c r="D394" t="s">
        <v>1</v>
      </c>
      <c r="E394" t="s">
        <v>932</v>
      </c>
      <c r="F394" t="s">
        <v>933</v>
      </c>
      <c r="G394" s="2">
        <v>20</v>
      </c>
      <c r="H394" t="s">
        <v>461</v>
      </c>
      <c r="I394" t="s">
        <v>3</v>
      </c>
      <c r="J394" t="s">
        <v>8</v>
      </c>
      <c r="K394" t="s">
        <v>605</v>
      </c>
      <c r="L394" t="s">
        <v>608</v>
      </c>
      <c r="M394" t="s">
        <v>417</v>
      </c>
      <c r="N394" t="s">
        <v>602</v>
      </c>
      <c r="O394" t="s">
        <v>603</v>
      </c>
      <c r="P394" t="s">
        <v>602</v>
      </c>
      <c r="Q394" s="17">
        <f>IFERROR(VLOOKUP(A394,已除帳印單!B:C,1,0),0)*1</f>
        <v>0</v>
      </c>
      <c r="R394" s="67" t="str">
        <f>IFERROR(VLOOKUP(J394,線別!A:B,2,1),"")</f>
        <v>裝一線</v>
      </c>
      <c r="S394" s="17" t="str">
        <f>IFERROR(VLOOKUP(A394,已除帳印單!B:C,2,0),"")</f>
        <v/>
      </c>
      <c r="T394" s="68">
        <f t="shared" ref="T394:T457" si="42">--TEXT(B394,"0000-00-00")</f>
        <v>43892</v>
      </c>
      <c r="U394" s="69">
        <f t="shared" ref="U394:U457" si="43">--TEXT(C394,"00\:00\:00")</f>
        <v>84.168773148148148</v>
      </c>
      <c r="V394" s="68" t="str">
        <f>IFERROR(VLOOKUP(A394,已除帳印單!B:D,3,0),"")</f>
        <v/>
      </c>
      <c r="W394" s="69" t="str">
        <f>IFERROR(VLOOKUP(A394,已除帳印單!B:E,4,0),"")</f>
        <v/>
      </c>
      <c r="X394" s="68" t="str">
        <f>IFERROR(INDEX(刷條碼區!A:C,MATCH(點上線資訊!S394,刷條碼區!C:C,0),1),"")</f>
        <v/>
      </c>
      <c r="Y394" s="69" t="str">
        <f>IFERROR(INDEX(刷條碼區!A:C,MATCH(點上線資訊!S394,刷條碼區!C:C,0),2),"")</f>
        <v/>
      </c>
      <c r="Z394" s="70" t="str">
        <f>IFERROR(INDEX(刷條碼區!D:G,MATCH(點上線資訊!S394,刷條碼區!F:F,0),1),"")</f>
        <v/>
      </c>
      <c r="AA394" s="71" t="str">
        <f>IFERROR(INDEX(刷條碼區!D:G,MATCH(點上線資訊!S394,刷條碼區!F:F,0),2),"")</f>
        <v/>
      </c>
      <c r="AB394" s="20" t="b">
        <f t="shared" si="38"/>
        <v>0</v>
      </c>
      <c r="AC394" s="20" t="b">
        <f t="shared" si="39"/>
        <v>0</v>
      </c>
      <c r="AD394" s="17" t="b">
        <f t="shared" si="40"/>
        <v>0</v>
      </c>
      <c r="AE394" s="17" t="b">
        <f t="shared" si="41"/>
        <v>0</v>
      </c>
    </row>
    <row r="395" spans="1:31" x14ac:dyDescent="0.2">
      <c r="A395" s="16">
        <v>5000494519</v>
      </c>
      <c r="B395" t="s">
        <v>0</v>
      </c>
      <c r="C395" t="s">
        <v>0</v>
      </c>
      <c r="D395" t="s">
        <v>1</v>
      </c>
      <c r="E395" t="s">
        <v>15</v>
      </c>
      <c r="F395" t="s">
        <v>16</v>
      </c>
      <c r="G395" s="2">
        <v>20</v>
      </c>
      <c r="H395" t="s">
        <v>461</v>
      </c>
      <c r="I395" t="s">
        <v>3</v>
      </c>
      <c r="J395" t="s">
        <v>4</v>
      </c>
      <c r="K395" t="s">
        <v>602</v>
      </c>
      <c r="L395" t="s">
        <v>603</v>
      </c>
      <c r="M395" t="s">
        <v>602</v>
      </c>
      <c r="N395" t="s">
        <v>602</v>
      </c>
      <c r="O395" t="s">
        <v>603</v>
      </c>
      <c r="P395" t="s">
        <v>602</v>
      </c>
      <c r="Q395" s="17">
        <f>IFERROR(VLOOKUP(A395,已除帳印單!B:C,1,0),0)*1</f>
        <v>0</v>
      </c>
      <c r="R395" s="67" t="str">
        <f>IFERROR(VLOOKUP(J395,線別!A:B,2,1),"")</f>
        <v>IA線</v>
      </c>
      <c r="S395" s="17" t="str">
        <f>IFERROR(VLOOKUP(A395,已除帳印單!B:C,2,0),"")</f>
        <v/>
      </c>
      <c r="T395" s="68">
        <f t="shared" si="42"/>
        <v>43892</v>
      </c>
      <c r="U395" s="69">
        <f t="shared" si="43"/>
        <v>84.168773148148148</v>
      </c>
      <c r="V395" s="68" t="str">
        <f>IFERROR(VLOOKUP(A395,已除帳印單!B:D,3,0),"")</f>
        <v/>
      </c>
      <c r="W395" s="69" t="str">
        <f>IFERROR(VLOOKUP(A395,已除帳印單!B:E,4,0),"")</f>
        <v/>
      </c>
      <c r="X395" s="68" t="str">
        <f>IFERROR(INDEX(刷條碼區!A:C,MATCH(點上線資訊!S395,刷條碼區!C:C,0),1),"")</f>
        <v/>
      </c>
      <c r="Y395" s="69" t="str">
        <f>IFERROR(INDEX(刷條碼區!A:C,MATCH(點上線資訊!S395,刷條碼區!C:C,0),2),"")</f>
        <v/>
      </c>
      <c r="Z395" s="70" t="str">
        <f>IFERROR(INDEX(刷條碼區!D:G,MATCH(點上線資訊!S395,刷條碼區!F:F,0),1),"")</f>
        <v/>
      </c>
      <c r="AA395" s="71" t="str">
        <f>IFERROR(INDEX(刷條碼區!D:G,MATCH(點上線資訊!S395,刷條碼區!F:F,0),2),"")</f>
        <v/>
      </c>
      <c r="AB395" s="20">
        <f t="shared" si="38"/>
        <v>20</v>
      </c>
      <c r="AC395" s="20" t="b">
        <f t="shared" si="39"/>
        <v>0</v>
      </c>
      <c r="AD395" s="17" t="b">
        <f t="shared" si="40"/>
        <v>0</v>
      </c>
      <c r="AE395" s="17" t="b">
        <f t="shared" si="41"/>
        <v>0</v>
      </c>
    </row>
    <row r="396" spans="1:31" x14ac:dyDescent="0.2">
      <c r="A396" s="16">
        <v>5000494520</v>
      </c>
      <c r="B396" t="s">
        <v>0</v>
      </c>
      <c r="C396" t="s">
        <v>0</v>
      </c>
      <c r="D396" t="s">
        <v>1</v>
      </c>
      <c r="E396" t="s">
        <v>13</v>
      </c>
      <c r="F396" t="s">
        <v>14</v>
      </c>
      <c r="G396" s="2">
        <v>20</v>
      </c>
      <c r="H396" t="s">
        <v>461</v>
      </c>
      <c r="I396" t="s">
        <v>3</v>
      </c>
      <c r="J396" t="s">
        <v>4</v>
      </c>
      <c r="K396" t="s">
        <v>602</v>
      </c>
      <c r="L396" t="s">
        <v>603</v>
      </c>
      <c r="M396" t="s">
        <v>602</v>
      </c>
      <c r="N396" t="s">
        <v>602</v>
      </c>
      <c r="O396" t="s">
        <v>603</v>
      </c>
      <c r="P396" t="s">
        <v>602</v>
      </c>
      <c r="Q396" s="17">
        <f>IFERROR(VLOOKUP(A396,已除帳印單!B:C,1,0),0)*1</f>
        <v>0</v>
      </c>
      <c r="R396" s="67" t="str">
        <f>IFERROR(VLOOKUP(J396,線別!A:B,2,1),"")</f>
        <v>IA線</v>
      </c>
      <c r="S396" s="17" t="str">
        <f>IFERROR(VLOOKUP(A396,已除帳印單!B:C,2,0),"")</f>
        <v/>
      </c>
      <c r="T396" s="68">
        <f t="shared" si="42"/>
        <v>43892</v>
      </c>
      <c r="U396" s="69">
        <f t="shared" si="43"/>
        <v>84.168773148148148</v>
      </c>
      <c r="V396" s="68" t="str">
        <f>IFERROR(VLOOKUP(A396,已除帳印單!B:D,3,0),"")</f>
        <v/>
      </c>
      <c r="W396" s="69" t="str">
        <f>IFERROR(VLOOKUP(A396,已除帳印單!B:E,4,0),"")</f>
        <v/>
      </c>
      <c r="X396" s="68" t="str">
        <f>IFERROR(INDEX(刷條碼區!A:C,MATCH(點上線資訊!S396,刷條碼區!C:C,0),1),"")</f>
        <v/>
      </c>
      <c r="Y396" s="69" t="str">
        <f>IFERROR(INDEX(刷條碼區!A:C,MATCH(點上線資訊!S396,刷條碼區!C:C,0),2),"")</f>
        <v/>
      </c>
      <c r="Z396" s="70" t="str">
        <f>IFERROR(INDEX(刷條碼區!D:G,MATCH(點上線資訊!S396,刷條碼區!F:F,0),1),"")</f>
        <v/>
      </c>
      <c r="AA396" s="71" t="str">
        <f>IFERROR(INDEX(刷條碼區!D:G,MATCH(點上線資訊!S396,刷條碼區!F:F,0),2),"")</f>
        <v/>
      </c>
      <c r="AB396" s="20">
        <f t="shared" si="38"/>
        <v>20</v>
      </c>
      <c r="AC396" s="20" t="b">
        <f t="shared" si="39"/>
        <v>0</v>
      </c>
      <c r="AD396" s="17" t="b">
        <f t="shared" si="40"/>
        <v>0</v>
      </c>
      <c r="AE396" s="17" t="b">
        <f t="shared" si="41"/>
        <v>0</v>
      </c>
    </row>
    <row r="397" spans="1:31" x14ac:dyDescent="0.2">
      <c r="A397" s="16">
        <v>5000494523</v>
      </c>
      <c r="B397" t="s">
        <v>301</v>
      </c>
      <c r="C397" t="s">
        <v>301</v>
      </c>
      <c r="D397" t="s">
        <v>1</v>
      </c>
      <c r="E397" t="s">
        <v>355</v>
      </c>
      <c r="F397" t="s">
        <v>519</v>
      </c>
      <c r="G397" s="2">
        <v>20</v>
      </c>
      <c r="H397" t="s">
        <v>461</v>
      </c>
      <c r="I397" t="s">
        <v>3</v>
      </c>
      <c r="J397" t="s">
        <v>8</v>
      </c>
      <c r="K397" t="s">
        <v>602</v>
      </c>
      <c r="L397" t="s">
        <v>603</v>
      </c>
      <c r="M397" t="s">
        <v>602</v>
      </c>
      <c r="N397" t="s">
        <v>602</v>
      </c>
      <c r="O397" t="s">
        <v>603</v>
      </c>
      <c r="P397" t="s">
        <v>602</v>
      </c>
      <c r="Q397" s="17">
        <f>IFERROR(VLOOKUP(A397,已除帳印單!B:C,1,0),0)*1</f>
        <v>0</v>
      </c>
      <c r="R397" s="67" t="str">
        <f>IFERROR(VLOOKUP(J397,線別!A:B,2,1),"")</f>
        <v>裝一線</v>
      </c>
      <c r="S397" s="17" t="str">
        <f>IFERROR(VLOOKUP(A397,已除帳印單!B:C,2,0),"")</f>
        <v/>
      </c>
      <c r="T397" s="68">
        <f t="shared" si="42"/>
        <v>43894</v>
      </c>
      <c r="U397" s="69">
        <f t="shared" si="43"/>
        <v>84.168796296296293</v>
      </c>
      <c r="V397" s="68" t="str">
        <f>IFERROR(VLOOKUP(A397,已除帳印單!B:D,3,0),"")</f>
        <v/>
      </c>
      <c r="W397" s="69" t="str">
        <f>IFERROR(VLOOKUP(A397,已除帳印單!B:E,4,0),"")</f>
        <v/>
      </c>
      <c r="X397" s="68" t="str">
        <f>IFERROR(INDEX(刷條碼區!A:C,MATCH(點上線資訊!S397,刷條碼區!C:C,0),1),"")</f>
        <v/>
      </c>
      <c r="Y397" s="69" t="str">
        <f>IFERROR(INDEX(刷條碼區!A:C,MATCH(點上線資訊!S397,刷條碼區!C:C,0),2),"")</f>
        <v/>
      </c>
      <c r="Z397" s="70" t="str">
        <f>IFERROR(INDEX(刷條碼區!D:G,MATCH(點上線資訊!S397,刷條碼區!F:F,0),1),"")</f>
        <v/>
      </c>
      <c r="AA397" s="71" t="str">
        <f>IFERROR(INDEX(刷條碼區!D:G,MATCH(點上線資訊!S397,刷條碼區!F:F,0),2),"")</f>
        <v/>
      </c>
      <c r="AB397" s="20">
        <f t="shared" si="38"/>
        <v>20</v>
      </c>
      <c r="AC397" s="20" t="b">
        <f t="shared" si="39"/>
        <v>0</v>
      </c>
      <c r="AD397" s="17" t="b">
        <f t="shared" si="40"/>
        <v>0</v>
      </c>
      <c r="AE397" s="17" t="b">
        <f t="shared" si="41"/>
        <v>0</v>
      </c>
    </row>
    <row r="398" spans="1:31" x14ac:dyDescent="0.2">
      <c r="A398" s="16">
        <v>5000494529</v>
      </c>
      <c r="B398" t="s">
        <v>301</v>
      </c>
      <c r="C398" t="s">
        <v>301</v>
      </c>
      <c r="D398" t="s">
        <v>1</v>
      </c>
      <c r="E398" t="s">
        <v>520</v>
      </c>
      <c r="F398" t="s">
        <v>521</v>
      </c>
      <c r="G398" s="2">
        <v>7</v>
      </c>
      <c r="H398" t="s">
        <v>461</v>
      </c>
      <c r="I398" t="s">
        <v>3</v>
      </c>
      <c r="J398" t="s">
        <v>8</v>
      </c>
      <c r="K398" t="s">
        <v>602</v>
      </c>
      <c r="L398" t="s">
        <v>603</v>
      </c>
      <c r="M398" t="s">
        <v>602</v>
      </c>
      <c r="N398" t="s">
        <v>602</v>
      </c>
      <c r="O398" t="s">
        <v>603</v>
      </c>
      <c r="P398" t="s">
        <v>602</v>
      </c>
      <c r="Q398" s="17">
        <f>IFERROR(VLOOKUP(A398,已除帳印單!B:C,1,0),0)*1</f>
        <v>0</v>
      </c>
      <c r="R398" s="67" t="str">
        <f>IFERROR(VLOOKUP(J398,線別!A:B,2,1),"")</f>
        <v>裝一線</v>
      </c>
      <c r="S398" s="17" t="str">
        <f>IFERROR(VLOOKUP(A398,已除帳印單!B:C,2,0),"")</f>
        <v/>
      </c>
      <c r="T398" s="68">
        <f t="shared" si="42"/>
        <v>43894</v>
      </c>
      <c r="U398" s="69">
        <f t="shared" si="43"/>
        <v>84.168796296296293</v>
      </c>
      <c r="V398" s="68" t="str">
        <f>IFERROR(VLOOKUP(A398,已除帳印單!B:D,3,0),"")</f>
        <v/>
      </c>
      <c r="W398" s="69" t="str">
        <f>IFERROR(VLOOKUP(A398,已除帳印單!B:E,4,0),"")</f>
        <v/>
      </c>
      <c r="X398" s="68" t="str">
        <f>IFERROR(INDEX(刷條碼區!A:C,MATCH(點上線資訊!S398,刷條碼區!C:C,0),1),"")</f>
        <v/>
      </c>
      <c r="Y398" s="69" t="str">
        <f>IFERROR(INDEX(刷條碼區!A:C,MATCH(點上線資訊!S398,刷條碼區!C:C,0),2),"")</f>
        <v/>
      </c>
      <c r="Z398" s="70" t="str">
        <f>IFERROR(INDEX(刷條碼區!D:G,MATCH(點上線資訊!S398,刷條碼區!F:F,0),1),"")</f>
        <v/>
      </c>
      <c r="AA398" s="71" t="str">
        <f>IFERROR(INDEX(刷條碼區!D:G,MATCH(點上線資訊!S398,刷條碼區!F:F,0),2),"")</f>
        <v/>
      </c>
      <c r="AB398" s="20">
        <f t="shared" si="38"/>
        <v>7</v>
      </c>
      <c r="AC398" s="20" t="b">
        <f t="shared" si="39"/>
        <v>0</v>
      </c>
      <c r="AD398" s="17" t="b">
        <f t="shared" si="40"/>
        <v>0</v>
      </c>
      <c r="AE398" s="17" t="b">
        <f t="shared" si="41"/>
        <v>0</v>
      </c>
    </row>
    <row r="399" spans="1:31" x14ac:dyDescent="0.2">
      <c r="A399" s="16">
        <v>5000494530</v>
      </c>
      <c r="B399" t="s">
        <v>6</v>
      </c>
      <c r="C399" t="s">
        <v>6</v>
      </c>
      <c r="D399" t="s">
        <v>1</v>
      </c>
      <c r="E399" t="s">
        <v>99</v>
      </c>
      <c r="F399" t="s">
        <v>934</v>
      </c>
      <c r="G399" s="2">
        <v>3</v>
      </c>
      <c r="H399" t="s">
        <v>461</v>
      </c>
      <c r="I399" t="s">
        <v>3</v>
      </c>
      <c r="J399" t="s">
        <v>8</v>
      </c>
      <c r="K399" t="s">
        <v>605</v>
      </c>
      <c r="L399" t="s">
        <v>608</v>
      </c>
      <c r="M399" t="s">
        <v>762</v>
      </c>
      <c r="N399" t="s">
        <v>602</v>
      </c>
      <c r="O399" t="s">
        <v>603</v>
      </c>
      <c r="P399" t="s">
        <v>602</v>
      </c>
      <c r="Q399" s="17">
        <f>IFERROR(VLOOKUP(A399,已除帳印單!B:C,1,0),0)*1</f>
        <v>0</v>
      </c>
      <c r="R399" s="67" t="str">
        <f>IFERROR(VLOOKUP(J399,線別!A:B,2,1),"")</f>
        <v>裝一線</v>
      </c>
      <c r="S399" s="17" t="str">
        <f>IFERROR(VLOOKUP(A399,已除帳印單!B:C,2,0),"")</f>
        <v/>
      </c>
      <c r="T399" s="68">
        <f t="shared" si="42"/>
        <v>43893</v>
      </c>
      <c r="U399" s="69">
        <f t="shared" si="43"/>
        <v>84.168784722222213</v>
      </c>
      <c r="V399" s="68" t="str">
        <f>IFERROR(VLOOKUP(A399,已除帳印單!B:D,3,0),"")</f>
        <v/>
      </c>
      <c r="W399" s="69" t="str">
        <f>IFERROR(VLOOKUP(A399,已除帳印單!B:E,4,0),"")</f>
        <v/>
      </c>
      <c r="X399" s="68" t="str">
        <f>IFERROR(INDEX(刷條碼區!A:C,MATCH(點上線資訊!S399,刷條碼區!C:C,0),1),"")</f>
        <v/>
      </c>
      <c r="Y399" s="69" t="str">
        <f>IFERROR(INDEX(刷條碼區!A:C,MATCH(點上線資訊!S399,刷條碼區!C:C,0),2),"")</f>
        <v/>
      </c>
      <c r="Z399" s="70" t="str">
        <f>IFERROR(INDEX(刷條碼區!D:G,MATCH(點上線資訊!S399,刷條碼區!F:F,0),1),"")</f>
        <v/>
      </c>
      <c r="AA399" s="71" t="str">
        <f>IFERROR(INDEX(刷條碼區!D:G,MATCH(點上線資訊!S399,刷條碼區!F:F,0),2),"")</f>
        <v/>
      </c>
      <c r="AB399" s="20" t="b">
        <f t="shared" si="38"/>
        <v>0</v>
      </c>
      <c r="AC399" s="20" t="b">
        <f t="shared" si="39"/>
        <v>0</v>
      </c>
      <c r="AD399" s="17" t="b">
        <f t="shared" si="40"/>
        <v>0</v>
      </c>
      <c r="AE399" s="17" t="b">
        <f t="shared" si="41"/>
        <v>0</v>
      </c>
    </row>
    <row r="400" spans="1:31" x14ac:dyDescent="0.2">
      <c r="A400" s="16">
        <v>5000494532</v>
      </c>
      <c r="B400" t="s">
        <v>6</v>
      </c>
      <c r="C400" t="s">
        <v>6</v>
      </c>
      <c r="D400" t="s">
        <v>1</v>
      </c>
      <c r="E400" t="s">
        <v>935</v>
      </c>
      <c r="F400" t="s">
        <v>936</v>
      </c>
      <c r="G400" s="2">
        <v>3</v>
      </c>
      <c r="H400" t="s">
        <v>461</v>
      </c>
      <c r="I400" t="s">
        <v>3</v>
      </c>
      <c r="J400" t="s">
        <v>8</v>
      </c>
      <c r="K400" t="s">
        <v>605</v>
      </c>
      <c r="L400" t="s">
        <v>608</v>
      </c>
      <c r="M400" t="s">
        <v>402</v>
      </c>
      <c r="N400" t="s">
        <v>602</v>
      </c>
      <c r="O400" t="s">
        <v>603</v>
      </c>
      <c r="P400" t="s">
        <v>602</v>
      </c>
      <c r="Q400" s="17">
        <f>IFERROR(VLOOKUP(A400,已除帳印單!B:C,1,0),0)*1</f>
        <v>0</v>
      </c>
      <c r="R400" s="67" t="str">
        <f>IFERROR(VLOOKUP(J400,線別!A:B,2,1),"")</f>
        <v>裝一線</v>
      </c>
      <c r="S400" s="17" t="str">
        <f>IFERROR(VLOOKUP(A400,已除帳印單!B:C,2,0),"")</f>
        <v/>
      </c>
      <c r="T400" s="68">
        <f t="shared" si="42"/>
        <v>43893</v>
      </c>
      <c r="U400" s="69">
        <f t="shared" si="43"/>
        <v>84.168784722222213</v>
      </c>
      <c r="V400" s="68" t="str">
        <f>IFERROR(VLOOKUP(A400,已除帳印單!B:D,3,0),"")</f>
        <v/>
      </c>
      <c r="W400" s="69" t="str">
        <f>IFERROR(VLOOKUP(A400,已除帳印單!B:E,4,0),"")</f>
        <v/>
      </c>
      <c r="X400" s="68" t="str">
        <f>IFERROR(INDEX(刷條碼區!A:C,MATCH(點上線資訊!S400,刷條碼區!C:C,0),1),"")</f>
        <v/>
      </c>
      <c r="Y400" s="69" t="str">
        <f>IFERROR(INDEX(刷條碼區!A:C,MATCH(點上線資訊!S400,刷條碼區!C:C,0),2),"")</f>
        <v/>
      </c>
      <c r="Z400" s="70" t="str">
        <f>IFERROR(INDEX(刷條碼區!D:G,MATCH(點上線資訊!S400,刷條碼區!F:F,0),1),"")</f>
        <v/>
      </c>
      <c r="AA400" s="71" t="str">
        <f>IFERROR(INDEX(刷條碼區!D:G,MATCH(點上線資訊!S400,刷條碼區!F:F,0),2),"")</f>
        <v/>
      </c>
      <c r="AB400" s="20" t="b">
        <f t="shared" si="38"/>
        <v>0</v>
      </c>
      <c r="AC400" s="20" t="b">
        <f t="shared" si="39"/>
        <v>0</v>
      </c>
      <c r="AD400" s="17" t="b">
        <f t="shared" si="40"/>
        <v>0</v>
      </c>
      <c r="AE400" s="17" t="b">
        <f t="shared" si="41"/>
        <v>0</v>
      </c>
    </row>
    <row r="401" spans="1:31" x14ac:dyDescent="0.2">
      <c r="A401" s="16">
        <v>5000494534</v>
      </c>
      <c r="B401" t="s">
        <v>6</v>
      </c>
      <c r="C401" t="s">
        <v>6</v>
      </c>
      <c r="D401" t="s">
        <v>1</v>
      </c>
      <c r="E401" t="s">
        <v>937</v>
      </c>
      <c r="F401" t="s">
        <v>938</v>
      </c>
      <c r="G401" s="2">
        <v>1</v>
      </c>
      <c r="H401" t="s">
        <v>461</v>
      </c>
      <c r="I401" t="s">
        <v>3</v>
      </c>
      <c r="J401" t="s">
        <v>8</v>
      </c>
      <c r="K401" t="s">
        <v>605</v>
      </c>
      <c r="L401" t="s">
        <v>608</v>
      </c>
      <c r="M401" t="s">
        <v>402</v>
      </c>
      <c r="N401" t="s">
        <v>602</v>
      </c>
      <c r="O401" t="s">
        <v>603</v>
      </c>
      <c r="P401" t="s">
        <v>602</v>
      </c>
      <c r="Q401" s="17">
        <f>IFERROR(VLOOKUP(A401,已除帳印單!B:C,1,0),0)*1</f>
        <v>0</v>
      </c>
      <c r="R401" s="67" t="str">
        <f>IFERROR(VLOOKUP(J401,線別!A:B,2,1),"")</f>
        <v>裝一線</v>
      </c>
      <c r="S401" s="17" t="str">
        <f>IFERROR(VLOOKUP(A401,已除帳印單!B:C,2,0),"")</f>
        <v/>
      </c>
      <c r="T401" s="68">
        <f t="shared" si="42"/>
        <v>43893</v>
      </c>
      <c r="U401" s="69">
        <f t="shared" si="43"/>
        <v>84.168784722222213</v>
      </c>
      <c r="V401" s="68" t="str">
        <f>IFERROR(VLOOKUP(A401,已除帳印單!B:D,3,0),"")</f>
        <v/>
      </c>
      <c r="W401" s="69" t="str">
        <f>IFERROR(VLOOKUP(A401,已除帳印單!B:E,4,0),"")</f>
        <v/>
      </c>
      <c r="X401" s="68" t="str">
        <f>IFERROR(INDEX(刷條碼區!A:C,MATCH(點上線資訊!S401,刷條碼區!C:C,0),1),"")</f>
        <v/>
      </c>
      <c r="Y401" s="69" t="str">
        <f>IFERROR(INDEX(刷條碼區!A:C,MATCH(點上線資訊!S401,刷條碼區!C:C,0),2),"")</f>
        <v/>
      </c>
      <c r="Z401" s="70" t="str">
        <f>IFERROR(INDEX(刷條碼區!D:G,MATCH(點上線資訊!S401,刷條碼區!F:F,0),1),"")</f>
        <v/>
      </c>
      <c r="AA401" s="71" t="str">
        <f>IFERROR(INDEX(刷條碼區!D:G,MATCH(點上線資訊!S401,刷條碼區!F:F,0),2),"")</f>
        <v/>
      </c>
      <c r="AB401" s="20" t="b">
        <f t="shared" si="38"/>
        <v>0</v>
      </c>
      <c r="AC401" s="20" t="b">
        <f t="shared" si="39"/>
        <v>0</v>
      </c>
      <c r="AD401" s="17" t="b">
        <f t="shared" si="40"/>
        <v>0</v>
      </c>
      <c r="AE401" s="17" t="b">
        <f t="shared" si="41"/>
        <v>0</v>
      </c>
    </row>
    <row r="402" spans="1:31" x14ac:dyDescent="0.2">
      <c r="A402" s="16">
        <v>5000494535</v>
      </c>
      <c r="B402" t="s">
        <v>6</v>
      </c>
      <c r="C402" t="s">
        <v>6</v>
      </c>
      <c r="D402" t="s">
        <v>1</v>
      </c>
      <c r="E402" t="s">
        <v>939</v>
      </c>
      <c r="F402" t="s">
        <v>940</v>
      </c>
      <c r="G402" s="2">
        <v>7</v>
      </c>
      <c r="H402" t="s">
        <v>461</v>
      </c>
      <c r="I402" t="s">
        <v>3</v>
      </c>
      <c r="J402" t="s">
        <v>8</v>
      </c>
      <c r="K402" t="s">
        <v>605</v>
      </c>
      <c r="L402" t="s">
        <v>608</v>
      </c>
      <c r="M402" t="s">
        <v>418</v>
      </c>
      <c r="N402" t="s">
        <v>602</v>
      </c>
      <c r="O402" t="s">
        <v>603</v>
      </c>
      <c r="P402" t="s">
        <v>602</v>
      </c>
      <c r="Q402" s="17">
        <f>IFERROR(VLOOKUP(A402,已除帳印單!B:C,1,0),0)*1</f>
        <v>0</v>
      </c>
      <c r="R402" s="67" t="str">
        <f>IFERROR(VLOOKUP(J402,線別!A:B,2,1),"")</f>
        <v>裝一線</v>
      </c>
      <c r="S402" s="17" t="str">
        <f>IFERROR(VLOOKUP(A402,已除帳印單!B:C,2,0),"")</f>
        <v/>
      </c>
      <c r="T402" s="68">
        <f t="shared" si="42"/>
        <v>43893</v>
      </c>
      <c r="U402" s="69">
        <f t="shared" si="43"/>
        <v>84.168784722222213</v>
      </c>
      <c r="V402" s="68" t="str">
        <f>IFERROR(VLOOKUP(A402,已除帳印單!B:D,3,0),"")</f>
        <v/>
      </c>
      <c r="W402" s="69" t="str">
        <f>IFERROR(VLOOKUP(A402,已除帳印單!B:E,4,0),"")</f>
        <v/>
      </c>
      <c r="X402" s="68" t="str">
        <f>IFERROR(INDEX(刷條碼區!A:C,MATCH(點上線資訊!S402,刷條碼區!C:C,0),1),"")</f>
        <v/>
      </c>
      <c r="Y402" s="69" t="str">
        <f>IFERROR(INDEX(刷條碼區!A:C,MATCH(點上線資訊!S402,刷條碼區!C:C,0),2),"")</f>
        <v/>
      </c>
      <c r="Z402" s="70" t="str">
        <f>IFERROR(INDEX(刷條碼區!D:G,MATCH(點上線資訊!S402,刷條碼區!F:F,0),1),"")</f>
        <v/>
      </c>
      <c r="AA402" s="71" t="str">
        <f>IFERROR(INDEX(刷條碼區!D:G,MATCH(點上線資訊!S402,刷條碼區!F:F,0),2),"")</f>
        <v/>
      </c>
      <c r="AB402" s="20" t="b">
        <f t="shared" si="38"/>
        <v>0</v>
      </c>
      <c r="AC402" s="20" t="b">
        <f t="shared" si="39"/>
        <v>0</v>
      </c>
      <c r="AD402" s="17" t="b">
        <f t="shared" si="40"/>
        <v>0</v>
      </c>
      <c r="AE402" s="17" t="b">
        <f t="shared" si="41"/>
        <v>0</v>
      </c>
    </row>
    <row r="403" spans="1:31" x14ac:dyDescent="0.2">
      <c r="A403" s="16">
        <v>5000494537</v>
      </c>
      <c r="B403" t="s">
        <v>6</v>
      </c>
      <c r="C403" t="s">
        <v>6</v>
      </c>
      <c r="D403" t="s">
        <v>1</v>
      </c>
      <c r="E403" t="s">
        <v>941</v>
      </c>
      <c r="F403" t="s">
        <v>942</v>
      </c>
      <c r="G403" s="2">
        <v>2</v>
      </c>
      <c r="H403" t="s">
        <v>461</v>
      </c>
      <c r="I403" t="s">
        <v>3</v>
      </c>
      <c r="J403" t="s">
        <v>8</v>
      </c>
      <c r="K403" t="s">
        <v>605</v>
      </c>
      <c r="L403" t="s">
        <v>608</v>
      </c>
      <c r="M403" t="s">
        <v>402</v>
      </c>
      <c r="N403" t="s">
        <v>602</v>
      </c>
      <c r="O403" t="s">
        <v>603</v>
      </c>
      <c r="P403" t="s">
        <v>602</v>
      </c>
      <c r="Q403" s="17">
        <f>IFERROR(VLOOKUP(A403,已除帳印單!B:C,1,0),0)*1</f>
        <v>0</v>
      </c>
      <c r="R403" s="67" t="str">
        <f>IFERROR(VLOOKUP(J403,線別!A:B,2,1),"")</f>
        <v>裝一線</v>
      </c>
      <c r="S403" s="17" t="str">
        <f>IFERROR(VLOOKUP(A403,已除帳印單!B:C,2,0),"")</f>
        <v/>
      </c>
      <c r="T403" s="68">
        <f t="shared" si="42"/>
        <v>43893</v>
      </c>
      <c r="U403" s="69">
        <f t="shared" si="43"/>
        <v>84.168784722222213</v>
      </c>
      <c r="V403" s="68" t="str">
        <f>IFERROR(VLOOKUP(A403,已除帳印單!B:D,3,0),"")</f>
        <v/>
      </c>
      <c r="W403" s="69" t="str">
        <f>IFERROR(VLOOKUP(A403,已除帳印單!B:E,4,0),"")</f>
        <v/>
      </c>
      <c r="X403" s="68" t="str">
        <f>IFERROR(INDEX(刷條碼區!A:C,MATCH(點上線資訊!S403,刷條碼區!C:C,0),1),"")</f>
        <v/>
      </c>
      <c r="Y403" s="69" t="str">
        <f>IFERROR(INDEX(刷條碼區!A:C,MATCH(點上線資訊!S403,刷條碼區!C:C,0),2),"")</f>
        <v/>
      </c>
      <c r="Z403" s="70" t="str">
        <f>IFERROR(INDEX(刷條碼區!D:G,MATCH(點上線資訊!S403,刷條碼區!F:F,0),1),"")</f>
        <v/>
      </c>
      <c r="AA403" s="71" t="str">
        <f>IFERROR(INDEX(刷條碼區!D:G,MATCH(點上線資訊!S403,刷條碼區!F:F,0),2),"")</f>
        <v/>
      </c>
      <c r="AB403" s="20" t="b">
        <f t="shared" si="38"/>
        <v>0</v>
      </c>
      <c r="AC403" s="20" t="b">
        <f t="shared" si="39"/>
        <v>0</v>
      </c>
      <c r="AD403" s="17" t="b">
        <f t="shared" si="40"/>
        <v>0</v>
      </c>
      <c r="AE403" s="17" t="b">
        <f t="shared" si="41"/>
        <v>0</v>
      </c>
    </row>
    <row r="404" spans="1:31" x14ac:dyDescent="0.2">
      <c r="A404" s="16">
        <v>5000494539</v>
      </c>
      <c r="B404" t="s">
        <v>6</v>
      </c>
      <c r="C404" t="s">
        <v>6</v>
      </c>
      <c r="D404" t="s">
        <v>1</v>
      </c>
      <c r="E404" t="s">
        <v>943</v>
      </c>
      <c r="F404" t="s">
        <v>944</v>
      </c>
      <c r="G404" s="2">
        <v>6</v>
      </c>
      <c r="H404" t="s">
        <v>461</v>
      </c>
      <c r="I404" t="s">
        <v>3</v>
      </c>
      <c r="J404" t="s">
        <v>8</v>
      </c>
      <c r="K404" t="s">
        <v>605</v>
      </c>
      <c r="L404" t="s">
        <v>608</v>
      </c>
      <c r="M404" t="s">
        <v>405</v>
      </c>
      <c r="N404" t="s">
        <v>602</v>
      </c>
      <c r="O404" t="s">
        <v>603</v>
      </c>
      <c r="P404" t="s">
        <v>602</v>
      </c>
      <c r="Q404" s="17">
        <f>IFERROR(VLOOKUP(A404,已除帳印單!B:C,1,0),0)*1</f>
        <v>0</v>
      </c>
      <c r="R404" s="67" t="str">
        <f>IFERROR(VLOOKUP(J404,線別!A:B,2,1),"")</f>
        <v>裝一線</v>
      </c>
      <c r="S404" s="17" t="str">
        <f>IFERROR(VLOOKUP(A404,已除帳印單!B:C,2,0),"")</f>
        <v/>
      </c>
      <c r="T404" s="68">
        <f t="shared" si="42"/>
        <v>43893</v>
      </c>
      <c r="U404" s="69">
        <f t="shared" si="43"/>
        <v>84.168784722222213</v>
      </c>
      <c r="V404" s="68" t="str">
        <f>IFERROR(VLOOKUP(A404,已除帳印單!B:D,3,0),"")</f>
        <v/>
      </c>
      <c r="W404" s="69" t="str">
        <f>IFERROR(VLOOKUP(A404,已除帳印單!B:E,4,0),"")</f>
        <v/>
      </c>
      <c r="X404" s="68" t="str">
        <f>IFERROR(INDEX(刷條碼區!A:C,MATCH(點上線資訊!S404,刷條碼區!C:C,0),1),"")</f>
        <v/>
      </c>
      <c r="Y404" s="69" t="str">
        <f>IFERROR(INDEX(刷條碼區!A:C,MATCH(點上線資訊!S404,刷條碼區!C:C,0),2),"")</f>
        <v/>
      </c>
      <c r="Z404" s="70" t="str">
        <f>IFERROR(INDEX(刷條碼區!D:G,MATCH(點上線資訊!S404,刷條碼區!F:F,0),1),"")</f>
        <v/>
      </c>
      <c r="AA404" s="71" t="str">
        <f>IFERROR(INDEX(刷條碼區!D:G,MATCH(點上線資訊!S404,刷條碼區!F:F,0),2),"")</f>
        <v/>
      </c>
      <c r="AB404" s="20" t="b">
        <f t="shared" si="38"/>
        <v>0</v>
      </c>
      <c r="AC404" s="20" t="b">
        <f t="shared" si="39"/>
        <v>0</v>
      </c>
      <c r="AD404" s="17" t="b">
        <f t="shared" si="40"/>
        <v>0</v>
      </c>
      <c r="AE404" s="17" t="b">
        <f t="shared" si="41"/>
        <v>0</v>
      </c>
    </row>
    <row r="405" spans="1:31" x14ac:dyDescent="0.2">
      <c r="A405" s="16">
        <v>5000497320</v>
      </c>
      <c r="B405" t="s">
        <v>6</v>
      </c>
      <c r="C405" t="s">
        <v>6</v>
      </c>
      <c r="D405" t="s">
        <v>1</v>
      </c>
      <c r="E405" t="s">
        <v>522</v>
      </c>
      <c r="F405" t="s">
        <v>523</v>
      </c>
      <c r="G405" s="2">
        <v>2</v>
      </c>
      <c r="H405" t="s">
        <v>461</v>
      </c>
      <c r="I405" t="s">
        <v>3</v>
      </c>
      <c r="J405" t="s">
        <v>8</v>
      </c>
      <c r="K405" t="s">
        <v>605</v>
      </c>
      <c r="L405" t="s">
        <v>608</v>
      </c>
      <c r="M405" t="s">
        <v>405</v>
      </c>
      <c r="N405" t="s">
        <v>602</v>
      </c>
      <c r="O405" t="s">
        <v>603</v>
      </c>
      <c r="P405" t="s">
        <v>602</v>
      </c>
      <c r="Q405" s="17">
        <f>IFERROR(VLOOKUP(A405,已除帳印單!B:C,1,0),0)*1</f>
        <v>0</v>
      </c>
      <c r="R405" s="67" t="str">
        <f>IFERROR(VLOOKUP(J405,線別!A:B,2,1),"")</f>
        <v>裝一線</v>
      </c>
      <c r="S405" s="17" t="str">
        <f>IFERROR(VLOOKUP(A405,已除帳印單!B:C,2,0),"")</f>
        <v/>
      </c>
      <c r="T405" s="68">
        <f t="shared" si="42"/>
        <v>43893</v>
      </c>
      <c r="U405" s="69">
        <f t="shared" si="43"/>
        <v>84.168784722222213</v>
      </c>
      <c r="V405" s="68" t="str">
        <f>IFERROR(VLOOKUP(A405,已除帳印單!B:D,3,0),"")</f>
        <v/>
      </c>
      <c r="W405" s="69" t="str">
        <f>IFERROR(VLOOKUP(A405,已除帳印單!B:E,4,0),"")</f>
        <v/>
      </c>
      <c r="X405" s="68" t="str">
        <f>IFERROR(INDEX(刷條碼區!A:C,MATCH(點上線資訊!S405,刷條碼區!C:C,0),1),"")</f>
        <v/>
      </c>
      <c r="Y405" s="69" t="str">
        <f>IFERROR(INDEX(刷條碼區!A:C,MATCH(點上線資訊!S405,刷條碼區!C:C,0),2),"")</f>
        <v/>
      </c>
      <c r="Z405" s="70" t="str">
        <f>IFERROR(INDEX(刷條碼區!D:G,MATCH(點上線資訊!S405,刷條碼區!F:F,0),1),"")</f>
        <v/>
      </c>
      <c r="AA405" s="71" t="str">
        <f>IFERROR(INDEX(刷條碼區!D:G,MATCH(點上線資訊!S405,刷條碼區!F:F,0),2),"")</f>
        <v/>
      </c>
      <c r="AB405" s="20" t="b">
        <f t="shared" si="38"/>
        <v>0</v>
      </c>
      <c r="AC405" s="20" t="b">
        <f t="shared" si="39"/>
        <v>0</v>
      </c>
      <c r="AD405" s="17" t="b">
        <f t="shared" si="40"/>
        <v>0</v>
      </c>
      <c r="AE405" s="17" t="b">
        <f t="shared" si="41"/>
        <v>0</v>
      </c>
    </row>
    <row r="406" spans="1:31" x14ac:dyDescent="0.2">
      <c r="A406" s="16">
        <v>5000497320</v>
      </c>
      <c r="B406" t="s">
        <v>301</v>
      </c>
      <c r="C406" t="s">
        <v>301</v>
      </c>
      <c r="D406" t="s">
        <v>1</v>
      </c>
      <c r="E406" t="s">
        <v>522</v>
      </c>
      <c r="F406" t="s">
        <v>523</v>
      </c>
      <c r="G406" s="2">
        <v>2</v>
      </c>
      <c r="H406" t="s">
        <v>461</v>
      </c>
      <c r="I406" t="s">
        <v>3</v>
      </c>
      <c r="J406" t="s">
        <v>8</v>
      </c>
      <c r="K406" t="s">
        <v>602</v>
      </c>
      <c r="L406" t="s">
        <v>603</v>
      </c>
      <c r="M406" t="s">
        <v>602</v>
      </c>
      <c r="N406" t="s">
        <v>602</v>
      </c>
      <c r="O406" t="s">
        <v>603</v>
      </c>
      <c r="P406" t="s">
        <v>602</v>
      </c>
      <c r="Q406" s="17">
        <f>IFERROR(VLOOKUP(A406,已除帳印單!B:C,1,0),0)*1</f>
        <v>0</v>
      </c>
      <c r="R406" s="67" t="str">
        <f>IFERROR(VLOOKUP(J406,線別!A:B,2,1),"")</f>
        <v>裝一線</v>
      </c>
      <c r="S406" s="17" t="str">
        <f>IFERROR(VLOOKUP(A406,已除帳印單!B:C,2,0),"")</f>
        <v/>
      </c>
      <c r="T406" s="68">
        <f t="shared" si="42"/>
        <v>43894</v>
      </c>
      <c r="U406" s="69">
        <f t="shared" si="43"/>
        <v>84.168796296296293</v>
      </c>
      <c r="V406" s="68" t="str">
        <f>IFERROR(VLOOKUP(A406,已除帳印單!B:D,3,0),"")</f>
        <v/>
      </c>
      <c r="W406" s="69" t="str">
        <f>IFERROR(VLOOKUP(A406,已除帳印單!B:E,4,0),"")</f>
        <v/>
      </c>
      <c r="X406" s="68" t="str">
        <f>IFERROR(INDEX(刷條碼區!A:C,MATCH(點上線資訊!S406,刷條碼區!C:C,0),1),"")</f>
        <v/>
      </c>
      <c r="Y406" s="69" t="str">
        <f>IFERROR(INDEX(刷條碼區!A:C,MATCH(點上線資訊!S406,刷條碼區!C:C,0),2),"")</f>
        <v/>
      </c>
      <c r="Z406" s="70" t="str">
        <f>IFERROR(INDEX(刷條碼區!D:G,MATCH(點上線資訊!S406,刷條碼區!F:F,0),1),"")</f>
        <v/>
      </c>
      <c r="AA406" s="71" t="str">
        <f>IFERROR(INDEX(刷條碼區!D:G,MATCH(點上線資訊!S406,刷條碼區!F:F,0),2),"")</f>
        <v/>
      </c>
      <c r="AB406" s="20">
        <f t="shared" si="38"/>
        <v>2</v>
      </c>
      <c r="AC406" s="20" t="b">
        <f t="shared" si="39"/>
        <v>0</v>
      </c>
      <c r="AD406" s="17" t="b">
        <f t="shared" si="40"/>
        <v>0</v>
      </c>
      <c r="AE406" s="17" t="b">
        <f t="shared" si="41"/>
        <v>0</v>
      </c>
    </row>
    <row r="407" spans="1:31" x14ac:dyDescent="0.2">
      <c r="A407" s="16">
        <v>5000497321</v>
      </c>
      <c r="B407" t="s">
        <v>301</v>
      </c>
      <c r="C407" t="s">
        <v>301</v>
      </c>
      <c r="D407" t="s">
        <v>1</v>
      </c>
      <c r="E407" t="s">
        <v>524</v>
      </c>
      <c r="F407" t="s">
        <v>525</v>
      </c>
      <c r="G407" s="2">
        <v>9</v>
      </c>
      <c r="H407" t="s">
        <v>461</v>
      </c>
      <c r="I407" t="s">
        <v>3</v>
      </c>
      <c r="J407" t="s">
        <v>8</v>
      </c>
      <c r="K407" t="s">
        <v>602</v>
      </c>
      <c r="L407" t="s">
        <v>603</v>
      </c>
      <c r="M407" t="s">
        <v>602</v>
      </c>
      <c r="N407" t="s">
        <v>602</v>
      </c>
      <c r="O407" t="s">
        <v>603</v>
      </c>
      <c r="P407" t="s">
        <v>602</v>
      </c>
      <c r="Q407" s="17">
        <f>IFERROR(VLOOKUP(A407,已除帳印單!B:C,1,0),0)*1</f>
        <v>0</v>
      </c>
      <c r="R407" s="67" t="str">
        <f>IFERROR(VLOOKUP(J407,線別!A:B,2,1),"")</f>
        <v>裝一線</v>
      </c>
      <c r="S407" s="17" t="str">
        <f>IFERROR(VLOOKUP(A407,已除帳印單!B:C,2,0),"")</f>
        <v/>
      </c>
      <c r="T407" s="68">
        <f t="shared" si="42"/>
        <v>43894</v>
      </c>
      <c r="U407" s="69">
        <f t="shared" si="43"/>
        <v>84.168796296296293</v>
      </c>
      <c r="V407" s="68" t="str">
        <f>IFERROR(VLOOKUP(A407,已除帳印單!B:D,3,0),"")</f>
        <v/>
      </c>
      <c r="W407" s="69" t="str">
        <f>IFERROR(VLOOKUP(A407,已除帳印單!B:E,4,0),"")</f>
        <v/>
      </c>
      <c r="X407" s="68" t="str">
        <f>IFERROR(INDEX(刷條碼區!A:C,MATCH(點上線資訊!S407,刷條碼區!C:C,0),1),"")</f>
        <v/>
      </c>
      <c r="Y407" s="69" t="str">
        <f>IFERROR(INDEX(刷條碼區!A:C,MATCH(點上線資訊!S407,刷條碼區!C:C,0),2),"")</f>
        <v/>
      </c>
      <c r="Z407" s="70" t="str">
        <f>IFERROR(INDEX(刷條碼區!D:G,MATCH(點上線資訊!S407,刷條碼區!F:F,0),1),"")</f>
        <v/>
      </c>
      <c r="AA407" s="71" t="str">
        <f>IFERROR(INDEX(刷條碼區!D:G,MATCH(點上線資訊!S407,刷條碼區!F:F,0),2),"")</f>
        <v/>
      </c>
      <c r="AB407" s="20">
        <f t="shared" si="38"/>
        <v>9</v>
      </c>
      <c r="AC407" s="20" t="b">
        <f t="shared" si="39"/>
        <v>0</v>
      </c>
      <c r="AD407" s="17" t="b">
        <f t="shared" si="40"/>
        <v>0</v>
      </c>
      <c r="AE407" s="17" t="b">
        <f t="shared" si="41"/>
        <v>0</v>
      </c>
    </row>
    <row r="408" spans="1:31" x14ac:dyDescent="0.2">
      <c r="A408" s="16">
        <v>5000497322</v>
      </c>
      <c r="B408" t="s">
        <v>301</v>
      </c>
      <c r="C408" t="s">
        <v>301</v>
      </c>
      <c r="D408" t="s">
        <v>1</v>
      </c>
      <c r="E408" t="s">
        <v>526</v>
      </c>
      <c r="F408" t="s">
        <v>527</v>
      </c>
      <c r="G408" s="2">
        <v>10</v>
      </c>
      <c r="H408" t="s">
        <v>461</v>
      </c>
      <c r="I408" t="s">
        <v>3</v>
      </c>
      <c r="J408" t="s">
        <v>8</v>
      </c>
      <c r="K408" t="s">
        <v>602</v>
      </c>
      <c r="L408" t="s">
        <v>603</v>
      </c>
      <c r="M408" t="s">
        <v>602</v>
      </c>
      <c r="N408" t="s">
        <v>602</v>
      </c>
      <c r="O408" t="s">
        <v>603</v>
      </c>
      <c r="P408" t="s">
        <v>602</v>
      </c>
      <c r="Q408" s="17">
        <f>IFERROR(VLOOKUP(A408,已除帳印單!B:C,1,0),0)*1</f>
        <v>0</v>
      </c>
      <c r="R408" s="67" t="str">
        <f>IFERROR(VLOOKUP(J408,線別!A:B,2,1),"")</f>
        <v>裝一線</v>
      </c>
      <c r="S408" s="17" t="str">
        <f>IFERROR(VLOOKUP(A408,已除帳印單!B:C,2,0),"")</f>
        <v/>
      </c>
      <c r="T408" s="68">
        <f t="shared" si="42"/>
        <v>43894</v>
      </c>
      <c r="U408" s="69">
        <f t="shared" si="43"/>
        <v>84.168796296296293</v>
      </c>
      <c r="V408" s="68" t="str">
        <f>IFERROR(VLOOKUP(A408,已除帳印單!B:D,3,0),"")</f>
        <v/>
      </c>
      <c r="W408" s="69" t="str">
        <f>IFERROR(VLOOKUP(A408,已除帳印單!B:E,4,0),"")</f>
        <v/>
      </c>
      <c r="X408" s="68" t="str">
        <f>IFERROR(INDEX(刷條碼區!A:C,MATCH(點上線資訊!S408,刷條碼區!C:C,0),1),"")</f>
        <v/>
      </c>
      <c r="Y408" s="69" t="str">
        <f>IFERROR(INDEX(刷條碼區!A:C,MATCH(點上線資訊!S408,刷條碼區!C:C,0),2),"")</f>
        <v/>
      </c>
      <c r="Z408" s="70" t="str">
        <f>IFERROR(INDEX(刷條碼區!D:G,MATCH(點上線資訊!S408,刷條碼區!F:F,0),1),"")</f>
        <v/>
      </c>
      <c r="AA408" s="71" t="str">
        <f>IFERROR(INDEX(刷條碼區!D:G,MATCH(點上線資訊!S408,刷條碼區!F:F,0),2),"")</f>
        <v/>
      </c>
      <c r="AB408" s="20">
        <f t="shared" si="38"/>
        <v>10</v>
      </c>
      <c r="AC408" s="20" t="b">
        <f t="shared" si="39"/>
        <v>0</v>
      </c>
      <c r="AD408" s="17" t="b">
        <f t="shared" si="40"/>
        <v>0</v>
      </c>
      <c r="AE408" s="17" t="b">
        <f t="shared" si="41"/>
        <v>0</v>
      </c>
    </row>
    <row r="409" spans="1:31" x14ac:dyDescent="0.2">
      <c r="A409" s="16">
        <v>5000497324</v>
      </c>
      <c r="B409" t="s">
        <v>6</v>
      </c>
      <c r="C409" t="s">
        <v>6</v>
      </c>
      <c r="D409" t="s">
        <v>1</v>
      </c>
      <c r="E409" t="s">
        <v>945</v>
      </c>
      <c r="F409" t="s">
        <v>938</v>
      </c>
      <c r="G409" s="2">
        <v>10</v>
      </c>
      <c r="H409" t="s">
        <v>461</v>
      </c>
      <c r="I409" t="s">
        <v>3</v>
      </c>
      <c r="J409" t="s">
        <v>8</v>
      </c>
      <c r="K409" t="s">
        <v>605</v>
      </c>
      <c r="L409" t="s">
        <v>608</v>
      </c>
      <c r="M409" t="s">
        <v>402</v>
      </c>
      <c r="N409" t="s">
        <v>602</v>
      </c>
      <c r="O409" t="s">
        <v>603</v>
      </c>
      <c r="P409" t="s">
        <v>602</v>
      </c>
      <c r="Q409" s="17">
        <f>IFERROR(VLOOKUP(A409,已除帳印單!B:C,1,0),0)*1</f>
        <v>0</v>
      </c>
      <c r="R409" s="67" t="str">
        <f>IFERROR(VLOOKUP(J409,線別!A:B,2,1),"")</f>
        <v>裝一線</v>
      </c>
      <c r="S409" s="17" t="str">
        <f>IFERROR(VLOOKUP(A409,已除帳印單!B:C,2,0),"")</f>
        <v/>
      </c>
      <c r="T409" s="68">
        <f t="shared" si="42"/>
        <v>43893</v>
      </c>
      <c r="U409" s="69">
        <f t="shared" si="43"/>
        <v>84.168784722222213</v>
      </c>
      <c r="V409" s="68" t="str">
        <f>IFERROR(VLOOKUP(A409,已除帳印單!B:D,3,0),"")</f>
        <v/>
      </c>
      <c r="W409" s="69" t="str">
        <f>IFERROR(VLOOKUP(A409,已除帳印單!B:E,4,0),"")</f>
        <v/>
      </c>
      <c r="X409" s="68" t="str">
        <f>IFERROR(INDEX(刷條碼區!A:C,MATCH(點上線資訊!S409,刷條碼區!C:C,0),1),"")</f>
        <v/>
      </c>
      <c r="Y409" s="69" t="str">
        <f>IFERROR(INDEX(刷條碼區!A:C,MATCH(點上線資訊!S409,刷條碼區!C:C,0),2),"")</f>
        <v/>
      </c>
      <c r="Z409" s="70" t="str">
        <f>IFERROR(INDEX(刷條碼區!D:G,MATCH(點上線資訊!S409,刷條碼區!F:F,0),1),"")</f>
        <v/>
      </c>
      <c r="AA409" s="71" t="str">
        <f>IFERROR(INDEX(刷條碼區!D:G,MATCH(點上線資訊!S409,刷條碼區!F:F,0),2),"")</f>
        <v/>
      </c>
      <c r="AB409" s="20" t="b">
        <f t="shared" si="38"/>
        <v>0</v>
      </c>
      <c r="AC409" s="20" t="b">
        <f t="shared" si="39"/>
        <v>0</v>
      </c>
      <c r="AD409" s="17" t="b">
        <f t="shared" si="40"/>
        <v>0</v>
      </c>
      <c r="AE409" s="17" t="b">
        <f t="shared" si="41"/>
        <v>0</v>
      </c>
    </row>
    <row r="410" spans="1:31" x14ac:dyDescent="0.2">
      <c r="A410" s="16">
        <v>5000497325</v>
      </c>
      <c r="B410" t="s">
        <v>0</v>
      </c>
      <c r="C410" t="s">
        <v>0</v>
      </c>
      <c r="D410" t="s">
        <v>1</v>
      </c>
      <c r="E410" t="s">
        <v>946</v>
      </c>
      <c r="F410" t="s">
        <v>947</v>
      </c>
      <c r="G410" s="2">
        <v>10</v>
      </c>
      <c r="H410" t="s">
        <v>461</v>
      </c>
      <c r="I410" t="s">
        <v>3</v>
      </c>
      <c r="J410" t="s">
        <v>19</v>
      </c>
      <c r="K410" t="s">
        <v>605</v>
      </c>
      <c r="L410" t="s">
        <v>608</v>
      </c>
      <c r="M410" t="s">
        <v>948</v>
      </c>
      <c r="N410" t="s">
        <v>602</v>
      </c>
      <c r="O410" t="s">
        <v>603</v>
      </c>
      <c r="P410" t="s">
        <v>602</v>
      </c>
      <c r="Q410" s="17">
        <f>IFERROR(VLOOKUP(A410,已除帳印單!B:C,1,0),0)*1</f>
        <v>0</v>
      </c>
      <c r="R410" s="67" t="str">
        <f>IFERROR(VLOOKUP(J410,線別!A:B,2,1),"")</f>
        <v>FM_IA預組</v>
      </c>
      <c r="S410" s="17" t="str">
        <f>IFERROR(VLOOKUP(A410,已除帳印單!B:C,2,0),"")</f>
        <v/>
      </c>
      <c r="T410" s="68">
        <f t="shared" si="42"/>
        <v>43892</v>
      </c>
      <c r="U410" s="69">
        <f t="shared" si="43"/>
        <v>84.168773148148148</v>
      </c>
      <c r="V410" s="68" t="str">
        <f>IFERROR(VLOOKUP(A410,已除帳印單!B:D,3,0),"")</f>
        <v/>
      </c>
      <c r="W410" s="69" t="str">
        <f>IFERROR(VLOOKUP(A410,已除帳印單!B:E,4,0),"")</f>
        <v/>
      </c>
      <c r="X410" s="68" t="str">
        <f>IFERROR(INDEX(刷條碼區!A:C,MATCH(點上線資訊!S410,刷條碼區!C:C,0),1),"")</f>
        <v/>
      </c>
      <c r="Y410" s="69" t="str">
        <f>IFERROR(INDEX(刷條碼區!A:C,MATCH(點上線資訊!S410,刷條碼區!C:C,0),2),"")</f>
        <v/>
      </c>
      <c r="Z410" s="70" t="str">
        <f>IFERROR(INDEX(刷條碼區!D:G,MATCH(點上線資訊!S410,刷條碼區!F:F,0),1),"")</f>
        <v/>
      </c>
      <c r="AA410" s="71" t="str">
        <f>IFERROR(INDEX(刷條碼區!D:G,MATCH(點上線資訊!S410,刷條碼區!F:F,0),2),"")</f>
        <v/>
      </c>
      <c r="AB410" s="20" t="b">
        <f t="shared" si="38"/>
        <v>0</v>
      </c>
      <c r="AC410" s="20" t="b">
        <f t="shared" si="39"/>
        <v>0</v>
      </c>
      <c r="AD410" s="17" t="b">
        <f t="shared" si="40"/>
        <v>0</v>
      </c>
      <c r="AE410" s="17" t="b">
        <f t="shared" si="41"/>
        <v>0</v>
      </c>
    </row>
    <row r="411" spans="1:31" x14ac:dyDescent="0.2">
      <c r="A411" s="16">
        <v>5000497327</v>
      </c>
      <c r="B411" t="s">
        <v>301</v>
      </c>
      <c r="C411" t="s">
        <v>301</v>
      </c>
      <c r="D411" t="s">
        <v>1</v>
      </c>
      <c r="E411" t="s">
        <v>383</v>
      </c>
      <c r="F411" t="s">
        <v>949</v>
      </c>
      <c r="G411" s="2">
        <v>3</v>
      </c>
      <c r="H411" t="s">
        <v>461</v>
      </c>
      <c r="I411" t="s">
        <v>3</v>
      </c>
      <c r="J411" t="s">
        <v>19</v>
      </c>
      <c r="K411" t="s">
        <v>605</v>
      </c>
      <c r="L411" t="s">
        <v>608</v>
      </c>
      <c r="M411" t="s">
        <v>950</v>
      </c>
      <c r="N411" t="s">
        <v>602</v>
      </c>
      <c r="O411" t="s">
        <v>603</v>
      </c>
      <c r="P411" t="s">
        <v>602</v>
      </c>
      <c r="Q411" s="17">
        <f>IFERROR(VLOOKUP(A411,已除帳印單!B:C,1,0),0)*1</f>
        <v>0</v>
      </c>
      <c r="R411" s="67" t="str">
        <f>IFERROR(VLOOKUP(J411,線別!A:B,2,1),"")</f>
        <v>FM_IA預組</v>
      </c>
      <c r="S411" s="17" t="str">
        <f>IFERROR(VLOOKUP(A411,已除帳印單!B:C,2,0),"")</f>
        <v/>
      </c>
      <c r="T411" s="68">
        <f t="shared" si="42"/>
        <v>43894</v>
      </c>
      <c r="U411" s="69">
        <f t="shared" si="43"/>
        <v>84.168796296296293</v>
      </c>
      <c r="V411" s="68" t="str">
        <f>IFERROR(VLOOKUP(A411,已除帳印單!B:D,3,0),"")</f>
        <v/>
      </c>
      <c r="W411" s="69" t="str">
        <f>IFERROR(VLOOKUP(A411,已除帳印單!B:E,4,0),"")</f>
        <v/>
      </c>
      <c r="X411" s="68" t="str">
        <f>IFERROR(INDEX(刷條碼區!A:C,MATCH(點上線資訊!S411,刷條碼區!C:C,0),1),"")</f>
        <v/>
      </c>
      <c r="Y411" s="69" t="str">
        <f>IFERROR(INDEX(刷條碼區!A:C,MATCH(點上線資訊!S411,刷條碼區!C:C,0),2),"")</f>
        <v/>
      </c>
      <c r="Z411" s="70" t="str">
        <f>IFERROR(INDEX(刷條碼區!D:G,MATCH(點上線資訊!S411,刷條碼區!F:F,0),1),"")</f>
        <v/>
      </c>
      <c r="AA411" s="71" t="str">
        <f>IFERROR(INDEX(刷條碼區!D:G,MATCH(點上線資訊!S411,刷條碼區!F:F,0),2),"")</f>
        <v/>
      </c>
      <c r="AB411" s="20" t="b">
        <f t="shared" si="38"/>
        <v>0</v>
      </c>
      <c r="AC411" s="20" t="b">
        <f t="shared" si="39"/>
        <v>0</v>
      </c>
      <c r="AD411" s="17" t="b">
        <f t="shared" si="40"/>
        <v>0</v>
      </c>
      <c r="AE411" s="17" t="b">
        <f t="shared" si="41"/>
        <v>0</v>
      </c>
    </row>
    <row r="412" spans="1:31" x14ac:dyDescent="0.2">
      <c r="A412" s="16">
        <v>5000497335</v>
      </c>
      <c r="B412" t="s">
        <v>6</v>
      </c>
      <c r="C412" t="s">
        <v>6</v>
      </c>
      <c r="D412" t="s">
        <v>1</v>
      </c>
      <c r="E412" t="s">
        <v>951</v>
      </c>
      <c r="F412" t="s">
        <v>840</v>
      </c>
      <c r="G412" s="2">
        <v>2</v>
      </c>
      <c r="H412" t="s">
        <v>461</v>
      </c>
      <c r="I412" t="s">
        <v>3</v>
      </c>
      <c r="J412" t="s">
        <v>136</v>
      </c>
      <c r="K412" t="s">
        <v>605</v>
      </c>
      <c r="L412" t="s">
        <v>608</v>
      </c>
      <c r="M412" t="s">
        <v>412</v>
      </c>
      <c r="N412" t="s">
        <v>602</v>
      </c>
      <c r="O412" t="s">
        <v>603</v>
      </c>
      <c r="P412" t="s">
        <v>602</v>
      </c>
      <c r="Q412" s="17">
        <f>IFERROR(VLOOKUP(A412,已除帳印單!B:C,1,0),0)*1</f>
        <v>0</v>
      </c>
      <c r="R412" s="67" t="str">
        <f>IFERROR(VLOOKUP(J412,線別!A:B,2,1),"")</f>
        <v>SCB線</v>
      </c>
      <c r="S412" s="17" t="str">
        <f>IFERROR(VLOOKUP(A412,已除帳印單!B:C,2,0),"")</f>
        <v/>
      </c>
      <c r="T412" s="68">
        <f t="shared" si="42"/>
        <v>43893</v>
      </c>
      <c r="U412" s="69">
        <f t="shared" si="43"/>
        <v>84.168784722222213</v>
      </c>
      <c r="V412" s="68" t="str">
        <f>IFERROR(VLOOKUP(A412,已除帳印單!B:D,3,0),"")</f>
        <v/>
      </c>
      <c r="W412" s="69" t="str">
        <f>IFERROR(VLOOKUP(A412,已除帳印單!B:E,4,0),"")</f>
        <v/>
      </c>
      <c r="X412" s="68" t="str">
        <f>IFERROR(INDEX(刷條碼區!A:C,MATCH(點上線資訊!S412,刷條碼區!C:C,0),1),"")</f>
        <v/>
      </c>
      <c r="Y412" s="69" t="str">
        <f>IFERROR(INDEX(刷條碼區!A:C,MATCH(點上線資訊!S412,刷條碼區!C:C,0),2),"")</f>
        <v/>
      </c>
      <c r="Z412" s="70" t="str">
        <f>IFERROR(INDEX(刷條碼區!D:G,MATCH(點上線資訊!S412,刷條碼區!F:F,0),1),"")</f>
        <v/>
      </c>
      <c r="AA412" s="71" t="str">
        <f>IFERROR(INDEX(刷條碼區!D:G,MATCH(點上線資訊!S412,刷條碼區!F:F,0),2),"")</f>
        <v/>
      </c>
      <c r="AB412" s="20" t="b">
        <f t="shared" si="38"/>
        <v>0</v>
      </c>
      <c r="AC412" s="20" t="b">
        <f t="shared" si="39"/>
        <v>0</v>
      </c>
      <c r="AD412" s="17" t="b">
        <f t="shared" si="40"/>
        <v>0</v>
      </c>
      <c r="AE412" s="17" t="b">
        <f t="shared" si="41"/>
        <v>0</v>
      </c>
    </row>
    <row r="413" spans="1:31" x14ac:dyDescent="0.2">
      <c r="A413" s="16">
        <v>5000497337</v>
      </c>
      <c r="B413" t="s">
        <v>0</v>
      </c>
      <c r="C413" t="s">
        <v>0</v>
      </c>
      <c r="D413" t="s">
        <v>1</v>
      </c>
      <c r="E413" t="s">
        <v>952</v>
      </c>
      <c r="F413" t="s">
        <v>953</v>
      </c>
      <c r="G413" s="2">
        <v>5</v>
      </c>
      <c r="H413" t="s">
        <v>461</v>
      </c>
      <c r="I413" t="s">
        <v>3</v>
      </c>
      <c r="J413" t="s">
        <v>5</v>
      </c>
      <c r="K413" t="s">
        <v>605</v>
      </c>
      <c r="L413" t="s">
        <v>608</v>
      </c>
      <c r="M413" t="s">
        <v>954</v>
      </c>
      <c r="N413" t="s">
        <v>602</v>
      </c>
      <c r="O413" t="s">
        <v>603</v>
      </c>
      <c r="P413" t="s">
        <v>602</v>
      </c>
      <c r="Q413" s="17">
        <f>IFERROR(VLOOKUP(A413,已除帳印單!B:C,1,0),0)*1</f>
        <v>0</v>
      </c>
      <c r="R413" s="67" t="str">
        <f>IFERROR(VLOOKUP(J413,線別!A:B,2,1),"")</f>
        <v>FM線</v>
      </c>
      <c r="S413" s="17" t="str">
        <f>IFERROR(VLOOKUP(A413,已除帳印單!B:C,2,0),"")</f>
        <v/>
      </c>
      <c r="T413" s="68">
        <f t="shared" si="42"/>
        <v>43892</v>
      </c>
      <c r="U413" s="69">
        <f t="shared" si="43"/>
        <v>84.168773148148148</v>
      </c>
      <c r="V413" s="68" t="str">
        <f>IFERROR(VLOOKUP(A413,已除帳印單!B:D,3,0),"")</f>
        <v/>
      </c>
      <c r="W413" s="69" t="str">
        <f>IFERROR(VLOOKUP(A413,已除帳印單!B:E,4,0),"")</f>
        <v/>
      </c>
      <c r="X413" s="68" t="str">
        <f>IFERROR(INDEX(刷條碼區!A:C,MATCH(點上線資訊!S413,刷條碼區!C:C,0),1),"")</f>
        <v/>
      </c>
      <c r="Y413" s="69" t="str">
        <f>IFERROR(INDEX(刷條碼區!A:C,MATCH(點上線資訊!S413,刷條碼區!C:C,0),2),"")</f>
        <v/>
      </c>
      <c r="Z413" s="70" t="str">
        <f>IFERROR(INDEX(刷條碼區!D:G,MATCH(點上線資訊!S413,刷條碼區!F:F,0),1),"")</f>
        <v/>
      </c>
      <c r="AA413" s="71" t="str">
        <f>IFERROR(INDEX(刷條碼區!D:G,MATCH(點上線資訊!S413,刷條碼區!F:F,0),2),"")</f>
        <v/>
      </c>
      <c r="AB413" s="20" t="b">
        <f t="shared" si="38"/>
        <v>0</v>
      </c>
      <c r="AC413" s="20" t="b">
        <f t="shared" si="39"/>
        <v>0</v>
      </c>
      <c r="AD413" s="17" t="b">
        <f t="shared" si="40"/>
        <v>0</v>
      </c>
      <c r="AE413" s="17" t="b">
        <f t="shared" si="41"/>
        <v>0</v>
      </c>
    </row>
    <row r="414" spans="1:31" x14ac:dyDescent="0.2">
      <c r="A414" s="16">
        <v>5000497340</v>
      </c>
      <c r="B414" t="s">
        <v>6</v>
      </c>
      <c r="C414" t="s">
        <v>6</v>
      </c>
      <c r="D414" t="s">
        <v>1</v>
      </c>
      <c r="E414" t="s">
        <v>955</v>
      </c>
      <c r="F414" t="s">
        <v>840</v>
      </c>
      <c r="G414" s="2">
        <v>1</v>
      </c>
      <c r="H414" t="s">
        <v>461</v>
      </c>
      <c r="I414" t="s">
        <v>3</v>
      </c>
      <c r="J414" t="s">
        <v>136</v>
      </c>
      <c r="K414" t="s">
        <v>605</v>
      </c>
      <c r="L414" t="s">
        <v>608</v>
      </c>
      <c r="M414" t="s">
        <v>412</v>
      </c>
      <c r="N414" t="s">
        <v>602</v>
      </c>
      <c r="O414" t="s">
        <v>603</v>
      </c>
      <c r="P414" t="s">
        <v>602</v>
      </c>
      <c r="Q414" s="17">
        <f>IFERROR(VLOOKUP(A414,已除帳印單!B:C,1,0),0)*1</f>
        <v>0</v>
      </c>
      <c r="R414" s="67" t="str">
        <f>IFERROR(VLOOKUP(J414,線別!A:B,2,1),"")</f>
        <v>SCB線</v>
      </c>
      <c r="S414" s="17" t="str">
        <f>IFERROR(VLOOKUP(A414,已除帳印單!B:C,2,0),"")</f>
        <v/>
      </c>
      <c r="T414" s="68">
        <f t="shared" si="42"/>
        <v>43893</v>
      </c>
      <c r="U414" s="69">
        <f t="shared" si="43"/>
        <v>84.168784722222213</v>
      </c>
      <c r="V414" s="68" t="str">
        <f>IFERROR(VLOOKUP(A414,已除帳印單!B:D,3,0),"")</f>
        <v/>
      </c>
      <c r="W414" s="69" t="str">
        <f>IFERROR(VLOOKUP(A414,已除帳印單!B:E,4,0),"")</f>
        <v/>
      </c>
      <c r="X414" s="68" t="str">
        <f>IFERROR(INDEX(刷條碼區!A:C,MATCH(點上線資訊!S414,刷條碼區!C:C,0),1),"")</f>
        <v/>
      </c>
      <c r="Y414" s="69" t="str">
        <f>IFERROR(INDEX(刷條碼區!A:C,MATCH(點上線資訊!S414,刷條碼區!C:C,0),2),"")</f>
        <v/>
      </c>
      <c r="Z414" s="70" t="str">
        <f>IFERROR(INDEX(刷條碼區!D:G,MATCH(點上線資訊!S414,刷條碼區!F:F,0),1),"")</f>
        <v/>
      </c>
      <c r="AA414" s="71" t="str">
        <f>IFERROR(INDEX(刷條碼區!D:G,MATCH(點上線資訊!S414,刷條碼區!F:F,0),2),"")</f>
        <v/>
      </c>
      <c r="AB414" s="20" t="b">
        <f t="shared" si="38"/>
        <v>0</v>
      </c>
      <c r="AC414" s="20" t="b">
        <f t="shared" si="39"/>
        <v>0</v>
      </c>
      <c r="AD414" s="17" t="b">
        <f t="shared" si="40"/>
        <v>0</v>
      </c>
      <c r="AE414" s="17" t="b">
        <f t="shared" si="41"/>
        <v>0</v>
      </c>
    </row>
    <row r="415" spans="1:31" x14ac:dyDescent="0.2">
      <c r="A415" s="16">
        <v>5000497345</v>
      </c>
      <c r="B415" t="s">
        <v>0</v>
      </c>
      <c r="C415" t="s">
        <v>0</v>
      </c>
      <c r="D415" t="s">
        <v>1</v>
      </c>
      <c r="E415" t="s">
        <v>956</v>
      </c>
      <c r="F415" t="s">
        <v>957</v>
      </c>
      <c r="G415" s="2">
        <v>3</v>
      </c>
      <c r="H415" t="s">
        <v>461</v>
      </c>
      <c r="I415" t="s">
        <v>3</v>
      </c>
      <c r="J415" t="s">
        <v>19</v>
      </c>
      <c r="K415" t="s">
        <v>605</v>
      </c>
      <c r="L415" t="s">
        <v>608</v>
      </c>
      <c r="M415" t="s">
        <v>958</v>
      </c>
      <c r="N415" t="s">
        <v>602</v>
      </c>
      <c r="O415" t="s">
        <v>603</v>
      </c>
      <c r="P415" t="s">
        <v>602</v>
      </c>
      <c r="Q415" s="17">
        <f>IFERROR(VLOOKUP(A415,已除帳印單!B:C,1,0),0)*1</f>
        <v>0</v>
      </c>
      <c r="R415" s="67" t="str">
        <f>IFERROR(VLOOKUP(J415,線別!A:B,2,1),"")</f>
        <v>FM_IA預組</v>
      </c>
      <c r="S415" s="17" t="str">
        <f>IFERROR(VLOOKUP(A415,已除帳印單!B:C,2,0),"")</f>
        <v/>
      </c>
      <c r="T415" s="68">
        <f t="shared" si="42"/>
        <v>43892</v>
      </c>
      <c r="U415" s="69">
        <f t="shared" si="43"/>
        <v>84.168773148148148</v>
      </c>
      <c r="V415" s="68" t="str">
        <f>IFERROR(VLOOKUP(A415,已除帳印單!B:D,3,0),"")</f>
        <v/>
      </c>
      <c r="W415" s="69" t="str">
        <f>IFERROR(VLOOKUP(A415,已除帳印單!B:E,4,0),"")</f>
        <v/>
      </c>
      <c r="X415" s="68" t="str">
        <f>IFERROR(INDEX(刷條碼區!A:C,MATCH(點上線資訊!S415,刷條碼區!C:C,0),1),"")</f>
        <v/>
      </c>
      <c r="Y415" s="69" t="str">
        <f>IFERROR(INDEX(刷條碼區!A:C,MATCH(點上線資訊!S415,刷條碼區!C:C,0),2),"")</f>
        <v/>
      </c>
      <c r="Z415" s="70" t="str">
        <f>IFERROR(INDEX(刷條碼區!D:G,MATCH(點上線資訊!S415,刷條碼區!F:F,0),1),"")</f>
        <v/>
      </c>
      <c r="AA415" s="71" t="str">
        <f>IFERROR(INDEX(刷條碼區!D:G,MATCH(點上線資訊!S415,刷條碼區!F:F,0),2),"")</f>
        <v/>
      </c>
      <c r="AB415" s="20" t="b">
        <f t="shared" si="38"/>
        <v>0</v>
      </c>
      <c r="AC415" s="20" t="b">
        <f t="shared" si="39"/>
        <v>0</v>
      </c>
      <c r="AD415" s="17" t="b">
        <f t="shared" si="40"/>
        <v>0</v>
      </c>
      <c r="AE415" s="17" t="b">
        <f t="shared" si="41"/>
        <v>0</v>
      </c>
    </row>
    <row r="416" spans="1:31" x14ac:dyDescent="0.2">
      <c r="A416" s="16">
        <v>5000497346</v>
      </c>
      <c r="B416" t="s">
        <v>0</v>
      </c>
      <c r="C416" t="s">
        <v>0</v>
      </c>
      <c r="D416" t="s">
        <v>1</v>
      </c>
      <c r="E416" t="s">
        <v>959</v>
      </c>
      <c r="F416" t="s">
        <v>960</v>
      </c>
      <c r="G416" s="2">
        <v>2</v>
      </c>
      <c r="H416" t="s">
        <v>461</v>
      </c>
      <c r="I416" t="s">
        <v>3</v>
      </c>
      <c r="J416" t="s">
        <v>19</v>
      </c>
      <c r="K416" t="s">
        <v>605</v>
      </c>
      <c r="L416" t="s">
        <v>608</v>
      </c>
      <c r="M416" t="s">
        <v>958</v>
      </c>
      <c r="N416" t="s">
        <v>602</v>
      </c>
      <c r="O416" t="s">
        <v>603</v>
      </c>
      <c r="P416" t="s">
        <v>602</v>
      </c>
      <c r="Q416" s="17">
        <f>IFERROR(VLOOKUP(A416,已除帳印單!B:C,1,0),0)*1</f>
        <v>0</v>
      </c>
      <c r="R416" s="67" t="str">
        <f>IFERROR(VLOOKUP(J416,線別!A:B,2,1),"")</f>
        <v>FM_IA預組</v>
      </c>
      <c r="S416" s="17" t="str">
        <f>IFERROR(VLOOKUP(A416,已除帳印單!B:C,2,0),"")</f>
        <v/>
      </c>
      <c r="T416" s="68">
        <f t="shared" si="42"/>
        <v>43892</v>
      </c>
      <c r="U416" s="69">
        <f t="shared" si="43"/>
        <v>84.168773148148148</v>
      </c>
      <c r="V416" s="68" t="str">
        <f>IFERROR(VLOOKUP(A416,已除帳印單!B:D,3,0),"")</f>
        <v/>
      </c>
      <c r="W416" s="69" t="str">
        <f>IFERROR(VLOOKUP(A416,已除帳印單!B:E,4,0),"")</f>
        <v/>
      </c>
      <c r="X416" s="68" t="str">
        <f>IFERROR(INDEX(刷條碼區!A:C,MATCH(點上線資訊!S416,刷條碼區!C:C,0),1),"")</f>
        <v/>
      </c>
      <c r="Y416" s="69" t="str">
        <f>IFERROR(INDEX(刷條碼區!A:C,MATCH(點上線資訊!S416,刷條碼區!C:C,0),2),"")</f>
        <v/>
      </c>
      <c r="Z416" s="70" t="str">
        <f>IFERROR(INDEX(刷條碼區!D:G,MATCH(點上線資訊!S416,刷條碼區!F:F,0),1),"")</f>
        <v/>
      </c>
      <c r="AA416" s="71" t="str">
        <f>IFERROR(INDEX(刷條碼區!D:G,MATCH(點上線資訊!S416,刷條碼區!F:F,0),2),"")</f>
        <v/>
      </c>
      <c r="AB416" s="20" t="b">
        <f t="shared" si="38"/>
        <v>0</v>
      </c>
      <c r="AC416" s="20" t="b">
        <f t="shared" si="39"/>
        <v>0</v>
      </c>
      <c r="AD416" s="17" t="b">
        <f t="shared" si="40"/>
        <v>0</v>
      </c>
      <c r="AE416" s="17" t="b">
        <f t="shared" si="41"/>
        <v>0</v>
      </c>
    </row>
    <row r="417" spans="1:31" x14ac:dyDescent="0.2">
      <c r="A417" s="16">
        <v>5000497353</v>
      </c>
      <c r="B417" t="s">
        <v>0</v>
      </c>
      <c r="C417" t="s">
        <v>0</v>
      </c>
      <c r="D417" t="s">
        <v>1</v>
      </c>
      <c r="E417" t="s">
        <v>11</v>
      </c>
      <c r="F417" t="s">
        <v>12</v>
      </c>
      <c r="G417" s="2">
        <v>20</v>
      </c>
      <c r="H417" t="s">
        <v>461</v>
      </c>
      <c r="I417" t="s">
        <v>3</v>
      </c>
      <c r="J417" t="s">
        <v>4</v>
      </c>
      <c r="K417" t="s">
        <v>602</v>
      </c>
      <c r="L417" t="s">
        <v>603</v>
      </c>
      <c r="M417" t="s">
        <v>602</v>
      </c>
      <c r="N417" t="s">
        <v>602</v>
      </c>
      <c r="O417" t="s">
        <v>603</v>
      </c>
      <c r="P417" t="s">
        <v>602</v>
      </c>
      <c r="Q417" s="17">
        <f>IFERROR(VLOOKUP(A417,已除帳印單!B:C,1,0),0)*1</f>
        <v>0</v>
      </c>
      <c r="R417" s="67" t="str">
        <f>IFERROR(VLOOKUP(J417,線別!A:B,2,1),"")</f>
        <v>IA線</v>
      </c>
      <c r="S417" s="17" t="str">
        <f>IFERROR(VLOOKUP(A417,已除帳印單!B:C,2,0),"")</f>
        <v/>
      </c>
      <c r="T417" s="68">
        <f t="shared" si="42"/>
        <v>43892</v>
      </c>
      <c r="U417" s="69">
        <f t="shared" si="43"/>
        <v>84.168773148148148</v>
      </c>
      <c r="V417" s="68" t="str">
        <f>IFERROR(VLOOKUP(A417,已除帳印單!B:D,3,0),"")</f>
        <v/>
      </c>
      <c r="W417" s="69" t="str">
        <f>IFERROR(VLOOKUP(A417,已除帳印單!B:E,4,0),"")</f>
        <v/>
      </c>
      <c r="X417" s="68" t="str">
        <f>IFERROR(INDEX(刷條碼區!A:C,MATCH(點上線資訊!S417,刷條碼區!C:C,0),1),"")</f>
        <v/>
      </c>
      <c r="Y417" s="69" t="str">
        <f>IFERROR(INDEX(刷條碼區!A:C,MATCH(點上線資訊!S417,刷條碼區!C:C,0),2),"")</f>
        <v/>
      </c>
      <c r="Z417" s="70" t="str">
        <f>IFERROR(INDEX(刷條碼區!D:G,MATCH(點上線資訊!S417,刷條碼區!F:F,0),1),"")</f>
        <v/>
      </c>
      <c r="AA417" s="71" t="str">
        <f>IFERROR(INDEX(刷條碼區!D:G,MATCH(點上線資訊!S417,刷條碼區!F:F,0),2),"")</f>
        <v/>
      </c>
      <c r="AB417" s="20">
        <f t="shared" si="38"/>
        <v>20</v>
      </c>
      <c r="AC417" s="20" t="b">
        <f t="shared" si="39"/>
        <v>0</v>
      </c>
      <c r="AD417" s="17" t="b">
        <f t="shared" si="40"/>
        <v>0</v>
      </c>
      <c r="AE417" s="17" t="b">
        <f t="shared" si="41"/>
        <v>0</v>
      </c>
    </row>
    <row r="418" spans="1:31" x14ac:dyDescent="0.2">
      <c r="A418" s="16">
        <v>5000497354</v>
      </c>
      <c r="B418" t="s">
        <v>6</v>
      </c>
      <c r="C418" t="s">
        <v>6</v>
      </c>
      <c r="D418" t="s">
        <v>1</v>
      </c>
      <c r="E418" t="s">
        <v>847</v>
      </c>
      <c r="F418" t="s">
        <v>842</v>
      </c>
      <c r="G418" s="2">
        <v>1</v>
      </c>
      <c r="H418" t="s">
        <v>461</v>
      </c>
      <c r="I418" t="s">
        <v>3</v>
      </c>
      <c r="J418" t="s">
        <v>136</v>
      </c>
      <c r="K418" t="s">
        <v>605</v>
      </c>
      <c r="L418" t="s">
        <v>608</v>
      </c>
      <c r="M418" t="s">
        <v>413</v>
      </c>
      <c r="N418" t="s">
        <v>602</v>
      </c>
      <c r="O418" t="s">
        <v>603</v>
      </c>
      <c r="P418" t="s">
        <v>602</v>
      </c>
      <c r="Q418" s="17">
        <f>IFERROR(VLOOKUP(A418,已除帳印單!B:C,1,0),0)*1</f>
        <v>0</v>
      </c>
      <c r="R418" s="67" t="str">
        <f>IFERROR(VLOOKUP(J418,線別!A:B,2,1),"")</f>
        <v>SCB線</v>
      </c>
      <c r="S418" s="17" t="str">
        <f>IFERROR(VLOOKUP(A418,已除帳印單!B:C,2,0),"")</f>
        <v/>
      </c>
      <c r="T418" s="68">
        <f t="shared" si="42"/>
        <v>43893</v>
      </c>
      <c r="U418" s="69">
        <f t="shared" si="43"/>
        <v>84.168784722222213</v>
      </c>
      <c r="V418" s="68" t="str">
        <f>IFERROR(VLOOKUP(A418,已除帳印單!B:D,3,0),"")</f>
        <v/>
      </c>
      <c r="W418" s="69" t="str">
        <f>IFERROR(VLOOKUP(A418,已除帳印單!B:E,4,0),"")</f>
        <v/>
      </c>
      <c r="X418" s="68" t="str">
        <f>IFERROR(INDEX(刷條碼區!A:C,MATCH(點上線資訊!S418,刷條碼區!C:C,0),1),"")</f>
        <v/>
      </c>
      <c r="Y418" s="69" t="str">
        <f>IFERROR(INDEX(刷條碼區!A:C,MATCH(點上線資訊!S418,刷條碼區!C:C,0),2),"")</f>
        <v/>
      </c>
      <c r="Z418" s="70" t="str">
        <f>IFERROR(INDEX(刷條碼區!D:G,MATCH(點上線資訊!S418,刷條碼區!F:F,0),1),"")</f>
        <v/>
      </c>
      <c r="AA418" s="71" t="str">
        <f>IFERROR(INDEX(刷條碼區!D:G,MATCH(點上線資訊!S418,刷條碼區!F:F,0),2),"")</f>
        <v/>
      </c>
      <c r="AB418" s="20" t="b">
        <f t="shared" si="38"/>
        <v>0</v>
      </c>
      <c r="AC418" s="20" t="b">
        <f t="shared" si="39"/>
        <v>0</v>
      </c>
      <c r="AD418" s="17" t="b">
        <f t="shared" si="40"/>
        <v>0</v>
      </c>
      <c r="AE418" s="17" t="b">
        <f t="shared" si="41"/>
        <v>0</v>
      </c>
    </row>
    <row r="419" spans="1:31" x14ac:dyDescent="0.2">
      <c r="A419" s="16">
        <v>5000497356</v>
      </c>
      <c r="B419" t="s">
        <v>6</v>
      </c>
      <c r="C419" t="s">
        <v>6</v>
      </c>
      <c r="D419" t="s">
        <v>1</v>
      </c>
      <c r="E419" t="s">
        <v>961</v>
      </c>
      <c r="F419" t="s">
        <v>962</v>
      </c>
      <c r="G419" s="2">
        <v>13</v>
      </c>
      <c r="H419" t="s">
        <v>461</v>
      </c>
      <c r="I419" t="s">
        <v>3</v>
      </c>
      <c r="J419" t="s">
        <v>136</v>
      </c>
      <c r="K419" t="s">
        <v>605</v>
      </c>
      <c r="L419" t="s">
        <v>608</v>
      </c>
      <c r="M419" t="s">
        <v>419</v>
      </c>
      <c r="N419" t="s">
        <v>602</v>
      </c>
      <c r="O419" t="s">
        <v>603</v>
      </c>
      <c r="P419" t="s">
        <v>602</v>
      </c>
      <c r="Q419" s="17">
        <f>IFERROR(VLOOKUP(A419,已除帳印單!B:C,1,0),0)*1</f>
        <v>0</v>
      </c>
      <c r="R419" s="67" t="str">
        <f>IFERROR(VLOOKUP(J419,線別!A:B,2,1),"")</f>
        <v>SCB線</v>
      </c>
      <c r="S419" s="17" t="str">
        <f>IFERROR(VLOOKUP(A419,已除帳印單!B:C,2,0),"")</f>
        <v/>
      </c>
      <c r="T419" s="68">
        <f t="shared" si="42"/>
        <v>43893</v>
      </c>
      <c r="U419" s="69">
        <f t="shared" si="43"/>
        <v>84.168784722222213</v>
      </c>
      <c r="V419" s="68" t="str">
        <f>IFERROR(VLOOKUP(A419,已除帳印單!B:D,3,0),"")</f>
        <v/>
      </c>
      <c r="W419" s="69" t="str">
        <f>IFERROR(VLOOKUP(A419,已除帳印單!B:E,4,0),"")</f>
        <v/>
      </c>
      <c r="X419" s="68" t="str">
        <f>IFERROR(INDEX(刷條碼區!A:C,MATCH(點上線資訊!S419,刷條碼區!C:C,0),1),"")</f>
        <v/>
      </c>
      <c r="Y419" s="69" t="str">
        <f>IFERROR(INDEX(刷條碼區!A:C,MATCH(點上線資訊!S419,刷條碼區!C:C,0),2),"")</f>
        <v/>
      </c>
      <c r="Z419" s="70" t="str">
        <f>IFERROR(INDEX(刷條碼區!D:G,MATCH(點上線資訊!S419,刷條碼區!F:F,0),1),"")</f>
        <v/>
      </c>
      <c r="AA419" s="71" t="str">
        <f>IFERROR(INDEX(刷條碼區!D:G,MATCH(點上線資訊!S419,刷條碼區!F:F,0),2),"")</f>
        <v/>
      </c>
      <c r="AB419" s="20" t="b">
        <f t="shared" si="38"/>
        <v>0</v>
      </c>
      <c r="AC419" s="20" t="b">
        <f t="shared" si="39"/>
        <v>0</v>
      </c>
      <c r="AD419" s="17" t="b">
        <f t="shared" si="40"/>
        <v>0</v>
      </c>
      <c r="AE419" s="17" t="b">
        <f t="shared" si="41"/>
        <v>0</v>
      </c>
    </row>
    <row r="420" spans="1:31" x14ac:dyDescent="0.2">
      <c r="A420" s="16">
        <v>5000497359</v>
      </c>
      <c r="B420" t="s">
        <v>6</v>
      </c>
      <c r="C420" t="s">
        <v>6</v>
      </c>
      <c r="D420" t="s">
        <v>1</v>
      </c>
      <c r="E420" t="s">
        <v>255</v>
      </c>
      <c r="F420" t="s">
        <v>528</v>
      </c>
      <c r="G420" s="2">
        <v>3</v>
      </c>
      <c r="H420" t="s">
        <v>461</v>
      </c>
      <c r="I420" t="s">
        <v>3</v>
      </c>
      <c r="J420" t="s">
        <v>136</v>
      </c>
      <c r="K420" t="s">
        <v>602</v>
      </c>
      <c r="L420" t="s">
        <v>603</v>
      </c>
      <c r="M420" t="s">
        <v>602</v>
      </c>
      <c r="N420" t="s">
        <v>602</v>
      </c>
      <c r="O420" t="s">
        <v>603</v>
      </c>
      <c r="P420" t="s">
        <v>602</v>
      </c>
      <c r="Q420" s="17">
        <f>IFERROR(VLOOKUP(A420,已除帳印單!B:C,1,0),0)*1</f>
        <v>0</v>
      </c>
      <c r="R420" s="67" t="str">
        <f>IFERROR(VLOOKUP(J420,線別!A:B,2,1),"")</f>
        <v>SCB線</v>
      </c>
      <c r="S420" s="17" t="str">
        <f>IFERROR(VLOOKUP(A420,已除帳印單!B:C,2,0),"")</f>
        <v/>
      </c>
      <c r="T420" s="68">
        <f t="shared" si="42"/>
        <v>43893</v>
      </c>
      <c r="U420" s="69">
        <f t="shared" si="43"/>
        <v>84.168784722222213</v>
      </c>
      <c r="V420" s="68" t="str">
        <f>IFERROR(VLOOKUP(A420,已除帳印單!B:D,3,0),"")</f>
        <v/>
      </c>
      <c r="W420" s="69" t="str">
        <f>IFERROR(VLOOKUP(A420,已除帳印單!B:E,4,0),"")</f>
        <v/>
      </c>
      <c r="X420" s="68" t="str">
        <f>IFERROR(INDEX(刷條碼區!A:C,MATCH(點上線資訊!S420,刷條碼區!C:C,0),1),"")</f>
        <v/>
      </c>
      <c r="Y420" s="69" t="str">
        <f>IFERROR(INDEX(刷條碼區!A:C,MATCH(點上線資訊!S420,刷條碼區!C:C,0),2),"")</f>
        <v/>
      </c>
      <c r="Z420" s="70" t="str">
        <f>IFERROR(INDEX(刷條碼區!D:G,MATCH(點上線資訊!S420,刷條碼區!F:F,0),1),"")</f>
        <v/>
      </c>
      <c r="AA420" s="71" t="str">
        <f>IFERROR(INDEX(刷條碼區!D:G,MATCH(點上線資訊!S420,刷條碼區!F:F,0),2),"")</f>
        <v/>
      </c>
      <c r="AB420" s="20">
        <f t="shared" si="38"/>
        <v>3</v>
      </c>
      <c r="AC420" s="20" t="b">
        <f t="shared" si="39"/>
        <v>0</v>
      </c>
      <c r="AD420" s="17" t="b">
        <f t="shared" si="40"/>
        <v>0</v>
      </c>
      <c r="AE420" s="17" t="b">
        <f t="shared" si="41"/>
        <v>0</v>
      </c>
    </row>
    <row r="421" spans="1:31" x14ac:dyDescent="0.2">
      <c r="A421" s="16">
        <v>5000497360</v>
      </c>
      <c r="B421" t="s">
        <v>6</v>
      </c>
      <c r="C421" t="s">
        <v>6</v>
      </c>
      <c r="D421" t="s">
        <v>1</v>
      </c>
      <c r="E421" t="s">
        <v>256</v>
      </c>
      <c r="F421" t="s">
        <v>528</v>
      </c>
      <c r="G421" s="2">
        <v>10</v>
      </c>
      <c r="H421" t="s">
        <v>461</v>
      </c>
      <c r="I421" t="s">
        <v>3</v>
      </c>
      <c r="J421" t="s">
        <v>136</v>
      </c>
      <c r="K421" t="s">
        <v>602</v>
      </c>
      <c r="L421" t="s">
        <v>603</v>
      </c>
      <c r="M421" t="s">
        <v>602</v>
      </c>
      <c r="N421" t="s">
        <v>602</v>
      </c>
      <c r="O421" t="s">
        <v>603</v>
      </c>
      <c r="P421" t="s">
        <v>602</v>
      </c>
      <c r="Q421" s="17">
        <f>IFERROR(VLOOKUP(A421,已除帳印單!B:C,1,0),0)*1</f>
        <v>0</v>
      </c>
      <c r="R421" s="67" t="str">
        <f>IFERROR(VLOOKUP(J421,線別!A:B,2,1),"")</f>
        <v>SCB線</v>
      </c>
      <c r="S421" s="17" t="str">
        <f>IFERROR(VLOOKUP(A421,已除帳印單!B:C,2,0),"")</f>
        <v/>
      </c>
      <c r="T421" s="68">
        <f t="shared" si="42"/>
        <v>43893</v>
      </c>
      <c r="U421" s="69">
        <f t="shared" si="43"/>
        <v>84.168784722222213</v>
      </c>
      <c r="V421" s="68" t="str">
        <f>IFERROR(VLOOKUP(A421,已除帳印單!B:D,3,0),"")</f>
        <v/>
      </c>
      <c r="W421" s="69" t="str">
        <f>IFERROR(VLOOKUP(A421,已除帳印單!B:E,4,0),"")</f>
        <v/>
      </c>
      <c r="X421" s="68" t="str">
        <f>IFERROR(INDEX(刷條碼區!A:C,MATCH(點上線資訊!S421,刷條碼區!C:C,0),1),"")</f>
        <v/>
      </c>
      <c r="Y421" s="69" t="str">
        <f>IFERROR(INDEX(刷條碼區!A:C,MATCH(點上線資訊!S421,刷條碼區!C:C,0),2),"")</f>
        <v/>
      </c>
      <c r="Z421" s="70" t="str">
        <f>IFERROR(INDEX(刷條碼區!D:G,MATCH(點上線資訊!S421,刷條碼區!F:F,0),1),"")</f>
        <v/>
      </c>
      <c r="AA421" s="71" t="str">
        <f>IFERROR(INDEX(刷條碼區!D:G,MATCH(點上線資訊!S421,刷條碼區!F:F,0),2),"")</f>
        <v/>
      </c>
      <c r="AB421" s="20">
        <f t="shared" si="38"/>
        <v>10</v>
      </c>
      <c r="AC421" s="20" t="b">
        <f t="shared" si="39"/>
        <v>0</v>
      </c>
      <c r="AD421" s="17" t="b">
        <f t="shared" si="40"/>
        <v>0</v>
      </c>
      <c r="AE421" s="17" t="b">
        <f t="shared" si="41"/>
        <v>0</v>
      </c>
    </row>
    <row r="422" spans="1:31" x14ac:dyDescent="0.2">
      <c r="A422" s="16">
        <v>5000497361</v>
      </c>
      <c r="B422" t="s">
        <v>6</v>
      </c>
      <c r="C422" t="s">
        <v>6</v>
      </c>
      <c r="D422" t="s">
        <v>1</v>
      </c>
      <c r="E422" t="s">
        <v>963</v>
      </c>
      <c r="F422" t="s">
        <v>962</v>
      </c>
      <c r="G422" s="2">
        <v>13</v>
      </c>
      <c r="H422" t="s">
        <v>461</v>
      </c>
      <c r="I422" t="s">
        <v>3</v>
      </c>
      <c r="J422" t="s">
        <v>136</v>
      </c>
      <c r="K422" t="s">
        <v>605</v>
      </c>
      <c r="L422" t="s">
        <v>608</v>
      </c>
      <c r="M422" t="s">
        <v>419</v>
      </c>
      <c r="N422" t="s">
        <v>602</v>
      </c>
      <c r="O422" t="s">
        <v>603</v>
      </c>
      <c r="P422" t="s">
        <v>602</v>
      </c>
      <c r="Q422" s="17">
        <f>IFERROR(VLOOKUP(A422,已除帳印單!B:C,1,0),0)*1</f>
        <v>0</v>
      </c>
      <c r="R422" s="67" t="str">
        <f>IFERROR(VLOOKUP(J422,線別!A:B,2,1),"")</f>
        <v>SCB線</v>
      </c>
      <c r="S422" s="17" t="str">
        <f>IFERROR(VLOOKUP(A422,已除帳印單!B:C,2,0),"")</f>
        <v/>
      </c>
      <c r="T422" s="68">
        <f t="shared" si="42"/>
        <v>43893</v>
      </c>
      <c r="U422" s="69">
        <f t="shared" si="43"/>
        <v>84.168784722222213</v>
      </c>
      <c r="V422" s="68" t="str">
        <f>IFERROR(VLOOKUP(A422,已除帳印單!B:D,3,0),"")</f>
        <v/>
      </c>
      <c r="W422" s="69" t="str">
        <f>IFERROR(VLOOKUP(A422,已除帳印單!B:E,4,0),"")</f>
        <v/>
      </c>
      <c r="X422" s="68" t="str">
        <f>IFERROR(INDEX(刷條碼區!A:C,MATCH(點上線資訊!S422,刷條碼區!C:C,0),1),"")</f>
        <v/>
      </c>
      <c r="Y422" s="69" t="str">
        <f>IFERROR(INDEX(刷條碼區!A:C,MATCH(點上線資訊!S422,刷條碼區!C:C,0),2),"")</f>
        <v/>
      </c>
      <c r="Z422" s="70" t="str">
        <f>IFERROR(INDEX(刷條碼區!D:G,MATCH(點上線資訊!S422,刷條碼區!F:F,0),1),"")</f>
        <v/>
      </c>
      <c r="AA422" s="71" t="str">
        <f>IFERROR(INDEX(刷條碼區!D:G,MATCH(點上線資訊!S422,刷條碼區!F:F,0),2),"")</f>
        <v/>
      </c>
      <c r="AB422" s="20" t="b">
        <f t="shared" si="38"/>
        <v>0</v>
      </c>
      <c r="AC422" s="20" t="b">
        <f t="shared" si="39"/>
        <v>0</v>
      </c>
      <c r="AD422" s="17" t="b">
        <f t="shared" si="40"/>
        <v>0</v>
      </c>
      <c r="AE422" s="17" t="b">
        <f t="shared" si="41"/>
        <v>0</v>
      </c>
    </row>
    <row r="423" spans="1:31" x14ac:dyDescent="0.2">
      <c r="A423" s="16">
        <v>5000497362</v>
      </c>
      <c r="B423" t="s">
        <v>6</v>
      </c>
      <c r="C423" t="s">
        <v>6</v>
      </c>
      <c r="D423" t="s">
        <v>1</v>
      </c>
      <c r="E423" t="s">
        <v>265</v>
      </c>
      <c r="F423" t="s">
        <v>529</v>
      </c>
      <c r="G423" s="2">
        <v>20</v>
      </c>
      <c r="H423" t="s">
        <v>461</v>
      </c>
      <c r="I423" t="s">
        <v>3</v>
      </c>
      <c r="J423" t="s">
        <v>136</v>
      </c>
      <c r="K423" t="s">
        <v>602</v>
      </c>
      <c r="L423" t="s">
        <v>603</v>
      </c>
      <c r="M423" t="s">
        <v>602</v>
      </c>
      <c r="N423" t="s">
        <v>602</v>
      </c>
      <c r="O423" t="s">
        <v>603</v>
      </c>
      <c r="P423" t="s">
        <v>602</v>
      </c>
      <c r="Q423" s="17">
        <f>IFERROR(VLOOKUP(A423,已除帳印單!B:C,1,0),0)*1</f>
        <v>0</v>
      </c>
      <c r="R423" s="67" t="str">
        <f>IFERROR(VLOOKUP(J423,線別!A:B,2,1),"")</f>
        <v>SCB線</v>
      </c>
      <c r="S423" s="17" t="str">
        <f>IFERROR(VLOOKUP(A423,已除帳印單!B:C,2,0),"")</f>
        <v/>
      </c>
      <c r="T423" s="68">
        <f t="shared" si="42"/>
        <v>43893</v>
      </c>
      <c r="U423" s="69">
        <f t="shared" si="43"/>
        <v>84.168784722222213</v>
      </c>
      <c r="V423" s="68" t="str">
        <f>IFERROR(VLOOKUP(A423,已除帳印單!B:D,3,0),"")</f>
        <v/>
      </c>
      <c r="W423" s="69" t="str">
        <f>IFERROR(VLOOKUP(A423,已除帳印單!B:E,4,0),"")</f>
        <v/>
      </c>
      <c r="X423" s="68" t="str">
        <f>IFERROR(INDEX(刷條碼區!A:C,MATCH(點上線資訊!S423,刷條碼區!C:C,0),1),"")</f>
        <v/>
      </c>
      <c r="Y423" s="69" t="str">
        <f>IFERROR(INDEX(刷條碼區!A:C,MATCH(點上線資訊!S423,刷條碼區!C:C,0),2),"")</f>
        <v/>
      </c>
      <c r="Z423" s="70" t="str">
        <f>IFERROR(INDEX(刷條碼區!D:G,MATCH(點上線資訊!S423,刷條碼區!F:F,0),1),"")</f>
        <v/>
      </c>
      <c r="AA423" s="71" t="str">
        <f>IFERROR(INDEX(刷條碼區!D:G,MATCH(點上線資訊!S423,刷條碼區!F:F,0),2),"")</f>
        <v/>
      </c>
      <c r="AB423" s="20">
        <f t="shared" si="38"/>
        <v>20</v>
      </c>
      <c r="AC423" s="20" t="b">
        <f t="shared" si="39"/>
        <v>0</v>
      </c>
      <c r="AD423" s="17" t="b">
        <f t="shared" si="40"/>
        <v>0</v>
      </c>
      <c r="AE423" s="17" t="b">
        <f t="shared" si="41"/>
        <v>0</v>
      </c>
    </row>
    <row r="424" spans="1:31" x14ac:dyDescent="0.2">
      <c r="A424" s="16">
        <v>5000497363</v>
      </c>
      <c r="B424" t="s">
        <v>6</v>
      </c>
      <c r="C424" t="s">
        <v>6</v>
      </c>
      <c r="D424" t="s">
        <v>1</v>
      </c>
      <c r="E424" t="s">
        <v>265</v>
      </c>
      <c r="F424" t="s">
        <v>529</v>
      </c>
      <c r="G424" s="2">
        <v>6</v>
      </c>
      <c r="H424" t="s">
        <v>461</v>
      </c>
      <c r="I424" t="s">
        <v>3</v>
      </c>
      <c r="J424" t="s">
        <v>136</v>
      </c>
      <c r="K424" t="s">
        <v>602</v>
      </c>
      <c r="L424" t="s">
        <v>603</v>
      </c>
      <c r="M424" t="s">
        <v>602</v>
      </c>
      <c r="N424" t="s">
        <v>602</v>
      </c>
      <c r="O424" t="s">
        <v>603</v>
      </c>
      <c r="P424" t="s">
        <v>602</v>
      </c>
      <c r="Q424" s="17">
        <f>IFERROR(VLOOKUP(A424,已除帳印單!B:C,1,0),0)*1</f>
        <v>0</v>
      </c>
      <c r="R424" s="67" t="str">
        <f>IFERROR(VLOOKUP(J424,線別!A:B,2,1),"")</f>
        <v>SCB線</v>
      </c>
      <c r="S424" s="17" t="str">
        <f>IFERROR(VLOOKUP(A424,已除帳印單!B:C,2,0),"")</f>
        <v/>
      </c>
      <c r="T424" s="68">
        <f t="shared" si="42"/>
        <v>43893</v>
      </c>
      <c r="U424" s="69">
        <f t="shared" si="43"/>
        <v>84.168784722222213</v>
      </c>
      <c r="V424" s="68" t="str">
        <f>IFERROR(VLOOKUP(A424,已除帳印單!B:D,3,0),"")</f>
        <v/>
      </c>
      <c r="W424" s="69" t="str">
        <f>IFERROR(VLOOKUP(A424,已除帳印單!B:E,4,0),"")</f>
        <v/>
      </c>
      <c r="X424" s="68" t="str">
        <f>IFERROR(INDEX(刷條碼區!A:C,MATCH(點上線資訊!S424,刷條碼區!C:C,0),1),"")</f>
        <v/>
      </c>
      <c r="Y424" s="69" t="str">
        <f>IFERROR(INDEX(刷條碼區!A:C,MATCH(點上線資訊!S424,刷條碼區!C:C,0),2),"")</f>
        <v/>
      </c>
      <c r="Z424" s="70" t="str">
        <f>IFERROR(INDEX(刷條碼區!D:G,MATCH(點上線資訊!S424,刷條碼區!F:F,0),1),"")</f>
        <v/>
      </c>
      <c r="AA424" s="71" t="str">
        <f>IFERROR(INDEX(刷條碼區!D:G,MATCH(點上線資訊!S424,刷條碼區!F:F,0),2),"")</f>
        <v/>
      </c>
      <c r="AB424" s="20">
        <f t="shared" si="38"/>
        <v>6</v>
      </c>
      <c r="AC424" s="20" t="b">
        <f t="shared" si="39"/>
        <v>0</v>
      </c>
      <c r="AD424" s="17" t="b">
        <f t="shared" si="40"/>
        <v>0</v>
      </c>
      <c r="AE424" s="17" t="b">
        <f t="shared" si="41"/>
        <v>0</v>
      </c>
    </row>
    <row r="425" spans="1:31" x14ac:dyDescent="0.2">
      <c r="A425" s="16">
        <v>5000497364</v>
      </c>
      <c r="B425" t="s">
        <v>6</v>
      </c>
      <c r="C425" t="s">
        <v>6</v>
      </c>
      <c r="D425" t="s">
        <v>1</v>
      </c>
      <c r="E425" t="s">
        <v>265</v>
      </c>
      <c r="F425" t="s">
        <v>529</v>
      </c>
      <c r="G425" s="2">
        <v>17</v>
      </c>
      <c r="H425" t="s">
        <v>461</v>
      </c>
      <c r="I425" t="s">
        <v>3</v>
      </c>
      <c r="J425" t="s">
        <v>136</v>
      </c>
      <c r="K425" t="s">
        <v>602</v>
      </c>
      <c r="L425" t="s">
        <v>603</v>
      </c>
      <c r="M425" t="s">
        <v>602</v>
      </c>
      <c r="N425" t="s">
        <v>602</v>
      </c>
      <c r="O425" t="s">
        <v>603</v>
      </c>
      <c r="P425" t="s">
        <v>602</v>
      </c>
      <c r="Q425" s="17">
        <f>IFERROR(VLOOKUP(A425,已除帳印單!B:C,1,0),0)*1</f>
        <v>0</v>
      </c>
      <c r="R425" s="67" t="str">
        <f>IFERROR(VLOOKUP(J425,線別!A:B,2,1),"")</f>
        <v>SCB線</v>
      </c>
      <c r="S425" s="17" t="str">
        <f>IFERROR(VLOOKUP(A425,已除帳印單!B:C,2,0),"")</f>
        <v/>
      </c>
      <c r="T425" s="68">
        <f t="shared" si="42"/>
        <v>43893</v>
      </c>
      <c r="U425" s="69">
        <f t="shared" si="43"/>
        <v>84.168784722222213</v>
      </c>
      <c r="V425" s="68" t="str">
        <f>IFERROR(VLOOKUP(A425,已除帳印單!B:D,3,0),"")</f>
        <v/>
      </c>
      <c r="W425" s="69" t="str">
        <f>IFERROR(VLOOKUP(A425,已除帳印單!B:E,4,0),"")</f>
        <v/>
      </c>
      <c r="X425" s="68" t="str">
        <f>IFERROR(INDEX(刷條碼區!A:C,MATCH(點上線資訊!S425,刷條碼區!C:C,0),1),"")</f>
        <v/>
      </c>
      <c r="Y425" s="69" t="str">
        <f>IFERROR(INDEX(刷條碼區!A:C,MATCH(點上線資訊!S425,刷條碼區!C:C,0),2),"")</f>
        <v/>
      </c>
      <c r="Z425" s="70" t="str">
        <f>IFERROR(INDEX(刷條碼區!D:G,MATCH(點上線資訊!S425,刷條碼區!F:F,0),1),"")</f>
        <v/>
      </c>
      <c r="AA425" s="71" t="str">
        <f>IFERROR(INDEX(刷條碼區!D:G,MATCH(點上線資訊!S425,刷條碼區!F:F,0),2),"")</f>
        <v/>
      </c>
      <c r="AB425" s="20">
        <f t="shared" si="38"/>
        <v>17</v>
      </c>
      <c r="AC425" s="20" t="b">
        <f t="shared" si="39"/>
        <v>0</v>
      </c>
      <c r="AD425" s="17" t="b">
        <f t="shared" si="40"/>
        <v>0</v>
      </c>
      <c r="AE425" s="17" t="b">
        <f t="shared" si="41"/>
        <v>0</v>
      </c>
    </row>
    <row r="426" spans="1:31" x14ac:dyDescent="0.2">
      <c r="A426" s="16">
        <v>5000497366</v>
      </c>
      <c r="B426" t="s">
        <v>6</v>
      </c>
      <c r="C426" t="s">
        <v>6</v>
      </c>
      <c r="D426" t="s">
        <v>1</v>
      </c>
      <c r="E426" t="s">
        <v>964</v>
      </c>
      <c r="F426" t="s">
        <v>965</v>
      </c>
      <c r="G426" s="2">
        <v>12</v>
      </c>
      <c r="H426" t="s">
        <v>461</v>
      </c>
      <c r="I426" t="s">
        <v>3</v>
      </c>
      <c r="J426" t="s">
        <v>136</v>
      </c>
      <c r="K426" t="s">
        <v>605</v>
      </c>
      <c r="L426" t="s">
        <v>608</v>
      </c>
      <c r="M426" t="s">
        <v>419</v>
      </c>
      <c r="N426" t="s">
        <v>602</v>
      </c>
      <c r="O426" t="s">
        <v>603</v>
      </c>
      <c r="P426" t="s">
        <v>602</v>
      </c>
      <c r="Q426" s="17">
        <f>IFERROR(VLOOKUP(A426,已除帳印單!B:C,1,0),0)*1</f>
        <v>0</v>
      </c>
      <c r="R426" s="67" t="str">
        <f>IFERROR(VLOOKUP(J426,線別!A:B,2,1),"")</f>
        <v>SCB線</v>
      </c>
      <c r="S426" s="17" t="str">
        <f>IFERROR(VLOOKUP(A426,已除帳印單!B:C,2,0),"")</f>
        <v/>
      </c>
      <c r="T426" s="68">
        <f t="shared" si="42"/>
        <v>43893</v>
      </c>
      <c r="U426" s="69">
        <f t="shared" si="43"/>
        <v>84.168784722222213</v>
      </c>
      <c r="V426" s="68" t="str">
        <f>IFERROR(VLOOKUP(A426,已除帳印單!B:D,3,0),"")</f>
        <v/>
      </c>
      <c r="W426" s="69" t="str">
        <f>IFERROR(VLOOKUP(A426,已除帳印單!B:E,4,0),"")</f>
        <v/>
      </c>
      <c r="X426" s="68" t="str">
        <f>IFERROR(INDEX(刷條碼區!A:C,MATCH(點上線資訊!S426,刷條碼區!C:C,0),1),"")</f>
        <v/>
      </c>
      <c r="Y426" s="69" t="str">
        <f>IFERROR(INDEX(刷條碼區!A:C,MATCH(點上線資訊!S426,刷條碼區!C:C,0),2),"")</f>
        <v/>
      </c>
      <c r="Z426" s="70" t="str">
        <f>IFERROR(INDEX(刷條碼區!D:G,MATCH(點上線資訊!S426,刷條碼區!F:F,0),1),"")</f>
        <v/>
      </c>
      <c r="AA426" s="71" t="str">
        <f>IFERROR(INDEX(刷條碼區!D:G,MATCH(點上線資訊!S426,刷條碼區!F:F,0),2),"")</f>
        <v/>
      </c>
      <c r="AB426" s="20" t="b">
        <f t="shared" si="38"/>
        <v>0</v>
      </c>
      <c r="AC426" s="20" t="b">
        <f t="shared" si="39"/>
        <v>0</v>
      </c>
      <c r="AD426" s="17" t="b">
        <f t="shared" si="40"/>
        <v>0</v>
      </c>
      <c r="AE426" s="17" t="b">
        <f t="shared" si="41"/>
        <v>0</v>
      </c>
    </row>
    <row r="427" spans="1:31" x14ac:dyDescent="0.2">
      <c r="A427" s="16">
        <v>5000497368</v>
      </c>
      <c r="B427" t="s">
        <v>6</v>
      </c>
      <c r="C427" t="s">
        <v>6</v>
      </c>
      <c r="D427" t="s">
        <v>1</v>
      </c>
      <c r="E427" t="s">
        <v>966</v>
      </c>
      <c r="F427" t="s">
        <v>967</v>
      </c>
      <c r="G427" s="2">
        <v>20</v>
      </c>
      <c r="H427" t="s">
        <v>461</v>
      </c>
      <c r="I427" t="s">
        <v>3</v>
      </c>
      <c r="J427" t="s">
        <v>136</v>
      </c>
      <c r="K427" t="s">
        <v>605</v>
      </c>
      <c r="L427" t="s">
        <v>608</v>
      </c>
      <c r="M427" t="s">
        <v>420</v>
      </c>
      <c r="N427" t="s">
        <v>602</v>
      </c>
      <c r="O427" t="s">
        <v>603</v>
      </c>
      <c r="P427" t="s">
        <v>602</v>
      </c>
      <c r="Q427" s="17">
        <f>IFERROR(VLOOKUP(A427,已除帳印單!B:C,1,0),0)*1</f>
        <v>0</v>
      </c>
      <c r="R427" s="67" t="str">
        <f>IFERROR(VLOOKUP(J427,線別!A:B,2,1),"")</f>
        <v>SCB線</v>
      </c>
      <c r="S427" s="17" t="str">
        <f>IFERROR(VLOOKUP(A427,已除帳印單!B:C,2,0),"")</f>
        <v/>
      </c>
      <c r="T427" s="68">
        <f t="shared" si="42"/>
        <v>43893</v>
      </c>
      <c r="U427" s="69">
        <f t="shared" si="43"/>
        <v>84.168784722222213</v>
      </c>
      <c r="V427" s="68" t="str">
        <f>IFERROR(VLOOKUP(A427,已除帳印單!B:D,3,0),"")</f>
        <v/>
      </c>
      <c r="W427" s="69" t="str">
        <f>IFERROR(VLOOKUP(A427,已除帳印單!B:E,4,0),"")</f>
        <v/>
      </c>
      <c r="X427" s="68" t="str">
        <f>IFERROR(INDEX(刷條碼區!A:C,MATCH(點上線資訊!S427,刷條碼區!C:C,0),1),"")</f>
        <v/>
      </c>
      <c r="Y427" s="69" t="str">
        <f>IFERROR(INDEX(刷條碼區!A:C,MATCH(點上線資訊!S427,刷條碼區!C:C,0),2),"")</f>
        <v/>
      </c>
      <c r="Z427" s="70" t="str">
        <f>IFERROR(INDEX(刷條碼區!D:G,MATCH(點上線資訊!S427,刷條碼區!F:F,0),1),"")</f>
        <v/>
      </c>
      <c r="AA427" s="71" t="str">
        <f>IFERROR(INDEX(刷條碼區!D:G,MATCH(點上線資訊!S427,刷條碼區!F:F,0),2),"")</f>
        <v/>
      </c>
      <c r="AB427" s="20" t="b">
        <f t="shared" si="38"/>
        <v>0</v>
      </c>
      <c r="AC427" s="20" t="b">
        <f t="shared" si="39"/>
        <v>0</v>
      </c>
      <c r="AD427" s="17" t="b">
        <f t="shared" si="40"/>
        <v>0</v>
      </c>
      <c r="AE427" s="17" t="b">
        <f t="shared" si="41"/>
        <v>0</v>
      </c>
    </row>
    <row r="428" spans="1:31" x14ac:dyDescent="0.2">
      <c r="A428" s="16">
        <v>5000497374</v>
      </c>
      <c r="B428" t="s">
        <v>6</v>
      </c>
      <c r="C428" t="s">
        <v>6</v>
      </c>
      <c r="D428" t="s">
        <v>1</v>
      </c>
      <c r="E428" t="s">
        <v>968</v>
      </c>
      <c r="F428" t="s">
        <v>969</v>
      </c>
      <c r="G428" s="2">
        <v>1</v>
      </c>
      <c r="H428" t="s">
        <v>461</v>
      </c>
      <c r="I428" t="s">
        <v>3</v>
      </c>
      <c r="J428" t="s">
        <v>136</v>
      </c>
      <c r="K428" t="s">
        <v>605</v>
      </c>
      <c r="L428" t="s">
        <v>608</v>
      </c>
      <c r="M428" t="s">
        <v>410</v>
      </c>
      <c r="N428" t="s">
        <v>602</v>
      </c>
      <c r="O428" t="s">
        <v>603</v>
      </c>
      <c r="P428" t="s">
        <v>602</v>
      </c>
      <c r="Q428" s="17">
        <f>IFERROR(VLOOKUP(A428,已除帳印單!B:C,1,0),0)*1</f>
        <v>0</v>
      </c>
      <c r="R428" s="67" t="str">
        <f>IFERROR(VLOOKUP(J428,線別!A:B,2,1),"")</f>
        <v>SCB線</v>
      </c>
      <c r="S428" s="17" t="str">
        <f>IFERROR(VLOOKUP(A428,已除帳印單!B:C,2,0),"")</f>
        <v/>
      </c>
      <c r="T428" s="68">
        <f t="shared" si="42"/>
        <v>43893</v>
      </c>
      <c r="U428" s="69">
        <f t="shared" si="43"/>
        <v>84.168784722222213</v>
      </c>
      <c r="V428" s="68" t="str">
        <f>IFERROR(VLOOKUP(A428,已除帳印單!B:D,3,0),"")</f>
        <v/>
      </c>
      <c r="W428" s="69" t="str">
        <f>IFERROR(VLOOKUP(A428,已除帳印單!B:E,4,0),"")</f>
        <v/>
      </c>
      <c r="X428" s="68" t="str">
        <f>IFERROR(INDEX(刷條碼區!A:C,MATCH(點上線資訊!S428,刷條碼區!C:C,0),1),"")</f>
        <v/>
      </c>
      <c r="Y428" s="69" t="str">
        <f>IFERROR(INDEX(刷條碼區!A:C,MATCH(點上線資訊!S428,刷條碼區!C:C,0),2),"")</f>
        <v/>
      </c>
      <c r="Z428" s="70" t="str">
        <f>IFERROR(INDEX(刷條碼區!D:G,MATCH(點上線資訊!S428,刷條碼區!F:F,0),1),"")</f>
        <v/>
      </c>
      <c r="AA428" s="71" t="str">
        <f>IFERROR(INDEX(刷條碼區!D:G,MATCH(點上線資訊!S428,刷條碼區!F:F,0),2),"")</f>
        <v/>
      </c>
      <c r="AB428" s="20" t="b">
        <f t="shared" si="38"/>
        <v>0</v>
      </c>
      <c r="AC428" s="20" t="b">
        <f t="shared" si="39"/>
        <v>0</v>
      </c>
      <c r="AD428" s="17" t="b">
        <f t="shared" si="40"/>
        <v>0</v>
      </c>
      <c r="AE428" s="17" t="b">
        <f t="shared" si="41"/>
        <v>0</v>
      </c>
    </row>
    <row r="429" spans="1:31" x14ac:dyDescent="0.2">
      <c r="A429" s="16">
        <v>5000497484</v>
      </c>
      <c r="B429" t="s">
        <v>301</v>
      </c>
      <c r="C429" t="s">
        <v>301</v>
      </c>
      <c r="D429" t="s">
        <v>1</v>
      </c>
      <c r="E429" t="s">
        <v>326</v>
      </c>
      <c r="F429" t="s">
        <v>530</v>
      </c>
      <c r="G429" s="2">
        <v>5</v>
      </c>
      <c r="H429" t="s">
        <v>461</v>
      </c>
      <c r="I429" t="s">
        <v>3</v>
      </c>
      <c r="J429" t="s">
        <v>327</v>
      </c>
      <c r="K429" t="s">
        <v>602</v>
      </c>
      <c r="L429" t="s">
        <v>603</v>
      </c>
      <c r="M429" t="s">
        <v>602</v>
      </c>
      <c r="N429" t="s">
        <v>602</v>
      </c>
      <c r="O429" t="s">
        <v>603</v>
      </c>
      <c r="P429" t="s">
        <v>602</v>
      </c>
      <c r="Q429" s="17">
        <f>IFERROR(VLOOKUP(A429,已除帳印單!B:C,1,0),0)*1</f>
        <v>0</v>
      </c>
      <c r="R429" s="67" t="str">
        <f>IFERROR(VLOOKUP(J429,線別!A:B,2,1),"")</f>
        <v>裝二線</v>
      </c>
      <c r="S429" s="17" t="str">
        <f>IFERROR(VLOOKUP(A429,已除帳印單!B:C,2,0),"")</f>
        <v/>
      </c>
      <c r="T429" s="68">
        <f t="shared" si="42"/>
        <v>43894</v>
      </c>
      <c r="U429" s="69">
        <f t="shared" si="43"/>
        <v>84.168796296296293</v>
      </c>
      <c r="V429" s="68" t="str">
        <f>IFERROR(VLOOKUP(A429,已除帳印單!B:D,3,0),"")</f>
        <v/>
      </c>
      <c r="W429" s="69" t="str">
        <f>IFERROR(VLOOKUP(A429,已除帳印單!B:E,4,0),"")</f>
        <v/>
      </c>
      <c r="X429" s="68" t="str">
        <f>IFERROR(INDEX(刷條碼區!A:C,MATCH(點上線資訊!S429,刷條碼區!C:C,0),1),"")</f>
        <v/>
      </c>
      <c r="Y429" s="69" t="str">
        <f>IFERROR(INDEX(刷條碼區!A:C,MATCH(點上線資訊!S429,刷條碼區!C:C,0),2),"")</f>
        <v/>
      </c>
      <c r="Z429" s="70" t="str">
        <f>IFERROR(INDEX(刷條碼區!D:G,MATCH(點上線資訊!S429,刷條碼區!F:F,0),1),"")</f>
        <v/>
      </c>
      <c r="AA429" s="71" t="str">
        <f>IFERROR(INDEX(刷條碼區!D:G,MATCH(點上線資訊!S429,刷條碼區!F:F,0),2),"")</f>
        <v/>
      </c>
      <c r="AB429" s="20">
        <f t="shared" si="38"/>
        <v>5</v>
      </c>
      <c r="AC429" s="20" t="b">
        <f t="shared" si="39"/>
        <v>0</v>
      </c>
      <c r="AD429" s="17" t="b">
        <f t="shared" si="40"/>
        <v>0</v>
      </c>
      <c r="AE429" s="17" t="b">
        <f t="shared" si="41"/>
        <v>0</v>
      </c>
    </row>
    <row r="430" spans="1:31" x14ac:dyDescent="0.2">
      <c r="A430" s="16">
        <v>5000497485</v>
      </c>
      <c r="B430" t="s">
        <v>6</v>
      </c>
      <c r="C430" t="s">
        <v>6</v>
      </c>
      <c r="D430" t="s">
        <v>1</v>
      </c>
      <c r="E430" t="s">
        <v>134</v>
      </c>
      <c r="F430" t="s">
        <v>135</v>
      </c>
      <c r="G430" s="2">
        <v>20</v>
      </c>
      <c r="H430" t="s">
        <v>461</v>
      </c>
      <c r="I430" t="s">
        <v>3</v>
      </c>
      <c r="J430" t="s">
        <v>136</v>
      </c>
      <c r="K430" t="s">
        <v>605</v>
      </c>
      <c r="L430" t="s">
        <v>608</v>
      </c>
      <c r="M430" t="s">
        <v>970</v>
      </c>
      <c r="N430" t="s">
        <v>602</v>
      </c>
      <c r="O430" t="s">
        <v>603</v>
      </c>
      <c r="P430" t="s">
        <v>602</v>
      </c>
      <c r="Q430" s="17">
        <f>IFERROR(VLOOKUP(A430,已除帳印單!B:C,1,0),0)*1</f>
        <v>0</v>
      </c>
      <c r="R430" s="67" t="str">
        <f>IFERROR(VLOOKUP(J430,線別!A:B,2,1),"")</f>
        <v>SCB線</v>
      </c>
      <c r="S430" s="17" t="str">
        <f>IFERROR(VLOOKUP(A430,已除帳印單!B:C,2,0),"")</f>
        <v/>
      </c>
      <c r="T430" s="68">
        <f t="shared" si="42"/>
        <v>43893</v>
      </c>
      <c r="U430" s="69">
        <f t="shared" si="43"/>
        <v>84.168784722222213</v>
      </c>
      <c r="V430" s="68" t="str">
        <f>IFERROR(VLOOKUP(A430,已除帳印單!B:D,3,0),"")</f>
        <v/>
      </c>
      <c r="W430" s="69" t="str">
        <f>IFERROR(VLOOKUP(A430,已除帳印單!B:E,4,0),"")</f>
        <v/>
      </c>
      <c r="X430" s="68" t="str">
        <f>IFERROR(INDEX(刷條碼區!A:C,MATCH(點上線資訊!S430,刷條碼區!C:C,0),1),"")</f>
        <v/>
      </c>
      <c r="Y430" s="69" t="str">
        <f>IFERROR(INDEX(刷條碼區!A:C,MATCH(點上線資訊!S430,刷條碼區!C:C,0),2),"")</f>
        <v/>
      </c>
      <c r="Z430" s="70" t="str">
        <f>IFERROR(INDEX(刷條碼區!D:G,MATCH(點上線資訊!S430,刷條碼區!F:F,0),1),"")</f>
        <v/>
      </c>
      <c r="AA430" s="71" t="str">
        <f>IFERROR(INDEX(刷條碼區!D:G,MATCH(點上線資訊!S430,刷條碼區!F:F,0),2),"")</f>
        <v/>
      </c>
      <c r="AB430" s="20" t="b">
        <f t="shared" si="38"/>
        <v>0</v>
      </c>
      <c r="AC430" s="20" t="b">
        <f t="shared" si="39"/>
        <v>0</v>
      </c>
      <c r="AD430" s="17" t="b">
        <f t="shared" si="40"/>
        <v>0</v>
      </c>
      <c r="AE430" s="17" t="b">
        <f t="shared" si="41"/>
        <v>0</v>
      </c>
    </row>
    <row r="431" spans="1:31" x14ac:dyDescent="0.2">
      <c r="A431" s="16">
        <v>5000497486</v>
      </c>
      <c r="B431" t="s">
        <v>6</v>
      </c>
      <c r="C431" t="s">
        <v>6</v>
      </c>
      <c r="D431" t="s">
        <v>1</v>
      </c>
      <c r="E431" t="s">
        <v>134</v>
      </c>
      <c r="F431" t="s">
        <v>135</v>
      </c>
      <c r="G431" s="2">
        <v>20</v>
      </c>
      <c r="H431" t="s">
        <v>461</v>
      </c>
      <c r="I431" t="s">
        <v>3</v>
      </c>
      <c r="J431" t="s">
        <v>136</v>
      </c>
      <c r="K431" t="s">
        <v>605</v>
      </c>
      <c r="L431" t="s">
        <v>608</v>
      </c>
      <c r="M431" t="s">
        <v>970</v>
      </c>
      <c r="N431" t="s">
        <v>602</v>
      </c>
      <c r="O431" t="s">
        <v>603</v>
      </c>
      <c r="P431" t="s">
        <v>602</v>
      </c>
      <c r="Q431" s="17">
        <f>IFERROR(VLOOKUP(A431,已除帳印單!B:C,1,0),0)*1</f>
        <v>0</v>
      </c>
      <c r="R431" s="67" t="str">
        <f>IFERROR(VLOOKUP(J431,線別!A:B,2,1),"")</f>
        <v>SCB線</v>
      </c>
      <c r="S431" s="17" t="str">
        <f>IFERROR(VLOOKUP(A431,已除帳印單!B:C,2,0),"")</f>
        <v/>
      </c>
      <c r="T431" s="68">
        <f t="shared" si="42"/>
        <v>43893</v>
      </c>
      <c r="U431" s="69">
        <f t="shared" si="43"/>
        <v>84.168784722222213</v>
      </c>
      <c r="V431" s="68" t="str">
        <f>IFERROR(VLOOKUP(A431,已除帳印單!B:D,3,0),"")</f>
        <v/>
      </c>
      <c r="W431" s="69" t="str">
        <f>IFERROR(VLOOKUP(A431,已除帳印單!B:E,4,0),"")</f>
        <v/>
      </c>
      <c r="X431" s="68" t="str">
        <f>IFERROR(INDEX(刷條碼區!A:C,MATCH(點上線資訊!S431,刷條碼區!C:C,0),1),"")</f>
        <v/>
      </c>
      <c r="Y431" s="69" t="str">
        <f>IFERROR(INDEX(刷條碼區!A:C,MATCH(點上線資訊!S431,刷條碼區!C:C,0),2),"")</f>
        <v/>
      </c>
      <c r="Z431" s="70" t="str">
        <f>IFERROR(INDEX(刷條碼區!D:G,MATCH(點上線資訊!S431,刷條碼區!F:F,0),1),"")</f>
        <v/>
      </c>
      <c r="AA431" s="71" t="str">
        <f>IFERROR(INDEX(刷條碼區!D:G,MATCH(點上線資訊!S431,刷條碼區!F:F,0),2),"")</f>
        <v/>
      </c>
      <c r="AB431" s="20" t="b">
        <f t="shared" si="38"/>
        <v>0</v>
      </c>
      <c r="AC431" s="20" t="b">
        <f t="shared" si="39"/>
        <v>0</v>
      </c>
      <c r="AD431" s="17" t="b">
        <f t="shared" si="40"/>
        <v>0</v>
      </c>
      <c r="AE431" s="17" t="b">
        <f t="shared" si="41"/>
        <v>0</v>
      </c>
    </row>
    <row r="432" spans="1:31" x14ac:dyDescent="0.2">
      <c r="A432" s="16">
        <v>5000497487</v>
      </c>
      <c r="B432" t="s">
        <v>0</v>
      </c>
      <c r="C432" t="s">
        <v>0</v>
      </c>
      <c r="D432" t="s">
        <v>1</v>
      </c>
      <c r="E432" t="s">
        <v>971</v>
      </c>
      <c r="F432" t="s">
        <v>972</v>
      </c>
      <c r="G432" s="2">
        <v>10</v>
      </c>
      <c r="H432" t="s">
        <v>461</v>
      </c>
      <c r="I432" t="s">
        <v>3</v>
      </c>
      <c r="J432" t="s">
        <v>53</v>
      </c>
      <c r="K432" t="s">
        <v>605</v>
      </c>
      <c r="L432" t="s">
        <v>608</v>
      </c>
      <c r="M432" t="s">
        <v>421</v>
      </c>
      <c r="N432" t="s">
        <v>602</v>
      </c>
      <c r="O432" t="s">
        <v>603</v>
      </c>
      <c r="P432" t="s">
        <v>602</v>
      </c>
      <c r="Q432" s="17">
        <f>IFERROR(VLOOKUP(A432,已除帳印單!B:C,1,0),0)*1</f>
        <v>0</v>
      </c>
      <c r="R432" s="67" t="str">
        <f>IFERROR(VLOOKUP(J432,線別!A:B,2,1),"")</f>
        <v>裝二線</v>
      </c>
      <c r="S432" s="17" t="str">
        <f>IFERROR(VLOOKUP(A432,已除帳印單!B:C,2,0),"")</f>
        <v/>
      </c>
      <c r="T432" s="68">
        <f t="shared" si="42"/>
        <v>43892</v>
      </c>
      <c r="U432" s="69">
        <f t="shared" si="43"/>
        <v>84.168773148148148</v>
      </c>
      <c r="V432" s="68" t="str">
        <f>IFERROR(VLOOKUP(A432,已除帳印單!B:D,3,0),"")</f>
        <v/>
      </c>
      <c r="W432" s="69" t="str">
        <f>IFERROR(VLOOKUP(A432,已除帳印單!B:E,4,0),"")</f>
        <v/>
      </c>
      <c r="X432" s="68" t="str">
        <f>IFERROR(INDEX(刷條碼區!A:C,MATCH(點上線資訊!S432,刷條碼區!C:C,0),1),"")</f>
        <v/>
      </c>
      <c r="Y432" s="69" t="str">
        <f>IFERROR(INDEX(刷條碼區!A:C,MATCH(點上線資訊!S432,刷條碼區!C:C,0),2),"")</f>
        <v/>
      </c>
      <c r="Z432" s="70" t="str">
        <f>IFERROR(INDEX(刷條碼區!D:G,MATCH(點上線資訊!S432,刷條碼區!F:F,0),1),"")</f>
        <v/>
      </c>
      <c r="AA432" s="71" t="str">
        <f>IFERROR(INDEX(刷條碼區!D:G,MATCH(點上線資訊!S432,刷條碼區!F:F,0),2),"")</f>
        <v/>
      </c>
      <c r="AB432" s="20" t="b">
        <f t="shared" si="38"/>
        <v>0</v>
      </c>
      <c r="AC432" s="20" t="b">
        <f t="shared" si="39"/>
        <v>0</v>
      </c>
      <c r="AD432" s="17" t="b">
        <f t="shared" si="40"/>
        <v>0</v>
      </c>
      <c r="AE432" s="17" t="b">
        <f t="shared" si="41"/>
        <v>0</v>
      </c>
    </row>
    <row r="433" spans="1:31" x14ac:dyDescent="0.2">
      <c r="A433" s="16">
        <v>5000497494</v>
      </c>
      <c r="B433" t="s">
        <v>0</v>
      </c>
      <c r="C433" t="s">
        <v>0</v>
      </c>
      <c r="D433" t="s">
        <v>1</v>
      </c>
      <c r="E433" t="s">
        <v>973</v>
      </c>
      <c r="F433" t="s">
        <v>974</v>
      </c>
      <c r="G433" s="2">
        <v>12</v>
      </c>
      <c r="H433" t="s">
        <v>461</v>
      </c>
      <c r="I433" t="s">
        <v>3</v>
      </c>
      <c r="J433" t="s">
        <v>53</v>
      </c>
      <c r="K433" t="s">
        <v>605</v>
      </c>
      <c r="L433" t="s">
        <v>608</v>
      </c>
      <c r="M433" t="s">
        <v>421</v>
      </c>
      <c r="N433" t="s">
        <v>602</v>
      </c>
      <c r="O433" t="s">
        <v>603</v>
      </c>
      <c r="P433" t="s">
        <v>602</v>
      </c>
      <c r="Q433" s="17">
        <f>IFERROR(VLOOKUP(A433,已除帳印單!B:C,1,0),0)*1</f>
        <v>0</v>
      </c>
      <c r="R433" s="67" t="str">
        <f>IFERROR(VLOOKUP(J433,線別!A:B,2,1),"")</f>
        <v>裝二線</v>
      </c>
      <c r="S433" s="17" t="str">
        <f>IFERROR(VLOOKUP(A433,已除帳印單!B:C,2,0),"")</f>
        <v/>
      </c>
      <c r="T433" s="68">
        <f t="shared" si="42"/>
        <v>43892</v>
      </c>
      <c r="U433" s="69">
        <f t="shared" si="43"/>
        <v>84.168773148148148</v>
      </c>
      <c r="V433" s="68" t="str">
        <f>IFERROR(VLOOKUP(A433,已除帳印單!B:D,3,0),"")</f>
        <v/>
      </c>
      <c r="W433" s="69" t="str">
        <f>IFERROR(VLOOKUP(A433,已除帳印單!B:E,4,0),"")</f>
        <v/>
      </c>
      <c r="X433" s="68" t="str">
        <f>IFERROR(INDEX(刷條碼區!A:C,MATCH(點上線資訊!S433,刷條碼區!C:C,0),1),"")</f>
        <v/>
      </c>
      <c r="Y433" s="69" t="str">
        <f>IFERROR(INDEX(刷條碼區!A:C,MATCH(點上線資訊!S433,刷條碼區!C:C,0),2),"")</f>
        <v/>
      </c>
      <c r="Z433" s="70" t="str">
        <f>IFERROR(INDEX(刷條碼區!D:G,MATCH(點上線資訊!S433,刷條碼區!F:F,0),1),"")</f>
        <v/>
      </c>
      <c r="AA433" s="71" t="str">
        <f>IFERROR(INDEX(刷條碼區!D:G,MATCH(點上線資訊!S433,刷條碼區!F:F,0),2),"")</f>
        <v/>
      </c>
      <c r="AB433" s="20" t="b">
        <f t="shared" si="38"/>
        <v>0</v>
      </c>
      <c r="AC433" s="20" t="b">
        <f t="shared" si="39"/>
        <v>0</v>
      </c>
      <c r="AD433" s="17" t="b">
        <f t="shared" si="40"/>
        <v>0</v>
      </c>
      <c r="AE433" s="17" t="b">
        <f t="shared" si="41"/>
        <v>0</v>
      </c>
    </row>
    <row r="434" spans="1:31" x14ac:dyDescent="0.2">
      <c r="A434" s="16">
        <v>5000498476</v>
      </c>
      <c r="B434" t="s">
        <v>0</v>
      </c>
      <c r="C434" t="s">
        <v>0</v>
      </c>
      <c r="D434" t="s">
        <v>1</v>
      </c>
      <c r="E434" t="s">
        <v>117</v>
      </c>
      <c r="F434" t="s">
        <v>118</v>
      </c>
      <c r="G434" s="2">
        <v>10</v>
      </c>
      <c r="H434" t="s">
        <v>461</v>
      </c>
      <c r="I434" t="s">
        <v>3</v>
      </c>
      <c r="J434" t="s">
        <v>107</v>
      </c>
      <c r="K434" t="s">
        <v>605</v>
      </c>
      <c r="L434" t="s">
        <v>608</v>
      </c>
      <c r="M434" t="s">
        <v>454</v>
      </c>
      <c r="N434" t="s">
        <v>602</v>
      </c>
      <c r="O434" t="s">
        <v>603</v>
      </c>
      <c r="P434" t="s">
        <v>602</v>
      </c>
      <c r="Q434" s="17">
        <f>IFERROR(VLOOKUP(A434,已除帳印單!B:C,1,0),0)*1</f>
        <v>0</v>
      </c>
      <c r="R434" s="67" t="str">
        <f>IFERROR(VLOOKUP(J434,線別!A:B,2,1),"")</f>
        <v>IA線</v>
      </c>
      <c r="S434" s="17" t="str">
        <f>IFERROR(VLOOKUP(A434,已除帳印單!B:C,2,0),"")</f>
        <v/>
      </c>
      <c r="T434" s="68">
        <f t="shared" si="42"/>
        <v>43892</v>
      </c>
      <c r="U434" s="69">
        <f t="shared" si="43"/>
        <v>84.168773148148148</v>
      </c>
      <c r="V434" s="68" t="str">
        <f>IFERROR(VLOOKUP(A434,已除帳印單!B:D,3,0),"")</f>
        <v/>
      </c>
      <c r="W434" s="69" t="str">
        <f>IFERROR(VLOOKUP(A434,已除帳印單!B:E,4,0),"")</f>
        <v/>
      </c>
      <c r="X434" s="68" t="str">
        <f>IFERROR(INDEX(刷條碼區!A:C,MATCH(點上線資訊!S434,刷條碼區!C:C,0),1),"")</f>
        <v/>
      </c>
      <c r="Y434" s="69" t="str">
        <f>IFERROR(INDEX(刷條碼區!A:C,MATCH(點上線資訊!S434,刷條碼區!C:C,0),2),"")</f>
        <v/>
      </c>
      <c r="Z434" s="70" t="str">
        <f>IFERROR(INDEX(刷條碼區!D:G,MATCH(點上線資訊!S434,刷條碼區!F:F,0),1),"")</f>
        <v/>
      </c>
      <c r="AA434" s="71" t="str">
        <f>IFERROR(INDEX(刷條碼區!D:G,MATCH(點上線資訊!S434,刷條碼區!F:F,0),2),"")</f>
        <v/>
      </c>
      <c r="AB434" s="20" t="b">
        <f t="shared" si="38"/>
        <v>0</v>
      </c>
      <c r="AC434" s="20" t="b">
        <f t="shared" si="39"/>
        <v>0</v>
      </c>
      <c r="AD434" s="17" t="b">
        <f t="shared" si="40"/>
        <v>0</v>
      </c>
      <c r="AE434" s="17" t="b">
        <f t="shared" si="41"/>
        <v>0</v>
      </c>
    </row>
    <row r="435" spans="1:31" x14ac:dyDescent="0.2">
      <c r="A435" s="16">
        <v>5000498490</v>
      </c>
      <c r="B435" t="s">
        <v>0</v>
      </c>
      <c r="C435" t="s">
        <v>0</v>
      </c>
      <c r="D435" t="s">
        <v>1</v>
      </c>
      <c r="E435" t="s">
        <v>975</v>
      </c>
      <c r="F435" t="s">
        <v>976</v>
      </c>
      <c r="G435" s="2">
        <v>2</v>
      </c>
      <c r="H435" t="s">
        <v>461</v>
      </c>
      <c r="I435" t="s">
        <v>3</v>
      </c>
      <c r="J435" t="s">
        <v>977</v>
      </c>
      <c r="K435" t="s">
        <v>605</v>
      </c>
      <c r="L435" t="s">
        <v>608</v>
      </c>
      <c r="M435" t="s">
        <v>978</v>
      </c>
      <c r="N435" t="s">
        <v>602</v>
      </c>
      <c r="O435" t="s">
        <v>603</v>
      </c>
      <c r="P435" t="s">
        <v>602</v>
      </c>
      <c r="Q435" s="17">
        <f>IFERROR(VLOOKUP(A435,已除帳印單!B:C,1,0),0)*1</f>
        <v>0</v>
      </c>
      <c r="R435" s="67" t="str">
        <f>IFERROR(VLOOKUP(J435,線別!A:B,2,1),"")</f>
        <v>FM線</v>
      </c>
      <c r="S435" s="17" t="str">
        <f>IFERROR(VLOOKUP(A435,已除帳印單!B:C,2,0),"")</f>
        <v/>
      </c>
      <c r="T435" s="68">
        <f t="shared" si="42"/>
        <v>43892</v>
      </c>
      <c r="U435" s="69">
        <f t="shared" si="43"/>
        <v>84.168773148148148</v>
      </c>
      <c r="V435" s="68" t="str">
        <f>IFERROR(VLOOKUP(A435,已除帳印單!B:D,3,0),"")</f>
        <v/>
      </c>
      <c r="W435" s="69" t="str">
        <f>IFERROR(VLOOKUP(A435,已除帳印單!B:E,4,0),"")</f>
        <v/>
      </c>
      <c r="X435" s="68" t="str">
        <f>IFERROR(INDEX(刷條碼區!A:C,MATCH(點上線資訊!S435,刷條碼區!C:C,0),1),"")</f>
        <v/>
      </c>
      <c r="Y435" s="69" t="str">
        <f>IFERROR(INDEX(刷條碼區!A:C,MATCH(點上線資訊!S435,刷條碼區!C:C,0),2),"")</f>
        <v/>
      </c>
      <c r="Z435" s="70" t="str">
        <f>IFERROR(INDEX(刷條碼區!D:G,MATCH(點上線資訊!S435,刷條碼區!F:F,0),1),"")</f>
        <v/>
      </c>
      <c r="AA435" s="71" t="str">
        <f>IFERROR(INDEX(刷條碼區!D:G,MATCH(點上線資訊!S435,刷條碼區!F:F,0),2),"")</f>
        <v/>
      </c>
      <c r="AB435" s="20" t="b">
        <f t="shared" si="38"/>
        <v>0</v>
      </c>
      <c r="AC435" s="20" t="b">
        <f t="shared" si="39"/>
        <v>0</v>
      </c>
      <c r="AD435" s="17" t="b">
        <f t="shared" si="40"/>
        <v>0</v>
      </c>
      <c r="AE435" s="17" t="b">
        <f t="shared" si="41"/>
        <v>0</v>
      </c>
    </row>
    <row r="436" spans="1:31" x14ac:dyDescent="0.2">
      <c r="A436" s="16">
        <v>5000498502</v>
      </c>
      <c r="B436" t="s">
        <v>0</v>
      </c>
      <c r="C436" t="s">
        <v>0</v>
      </c>
      <c r="D436" t="s">
        <v>1</v>
      </c>
      <c r="E436" t="s">
        <v>108</v>
      </c>
      <c r="F436" t="s">
        <v>109</v>
      </c>
      <c r="G436" s="2">
        <v>10</v>
      </c>
      <c r="H436" t="s">
        <v>461</v>
      </c>
      <c r="I436" t="s">
        <v>3</v>
      </c>
      <c r="J436" t="s">
        <v>107</v>
      </c>
      <c r="K436" t="s">
        <v>605</v>
      </c>
      <c r="L436" t="s">
        <v>608</v>
      </c>
      <c r="M436" t="s">
        <v>591</v>
      </c>
      <c r="N436" t="s">
        <v>602</v>
      </c>
      <c r="O436" t="s">
        <v>603</v>
      </c>
      <c r="P436" t="s">
        <v>602</v>
      </c>
      <c r="Q436" s="17">
        <f>IFERROR(VLOOKUP(A436,已除帳印單!B:C,1,0),0)*1</f>
        <v>0</v>
      </c>
      <c r="R436" s="67" t="str">
        <f>IFERROR(VLOOKUP(J436,線別!A:B,2,1),"")</f>
        <v>IA線</v>
      </c>
      <c r="S436" s="17" t="str">
        <f>IFERROR(VLOOKUP(A436,已除帳印單!B:C,2,0),"")</f>
        <v/>
      </c>
      <c r="T436" s="68">
        <f t="shared" si="42"/>
        <v>43892</v>
      </c>
      <c r="U436" s="69">
        <f t="shared" si="43"/>
        <v>84.168773148148148</v>
      </c>
      <c r="V436" s="68" t="str">
        <f>IFERROR(VLOOKUP(A436,已除帳印單!B:D,3,0),"")</f>
        <v/>
      </c>
      <c r="W436" s="69" t="str">
        <f>IFERROR(VLOOKUP(A436,已除帳印單!B:E,4,0),"")</f>
        <v/>
      </c>
      <c r="X436" s="68" t="str">
        <f>IFERROR(INDEX(刷條碼區!A:C,MATCH(點上線資訊!S436,刷條碼區!C:C,0),1),"")</f>
        <v/>
      </c>
      <c r="Y436" s="69" t="str">
        <f>IFERROR(INDEX(刷條碼區!A:C,MATCH(點上線資訊!S436,刷條碼區!C:C,0),2),"")</f>
        <v/>
      </c>
      <c r="Z436" s="70" t="str">
        <f>IFERROR(INDEX(刷條碼區!D:G,MATCH(點上線資訊!S436,刷條碼區!F:F,0),1),"")</f>
        <v/>
      </c>
      <c r="AA436" s="71" t="str">
        <f>IFERROR(INDEX(刷條碼區!D:G,MATCH(點上線資訊!S436,刷條碼區!F:F,0),2),"")</f>
        <v/>
      </c>
      <c r="AB436" s="20" t="b">
        <f t="shared" si="38"/>
        <v>0</v>
      </c>
      <c r="AC436" s="20" t="b">
        <f t="shared" si="39"/>
        <v>0</v>
      </c>
      <c r="AD436" s="17" t="b">
        <f t="shared" si="40"/>
        <v>0</v>
      </c>
      <c r="AE436" s="17" t="b">
        <f t="shared" si="41"/>
        <v>0</v>
      </c>
    </row>
    <row r="437" spans="1:31" x14ac:dyDescent="0.2">
      <c r="A437" s="16">
        <v>5000498519</v>
      </c>
      <c r="B437" t="s">
        <v>0</v>
      </c>
      <c r="C437" t="s">
        <v>0</v>
      </c>
      <c r="D437" t="s">
        <v>1</v>
      </c>
      <c r="E437" t="s">
        <v>108</v>
      </c>
      <c r="F437" t="s">
        <v>109</v>
      </c>
      <c r="G437" s="2">
        <v>15</v>
      </c>
      <c r="H437" t="s">
        <v>461</v>
      </c>
      <c r="I437" t="s">
        <v>3</v>
      </c>
      <c r="J437" t="s">
        <v>107</v>
      </c>
      <c r="K437" t="s">
        <v>605</v>
      </c>
      <c r="L437" t="s">
        <v>608</v>
      </c>
      <c r="M437" t="s">
        <v>591</v>
      </c>
      <c r="N437" t="s">
        <v>602</v>
      </c>
      <c r="O437" t="s">
        <v>603</v>
      </c>
      <c r="P437" t="s">
        <v>602</v>
      </c>
      <c r="Q437" s="17">
        <f>IFERROR(VLOOKUP(A437,已除帳印單!B:C,1,0),0)*1</f>
        <v>0</v>
      </c>
      <c r="R437" s="67" t="str">
        <f>IFERROR(VLOOKUP(J437,線別!A:B,2,1),"")</f>
        <v>IA線</v>
      </c>
      <c r="S437" s="17" t="str">
        <f>IFERROR(VLOOKUP(A437,已除帳印單!B:C,2,0),"")</f>
        <v/>
      </c>
      <c r="T437" s="68">
        <f t="shared" si="42"/>
        <v>43892</v>
      </c>
      <c r="U437" s="69">
        <f t="shared" si="43"/>
        <v>84.168773148148148</v>
      </c>
      <c r="V437" s="68" t="str">
        <f>IFERROR(VLOOKUP(A437,已除帳印單!B:D,3,0),"")</f>
        <v/>
      </c>
      <c r="W437" s="69" t="str">
        <f>IFERROR(VLOOKUP(A437,已除帳印單!B:E,4,0),"")</f>
        <v/>
      </c>
      <c r="X437" s="68" t="str">
        <f>IFERROR(INDEX(刷條碼區!A:C,MATCH(點上線資訊!S437,刷條碼區!C:C,0),1),"")</f>
        <v/>
      </c>
      <c r="Y437" s="69" t="str">
        <f>IFERROR(INDEX(刷條碼區!A:C,MATCH(點上線資訊!S437,刷條碼區!C:C,0),2),"")</f>
        <v/>
      </c>
      <c r="Z437" s="70" t="str">
        <f>IFERROR(INDEX(刷條碼區!D:G,MATCH(點上線資訊!S437,刷條碼區!F:F,0),1),"")</f>
        <v/>
      </c>
      <c r="AA437" s="71" t="str">
        <f>IFERROR(INDEX(刷條碼區!D:G,MATCH(點上線資訊!S437,刷條碼區!F:F,0),2),"")</f>
        <v/>
      </c>
      <c r="AB437" s="20" t="b">
        <f t="shared" si="38"/>
        <v>0</v>
      </c>
      <c r="AC437" s="20" t="b">
        <f t="shared" si="39"/>
        <v>0</v>
      </c>
      <c r="AD437" s="17" t="b">
        <f t="shared" si="40"/>
        <v>0</v>
      </c>
      <c r="AE437" s="17" t="b">
        <f t="shared" si="41"/>
        <v>0</v>
      </c>
    </row>
    <row r="438" spans="1:31" x14ac:dyDescent="0.2">
      <c r="A438" s="16">
        <v>5000498896</v>
      </c>
      <c r="B438" t="s">
        <v>0</v>
      </c>
      <c r="C438" t="s">
        <v>0</v>
      </c>
      <c r="D438" t="s">
        <v>1</v>
      </c>
      <c r="E438" t="s">
        <v>979</v>
      </c>
      <c r="F438" t="s">
        <v>980</v>
      </c>
      <c r="G438" s="2">
        <v>4</v>
      </c>
      <c r="H438" t="s">
        <v>461</v>
      </c>
      <c r="I438" t="s">
        <v>3</v>
      </c>
      <c r="J438" t="s">
        <v>19</v>
      </c>
      <c r="K438" t="s">
        <v>605</v>
      </c>
      <c r="L438" t="s">
        <v>608</v>
      </c>
      <c r="M438" t="s">
        <v>878</v>
      </c>
      <c r="N438" t="s">
        <v>602</v>
      </c>
      <c r="O438" t="s">
        <v>603</v>
      </c>
      <c r="P438" t="s">
        <v>602</v>
      </c>
      <c r="Q438" s="17">
        <f>IFERROR(VLOOKUP(A438,已除帳印單!B:C,1,0),0)*1</f>
        <v>0</v>
      </c>
      <c r="R438" s="67" t="str">
        <f>IFERROR(VLOOKUP(J438,線別!A:B,2,1),"")</f>
        <v>FM_IA預組</v>
      </c>
      <c r="S438" s="17" t="str">
        <f>IFERROR(VLOOKUP(A438,已除帳印單!B:C,2,0),"")</f>
        <v/>
      </c>
      <c r="T438" s="68">
        <f t="shared" si="42"/>
        <v>43892</v>
      </c>
      <c r="U438" s="69">
        <f t="shared" si="43"/>
        <v>84.168773148148148</v>
      </c>
      <c r="V438" s="68" t="str">
        <f>IFERROR(VLOOKUP(A438,已除帳印單!B:D,3,0),"")</f>
        <v/>
      </c>
      <c r="W438" s="69" t="str">
        <f>IFERROR(VLOOKUP(A438,已除帳印單!B:E,4,0),"")</f>
        <v/>
      </c>
      <c r="X438" s="68" t="str">
        <f>IFERROR(INDEX(刷條碼區!A:C,MATCH(點上線資訊!S438,刷條碼區!C:C,0),1),"")</f>
        <v/>
      </c>
      <c r="Y438" s="69" t="str">
        <f>IFERROR(INDEX(刷條碼區!A:C,MATCH(點上線資訊!S438,刷條碼區!C:C,0),2),"")</f>
        <v/>
      </c>
      <c r="Z438" s="70" t="str">
        <f>IFERROR(INDEX(刷條碼區!D:G,MATCH(點上線資訊!S438,刷條碼區!F:F,0),1),"")</f>
        <v/>
      </c>
      <c r="AA438" s="71" t="str">
        <f>IFERROR(INDEX(刷條碼區!D:G,MATCH(點上線資訊!S438,刷條碼區!F:F,0),2),"")</f>
        <v/>
      </c>
      <c r="AB438" s="20" t="b">
        <f t="shared" si="38"/>
        <v>0</v>
      </c>
      <c r="AC438" s="20" t="b">
        <f t="shared" si="39"/>
        <v>0</v>
      </c>
      <c r="AD438" s="17" t="b">
        <f t="shared" si="40"/>
        <v>0</v>
      </c>
      <c r="AE438" s="17" t="b">
        <f t="shared" si="41"/>
        <v>0</v>
      </c>
    </row>
    <row r="439" spans="1:31" x14ac:dyDescent="0.2">
      <c r="A439" s="16">
        <v>5000498907</v>
      </c>
      <c r="B439" t="s">
        <v>0</v>
      </c>
      <c r="C439" t="s">
        <v>0</v>
      </c>
      <c r="D439" t="s">
        <v>1</v>
      </c>
      <c r="E439" t="s">
        <v>367</v>
      </c>
      <c r="F439" t="s">
        <v>981</v>
      </c>
      <c r="G439" s="2">
        <v>10</v>
      </c>
      <c r="H439" t="s">
        <v>461</v>
      </c>
      <c r="I439" t="s">
        <v>3</v>
      </c>
      <c r="J439" t="s">
        <v>5</v>
      </c>
      <c r="K439" t="s">
        <v>605</v>
      </c>
      <c r="L439" t="s">
        <v>608</v>
      </c>
      <c r="M439" t="s">
        <v>982</v>
      </c>
      <c r="N439" t="s">
        <v>602</v>
      </c>
      <c r="O439" t="s">
        <v>603</v>
      </c>
      <c r="P439" t="s">
        <v>602</v>
      </c>
      <c r="Q439" s="17">
        <f>IFERROR(VLOOKUP(A439,已除帳印單!B:C,1,0),0)*1</f>
        <v>0</v>
      </c>
      <c r="R439" s="67" t="str">
        <f>IFERROR(VLOOKUP(J439,線別!A:B,2,1),"")</f>
        <v>FM線</v>
      </c>
      <c r="S439" s="17" t="str">
        <f>IFERROR(VLOOKUP(A439,已除帳印單!B:C,2,0),"")</f>
        <v/>
      </c>
      <c r="T439" s="68">
        <f t="shared" si="42"/>
        <v>43892</v>
      </c>
      <c r="U439" s="69">
        <f t="shared" si="43"/>
        <v>84.168773148148148</v>
      </c>
      <c r="V439" s="68" t="str">
        <f>IFERROR(VLOOKUP(A439,已除帳印單!B:D,3,0),"")</f>
        <v/>
      </c>
      <c r="W439" s="69" t="str">
        <f>IFERROR(VLOOKUP(A439,已除帳印單!B:E,4,0),"")</f>
        <v/>
      </c>
      <c r="X439" s="68" t="str">
        <f>IFERROR(INDEX(刷條碼區!A:C,MATCH(點上線資訊!S439,刷條碼區!C:C,0),1),"")</f>
        <v/>
      </c>
      <c r="Y439" s="69" t="str">
        <f>IFERROR(INDEX(刷條碼區!A:C,MATCH(點上線資訊!S439,刷條碼區!C:C,0),2),"")</f>
        <v/>
      </c>
      <c r="Z439" s="70" t="str">
        <f>IFERROR(INDEX(刷條碼區!D:G,MATCH(點上線資訊!S439,刷條碼區!F:F,0),1),"")</f>
        <v/>
      </c>
      <c r="AA439" s="71" t="str">
        <f>IFERROR(INDEX(刷條碼區!D:G,MATCH(點上線資訊!S439,刷條碼區!F:F,0),2),"")</f>
        <v/>
      </c>
      <c r="AB439" s="20" t="b">
        <f t="shared" si="38"/>
        <v>0</v>
      </c>
      <c r="AC439" s="20" t="b">
        <f t="shared" si="39"/>
        <v>0</v>
      </c>
      <c r="AD439" s="17" t="b">
        <f t="shared" si="40"/>
        <v>0</v>
      </c>
      <c r="AE439" s="17" t="b">
        <f t="shared" si="41"/>
        <v>0</v>
      </c>
    </row>
    <row r="440" spans="1:31" x14ac:dyDescent="0.2">
      <c r="A440" s="16">
        <v>5000498911</v>
      </c>
      <c r="B440" t="s">
        <v>301</v>
      </c>
      <c r="C440" t="s">
        <v>301</v>
      </c>
      <c r="D440" t="s">
        <v>1</v>
      </c>
      <c r="E440" t="s">
        <v>367</v>
      </c>
      <c r="F440" t="s">
        <v>981</v>
      </c>
      <c r="G440" s="2">
        <v>10</v>
      </c>
      <c r="H440" t="s">
        <v>461</v>
      </c>
      <c r="I440" t="s">
        <v>3</v>
      </c>
      <c r="J440" t="s">
        <v>5</v>
      </c>
      <c r="K440" t="s">
        <v>605</v>
      </c>
      <c r="L440" t="s">
        <v>608</v>
      </c>
      <c r="M440" t="s">
        <v>452</v>
      </c>
      <c r="N440" t="s">
        <v>602</v>
      </c>
      <c r="O440" t="s">
        <v>603</v>
      </c>
      <c r="P440" t="s">
        <v>602</v>
      </c>
      <c r="Q440" s="17">
        <f>IFERROR(VLOOKUP(A440,已除帳印單!B:C,1,0),0)*1</f>
        <v>0</v>
      </c>
      <c r="R440" s="67" t="str">
        <f>IFERROR(VLOOKUP(J440,線別!A:B,2,1),"")</f>
        <v>FM線</v>
      </c>
      <c r="S440" s="17" t="str">
        <f>IFERROR(VLOOKUP(A440,已除帳印單!B:C,2,0),"")</f>
        <v/>
      </c>
      <c r="T440" s="68">
        <f t="shared" si="42"/>
        <v>43894</v>
      </c>
      <c r="U440" s="69">
        <f t="shared" si="43"/>
        <v>84.168796296296293</v>
      </c>
      <c r="V440" s="68" t="str">
        <f>IFERROR(VLOOKUP(A440,已除帳印單!B:D,3,0),"")</f>
        <v/>
      </c>
      <c r="W440" s="69" t="str">
        <f>IFERROR(VLOOKUP(A440,已除帳印單!B:E,4,0),"")</f>
        <v/>
      </c>
      <c r="X440" s="68" t="str">
        <f>IFERROR(INDEX(刷條碼區!A:C,MATCH(點上線資訊!S440,刷條碼區!C:C,0),1),"")</f>
        <v/>
      </c>
      <c r="Y440" s="69" t="str">
        <f>IFERROR(INDEX(刷條碼區!A:C,MATCH(點上線資訊!S440,刷條碼區!C:C,0),2),"")</f>
        <v/>
      </c>
      <c r="Z440" s="70" t="str">
        <f>IFERROR(INDEX(刷條碼區!D:G,MATCH(點上線資訊!S440,刷條碼區!F:F,0),1),"")</f>
        <v/>
      </c>
      <c r="AA440" s="71" t="str">
        <f>IFERROR(INDEX(刷條碼區!D:G,MATCH(點上線資訊!S440,刷條碼區!F:F,0),2),"")</f>
        <v/>
      </c>
      <c r="AB440" s="20" t="b">
        <f t="shared" si="38"/>
        <v>0</v>
      </c>
      <c r="AC440" s="20" t="b">
        <f t="shared" si="39"/>
        <v>0</v>
      </c>
      <c r="AD440" s="17" t="b">
        <f t="shared" si="40"/>
        <v>0</v>
      </c>
      <c r="AE440" s="17" t="b">
        <f t="shared" si="41"/>
        <v>0</v>
      </c>
    </row>
    <row r="441" spans="1:31" x14ac:dyDescent="0.2">
      <c r="A441" s="16">
        <v>5000498912</v>
      </c>
      <c r="B441" t="s">
        <v>301</v>
      </c>
      <c r="C441" t="s">
        <v>301</v>
      </c>
      <c r="D441" t="s">
        <v>1</v>
      </c>
      <c r="E441" t="s">
        <v>367</v>
      </c>
      <c r="F441" t="s">
        <v>981</v>
      </c>
      <c r="G441" s="2">
        <v>10</v>
      </c>
      <c r="H441" t="s">
        <v>461</v>
      </c>
      <c r="I441" t="s">
        <v>3</v>
      </c>
      <c r="J441" t="s">
        <v>5</v>
      </c>
      <c r="K441" t="s">
        <v>605</v>
      </c>
      <c r="L441" t="s">
        <v>608</v>
      </c>
      <c r="M441" t="s">
        <v>452</v>
      </c>
      <c r="N441" t="s">
        <v>602</v>
      </c>
      <c r="O441" t="s">
        <v>603</v>
      </c>
      <c r="P441" t="s">
        <v>602</v>
      </c>
      <c r="Q441" s="17">
        <f>IFERROR(VLOOKUP(A441,已除帳印單!B:C,1,0),0)*1</f>
        <v>0</v>
      </c>
      <c r="R441" s="67" t="str">
        <f>IFERROR(VLOOKUP(J441,線別!A:B,2,1),"")</f>
        <v>FM線</v>
      </c>
      <c r="S441" s="17" t="str">
        <f>IFERROR(VLOOKUP(A441,已除帳印單!B:C,2,0),"")</f>
        <v/>
      </c>
      <c r="T441" s="68">
        <f t="shared" si="42"/>
        <v>43894</v>
      </c>
      <c r="U441" s="69">
        <f t="shared" si="43"/>
        <v>84.168796296296293</v>
      </c>
      <c r="V441" s="68" t="str">
        <f>IFERROR(VLOOKUP(A441,已除帳印單!B:D,3,0),"")</f>
        <v/>
      </c>
      <c r="W441" s="69" t="str">
        <f>IFERROR(VLOOKUP(A441,已除帳印單!B:E,4,0),"")</f>
        <v/>
      </c>
      <c r="X441" s="68" t="str">
        <f>IFERROR(INDEX(刷條碼區!A:C,MATCH(點上線資訊!S441,刷條碼區!C:C,0),1),"")</f>
        <v/>
      </c>
      <c r="Y441" s="69" t="str">
        <f>IFERROR(INDEX(刷條碼區!A:C,MATCH(點上線資訊!S441,刷條碼區!C:C,0),2),"")</f>
        <v/>
      </c>
      <c r="Z441" s="70" t="str">
        <f>IFERROR(INDEX(刷條碼區!D:G,MATCH(點上線資訊!S441,刷條碼區!F:F,0),1),"")</f>
        <v/>
      </c>
      <c r="AA441" s="71" t="str">
        <f>IFERROR(INDEX(刷條碼區!D:G,MATCH(點上線資訊!S441,刷條碼區!F:F,0),2),"")</f>
        <v/>
      </c>
      <c r="AB441" s="20" t="b">
        <f t="shared" si="38"/>
        <v>0</v>
      </c>
      <c r="AC441" s="20" t="b">
        <f t="shared" si="39"/>
        <v>0</v>
      </c>
      <c r="AD441" s="17" t="b">
        <f t="shared" si="40"/>
        <v>0</v>
      </c>
      <c r="AE441" s="17" t="b">
        <f t="shared" si="41"/>
        <v>0</v>
      </c>
    </row>
    <row r="442" spans="1:31" x14ac:dyDescent="0.2">
      <c r="A442" s="16">
        <v>5000498919</v>
      </c>
      <c r="B442" t="s">
        <v>0</v>
      </c>
      <c r="C442" t="s">
        <v>0</v>
      </c>
      <c r="D442" t="s">
        <v>1</v>
      </c>
      <c r="E442" t="s">
        <v>983</v>
      </c>
      <c r="F442" t="s">
        <v>984</v>
      </c>
      <c r="G442" s="2">
        <v>1</v>
      </c>
      <c r="H442" t="s">
        <v>461</v>
      </c>
      <c r="I442" t="s">
        <v>3</v>
      </c>
      <c r="J442" t="s">
        <v>5</v>
      </c>
      <c r="K442" t="s">
        <v>605</v>
      </c>
      <c r="L442" t="s">
        <v>608</v>
      </c>
      <c r="M442" t="s">
        <v>985</v>
      </c>
      <c r="N442" t="s">
        <v>602</v>
      </c>
      <c r="O442" t="s">
        <v>603</v>
      </c>
      <c r="P442" t="s">
        <v>602</v>
      </c>
      <c r="Q442" s="17">
        <f>IFERROR(VLOOKUP(A442,已除帳印單!B:C,1,0),0)*1</f>
        <v>0</v>
      </c>
      <c r="R442" s="67" t="str">
        <f>IFERROR(VLOOKUP(J442,線別!A:B,2,1),"")</f>
        <v>FM線</v>
      </c>
      <c r="S442" s="17" t="str">
        <f>IFERROR(VLOOKUP(A442,已除帳印單!B:C,2,0),"")</f>
        <v/>
      </c>
      <c r="T442" s="68">
        <f t="shared" si="42"/>
        <v>43892</v>
      </c>
      <c r="U442" s="69">
        <f t="shared" si="43"/>
        <v>84.168773148148148</v>
      </c>
      <c r="V442" s="68" t="str">
        <f>IFERROR(VLOOKUP(A442,已除帳印單!B:D,3,0),"")</f>
        <v/>
      </c>
      <c r="W442" s="69" t="str">
        <f>IFERROR(VLOOKUP(A442,已除帳印單!B:E,4,0),"")</f>
        <v/>
      </c>
      <c r="X442" s="68" t="str">
        <f>IFERROR(INDEX(刷條碼區!A:C,MATCH(點上線資訊!S442,刷條碼區!C:C,0),1),"")</f>
        <v/>
      </c>
      <c r="Y442" s="69" t="str">
        <f>IFERROR(INDEX(刷條碼區!A:C,MATCH(點上線資訊!S442,刷條碼區!C:C,0),2),"")</f>
        <v/>
      </c>
      <c r="Z442" s="70" t="str">
        <f>IFERROR(INDEX(刷條碼區!D:G,MATCH(點上線資訊!S442,刷條碼區!F:F,0),1),"")</f>
        <v/>
      </c>
      <c r="AA442" s="71" t="str">
        <f>IFERROR(INDEX(刷條碼區!D:G,MATCH(點上線資訊!S442,刷條碼區!F:F,0),2),"")</f>
        <v/>
      </c>
      <c r="AB442" s="20" t="b">
        <f t="shared" si="38"/>
        <v>0</v>
      </c>
      <c r="AC442" s="20" t="b">
        <f t="shared" si="39"/>
        <v>0</v>
      </c>
      <c r="AD442" s="17" t="b">
        <f t="shared" si="40"/>
        <v>0</v>
      </c>
      <c r="AE442" s="17" t="b">
        <f t="shared" si="41"/>
        <v>0</v>
      </c>
    </row>
    <row r="443" spans="1:31" x14ac:dyDescent="0.2">
      <c r="A443" s="16">
        <v>5000498921</v>
      </c>
      <c r="B443" t="s">
        <v>0</v>
      </c>
      <c r="C443" t="s">
        <v>0</v>
      </c>
      <c r="D443" t="s">
        <v>1</v>
      </c>
      <c r="E443" t="s">
        <v>986</v>
      </c>
      <c r="F443" t="s">
        <v>987</v>
      </c>
      <c r="G443" s="2">
        <v>2</v>
      </c>
      <c r="H443" t="s">
        <v>461</v>
      </c>
      <c r="I443" t="s">
        <v>3</v>
      </c>
      <c r="J443" t="s">
        <v>5</v>
      </c>
      <c r="K443" t="s">
        <v>605</v>
      </c>
      <c r="L443" t="s">
        <v>608</v>
      </c>
      <c r="M443" t="s">
        <v>985</v>
      </c>
      <c r="N443" t="s">
        <v>602</v>
      </c>
      <c r="O443" t="s">
        <v>603</v>
      </c>
      <c r="P443" t="s">
        <v>602</v>
      </c>
      <c r="Q443" s="17">
        <f>IFERROR(VLOOKUP(A443,已除帳印單!B:C,1,0),0)*1</f>
        <v>0</v>
      </c>
      <c r="R443" s="67" t="str">
        <f>IFERROR(VLOOKUP(J443,線別!A:B,2,1),"")</f>
        <v>FM線</v>
      </c>
      <c r="S443" s="17" t="str">
        <f>IFERROR(VLOOKUP(A443,已除帳印單!B:C,2,0),"")</f>
        <v/>
      </c>
      <c r="T443" s="68">
        <f t="shared" si="42"/>
        <v>43892</v>
      </c>
      <c r="U443" s="69">
        <f t="shared" si="43"/>
        <v>84.168773148148148</v>
      </c>
      <c r="V443" s="68" t="str">
        <f>IFERROR(VLOOKUP(A443,已除帳印單!B:D,3,0),"")</f>
        <v/>
      </c>
      <c r="W443" s="69" t="str">
        <f>IFERROR(VLOOKUP(A443,已除帳印單!B:E,4,0),"")</f>
        <v/>
      </c>
      <c r="X443" s="68" t="str">
        <f>IFERROR(INDEX(刷條碼區!A:C,MATCH(點上線資訊!S443,刷條碼區!C:C,0),1),"")</f>
        <v/>
      </c>
      <c r="Y443" s="69" t="str">
        <f>IFERROR(INDEX(刷條碼區!A:C,MATCH(點上線資訊!S443,刷條碼區!C:C,0),2),"")</f>
        <v/>
      </c>
      <c r="Z443" s="70" t="str">
        <f>IFERROR(INDEX(刷條碼區!D:G,MATCH(點上線資訊!S443,刷條碼區!F:F,0),1),"")</f>
        <v/>
      </c>
      <c r="AA443" s="71" t="str">
        <f>IFERROR(INDEX(刷條碼區!D:G,MATCH(點上線資訊!S443,刷條碼區!F:F,0),2),"")</f>
        <v/>
      </c>
      <c r="AB443" s="20" t="b">
        <f t="shared" si="38"/>
        <v>0</v>
      </c>
      <c r="AC443" s="20" t="b">
        <f t="shared" si="39"/>
        <v>0</v>
      </c>
      <c r="AD443" s="17" t="b">
        <f t="shared" si="40"/>
        <v>0</v>
      </c>
      <c r="AE443" s="17" t="b">
        <f t="shared" si="41"/>
        <v>0</v>
      </c>
    </row>
    <row r="444" spans="1:31" x14ac:dyDescent="0.2">
      <c r="A444" s="16">
        <v>5000498922</v>
      </c>
      <c r="B444" t="s">
        <v>0</v>
      </c>
      <c r="C444" t="s">
        <v>0</v>
      </c>
      <c r="D444" t="s">
        <v>1</v>
      </c>
      <c r="E444" t="s">
        <v>986</v>
      </c>
      <c r="F444" t="s">
        <v>987</v>
      </c>
      <c r="G444" s="2">
        <v>7</v>
      </c>
      <c r="H444" t="s">
        <v>461</v>
      </c>
      <c r="I444" t="s">
        <v>3</v>
      </c>
      <c r="J444" t="s">
        <v>5</v>
      </c>
      <c r="K444" t="s">
        <v>605</v>
      </c>
      <c r="L444" t="s">
        <v>608</v>
      </c>
      <c r="M444" t="s">
        <v>985</v>
      </c>
      <c r="N444" t="s">
        <v>602</v>
      </c>
      <c r="O444" t="s">
        <v>603</v>
      </c>
      <c r="P444" t="s">
        <v>602</v>
      </c>
      <c r="Q444" s="17">
        <f>IFERROR(VLOOKUP(A444,已除帳印單!B:C,1,0),0)*1</f>
        <v>0</v>
      </c>
      <c r="R444" s="67" t="str">
        <f>IFERROR(VLOOKUP(J444,線別!A:B,2,1),"")</f>
        <v>FM線</v>
      </c>
      <c r="S444" s="17" t="str">
        <f>IFERROR(VLOOKUP(A444,已除帳印單!B:C,2,0),"")</f>
        <v/>
      </c>
      <c r="T444" s="68">
        <f t="shared" si="42"/>
        <v>43892</v>
      </c>
      <c r="U444" s="69">
        <f t="shared" si="43"/>
        <v>84.168773148148148</v>
      </c>
      <c r="V444" s="68" t="str">
        <f>IFERROR(VLOOKUP(A444,已除帳印單!B:D,3,0),"")</f>
        <v/>
      </c>
      <c r="W444" s="69" t="str">
        <f>IFERROR(VLOOKUP(A444,已除帳印單!B:E,4,0),"")</f>
        <v/>
      </c>
      <c r="X444" s="68" t="str">
        <f>IFERROR(INDEX(刷條碼區!A:C,MATCH(點上線資訊!S444,刷條碼區!C:C,0),1),"")</f>
        <v/>
      </c>
      <c r="Y444" s="69" t="str">
        <f>IFERROR(INDEX(刷條碼區!A:C,MATCH(點上線資訊!S444,刷條碼區!C:C,0),2),"")</f>
        <v/>
      </c>
      <c r="Z444" s="70" t="str">
        <f>IFERROR(INDEX(刷條碼區!D:G,MATCH(點上線資訊!S444,刷條碼區!F:F,0),1),"")</f>
        <v/>
      </c>
      <c r="AA444" s="71" t="str">
        <f>IFERROR(INDEX(刷條碼區!D:G,MATCH(點上線資訊!S444,刷條碼區!F:F,0),2),"")</f>
        <v/>
      </c>
      <c r="AB444" s="20" t="b">
        <f t="shared" si="38"/>
        <v>0</v>
      </c>
      <c r="AC444" s="20" t="b">
        <f t="shared" si="39"/>
        <v>0</v>
      </c>
      <c r="AD444" s="17" t="b">
        <f t="shared" si="40"/>
        <v>0</v>
      </c>
      <c r="AE444" s="17" t="b">
        <f t="shared" si="41"/>
        <v>0</v>
      </c>
    </row>
    <row r="445" spans="1:31" x14ac:dyDescent="0.2">
      <c r="A445" s="16">
        <v>5000498924</v>
      </c>
      <c r="B445" t="s">
        <v>0</v>
      </c>
      <c r="C445" t="s">
        <v>0</v>
      </c>
      <c r="D445" t="s">
        <v>1</v>
      </c>
      <c r="E445" t="s">
        <v>358</v>
      </c>
      <c r="F445" t="s">
        <v>988</v>
      </c>
      <c r="G445" s="2">
        <v>7</v>
      </c>
      <c r="H445" t="s">
        <v>461</v>
      </c>
      <c r="I445" t="s">
        <v>3</v>
      </c>
      <c r="J445" t="s">
        <v>5</v>
      </c>
      <c r="K445" t="s">
        <v>605</v>
      </c>
      <c r="L445" t="s">
        <v>608</v>
      </c>
      <c r="M445" t="s">
        <v>985</v>
      </c>
      <c r="N445" t="s">
        <v>602</v>
      </c>
      <c r="O445" t="s">
        <v>603</v>
      </c>
      <c r="P445" t="s">
        <v>602</v>
      </c>
      <c r="Q445" s="17">
        <f>IFERROR(VLOOKUP(A445,已除帳印單!B:C,1,0),0)*1</f>
        <v>0</v>
      </c>
      <c r="R445" s="67" t="str">
        <f>IFERROR(VLOOKUP(J445,線別!A:B,2,1),"")</f>
        <v>FM線</v>
      </c>
      <c r="S445" s="17" t="str">
        <f>IFERROR(VLOOKUP(A445,已除帳印單!B:C,2,0),"")</f>
        <v/>
      </c>
      <c r="T445" s="68">
        <f t="shared" si="42"/>
        <v>43892</v>
      </c>
      <c r="U445" s="69">
        <f t="shared" si="43"/>
        <v>84.168773148148148</v>
      </c>
      <c r="V445" s="68" t="str">
        <f>IFERROR(VLOOKUP(A445,已除帳印單!B:D,3,0),"")</f>
        <v/>
      </c>
      <c r="W445" s="69" t="str">
        <f>IFERROR(VLOOKUP(A445,已除帳印單!B:E,4,0),"")</f>
        <v/>
      </c>
      <c r="X445" s="68" t="str">
        <f>IFERROR(INDEX(刷條碼區!A:C,MATCH(點上線資訊!S445,刷條碼區!C:C,0),1),"")</f>
        <v/>
      </c>
      <c r="Y445" s="69" t="str">
        <f>IFERROR(INDEX(刷條碼區!A:C,MATCH(點上線資訊!S445,刷條碼區!C:C,0),2),"")</f>
        <v/>
      </c>
      <c r="Z445" s="70" t="str">
        <f>IFERROR(INDEX(刷條碼區!D:G,MATCH(點上線資訊!S445,刷條碼區!F:F,0),1),"")</f>
        <v/>
      </c>
      <c r="AA445" s="71" t="str">
        <f>IFERROR(INDEX(刷條碼區!D:G,MATCH(點上線資訊!S445,刷條碼區!F:F,0),2),"")</f>
        <v/>
      </c>
      <c r="AB445" s="20" t="b">
        <f t="shared" si="38"/>
        <v>0</v>
      </c>
      <c r="AC445" s="20" t="b">
        <f t="shared" si="39"/>
        <v>0</v>
      </c>
      <c r="AD445" s="17" t="b">
        <f t="shared" si="40"/>
        <v>0</v>
      </c>
      <c r="AE445" s="17" t="b">
        <f t="shared" si="41"/>
        <v>0</v>
      </c>
    </row>
    <row r="446" spans="1:31" x14ac:dyDescent="0.2">
      <c r="A446" s="16">
        <v>5000498926</v>
      </c>
      <c r="B446" t="s">
        <v>0</v>
      </c>
      <c r="C446" t="s">
        <v>0</v>
      </c>
      <c r="D446" t="s">
        <v>1</v>
      </c>
      <c r="E446" t="s">
        <v>358</v>
      </c>
      <c r="F446" t="s">
        <v>988</v>
      </c>
      <c r="G446" s="2">
        <v>7</v>
      </c>
      <c r="H446" t="s">
        <v>461</v>
      </c>
      <c r="I446" t="s">
        <v>3</v>
      </c>
      <c r="J446" t="s">
        <v>5</v>
      </c>
      <c r="K446" t="s">
        <v>605</v>
      </c>
      <c r="L446" t="s">
        <v>608</v>
      </c>
      <c r="M446" t="s">
        <v>985</v>
      </c>
      <c r="N446" t="s">
        <v>602</v>
      </c>
      <c r="O446" t="s">
        <v>603</v>
      </c>
      <c r="P446" t="s">
        <v>602</v>
      </c>
      <c r="Q446" s="17">
        <f>IFERROR(VLOOKUP(A446,已除帳印單!B:C,1,0),0)*1</f>
        <v>0</v>
      </c>
      <c r="R446" s="67" t="str">
        <f>IFERROR(VLOOKUP(J446,線別!A:B,2,1),"")</f>
        <v>FM線</v>
      </c>
      <c r="S446" s="17" t="str">
        <f>IFERROR(VLOOKUP(A446,已除帳印單!B:C,2,0),"")</f>
        <v/>
      </c>
      <c r="T446" s="68">
        <f t="shared" si="42"/>
        <v>43892</v>
      </c>
      <c r="U446" s="69">
        <f t="shared" si="43"/>
        <v>84.168773148148148</v>
      </c>
      <c r="V446" s="68" t="str">
        <f>IFERROR(VLOOKUP(A446,已除帳印單!B:D,3,0),"")</f>
        <v/>
      </c>
      <c r="W446" s="69" t="str">
        <f>IFERROR(VLOOKUP(A446,已除帳印單!B:E,4,0),"")</f>
        <v/>
      </c>
      <c r="X446" s="68" t="str">
        <f>IFERROR(INDEX(刷條碼區!A:C,MATCH(點上線資訊!S446,刷條碼區!C:C,0),1),"")</f>
        <v/>
      </c>
      <c r="Y446" s="69" t="str">
        <f>IFERROR(INDEX(刷條碼區!A:C,MATCH(點上線資訊!S446,刷條碼區!C:C,0),2),"")</f>
        <v/>
      </c>
      <c r="Z446" s="70" t="str">
        <f>IFERROR(INDEX(刷條碼區!D:G,MATCH(點上線資訊!S446,刷條碼區!F:F,0),1),"")</f>
        <v/>
      </c>
      <c r="AA446" s="71" t="str">
        <f>IFERROR(INDEX(刷條碼區!D:G,MATCH(點上線資訊!S446,刷條碼區!F:F,0),2),"")</f>
        <v/>
      </c>
      <c r="AB446" s="20" t="b">
        <f t="shared" si="38"/>
        <v>0</v>
      </c>
      <c r="AC446" s="20" t="b">
        <f t="shared" si="39"/>
        <v>0</v>
      </c>
      <c r="AD446" s="17" t="b">
        <f t="shared" si="40"/>
        <v>0</v>
      </c>
      <c r="AE446" s="17" t="b">
        <f t="shared" si="41"/>
        <v>0</v>
      </c>
    </row>
    <row r="447" spans="1:31" x14ac:dyDescent="0.2">
      <c r="A447" s="16">
        <v>5000498929</v>
      </c>
      <c r="B447" t="s">
        <v>0</v>
      </c>
      <c r="C447" t="s">
        <v>0</v>
      </c>
      <c r="D447" t="s">
        <v>1</v>
      </c>
      <c r="E447" t="s">
        <v>358</v>
      </c>
      <c r="F447" t="s">
        <v>988</v>
      </c>
      <c r="G447" s="2">
        <v>3</v>
      </c>
      <c r="H447" t="s">
        <v>461</v>
      </c>
      <c r="I447" t="s">
        <v>3</v>
      </c>
      <c r="J447" t="s">
        <v>5</v>
      </c>
      <c r="K447" t="s">
        <v>605</v>
      </c>
      <c r="L447" t="s">
        <v>608</v>
      </c>
      <c r="M447" t="s">
        <v>985</v>
      </c>
      <c r="N447" t="s">
        <v>602</v>
      </c>
      <c r="O447" t="s">
        <v>603</v>
      </c>
      <c r="P447" t="s">
        <v>602</v>
      </c>
      <c r="Q447" s="17">
        <f>IFERROR(VLOOKUP(A447,已除帳印單!B:C,1,0),0)*1</f>
        <v>0</v>
      </c>
      <c r="R447" s="67" t="str">
        <f>IFERROR(VLOOKUP(J447,線別!A:B,2,1),"")</f>
        <v>FM線</v>
      </c>
      <c r="S447" s="17" t="str">
        <f>IFERROR(VLOOKUP(A447,已除帳印單!B:C,2,0),"")</f>
        <v/>
      </c>
      <c r="T447" s="68">
        <f t="shared" si="42"/>
        <v>43892</v>
      </c>
      <c r="U447" s="69">
        <f t="shared" si="43"/>
        <v>84.168773148148148</v>
      </c>
      <c r="V447" s="68" t="str">
        <f>IFERROR(VLOOKUP(A447,已除帳印單!B:D,3,0),"")</f>
        <v/>
      </c>
      <c r="W447" s="69" t="str">
        <f>IFERROR(VLOOKUP(A447,已除帳印單!B:E,4,0),"")</f>
        <v/>
      </c>
      <c r="X447" s="68" t="str">
        <f>IFERROR(INDEX(刷條碼區!A:C,MATCH(點上線資訊!S447,刷條碼區!C:C,0),1),"")</f>
        <v/>
      </c>
      <c r="Y447" s="69" t="str">
        <f>IFERROR(INDEX(刷條碼區!A:C,MATCH(點上線資訊!S447,刷條碼區!C:C,0),2),"")</f>
        <v/>
      </c>
      <c r="Z447" s="70" t="str">
        <f>IFERROR(INDEX(刷條碼區!D:G,MATCH(點上線資訊!S447,刷條碼區!F:F,0),1),"")</f>
        <v/>
      </c>
      <c r="AA447" s="71" t="str">
        <f>IFERROR(INDEX(刷條碼區!D:G,MATCH(點上線資訊!S447,刷條碼區!F:F,0),2),"")</f>
        <v/>
      </c>
      <c r="AB447" s="20" t="b">
        <f t="shared" si="38"/>
        <v>0</v>
      </c>
      <c r="AC447" s="20" t="b">
        <f t="shared" si="39"/>
        <v>0</v>
      </c>
      <c r="AD447" s="17" t="b">
        <f t="shared" si="40"/>
        <v>0</v>
      </c>
      <c r="AE447" s="17" t="b">
        <f t="shared" si="41"/>
        <v>0</v>
      </c>
    </row>
    <row r="448" spans="1:31" x14ac:dyDescent="0.2">
      <c r="A448" s="16">
        <v>5000498930</v>
      </c>
      <c r="B448" t="s">
        <v>0</v>
      </c>
      <c r="C448" t="s">
        <v>0</v>
      </c>
      <c r="D448" t="s">
        <v>1</v>
      </c>
      <c r="E448" t="s">
        <v>358</v>
      </c>
      <c r="F448" t="s">
        <v>988</v>
      </c>
      <c r="G448" s="2">
        <v>5</v>
      </c>
      <c r="H448" t="s">
        <v>461</v>
      </c>
      <c r="I448" t="s">
        <v>3</v>
      </c>
      <c r="J448" t="s">
        <v>5</v>
      </c>
      <c r="K448" t="s">
        <v>605</v>
      </c>
      <c r="L448" t="s">
        <v>608</v>
      </c>
      <c r="M448" t="s">
        <v>985</v>
      </c>
      <c r="N448" t="s">
        <v>602</v>
      </c>
      <c r="O448" t="s">
        <v>603</v>
      </c>
      <c r="P448" t="s">
        <v>602</v>
      </c>
      <c r="Q448" s="17">
        <f>IFERROR(VLOOKUP(A448,已除帳印單!B:C,1,0),0)*1</f>
        <v>0</v>
      </c>
      <c r="R448" s="67" t="str">
        <f>IFERROR(VLOOKUP(J448,線別!A:B,2,1),"")</f>
        <v>FM線</v>
      </c>
      <c r="S448" s="17" t="str">
        <f>IFERROR(VLOOKUP(A448,已除帳印單!B:C,2,0),"")</f>
        <v/>
      </c>
      <c r="T448" s="68">
        <f t="shared" si="42"/>
        <v>43892</v>
      </c>
      <c r="U448" s="69">
        <f t="shared" si="43"/>
        <v>84.168773148148148</v>
      </c>
      <c r="V448" s="68" t="str">
        <f>IFERROR(VLOOKUP(A448,已除帳印單!B:D,3,0),"")</f>
        <v/>
      </c>
      <c r="W448" s="69" t="str">
        <f>IFERROR(VLOOKUP(A448,已除帳印單!B:E,4,0),"")</f>
        <v/>
      </c>
      <c r="X448" s="68" t="str">
        <f>IFERROR(INDEX(刷條碼區!A:C,MATCH(點上線資訊!S448,刷條碼區!C:C,0),1),"")</f>
        <v/>
      </c>
      <c r="Y448" s="69" t="str">
        <f>IFERROR(INDEX(刷條碼區!A:C,MATCH(點上線資訊!S448,刷條碼區!C:C,0),2),"")</f>
        <v/>
      </c>
      <c r="Z448" s="70" t="str">
        <f>IFERROR(INDEX(刷條碼區!D:G,MATCH(點上線資訊!S448,刷條碼區!F:F,0),1),"")</f>
        <v/>
      </c>
      <c r="AA448" s="71" t="str">
        <f>IFERROR(INDEX(刷條碼區!D:G,MATCH(點上線資訊!S448,刷條碼區!F:F,0),2),"")</f>
        <v/>
      </c>
      <c r="AB448" s="20" t="b">
        <f t="shared" si="38"/>
        <v>0</v>
      </c>
      <c r="AC448" s="20" t="b">
        <f t="shared" si="39"/>
        <v>0</v>
      </c>
      <c r="AD448" s="17" t="b">
        <f t="shared" si="40"/>
        <v>0</v>
      </c>
      <c r="AE448" s="17" t="b">
        <f t="shared" si="41"/>
        <v>0</v>
      </c>
    </row>
    <row r="449" spans="1:31" x14ac:dyDescent="0.2">
      <c r="A449" s="16">
        <v>5000498931</v>
      </c>
      <c r="B449" t="s">
        <v>0</v>
      </c>
      <c r="C449" t="s">
        <v>0</v>
      </c>
      <c r="D449" t="s">
        <v>1</v>
      </c>
      <c r="E449" t="s">
        <v>358</v>
      </c>
      <c r="F449" t="s">
        <v>988</v>
      </c>
      <c r="G449" s="2">
        <v>5</v>
      </c>
      <c r="H449" t="s">
        <v>461</v>
      </c>
      <c r="I449" t="s">
        <v>3</v>
      </c>
      <c r="J449" t="s">
        <v>5</v>
      </c>
      <c r="K449" t="s">
        <v>605</v>
      </c>
      <c r="L449" t="s">
        <v>608</v>
      </c>
      <c r="M449" t="s">
        <v>985</v>
      </c>
      <c r="N449" t="s">
        <v>602</v>
      </c>
      <c r="O449" t="s">
        <v>603</v>
      </c>
      <c r="P449" t="s">
        <v>602</v>
      </c>
      <c r="Q449" s="17">
        <f>IFERROR(VLOOKUP(A449,已除帳印單!B:C,1,0),0)*1</f>
        <v>0</v>
      </c>
      <c r="R449" s="67" t="str">
        <f>IFERROR(VLOOKUP(J449,線別!A:B,2,1),"")</f>
        <v>FM線</v>
      </c>
      <c r="S449" s="17" t="str">
        <f>IFERROR(VLOOKUP(A449,已除帳印單!B:C,2,0),"")</f>
        <v/>
      </c>
      <c r="T449" s="68">
        <f t="shared" si="42"/>
        <v>43892</v>
      </c>
      <c r="U449" s="69">
        <f t="shared" si="43"/>
        <v>84.168773148148148</v>
      </c>
      <c r="V449" s="68" t="str">
        <f>IFERROR(VLOOKUP(A449,已除帳印單!B:D,3,0),"")</f>
        <v/>
      </c>
      <c r="W449" s="69" t="str">
        <f>IFERROR(VLOOKUP(A449,已除帳印單!B:E,4,0),"")</f>
        <v/>
      </c>
      <c r="X449" s="68" t="str">
        <f>IFERROR(INDEX(刷條碼區!A:C,MATCH(點上線資訊!S449,刷條碼區!C:C,0),1),"")</f>
        <v/>
      </c>
      <c r="Y449" s="69" t="str">
        <f>IFERROR(INDEX(刷條碼區!A:C,MATCH(點上線資訊!S449,刷條碼區!C:C,0),2),"")</f>
        <v/>
      </c>
      <c r="Z449" s="70" t="str">
        <f>IFERROR(INDEX(刷條碼區!D:G,MATCH(點上線資訊!S449,刷條碼區!F:F,0),1),"")</f>
        <v/>
      </c>
      <c r="AA449" s="71" t="str">
        <f>IFERROR(INDEX(刷條碼區!D:G,MATCH(點上線資訊!S449,刷條碼區!F:F,0),2),"")</f>
        <v/>
      </c>
      <c r="AB449" s="20" t="b">
        <f t="shared" si="38"/>
        <v>0</v>
      </c>
      <c r="AC449" s="20" t="b">
        <f t="shared" si="39"/>
        <v>0</v>
      </c>
      <c r="AD449" s="17" t="b">
        <f t="shared" si="40"/>
        <v>0</v>
      </c>
      <c r="AE449" s="17" t="b">
        <f t="shared" si="41"/>
        <v>0</v>
      </c>
    </row>
    <row r="450" spans="1:31" x14ac:dyDescent="0.2">
      <c r="A450" s="16">
        <v>5000498933</v>
      </c>
      <c r="B450" t="s">
        <v>0</v>
      </c>
      <c r="C450" t="s">
        <v>0</v>
      </c>
      <c r="D450" t="s">
        <v>1</v>
      </c>
      <c r="E450" t="s">
        <v>358</v>
      </c>
      <c r="F450" t="s">
        <v>988</v>
      </c>
      <c r="G450" s="2">
        <v>7</v>
      </c>
      <c r="H450" t="s">
        <v>461</v>
      </c>
      <c r="I450" t="s">
        <v>3</v>
      </c>
      <c r="J450" t="s">
        <v>5</v>
      </c>
      <c r="K450" t="s">
        <v>605</v>
      </c>
      <c r="L450" t="s">
        <v>608</v>
      </c>
      <c r="M450" t="s">
        <v>985</v>
      </c>
      <c r="N450" t="s">
        <v>602</v>
      </c>
      <c r="O450" t="s">
        <v>603</v>
      </c>
      <c r="P450" t="s">
        <v>602</v>
      </c>
      <c r="Q450" s="17">
        <f>IFERROR(VLOOKUP(A450,已除帳印單!B:C,1,0),0)*1</f>
        <v>0</v>
      </c>
      <c r="R450" s="67" t="str">
        <f>IFERROR(VLOOKUP(J450,線別!A:B,2,1),"")</f>
        <v>FM線</v>
      </c>
      <c r="S450" s="17" t="str">
        <f>IFERROR(VLOOKUP(A450,已除帳印單!B:C,2,0),"")</f>
        <v/>
      </c>
      <c r="T450" s="68">
        <f t="shared" si="42"/>
        <v>43892</v>
      </c>
      <c r="U450" s="69">
        <f t="shared" si="43"/>
        <v>84.168773148148148</v>
      </c>
      <c r="V450" s="68" t="str">
        <f>IFERROR(VLOOKUP(A450,已除帳印單!B:D,3,0),"")</f>
        <v/>
      </c>
      <c r="W450" s="69" t="str">
        <f>IFERROR(VLOOKUP(A450,已除帳印單!B:E,4,0),"")</f>
        <v/>
      </c>
      <c r="X450" s="68" t="str">
        <f>IFERROR(INDEX(刷條碼區!A:C,MATCH(點上線資訊!S450,刷條碼區!C:C,0),1),"")</f>
        <v/>
      </c>
      <c r="Y450" s="69" t="str">
        <f>IFERROR(INDEX(刷條碼區!A:C,MATCH(點上線資訊!S450,刷條碼區!C:C,0),2),"")</f>
        <v/>
      </c>
      <c r="Z450" s="70" t="str">
        <f>IFERROR(INDEX(刷條碼區!D:G,MATCH(點上線資訊!S450,刷條碼區!F:F,0),1),"")</f>
        <v/>
      </c>
      <c r="AA450" s="71" t="str">
        <f>IFERROR(INDEX(刷條碼區!D:G,MATCH(點上線資訊!S450,刷條碼區!F:F,0),2),"")</f>
        <v/>
      </c>
      <c r="AB450" s="20" t="b">
        <f t="shared" si="38"/>
        <v>0</v>
      </c>
      <c r="AC450" s="20" t="b">
        <f t="shared" si="39"/>
        <v>0</v>
      </c>
      <c r="AD450" s="17" t="b">
        <f t="shared" si="40"/>
        <v>0</v>
      </c>
      <c r="AE450" s="17" t="b">
        <f t="shared" si="41"/>
        <v>0</v>
      </c>
    </row>
    <row r="451" spans="1:31" x14ac:dyDescent="0.2">
      <c r="A451" s="16">
        <v>5000498935</v>
      </c>
      <c r="B451" t="s">
        <v>0</v>
      </c>
      <c r="C451" t="s">
        <v>0</v>
      </c>
      <c r="D451" t="s">
        <v>1</v>
      </c>
      <c r="E451" t="s">
        <v>358</v>
      </c>
      <c r="F451" t="s">
        <v>988</v>
      </c>
      <c r="G451" s="2">
        <v>7</v>
      </c>
      <c r="H451" t="s">
        <v>461</v>
      </c>
      <c r="I451" t="s">
        <v>3</v>
      </c>
      <c r="J451" t="s">
        <v>5</v>
      </c>
      <c r="K451" t="s">
        <v>605</v>
      </c>
      <c r="L451" t="s">
        <v>608</v>
      </c>
      <c r="M451" t="s">
        <v>985</v>
      </c>
      <c r="N451" t="s">
        <v>602</v>
      </c>
      <c r="O451" t="s">
        <v>603</v>
      </c>
      <c r="P451" t="s">
        <v>602</v>
      </c>
      <c r="Q451" s="17">
        <f>IFERROR(VLOOKUP(A451,已除帳印單!B:C,1,0),0)*1</f>
        <v>0</v>
      </c>
      <c r="R451" s="67" t="str">
        <f>IFERROR(VLOOKUP(J451,線別!A:B,2,1),"")</f>
        <v>FM線</v>
      </c>
      <c r="S451" s="17" t="str">
        <f>IFERROR(VLOOKUP(A451,已除帳印單!B:C,2,0),"")</f>
        <v/>
      </c>
      <c r="T451" s="68">
        <f t="shared" si="42"/>
        <v>43892</v>
      </c>
      <c r="U451" s="69">
        <f t="shared" si="43"/>
        <v>84.168773148148148</v>
      </c>
      <c r="V451" s="68" t="str">
        <f>IFERROR(VLOOKUP(A451,已除帳印單!B:D,3,0),"")</f>
        <v/>
      </c>
      <c r="W451" s="69" t="str">
        <f>IFERROR(VLOOKUP(A451,已除帳印單!B:E,4,0),"")</f>
        <v/>
      </c>
      <c r="X451" s="68" t="str">
        <f>IFERROR(INDEX(刷條碼區!A:C,MATCH(點上線資訊!S451,刷條碼區!C:C,0),1),"")</f>
        <v/>
      </c>
      <c r="Y451" s="69" t="str">
        <f>IFERROR(INDEX(刷條碼區!A:C,MATCH(點上線資訊!S451,刷條碼區!C:C,0),2),"")</f>
        <v/>
      </c>
      <c r="Z451" s="70" t="str">
        <f>IFERROR(INDEX(刷條碼區!D:G,MATCH(點上線資訊!S451,刷條碼區!F:F,0),1),"")</f>
        <v/>
      </c>
      <c r="AA451" s="71" t="str">
        <f>IFERROR(INDEX(刷條碼區!D:G,MATCH(點上線資訊!S451,刷條碼區!F:F,0),2),"")</f>
        <v/>
      </c>
      <c r="AB451" s="20" t="b">
        <f t="shared" ref="AB451:AB514" si="44">IF(K451&amp;N451="",G451)</f>
        <v>0</v>
      </c>
      <c r="AC451" s="20" t="b">
        <f t="shared" ref="AC451:AC514" si="45">IF(S451&lt;&gt;"",G451)</f>
        <v>0</v>
      </c>
      <c r="AD451" s="17" t="b">
        <f t="shared" ref="AD451:AD514" si="46">IF(X451&lt;&gt;"",G451)</f>
        <v>0</v>
      </c>
      <c r="AE451" s="17" t="b">
        <f t="shared" ref="AE451:AE514" si="47">IF(Z451&lt;&gt;"",G451)</f>
        <v>0</v>
      </c>
    </row>
    <row r="452" spans="1:31" x14ac:dyDescent="0.2">
      <c r="A452" s="16">
        <v>5000498937</v>
      </c>
      <c r="B452" t="s">
        <v>0</v>
      </c>
      <c r="C452" t="s">
        <v>0</v>
      </c>
      <c r="D452" t="s">
        <v>1</v>
      </c>
      <c r="E452" t="s">
        <v>358</v>
      </c>
      <c r="F452" t="s">
        <v>988</v>
      </c>
      <c r="G452" s="2">
        <v>7</v>
      </c>
      <c r="H452" t="s">
        <v>461</v>
      </c>
      <c r="I452" t="s">
        <v>3</v>
      </c>
      <c r="J452" t="s">
        <v>5</v>
      </c>
      <c r="K452" t="s">
        <v>605</v>
      </c>
      <c r="L452" t="s">
        <v>608</v>
      </c>
      <c r="M452" t="s">
        <v>985</v>
      </c>
      <c r="N452" t="s">
        <v>602</v>
      </c>
      <c r="O452" t="s">
        <v>603</v>
      </c>
      <c r="P452" t="s">
        <v>602</v>
      </c>
      <c r="Q452" s="17">
        <f>IFERROR(VLOOKUP(A452,已除帳印單!B:C,1,0),0)*1</f>
        <v>0</v>
      </c>
      <c r="R452" s="67" t="str">
        <f>IFERROR(VLOOKUP(J452,線別!A:B,2,1),"")</f>
        <v>FM線</v>
      </c>
      <c r="S452" s="17" t="str">
        <f>IFERROR(VLOOKUP(A452,已除帳印單!B:C,2,0),"")</f>
        <v/>
      </c>
      <c r="T452" s="68">
        <f t="shared" si="42"/>
        <v>43892</v>
      </c>
      <c r="U452" s="69">
        <f t="shared" si="43"/>
        <v>84.168773148148148</v>
      </c>
      <c r="V452" s="68" t="str">
        <f>IFERROR(VLOOKUP(A452,已除帳印單!B:D,3,0),"")</f>
        <v/>
      </c>
      <c r="W452" s="69" t="str">
        <f>IFERROR(VLOOKUP(A452,已除帳印單!B:E,4,0),"")</f>
        <v/>
      </c>
      <c r="X452" s="68" t="str">
        <f>IFERROR(INDEX(刷條碼區!A:C,MATCH(點上線資訊!S452,刷條碼區!C:C,0),1),"")</f>
        <v/>
      </c>
      <c r="Y452" s="69" t="str">
        <f>IFERROR(INDEX(刷條碼區!A:C,MATCH(點上線資訊!S452,刷條碼區!C:C,0),2),"")</f>
        <v/>
      </c>
      <c r="Z452" s="70" t="str">
        <f>IFERROR(INDEX(刷條碼區!D:G,MATCH(點上線資訊!S452,刷條碼區!F:F,0),1),"")</f>
        <v/>
      </c>
      <c r="AA452" s="71" t="str">
        <f>IFERROR(INDEX(刷條碼區!D:G,MATCH(點上線資訊!S452,刷條碼區!F:F,0),2),"")</f>
        <v/>
      </c>
      <c r="AB452" s="20" t="b">
        <f t="shared" si="44"/>
        <v>0</v>
      </c>
      <c r="AC452" s="20" t="b">
        <f t="shared" si="45"/>
        <v>0</v>
      </c>
      <c r="AD452" s="17" t="b">
        <f t="shared" si="46"/>
        <v>0</v>
      </c>
      <c r="AE452" s="17" t="b">
        <f t="shared" si="47"/>
        <v>0</v>
      </c>
    </row>
    <row r="453" spans="1:31" x14ac:dyDescent="0.2">
      <c r="A453" s="16">
        <v>5000498939</v>
      </c>
      <c r="B453" t="s">
        <v>0</v>
      </c>
      <c r="C453" t="s">
        <v>0</v>
      </c>
      <c r="D453" t="s">
        <v>1</v>
      </c>
      <c r="E453" t="s">
        <v>358</v>
      </c>
      <c r="F453" t="s">
        <v>988</v>
      </c>
      <c r="G453" s="2">
        <v>7</v>
      </c>
      <c r="H453" t="s">
        <v>461</v>
      </c>
      <c r="I453" t="s">
        <v>3</v>
      </c>
      <c r="J453" t="s">
        <v>5</v>
      </c>
      <c r="K453" t="s">
        <v>605</v>
      </c>
      <c r="L453" t="s">
        <v>608</v>
      </c>
      <c r="M453" t="s">
        <v>985</v>
      </c>
      <c r="N453" t="s">
        <v>602</v>
      </c>
      <c r="O453" t="s">
        <v>603</v>
      </c>
      <c r="P453" t="s">
        <v>602</v>
      </c>
      <c r="Q453" s="17">
        <f>IFERROR(VLOOKUP(A453,已除帳印單!B:C,1,0),0)*1</f>
        <v>0</v>
      </c>
      <c r="R453" s="67" t="str">
        <f>IFERROR(VLOOKUP(J453,線別!A:B,2,1),"")</f>
        <v>FM線</v>
      </c>
      <c r="S453" s="17" t="str">
        <f>IFERROR(VLOOKUP(A453,已除帳印單!B:C,2,0),"")</f>
        <v/>
      </c>
      <c r="T453" s="68">
        <f t="shared" si="42"/>
        <v>43892</v>
      </c>
      <c r="U453" s="69">
        <f t="shared" si="43"/>
        <v>84.168773148148148</v>
      </c>
      <c r="V453" s="68" t="str">
        <f>IFERROR(VLOOKUP(A453,已除帳印單!B:D,3,0),"")</f>
        <v/>
      </c>
      <c r="W453" s="69" t="str">
        <f>IFERROR(VLOOKUP(A453,已除帳印單!B:E,4,0),"")</f>
        <v/>
      </c>
      <c r="X453" s="68" t="str">
        <f>IFERROR(INDEX(刷條碼區!A:C,MATCH(點上線資訊!S453,刷條碼區!C:C,0),1),"")</f>
        <v/>
      </c>
      <c r="Y453" s="69" t="str">
        <f>IFERROR(INDEX(刷條碼區!A:C,MATCH(點上線資訊!S453,刷條碼區!C:C,0),2),"")</f>
        <v/>
      </c>
      <c r="Z453" s="70" t="str">
        <f>IFERROR(INDEX(刷條碼區!D:G,MATCH(點上線資訊!S453,刷條碼區!F:F,0),1),"")</f>
        <v/>
      </c>
      <c r="AA453" s="71" t="str">
        <f>IFERROR(INDEX(刷條碼區!D:G,MATCH(點上線資訊!S453,刷條碼區!F:F,0),2),"")</f>
        <v/>
      </c>
      <c r="AB453" s="20" t="b">
        <f t="shared" si="44"/>
        <v>0</v>
      </c>
      <c r="AC453" s="20" t="b">
        <f t="shared" si="45"/>
        <v>0</v>
      </c>
      <c r="AD453" s="17" t="b">
        <f t="shared" si="46"/>
        <v>0</v>
      </c>
      <c r="AE453" s="17" t="b">
        <f t="shared" si="47"/>
        <v>0</v>
      </c>
    </row>
    <row r="454" spans="1:31" x14ac:dyDescent="0.2">
      <c r="A454" s="16">
        <v>5000498940</v>
      </c>
      <c r="B454" t="s">
        <v>0</v>
      </c>
      <c r="C454" t="s">
        <v>0</v>
      </c>
      <c r="D454" t="s">
        <v>1</v>
      </c>
      <c r="E454" t="s">
        <v>358</v>
      </c>
      <c r="F454" t="s">
        <v>988</v>
      </c>
      <c r="G454" s="2">
        <v>7</v>
      </c>
      <c r="H454" t="s">
        <v>461</v>
      </c>
      <c r="I454" t="s">
        <v>3</v>
      </c>
      <c r="J454" t="s">
        <v>5</v>
      </c>
      <c r="K454" t="s">
        <v>605</v>
      </c>
      <c r="L454" t="s">
        <v>608</v>
      </c>
      <c r="M454" t="s">
        <v>985</v>
      </c>
      <c r="N454" t="s">
        <v>602</v>
      </c>
      <c r="O454" t="s">
        <v>603</v>
      </c>
      <c r="P454" t="s">
        <v>602</v>
      </c>
      <c r="Q454" s="17">
        <f>IFERROR(VLOOKUP(A454,已除帳印單!B:C,1,0),0)*1</f>
        <v>0</v>
      </c>
      <c r="R454" s="67" t="str">
        <f>IFERROR(VLOOKUP(J454,線別!A:B,2,1),"")</f>
        <v>FM線</v>
      </c>
      <c r="S454" s="17" t="str">
        <f>IFERROR(VLOOKUP(A454,已除帳印單!B:C,2,0),"")</f>
        <v/>
      </c>
      <c r="T454" s="68">
        <f t="shared" si="42"/>
        <v>43892</v>
      </c>
      <c r="U454" s="69">
        <f t="shared" si="43"/>
        <v>84.168773148148148</v>
      </c>
      <c r="V454" s="68" t="str">
        <f>IFERROR(VLOOKUP(A454,已除帳印單!B:D,3,0),"")</f>
        <v/>
      </c>
      <c r="W454" s="69" t="str">
        <f>IFERROR(VLOOKUP(A454,已除帳印單!B:E,4,0),"")</f>
        <v/>
      </c>
      <c r="X454" s="68" t="str">
        <f>IFERROR(INDEX(刷條碼區!A:C,MATCH(點上線資訊!S454,刷條碼區!C:C,0),1),"")</f>
        <v/>
      </c>
      <c r="Y454" s="69" t="str">
        <f>IFERROR(INDEX(刷條碼區!A:C,MATCH(點上線資訊!S454,刷條碼區!C:C,0),2),"")</f>
        <v/>
      </c>
      <c r="Z454" s="70" t="str">
        <f>IFERROR(INDEX(刷條碼區!D:G,MATCH(點上線資訊!S454,刷條碼區!F:F,0),1),"")</f>
        <v/>
      </c>
      <c r="AA454" s="71" t="str">
        <f>IFERROR(INDEX(刷條碼區!D:G,MATCH(點上線資訊!S454,刷條碼區!F:F,0),2),"")</f>
        <v/>
      </c>
      <c r="AB454" s="20" t="b">
        <f t="shared" si="44"/>
        <v>0</v>
      </c>
      <c r="AC454" s="20" t="b">
        <f t="shared" si="45"/>
        <v>0</v>
      </c>
      <c r="AD454" s="17" t="b">
        <f t="shared" si="46"/>
        <v>0</v>
      </c>
      <c r="AE454" s="17" t="b">
        <f t="shared" si="47"/>
        <v>0</v>
      </c>
    </row>
    <row r="455" spans="1:31" x14ac:dyDescent="0.2">
      <c r="A455" s="16">
        <v>5000498945</v>
      </c>
      <c r="B455" t="s">
        <v>0</v>
      </c>
      <c r="C455" t="s">
        <v>0</v>
      </c>
      <c r="D455" t="s">
        <v>1</v>
      </c>
      <c r="E455" t="s">
        <v>989</v>
      </c>
      <c r="F455" t="s">
        <v>990</v>
      </c>
      <c r="G455" s="2">
        <v>5</v>
      </c>
      <c r="H455" t="s">
        <v>461</v>
      </c>
      <c r="I455" t="s">
        <v>3</v>
      </c>
      <c r="J455" t="s">
        <v>5</v>
      </c>
      <c r="K455" t="s">
        <v>605</v>
      </c>
      <c r="L455" t="s">
        <v>608</v>
      </c>
      <c r="M455" t="s">
        <v>985</v>
      </c>
      <c r="N455" t="s">
        <v>602</v>
      </c>
      <c r="O455" t="s">
        <v>603</v>
      </c>
      <c r="P455" t="s">
        <v>602</v>
      </c>
      <c r="Q455" s="17">
        <f>IFERROR(VLOOKUP(A455,已除帳印單!B:C,1,0),0)*1</f>
        <v>0</v>
      </c>
      <c r="R455" s="67" t="str">
        <f>IFERROR(VLOOKUP(J455,線別!A:B,2,1),"")</f>
        <v>FM線</v>
      </c>
      <c r="S455" s="17" t="str">
        <f>IFERROR(VLOOKUP(A455,已除帳印單!B:C,2,0),"")</f>
        <v/>
      </c>
      <c r="T455" s="68">
        <f t="shared" si="42"/>
        <v>43892</v>
      </c>
      <c r="U455" s="69">
        <f t="shared" si="43"/>
        <v>84.168773148148148</v>
      </c>
      <c r="V455" s="68" t="str">
        <f>IFERROR(VLOOKUP(A455,已除帳印單!B:D,3,0),"")</f>
        <v/>
      </c>
      <c r="W455" s="69" t="str">
        <f>IFERROR(VLOOKUP(A455,已除帳印單!B:E,4,0),"")</f>
        <v/>
      </c>
      <c r="X455" s="68" t="str">
        <f>IFERROR(INDEX(刷條碼區!A:C,MATCH(點上線資訊!S455,刷條碼區!C:C,0),1),"")</f>
        <v/>
      </c>
      <c r="Y455" s="69" t="str">
        <f>IFERROR(INDEX(刷條碼區!A:C,MATCH(點上線資訊!S455,刷條碼區!C:C,0),2),"")</f>
        <v/>
      </c>
      <c r="Z455" s="70" t="str">
        <f>IFERROR(INDEX(刷條碼區!D:G,MATCH(點上線資訊!S455,刷條碼區!F:F,0),1),"")</f>
        <v/>
      </c>
      <c r="AA455" s="71" t="str">
        <f>IFERROR(INDEX(刷條碼區!D:G,MATCH(點上線資訊!S455,刷條碼區!F:F,0),2),"")</f>
        <v/>
      </c>
      <c r="AB455" s="20" t="b">
        <f t="shared" si="44"/>
        <v>0</v>
      </c>
      <c r="AC455" s="20" t="b">
        <f t="shared" si="45"/>
        <v>0</v>
      </c>
      <c r="AD455" s="17" t="b">
        <f t="shared" si="46"/>
        <v>0</v>
      </c>
      <c r="AE455" s="17" t="b">
        <f t="shared" si="47"/>
        <v>0</v>
      </c>
    </row>
    <row r="456" spans="1:31" x14ac:dyDescent="0.2">
      <c r="A456" s="16">
        <v>5000498947</v>
      </c>
      <c r="B456" t="s">
        <v>0</v>
      </c>
      <c r="C456" t="s">
        <v>0</v>
      </c>
      <c r="D456" t="s">
        <v>1</v>
      </c>
      <c r="E456" t="s">
        <v>989</v>
      </c>
      <c r="F456" t="s">
        <v>990</v>
      </c>
      <c r="G456" s="2">
        <v>12</v>
      </c>
      <c r="H456" t="s">
        <v>461</v>
      </c>
      <c r="I456" t="s">
        <v>3</v>
      </c>
      <c r="J456" t="s">
        <v>5</v>
      </c>
      <c r="K456" t="s">
        <v>605</v>
      </c>
      <c r="L456" t="s">
        <v>608</v>
      </c>
      <c r="M456" t="s">
        <v>985</v>
      </c>
      <c r="N456" t="s">
        <v>602</v>
      </c>
      <c r="O456" t="s">
        <v>603</v>
      </c>
      <c r="P456" t="s">
        <v>602</v>
      </c>
      <c r="Q456" s="17">
        <f>IFERROR(VLOOKUP(A456,已除帳印單!B:C,1,0),0)*1</f>
        <v>0</v>
      </c>
      <c r="R456" s="67" t="str">
        <f>IFERROR(VLOOKUP(J456,線別!A:B,2,1),"")</f>
        <v>FM線</v>
      </c>
      <c r="S456" s="17" t="str">
        <f>IFERROR(VLOOKUP(A456,已除帳印單!B:C,2,0),"")</f>
        <v/>
      </c>
      <c r="T456" s="68">
        <f t="shared" si="42"/>
        <v>43892</v>
      </c>
      <c r="U456" s="69">
        <f t="shared" si="43"/>
        <v>84.168773148148148</v>
      </c>
      <c r="V456" s="68" t="str">
        <f>IFERROR(VLOOKUP(A456,已除帳印單!B:D,3,0),"")</f>
        <v/>
      </c>
      <c r="W456" s="69" t="str">
        <f>IFERROR(VLOOKUP(A456,已除帳印單!B:E,4,0),"")</f>
        <v/>
      </c>
      <c r="X456" s="68" t="str">
        <f>IFERROR(INDEX(刷條碼區!A:C,MATCH(點上線資訊!S456,刷條碼區!C:C,0),1),"")</f>
        <v/>
      </c>
      <c r="Y456" s="69" t="str">
        <f>IFERROR(INDEX(刷條碼區!A:C,MATCH(點上線資訊!S456,刷條碼區!C:C,0),2),"")</f>
        <v/>
      </c>
      <c r="Z456" s="70" t="str">
        <f>IFERROR(INDEX(刷條碼區!D:G,MATCH(點上線資訊!S456,刷條碼區!F:F,0),1),"")</f>
        <v/>
      </c>
      <c r="AA456" s="71" t="str">
        <f>IFERROR(INDEX(刷條碼區!D:G,MATCH(點上線資訊!S456,刷條碼區!F:F,0),2),"")</f>
        <v/>
      </c>
      <c r="AB456" s="20" t="b">
        <f t="shared" si="44"/>
        <v>0</v>
      </c>
      <c r="AC456" s="20" t="b">
        <f t="shared" si="45"/>
        <v>0</v>
      </c>
      <c r="AD456" s="17" t="b">
        <f t="shared" si="46"/>
        <v>0</v>
      </c>
      <c r="AE456" s="17" t="b">
        <f t="shared" si="47"/>
        <v>0</v>
      </c>
    </row>
    <row r="457" spans="1:31" x14ac:dyDescent="0.2">
      <c r="A457" s="16">
        <v>5000499037</v>
      </c>
      <c r="B457" t="s">
        <v>0</v>
      </c>
      <c r="C457" t="s">
        <v>0</v>
      </c>
      <c r="D457" t="s">
        <v>1</v>
      </c>
      <c r="E457" t="s">
        <v>991</v>
      </c>
      <c r="F457" t="s">
        <v>992</v>
      </c>
      <c r="G457" s="2">
        <v>1</v>
      </c>
      <c r="H457" t="s">
        <v>461</v>
      </c>
      <c r="I457" t="s">
        <v>3</v>
      </c>
      <c r="J457" t="s">
        <v>339</v>
      </c>
      <c r="K457" t="s">
        <v>605</v>
      </c>
      <c r="L457" t="s">
        <v>608</v>
      </c>
      <c r="M457" t="s">
        <v>921</v>
      </c>
      <c r="N457" t="s">
        <v>602</v>
      </c>
      <c r="O457" t="s">
        <v>603</v>
      </c>
      <c r="P457" t="s">
        <v>602</v>
      </c>
      <c r="Q457" s="17">
        <f>IFERROR(VLOOKUP(A457,已除帳印單!B:C,1,0),0)*1</f>
        <v>0</v>
      </c>
      <c r="R457" s="67" t="str">
        <f>IFERROR(VLOOKUP(J457,線別!A:B,2,1),"")</f>
        <v>A+線</v>
      </c>
      <c r="S457" s="17" t="str">
        <f>IFERROR(VLOOKUP(A457,已除帳印單!B:C,2,0),"")</f>
        <v/>
      </c>
      <c r="T457" s="68">
        <f t="shared" si="42"/>
        <v>43892</v>
      </c>
      <c r="U457" s="69">
        <f t="shared" si="43"/>
        <v>84.168773148148148</v>
      </c>
      <c r="V457" s="68" t="str">
        <f>IFERROR(VLOOKUP(A457,已除帳印單!B:D,3,0),"")</f>
        <v/>
      </c>
      <c r="W457" s="69" t="str">
        <f>IFERROR(VLOOKUP(A457,已除帳印單!B:E,4,0),"")</f>
        <v/>
      </c>
      <c r="X457" s="68" t="str">
        <f>IFERROR(INDEX(刷條碼區!A:C,MATCH(點上線資訊!S457,刷條碼區!C:C,0),1),"")</f>
        <v/>
      </c>
      <c r="Y457" s="69" t="str">
        <f>IFERROR(INDEX(刷條碼區!A:C,MATCH(點上線資訊!S457,刷條碼區!C:C,0),2),"")</f>
        <v/>
      </c>
      <c r="Z457" s="70" t="str">
        <f>IFERROR(INDEX(刷條碼區!D:G,MATCH(點上線資訊!S457,刷條碼區!F:F,0),1),"")</f>
        <v/>
      </c>
      <c r="AA457" s="71" t="str">
        <f>IFERROR(INDEX(刷條碼區!D:G,MATCH(點上線資訊!S457,刷條碼區!F:F,0),2),"")</f>
        <v/>
      </c>
      <c r="AB457" s="20" t="b">
        <f t="shared" si="44"/>
        <v>0</v>
      </c>
      <c r="AC457" s="20" t="b">
        <f t="shared" si="45"/>
        <v>0</v>
      </c>
      <c r="AD457" s="17" t="b">
        <f t="shared" si="46"/>
        <v>0</v>
      </c>
      <c r="AE457" s="17" t="b">
        <f t="shared" si="47"/>
        <v>0</v>
      </c>
    </row>
    <row r="458" spans="1:31" x14ac:dyDescent="0.2">
      <c r="A458" s="16">
        <v>5000499068</v>
      </c>
      <c r="B458" t="s">
        <v>0</v>
      </c>
      <c r="C458" t="s">
        <v>0</v>
      </c>
      <c r="D458" t="s">
        <v>1</v>
      </c>
      <c r="E458" t="s">
        <v>125</v>
      </c>
      <c r="F458" t="s">
        <v>126</v>
      </c>
      <c r="G458" s="2">
        <v>5</v>
      </c>
      <c r="H458" t="s">
        <v>461</v>
      </c>
      <c r="I458" t="s">
        <v>3</v>
      </c>
      <c r="J458" t="s">
        <v>4</v>
      </c>
      <c r="K458" t="s">
        <v>605</v>
      </c>
      <c r="L458" t="s">
        <v>608</v>
      </c>
      <c r="M458" t="s">
        <v>454</v>
      </c>
      <c r="N458" t="s">
        <v>602</v>
      </c>
      <c r="O458" t="s">
        <v>603</v>
      </c>
      <c r="P458" t="s">
        <v>602</v>
      </c>
      <c r="Q458" s="17">
        <f>IFERROR(VLOOKUP(A458,已除帳印單!B:C,1,0),0)*1</f>
        <v>0</v>
      </c>
      <c r="R458" s="67" t="str">
        <f>IFERROR(VLOOKUP(J458,線別!A:B,2,1),"")</f>
        <v>IA線</v>
      </c>
      <c r="S458" s="17" t="str">
        <f>IFERROR(VLOOKUP(A458,已除帳印單!B:C,2,0),"")</f>
        <v/>
      </c>
      <c r="T458" s="68">
        <f t="shared" ref="T458:T521" si="48">--TEXT(B458,"0000-00-00")</f>
        <v>43892</v>
      </c>
      <c r="U458" s="69">
        <f t="shared" ref="U458:U521" si="49">--TEXT(C458,"00\:00\:00")</f>
        <v>84.168773148148148</v>
      </c>
      <c r="V458" s="68" t="str">
        <f>IFERROR(VLOOKUP(A458,已除帳印單!B:D,3,0),"")</f>
        <v/>
      </c>
      <c r="W458" s="69" t="str">
        <f>IFERROR(VLOOKUP(A458,已除帳印單!B:E,4,0),"")</f>
        <v/>
      </c>
      <c r="X458" s="68" t="str">
        <f>IFERROR(INDEX(刷條碼區!A:C,MATCH(點上線資訊!S458,刷條碼區!C:C,0),1),"")</f>
        <v/>
      </c>
      <c r="Y458" s="69" t="str">
        <f>IFERROR(INDEX(刷條碼區!A:C,MATCH(點上線資訊!S458,刷條碼區!C:C,0),2),"")</f>
        <v/>
      </c>
      <c r="Z458" s="70" t="str">
        <f>IFERROR(INDEX(刷條碼區!D:G,MATCH(點上線資訊!S458,刷條碼區!F:F,0),1),"")</f>
        <v/>
      </c>
      <c r="AA458" s="71" t="str">
        <f>IFERROR(INDEX(刷條碼區!D:G,MATCH(點上線資訊!S458,刷條碼區!F:F,0),2),"")</f>
        <v/>
      </c>
      <c r="AB458" s="20" t="b">
        <f t="shared" si="44"/>
        <v>0</v>
      </c>
      <c r="AC458" s="20" t="b">
        <f t="shared" si="45"/>
        <v>0</v>
      </c>
      <c r="AD458" s="17" t="b">
        <f t="shared" si="46"/>
        <v>0</v>
      </c>
      <c r="AE458" s="17" t="b">
        <f t="shared" si="47"/>
        <v>0</v>
      </c>
    </row>
    <row r="459" spans="1:31" x14ac:dyDescent="0.2">
      <c r="A459" s="16">
        <v>5000499113</v>
      </c>
      <c r="B459" t="s">
        <v>0</v>
      </c>
      <c r="C459" t="s">
        <v>0</v>
      </c>
      <c r="D459" t="s">
        <v>1</v>
      </c>
      <c r="E459" t="s">
        <v>993</v>
      </c>
      <c r="F459" t="s">
        <v>994</v>
      </c>
      <c r="G459" s="2">
        <v>10</v>
      </c>
      <c r="H459" t="s">
        <v>461</v>
      </c>
      <c r="I459" t="s">
        <v>3</v>
      </c>
      <c r="J459" t="s">
        <v>4</v>
      </c>
      <c r="K459" t="s">
        <v>605</v>
      </c>
      <c r="L459" t="s">
        <v>608</v>
      </c>
      <c r="M459" t="s">
        <v>422</v>
      </c>
      <c r="N459" t="s">
        <v>602</v>
      </c>
      <c r="O459" t="s">
        <v>603</v>
      </c>
      <c r="P459" t="s">
        <v>602</v>
      </c>
      <c r="Q459" s="17">
        <f>IFERROR(VLOOKUP(A459,已除帳印單!B:C,1,0),0)*1</f>
        <v>0</v>
      </c>
      <c r="R459" s="67" t="str">
        <f>IFERROR(VLOOKUP(J459,線別!A:B,2,1),"")</f>
        <v>IA線</v>
      </c>
      <c r="S459" s="17" t="str">
        <f>IFERROR(VLOOKUP(A459,已除帳印單!B:C,2,0),"")</f>
        <v/>
      </c>
      <c r="T459" s="68">
        <f t="shared" si="48"/>
        <v>43892</v>
      </c>
      <c r="U459" s="69">
        <f t="shared" si="49"/>
        <v>84.168773148148148</v>
      </c>
      <c r="V459" s="68" t="str">
        <f>IFERROR(VLOOKUP(A459,已除帳印單!B:D,3,0),"")</f>
        <v/>
      </c>
      <c r="W459" s="69" t="str">
        <f>IFERROR(VLOOKUP(A459,已除帳印單!B:E,4,0),"")</f>
        <v/>
      </c>
      <c r="X459" s="68" t="str">
        <f>IFERROR(INDEX(刷條碼區!A:C,MATCH(點上線資訊!S459,刷條碼區!C:C,0),1),"")</f>
        <v/>
      </c>
      <c r="Y459" s="69" t="str">
        <f>IFERROR(INDEX(刷條碼區!A:C,MATCH(點上線資訊!S459,刷條碼區!C:C,0),2),"")</f>
        <v/>
      </c>
      <c r="Z459" s="70" t="str">
        <f>IFERROR(INDEX(刷條碼區!D:G,MATCH(點上線資訊!S459,刷條碼區!F:F,0),1),"")</f>
        <v/>
      </c>
      <c r="AA459" s="71" t="str">
        <f>IFERROR(INDEX(刷條碼區!D:G,MATCH(點上線資訊!S459,刷條碼區!F:F,0),2),"")</f>
        <v/>
      </c>
      <c r="AB459" s="20" t="b">
        <f t="shared" si="44"/>
        <v>0</v>
      </c>
      <c r="AC459" s="20" t="b">
        <f t="shared" si="45"/>
        <v>0</v>
      </c>
      <c r="AD459" s="17" t="b">
        <f t="shared" si="46"/>
        <v>0</v>
      </c>
      <c r="AE459" s="17" t="b">
        <f t="shared" si="47"/>
        <v>0</v>
      </c>
    </row>
    <row r="460" spans="1:31" x14ac:dyDescent="0.2">
      <c r="A460" s="16">
        <v>5000499137</v>
      </c>
      <c r="B460" t="s">
        <v>0</v>
      </c>
      <c r="C460" t="s">
        <v>0</v>
      </c>
      <c r="D460" t="s">
        <v>1</v>
      </c>
      <c r="E460" t="s">
        <v>993</v>
      </c>
      <c r="F460" t="s">
        <v>994</v>
      </c>
      <c r="G460" s="2">
        <v>10</v>
      </c>
      <c r="H460" t="s">
        <v>461</v>
      </c>
      <c r="I460" t="s">
        <v>3</v>
      </c>
      <c r="J460" t="s">
        <v>4</v>
      </c>
      <c r="K460" t="s">
        <v>605</v>
      </c>
      <c r="L460" t="s">
        <v>608</v>
      </c>
      <c r="M460" t="s">
        <v>422</v>
      </c>
      <c r="N460" t="s">
        <v>602</v>
      </c>
      <c r="O460" t="s">
        <v>603</v>
      </c>
      <c r="P460" t="s">
        <v>602</v>
      </c>
      <c r="Q460" s="17">
        <f>IFERROR(VLOOKUP(A460,已除帳印單!B:C,1,0),0)*1</f>
        <v>0</v>
      </c>
      <c r="R460" s="67" t="str">
        <f>IFERROR(VLOOKUP(J460,線別!A:B,2,1),"")</f>
        <v>IA線</v>
      </c>
      <c r="S460" s="17" t="str">
        <f>IFERROR(VLOOKUP(A460,已除帳印單!B:C,2,0),"")</f>
        <v/>
      </c>
      <c r="T460" s="68">
        <f t="shared" si="48"/>
        <v>43892</v>
      </c>
      <c r="U460" s="69">
        <f t="shared" si="49"/>
        <v>84.168773148148148</v>
      </c>
      <c r="V460" s="68" t="str">
        <f>IFERROR(VLOOKUP(A460,已除帳印單!B:D,3,0),"")</f>
        <v/>
      </c>
      <c r="W460" s="69" t="str">
        <f>IFERROR(VLOOKUP(A460,已除帳印單!B:E,4,0),"")</f>
        <v/>
      </c>
      <c r="X460" s="68" t="str">
        <f>IFERROR(INDEX(刷條碼區!A:C,MATCH(點上線資訊!S460,刷條碼區!C:C,0),1),"")</f>
        <v/>
      </c>
      <c r="Y460" s="69" t="str">
        <f>IFERROR(INDEX(刷條碼區!A:C,MATCH(點上線資訊!S460,刷條碼區!C:C,0),2),"")</f>
        <v/>
      </c>
      <c r="Z460" s="70" t="str">
        <f>IFERROR(INDEX(刷條碼區!D:G,MATCH(點上線資訊!S460,刷條碼區!F:F,0),1),"")</f>
        <v/>
      </c>
      <c r="AA460" s="71" t="str">
        <f>IFERROR(INDEX(刷條碼區!D:G,MATCH(點上線資訊!S460,刷條碼區!F:F,0),2),"")</f>
        <v/>
      </c>
      <c r="AB460" s="20" t="b">
        <f t="shared" si="44"/>
        <v>0</v>
      </c>
      <c r="AC460" s="20" t="b">
        <f t="shared" si="45"/>
        <v>0</v>
      </c>
      <c r="AD460" s="17" t="b">
        <f t="shared" si="46"/>
        <v>0</v>
      </c>
      <c r="AE460" s="17" t="b">
        <f t="shared" si="47"/>
        <v>0</v>
      </c>
    </row>
    <row r="461" spans="1:31" x14ac:dyDescent="0.2">
      <c r="A461" s="16">
        <v>5000499149</v>
      </c>
      <c r="B461" t="s">
        <v>0</v>
      </c>
      <c r="C461" t="s">
        <v>0</v>
      </c>
      <c r="D461" t="s">
        <v>1</v>
      </c>
      <c r="E461" t="s">
        <v>919</v>
      </c>
      <c r="F461" t="s">
        <v>920</v>
      </c>
      <c r="G461" s="2">
        <v>10</v>
      </c>
      <c r="H461" t="s">
        <v>461</v>
      </c>
      <c r="I461" t="s">
        <v>3</v>
      </c>
      <c r="J461" t="s">
        <v>339</v>
      </c>
      <c r="K461" t="s">
        <v>605</v>
      </c>
      <c r="L461" t="s">
        <v>608</v>
      </c>
      <c r="M461" t="s">
        <v>995</v>
      </c>
      <c r="N461" t="s">
        <v>602</v>
      </c>
      <c r="O461" t="s">
        <v>603</v>
      </c>
      <c r="P461" t="s">
        <v>602</v>
      </c>
      <c r="Q461" s="17">
        <f>IFERROR(VLOOKUP(A461,已除帳印單!B:C,1,0),0)*1</f>
        <v>0</v>
      </c>
      <c r="R461" s="67" t="str">
        <f>IFERROR(VLOOKUP(J461,線別!A:B,2,1),"")</f>
        <v>A+線</v>
      </c>
      <c r="S461" s="17" t="str">
        <f>IFERROR(VLOOKUP(A461,已除帳印單!B:C,2,0),"")</f>
        <v/>
      </c>
      <c r="T461" s="68">
        <f t="shared" si="48"/>
        <v>43892</v>
      </c>
      <c r="U461" s="69">
        <f t="shared" si="49"/>
        <v>84.168773148148148</v>
      </c>
      <c r="V461" s="68" t="str">
        <f>IFERROR(VLOOKUP(A461,已除帳印單!B:D,3,0),"")</f>
        <v/>
      </c>
      <c r="W461" s="69" t="str">
        <f>IFERROR(VLOOKUP(A461,已除帳印單!B:E,4,0),"")</f>
        <v/>
      </c>
      <c r="X461" s="68" t="str">
        <f>IFERROR(INDEX(刷條碼區!A:C,MATCH(點上線資訊!S461,刷條碼區!C:C,0),1),"")</f>
        <v/>
      </c>
      <c r="Y461" s="69" t="str">
        <f>IFERROR(INDEX(刷條碼區!A:C,MATCH(點上線資訊!S461,刷條碼區!C:C,0),2),"")</f>
        <v/>
      </c>
      <c r="Z461" s="70" t="str">
        <f>IFERROR(INDEX(刷條碼區!D:G,MATCH(點上線資訊!S461,刷條碼區!F:F,0),1),"")</f>
        <v/>
      </c>
      <c r="AA461" s="71" t="str">
        <f>IFERROR(INDEX(刷條碼區!D:G,MATCH(點上線資訊!S461,刷條碼區!F:F,0),2),"")</f>
        <v/>
      </c>
      <c r="AB461" s="20" t="b">
        <f t="shared" si="44"/>
        <v>0</v>
      </c>
      <c r="AC461" s="20" t="b">
        <f t="shared" si="45"/>
        <v>0</v>
      </c>
      <c r="AD461" s="17" t="b">
        <f t="shared" si="46"/>
        <v>0</v>
      </c>
      <c r="AE461" s="17" t="b">
        <f t="shared" si="47"/>
        <v>0</v>
      </c>
    </row>
    <row r="462" spans="1:31" x14ac:dyDescent="0.2">
      <c r="A462" s="16">
        <v>5000499159</v>
      </c>
      <c r="B462" t="s">
        <v>0</v>
      </c>
      <c r="C462" t="s">
        <v>0</v>
      </c>
      <c r="D462" t="s">
        <v>1</v>
      </c>
      <c r="E462" t="s">
        <v>919</v>
      </c>
      <c r="F462" t="s">
        <v>920</v>
      </c>
      <c r="G462" s="2">
        <v>11</v>
      </c>
      <c r="H462" t="s">
        <v>461</v>
      </c>
      <c r="I462" t="s">
        <v>3</v>
      </c>
      <c r="J462" t="s">
        <v>339</v>
      </c>
      <c r="K462" t="s">
        <v>605</v>
      </c>
      <c r="L462" t="s">
        <v>608</v>
      </c>
      <c r="M462" t="s">
        <v>995</v>
      </c>
      <c r="N462" t="s">
        <v>602</v>
      </c>
      <c r="O462" t="s">
        <v>603</v>
      </c>
      <c r="P462" t="s">
        <v>602</v>
      </c>
      <c r="Q462" s="17">
        <f>IFERROR(VLOOKUP(A462,已除帳印單!B:C,1,0),0)*1</f>
        <v>0</v>
      </c>
      <c r="R462" s="67" t="str">
        <f>IFERROR(VLOOKUP(J462,線別!A:B,2,1),"")</f>
        <v>A+線</v>
      </c>
      <c r="S462" s="17" t="str">
        <f>IFERROR(VLOOKUP(A462,已除帳印單!B:C,2,0),"")</f>
        <v/>
      </c>
      <c r="T462" s="68">
        <f t="shared" si="48"/>
        <v>43892</v>
      </c>
      <c r="U462" s="69">
        <f t="shared" si="49"/>
        <v>84.168773148148148</v>
      </c>
      <c r="V462" s="68" t="str">
        <f>IFERROR(VLOOKUP(A462,已除帳印單!B:D,3,0),"")</f>
        <v/>
      </c>
      <c r="W462" s="69" t="str">
        <f>IFERROR(VLOOKUP(A462,已除帳印單!B:E,4,0),"")</f>
        <v/>
      </c>
      <c r="X462" s="68" t="str">
        <f>IFERROR(INDEX(刷條碼區!A:C,MATCH(點上線資訊!S462,刷條碼區!C:C,0),1),"")</f>
        <v/>
      </c>
      <c r="Y462" s="69" t="str">
        <f>IFERROR(INDEX(刷條碼區!A:C,MATCH(點上線資訊!S462,刷條碼區!C:C,0),2),"")</f>
        <v/>
      </c>
      <c r="Z462" s="70" t="str">
        <f>IFERROR(INDEX(刷條碼區!D:G,MATCH(點上線資訊!S462,刷條碼區!F:F,0),1),"")</f>
        <v/>
      </c>
      <c r="AA462" s="71" t="str">
        <f>IFERROR(INDEX(刷條碼區!D:G,MATCH(點上線資訊!S462,刷條碼區!F:F,0),2),"")</f>
        <v/>
      </c>
      <c r="AB462" s="20" t="b">
        <f t="shared" si="44"/>
        <v>0</v>
      </c>
      <c r="AC462" s="20" t="b">
        <f t="shared" si="45"/>
        <v>0</v>
      </c>
      <c r="AD462" s="17" t="b">
        <f t="shared" si="46"/>
        <v>0</v>
      </c>
      <c r="AE462" s="17" t="b">
        <f t="shared" si="47"/>
        <v>0</v>
      </c>
    </row>
    <row r="463" spans="1:31" x14ac:dyDescent="0.2">
      <c r="A463" s="16">
        <v>5000499171</v>
      </c>
      <c r="B463" t="s">
        <v>0</v>
      </c>
      <c r="C463" t="s">
        <v>0</v>
      </c>
      <c r="D463" t="s">
        <v>1</v>
      </c>
      <c r="E463" t="s">
        <v>113</v>
      </c>
      <c r="F463" t="s">
        <v>996</v>
      </c>
      <c r="G463" s="2">
        <v>10</v>
      </c>
      <c r="H463" t="s">
        <v>461</v>
      </c>
      <c r="I463" t="s">
        <v>3</v>
      </c>
      <c r="J463" t="s">
        <v>339</v>
      </c>
      <c r="K463" t="s">
        <v>605</v>
      </c>
      <c r="L463" t="s">
        <v>608</v>
      </c>
      <c r="M463" t="s">
        <v>995</v>
      </c>
      <c r="N463" t="s">
        <v>602</v>
      </c>
      <c r="O463" t="s">
        <v>603</v>
      </c>
      <c r="P463" t="s">
        <v>602</v>
      </c>
      <c r="Q463" s="17">
        <f>IFERROR(VLOOKUP(A463,已除帳印單!B:C,1,0),0)*1</f>
        <v>0</v>
      </c>
      <c r="R463" s="67" t="str">
        <f>IFERROR(VLOOKUP(J463,線別!A:B,2,1),"")</f>
        <v>A+線</v>
      </c>
      <c r="S463" s="17" t="str">
        <f>IFERROR(VLOOKUP(A463,已除帳印單!B:C,2,0),"")</f>
        <v/>
      </c>
      <c r="T463" s="68">
        <f t="shared" si="48"/>
        <v>43892</v>
      </c>
      <c r="U463" s="69">
        <f t="shared" si="49"/>
        <v>84.168773148148148</v>
      </c>
      <c r="V463" s="68" t="str">
        <f>IFERROR(VLOOKUP(A463,已除帳印單!B:D,3,0),"")</f>
        <v/>
      </c>
      <c r="W463" s="69" t="str">
        <f>IFERROR(VLOOKUP(A463,已除帳印單!B:E,4,0),"")</f>
        <v/>
      </c>
      <c r="X463" s="68" t="str">
        <f>IFERROR(INDEX(刷條碼區!A:C,MATCH(點上線資訊!S463,刷條碼區!C:C,0),1),"")</f>
        <v/>
      </c>
      <c r="Y463" s="69" t="str">
        <f>IFERROR(INDEX(刷條碼區!A:C,MATCH(點上線資訊!S463,刷條碼區!C:C,0),2),"")</f>
        <v/>
      </c>
      <c r="Z463" s="70" t="str">
        <f>IFERROR(INDEX(刷條碼區!D:G,MATCH(點上線資訊!S463,刷條碼區!F:F,0),1),"")</f>
        <v/>
      </c>
      <c r="AA463" s="71" t="str">
        <f>IFERROR(INDEX(刷條碼區!D:G,MATCH(點上線資訊!S463,刷條碼區!F:F,0),2),"")</f>
        <v/>
      </c>
      <c r="AB463" s="20" t="b">
        <f t="shared" si="44"/>
        <v>0</v>
      </c>
      <c r="AC463" s="20" t="b">
        <f t="shared" si="45"/>
        <v>0</v>
      </c>
      <c r="AD463" s="17" t="b">
        <f t="shared" si="46"/>
        <v>0</v>
      </c>
      <c r="AE463" s="17" t="b">
        <f t="shared" si="47"/>
        <v>0</v>
      </c>
    </row>
    <row r="464" spans="1:31" x14ac:dyDescent="0.2">
      <c r="A464" s="16">
        <v>5000499181</v>
      </c>
      <c r="B464" t="s">
        <v>0</v>
      </c>
      <c r="C464" t="s">
        <v>0</v>
      </c>
      <c r="D464" t="s">
        <v>1</v>
      </c>
      <c r="E464" t="s">
        <v>113</v>
      </c>
      <c r="F464" t="s">
        <v>996</v>
      </c>
      <c r="G464" s="2">
        <v>10</v>
      </c>
      <c r="H464" t="s">
        <v>461</v>
      </c>
      <c r="I464" t="s">
        <v>3</v>
      </c>
      <c r="J464" t="s">
        <v>4</v>
      </c>
      <c r="K464" t="s">
        <v>605</v>
      </c>
      <c r="L464" t="s">
        <v>608</v>
      </c>
      <c r="M464" t="s">
        <v>453</v>
      </c>
      <c r="N464" t="s">
        <v>602</v>
      </c>
      <c r="O464" t="s">
        <v>603</v>
      </c>
      <c r="P464" t="s">
        <v>602</v>
      </c>
      <c r="Q464" s="17">
        <f>IFERROR(VLOOKUP(A464,已除帳印單!B:C,1,0),0)*1</f>
        <v>0</v>
      </c>
      <c r="R464" s="67" t="str">
        <f>IFERROR(VLOOKUP(J464,線別!A:B,2,1),"")</f>
        <v>IA線</v>
      </c>
      <c r="S464" s="17" t="str">
        <f>IFERROR(VLOOKUP(A464,已除帳印單!B:C,2,0),"")</f>
        <v/>
      </c>
      <c r="T464" s="68">
        <f t="shared" si="48"/>
        <v>43892</v>
      </c>
      <c r="U464" s="69">
        <f t="shared" si="49"/>
        <v>84.168773148148148</v>
      </c>
      <c r="V464" s="68" t="str">
        <f>IFERROR(VLOOKUP(A464,已除帳印單!B:D,3,0),"")</f>
        <v/>
      </c>
      <c r="W464" s="69" t="str">
        <f>IFERROR(VLOOKUP(A464,已除帳印單!B:E,4,0),"")</f>
        <v/>
      </c>
      <c r="X464" s="68" t="str">
        <f>IFERROR(INDEX(刷條碼區!A:C,MATCH(點上線資訊!S464,刷條碼區!C:C,0),1),"")</f>
        <v/>
      </c>
      <c r="Y464" s="69" t="str">
        <f>IFERROR(INDEX(刷條碼區!A:C,MATCH(點上線資訊!S464,刷條碼區!C:C,0),2),"")</f>
        <v/>
      </c>
      <c r="Z464" s="70" t="str">
        <f>IFERROR(INDEX(刷條碼區!D:G,MATCH(點上線資訊!S464,刷條碼區!F:F,0),1),"")</f>
        <v/>
      </c>
      <c r="AA464" s="71" t="str">
        <f>IFERROR(INDEX(刷條碼區!D:G,MATCH(點上線資訊!S464,刷條碼區!F:F,0),2),"")</f>
        <v/>
      </c>
      <c r="AB464" s="20" t="b">
        <f t="shared" si="44"/>
        <v>0</v>
      </c>
      <c r="AC464" s="20" t="b">
        <f t="shared" si="45"/>
        <v>0</v>
      </c>
      <c r="AD464" s="17" t="b">
        <f t="shared" si="46"/>
        <v>0</v>
      </c>
      <c r="AE464" s="17" t="b">
        <f t="shared" si="47"/>
        <v>0</v>
      </c>
    </row>
    <row r="465" spans="1:31" x14ac:dyDescent="0.2">
      <c r="A465" s="16">
        <v>5000499182</v>
      </c>
      <c r="B465" t="s">
        <v>0</v>
      </c>
      <c r="C465" t="s">
        <v>0</v>
      </c>
      <c r="D465" t="s">
        <v>1</v>
      </c>
      <c r="E465" t="s">
        <v>113</v>
      </c>
      <c r="F465" t="s">
        <v>996</v>
      </c>
      <c r="G465" s="2">
        <v>10</v>
      </c>
      <c r="H465" t="s">
        <v>461</v>
      </c>
      <c r="I465" t="s">
        <v>3</v>
      </c>
      <c r="J465" t="s">
        <v>4</v>
      </c>
      <c r="K465" t="s">
        <v>605</v>
      </c>
      <c r="L465" t="s">
        <v>608</v>
      </c>
      <c r="M465" t="s">
        <v>453</v>
      </c>
      <c r="N465" t="s">
        <v>602</v>
      </c>
      <c r="O465" t="s">
        <v>603</v>
      </c>
      <c r="P465" t="s">
        <v>602</v>
      </c>
      <c r="Q465" s="17">
        <f>IFERROR(VLOOKUP(A465,已除帳印單!B:C,1,0),0)*1</f>
        <v>0</v>
      </c>
      <c r="R465" s="67" t="str">
        <f>IFERROR(VLOOKUP(J465,線別!A:B,2,1),"")</f>
        <v>IA線</v>
      </c>
      <c r="S465" s="17" t="str">
        <f>IFERROR(VLOOKUP(A465,已除帳印單!B:C,2,0),"")</f>
        <v/>
      </c>
      <c r="T465" s="68">
        <f t="shared" si="48"/>
        <v>43892</v>
      </c>
      <c r="U465" s="69">
        <f t="shared" si="49"/>
        <v>84.168773148148148</v>
      </c>
      <c r="V465" s="68" t="str">
        <f>IFERROR(VLOOKUP(A465,已除帳印單!B:D,3,0),"")</f>
        <v/>
      </c>
      <c r="W465" s="69" t="str">
        <f>IFERROR(VLOOKUP(A465,已除帳印單!B:E,4,0),"")</f>
        <v/>
      </c>
      <c r="X465" s="68" t="str">
        <f>IFERROR(INDEX(刷條碼區!A:C,MATCH(點上線資訊!S465,刷條碼區!C:C,0),1),"")</f>
        <v/>
      </c>
      <c r="Y465" s="69" t="str">
        <f>IFERROR(INDEX(刷條碼區!A:C,MATCH(點上線資訊!S465,刷條碼區!C:C,0),2),"")</f>
        <v/>
      </c>
      <c r="Z465" s="70" t="str">
        <f>IFERROR(INDEX(刷條碼區!D:G,MATCH(點上線資訊!S465,刷條碼區!F:F,0),1),"")</f>
        <v/>
      </c>
      <c r="AA465" s="71" t="str">
        <f>IFERROR(INDEX(刷條碼區!D:G,MATCH(點上線資訊!S465,刷條碼區!F:F,0),2),"")</f>
        <v/>
      </c>
      <c r="AB465" s="20" t="b">
        <f t="shared" si="44"/>
        <v>0</v>
      </c>
      <c r="AC465" s="20" t="b">
        <f t="shared" si="45"/>
        <v>0</v>
      </c>
      <c r="AD465" s="17" t="b">
        <f t="shared" si="46"/>
        <v>0</v>
      </c>
      <c r="AE465" s="17" t="b">
        <f t="shared" si="47"/>
        <v>0</v>
      </c>
    </row>
    <row r="466" spans="1:31" x14ac:dyDescent="0.2">
      <c r="A466" s="16">
        <v>5000499183</v>
      </c>
      <c r="B466" t="s">
        <v>0</v>
      </c>
      <c r="C466" t="s">
        <v>0</v>
      </c>
      <c r="D466" t="s">
        <v>1</v>
      </c>
      <c r="E466" t="s">
        <v>114</v>
      </c>
      <c r="F466" t="s">
        <v>115</v>
      </c>
      <c r="G466" s="2">
        <v>10</v>
      </c>
      <c r="H466" t="s">
        <v>461</v>
      </c>
      <c r="I466" t="s">
        <v>3</v>
      </c>
      <c r="J466" t="s">
        <v>339</v>
      </c>
      <c r="K466" t="s">
        <v>605</v>
      </c>
      <c r="L466" t="s">
        <v>608</v>
      </c>
      <c r="M466" t="s">
        <v>995</v>
      </c>
      <c r="N466" t="s">
        <v>602</v>
      </c>
      <c r="O466" t="s">
        <v>603</v>
      </c>
      <c r="P466" t="s">
        <v>602</v>
      </c>
      <c r="Q466" s="17">
        <f>IFERROR(VLOOKUP(A466,已除帳印單!B:C,1,0),0)*1</f>
        <v>0</v>
      </c>
      <c r="R466" s="67" t="str">
        <f>IFERROR(VLOOKUP(J466,線別!A:B,2,1),"")</f>
        <v>A+線</v>
      </c>
      <c r="S466" s="17" t="str">
        <f>IFERROR(VLOOKUP(A466,已除帳印單!B:C,2,0),"")</f>
        <v/>
      </c>
      <c r="T466" s="68">
        <f t="shared" si="48"/>
        <v>43892</v>
      </c>
      <c r="U466" s="69">
        <f t="shared" si="49"/>
        <v>84.168773148148148</v>
      </c>
      <c r="V466" s="68" t="str">
        <f>IFERROR(VLOOKUP(A466,已除帳印單!B:D,3,0),"")</f>
        <v/>
      </c>
      <c r="W466" s="69" t="str">
        <f>IFERROR(VLOOKUP(A466,已除帳印單!B:E,4,0),"")</f>
        <v/>
      </c>
      <c r="X466" s="68" t="str">
        <f>IFERROR(INDEX(刷條碼區!A:C,MATCH(點上線資訊!S466,刷條碼區!C:C,0),1),"")</f>
        <v/>
      </c>
      <c r="Y466" s="69" t="str">
        <f>IFERROR(INDEX(刷條碼區!A:C,MATCH(點上線資訊!S466,刷條碼區!C:C,0),2),"")</f>
        <v/>
      </c>
      <c r="Z466" s="70" t="str">
        <f>IFERROR(INDEX(刷條碼區!D:G,MATCH(點上線資訊!S466,刷條碼區!F:F,0),1),"")</f>
        <v/>
      </c>
      <c r="AA466" s="71" t="str">
        <f>IFERROR(INDEX(刷條碼區!D:G,MATCH(點上線資訊!S466,刷條碼區!F:F,0),2),"")</f>
        <v/>
      </c>
      <c r="AB466" s="20" t="b">
        <f t="shared" si="44"/>
        <v>0</v>
      </c>
      <c r="AC466" s="20" t="b">
        <f t="shared" si="45"/>
        <v>0</v>
      </c>
      <c r="AD466" s="17" t="b">
        <f t="shared" si="46"/>
        <v>0</v>
      </c>
      <c r="AE466" s="17" t="b">
        <f t="shared" si="47"/>
        <v>0</v>
      </c>
    </row>
    <row r="467" spans="1:31" x14ac:dyDescent="0.2">
      <c r="A467" s="16">
        <v>5000499184</v>
      </c>
      <c r="B467" t="s">
        <v>0</v>
      </c>
      <c r="C467" t="s">
        <v>0</v>
      </c>
      <c r="D467" t="s">
        <v>1</v>
      </c>
      <c r="E467" t="s">
        <v>114</v>
      </c>
      <c r="F467" t="s">
        <v>115</v>
      </c>
      <c r="G467" s="2">
        <v>10</v>
      </c>
      <c r="H467" t="s">
        <v>461</v>
      </c>
      <c r="I467" t="s">
        <v>3</v>
      </c>
      <c r="J467" t="s">
        <v>339</v>
      </c>
      <c r="K467" t="s">
        <v>605</v>
      </c>
      <c r="L467" t="s">
        <v>608</v>
      </c>
      <c r="M467" t="s">
        <v>995</v>
      </c>
      <c r="N467" t="s">
        <v>602</v>
      </c>
      <c r="O467" t="s">
        <v>603</v>
      </c>
      <c r="P467" t="s">
        <v>602</v>
      </c>
      <c r="Q467" s="17">
        <f>IFERROR(VLOOKUP(A467,已除帳印單!B:C,1,0),0)*1</f>
        <v>0</v>
      </c>
      <c r="R467" s="67" t="str">
        <f>IFERROR(VLOOKUP(J467,線別!A:B,2,1),"")</f>
        <v>A+線</v>
      </c>
      <c r="S467" s="17" t="str">
        <f>IFERROR(VLOOKUP(A467,已除帳印單!B:C,2,0),"")</f>
        <v/>
      </c>
      <c r="T467" s="68">
        <f t="shared" si="48"/>
        <v>43892</v>
      </c>
      <c r="U467" s="69">
        <f t="shared" si="49"/>
        <v>84.168773148148148</v>
      </c>
      <c r="V467" s="68" t="str">
        <f>IFERROR(VLOOKUP(A467,已除帳印單!B:D,3,0),"")</f>
        <v/>
      </c>
      <c r="W467" s="69" t="str">
        <f>IFERROR(VLOOKUP(A467,已除帳印單!B:E,4,0),"")</f>
        <v/>
      </c>
      <c r="X467" s="68" t="str">
        <f>IFERROR(INDEX(刷條碼區!A:C,MATCH(點上線資訊!S467,刷條碼區!C:C,0),1),"")</f>
        <v/>
      </c>
      <c r="Y467" s="69" t="str">
        <f>IFERROR(INDEX(刷條碼區!A:C,MATCH(點上線資訊!S467,刷條碼區!C:C,0),2),"")</f>
        <v/>
      </c>
      <c r="Z467" s="70" t="str">
        <f>IFERROR(INDEX(刷條碼區!D:G,MATCH(點上線資訊!S467,刷條碼區!F:F,0),1),"")</f>
        <v/>
      </c>
      <c r="AA467" s="71" t="str">
        <f>IFERROR(INDEX(刷條碼區!D:G,MATCH(點上線資訊!S467,刷條碼區!F:F,0),2),"")</f>
        <v/>
      </c>
      <c r="AB467" s="20" t="b">
        <f t="shared" si="44"/>
        <v>0</v>
      </c>
      <c r="AC467" s="20" t="b">
        <f t="shared" si="45"/>
        <v>0</v>
      </c>
      <c r="AD467" s="17" t="b">
        <f t="shared" si="46"/>
        <v>0</v>
      </c>
      <c r="AE467" s="17" t="b">
        <f t="shared" si="47"/>
        <v>0</v>
      </c>
    </row>
    <row r="468" spans="1:31" x14ac:dyDescent="0.2">
      <c r="A468" s="16">
        <v>5000499185</v>
      </c>
      <c r="B468" t="s">
        <v>0</v>
      </c>
      <c r="C468" t="s">
        <v>0</v>
      </c>
      <c r="D468" t="s">
        <v>1</v>
      </c>
      <c r="E468" t="s">
        <v>114</v>
      </c>
      <c r="F468" t="s">
        <v>115</v>
      </c>
      <c r="G468" s="2">
        <v>10</v>
      </c>
      <c r="H468" t="s">
        <v>461</v>
      </c>
      <c r="I468" t="s">
        <v>3</v>
      </c>
      <c r="J468" t="s">
        <v>339</v>
      </c>
      <c r="K468" t="s">
        <v>605</v>
      </c>
      <c r="L468" t="s">
        <v>608</v>
      </c>
      <c r="M468" t="s">
        <v>995</v>
      </c>
      <c r="N468" t="s">
        <v>602</v>
      </c>
      <c r="O468" t="s">
        <v>603</v>
      </c>
      <c r="P468" t="s">
        <v>602</v>
      </c>
      <c r="Q468" s="17">
        <f>IFERROR(VLOOKUP(A468,已除帳印單!B:C,1,0),0)*1</f>
        <v>0</v>
      </c>
      <c r="R468" s="67" t="str">
        <f>IFERROR(VLOOKUP(J468,線別!A:B,2,1),"")</f>
        <v>A+線</v>
      </c>
      <c r="S468" s="17" t="str">
        <f>IFERROR(VLOOKUP(A468,已除帳印單!B:C,2,0),"")</f>
        <v/>
      </c>
      <c r="T468" s="68">
        <f t="shared" si="48"/>
        <v>43892</v>
      </c>
      <c r="U468" s="69">
        <f t="shared" si="49"/>
        <v>84.168773148148148</v>
      </c>
      <c r="V468" s="68" t="str">
        <f>IFERROR(VLOOKUP(A468,已除帳印單!B:D,3,0),"")</f>
        <v/>
      </c>
      <c r="W468" s="69" t="str">
        <f>IFERROR(VLOOKUP(A468,已除帳印單!B:E,4,0),"")</f>
        <v/>
      </c>
      <c r="X468" s="68" t="str">
        <f>IFERROR(INDEX(刷條碼區!A:C,MATCH(點上線資訊!S468,刷條碼區!C:C,0),1),"")</f>
        <v/>
      </c>
      <c r="Y468" s="69" t="str">
        <f>IFERROR(INDEX(刷條碼區!A:C,MATCH(點上線資訊!S468,刷條碼區!C:C,0),2),"")</f>
        <v/>
      </c>
      <c r="Z468" s="70" t="str">
        <f>IFERROR(INDEX(刷條碼區!D:G,MATCH(點上線資訊!S468,刷條碼區!F:F,0),1),"")</f>
        <v/>
      </c>
      <c r="AA468" s="71" t="str">
        <f>IFERROR(INDEX(刷條碼區!D:G,MATCH(點上線資訊!S468,刷條碼區!F:F,0),2),"")</f>
        <v/>
      </c>
      <c r="AB468" s="20" t="b">
        <f t="shared" si="44"/>
        <v>0</v>
      </c>
      <c r="AC468" s="20" t="b">
        <f t="shared" si="45"/>
        <v>0</v>
      </c>
      <c r="AD468" s="17" t="b">
        <f t="shared" si="46"/>
        <v>0</v>
      </c>
      <c r="AE468" s="17" t="b">
        <f t="shared" si="47"/>
        <v>0</v>
      </c>
    </row>
    <row r="469" spans="1:31" x14ac:dyDescent="0.2">
      <c r="A469" s="16">
        <v>5000499186</v>
      </c>
      <c r="B469" t="s">
        <v>0</v>
      </c>
      <c r="C469" t="s">
        <v>0</v>
      </c>
      <c r="D469" t="s">
        <v>1</v>
      </c>
      <c r="E469" t="s">
        <v>114</v>
      </c>
      <c r="F469" t="s">
        <v>115</v>
      </c>
      <c r="G469" s="2">
        <v>10</v>
      </c>
      <c r="H469" t="s">
        <v>461</v>
      </c>
      <c r="I469" t="s">
        <v>3</v>
      </c>
      <c r="J469" t="s">
        <v>339</v>
      </c>
      <c r="K469" t="s">
        <v>605</v>
      </c>
      <c r="L469" t="s">
        <v>608</v>
      </c>
      <c r="M469" t="s">
        <v>995</v>
      </c>
      <c r="N469" t="s">
        <v>602</v>
      </c>
      <c r="O469" t="s">
        <v>603</v>
      </c>
      <c r="P469" t="s">
        <v>602</v>
      </c>
      <c r="Q469" s="17">
        <f>IFERROR(VLOOKUP(A469,已除帳印單!B:C,1,0),0)*1</f>
        <v>0</v>
      </c>
      <c r="R469" s="67" t="str">
        <f>IFERROR(VLOOKUP(J469,線別!A:B,2,1),"")</f>
        <v>A+線</v>
      </c>
      <c r="S469" s="17" t="str">
        <f>IFERROR(VLOOKUP(A469,已除帳印單!B:C,2,0),"")</f>
        <v/>
      </c>
      <c r="T469" s="68">
        <f t="shared" si="48"/>
        <v>43892</v>
      </c>
      <c r="U469" s="69">
        <f t="shared" si="49"/>
        <v>84.168773148148148</v>
      </c>
      <c r="V469" s="68" t="str">
        <f>IFERROR(VLOOKUP(A469,已除帳印單!B:D,3,0),"")</f>
        <v/>
      </c>
      <c r="W469" s="69" t="str">
        <f>IFERROR(VLOOKUP(A469,已除帳印單!B:E,4,0),"")</f>
        <v/>
      </c>
      <c r="X469" s="68" t="str">
        <f>IFERROR(INDEX(刷條碼區!A:C,MATCH(點上線資訊!S469,刷條碼區!C:C,0),1),"")</f>
        <v/>
      </c>
      <c r="Y469" s="69" t="str">
        <f>IFERROR(INDEX(刷條碼區!A:C,MATCH(點上線資訊!S469,刷條碼區!C:C,0),2),"")</f>
        <v/>
      </c>
      <c r="Z469" s="70" t="str">
        <f>IFERROR(INDEX(刷條碼區!D:G,MATCH(點上線資訊!S469,刷條碼區!F:F,0),1),"")</f>
        <v/>
      </c>
      <c r="AA469" s="71" t="str">
        <f>IFERROR(INDEX(刷條碼區!D:G,MATCH(點上線資訊!S469,刷條碼區!F:F,0),2),"")</f>
        <v/>
      </c>
      <c r="AB469" s="20" t="b">
        <f t="shared" si="44"/>
        <v>0</v>
      </c>
      <c r="AC469" s="20" t="b">
        <f t="shared" si="45"/>
        <v>0</v>
      </c>
      <c r="AD469" s="17" t="b">
        <f t="shared" si="46"/>
        <v>0</v>
      </c>
      <c r="AE469" s="17" t="b">
        <f t="shared" si="47"/>
        <v>0</v>
      </c>
    </row>
    <row r="470" spans="1:31" x14ac:dyDescent="0.2">
      <c r="A470" s="16">
        <v>5000499187</v>
      </c>
      <c r="B470" t="s">
        <v>0</v>
      </c>
      <c r="C470" t="s">
        <v>0</v>
      </c>
      <c r="D470" t="s">
        <v>1</v>
      </c>
      <c r="E470" t="s">
        <v>114</v>
      </c>
      <c r="F470" t="s">
        <v>115</v>
      </c>
      <c r="G470" s="2">
        <v>10</v>
      </c>
      <c r="H470" t="s">
        <v>461</v>
      </c>
      <c r="I470" t="s">
        <v>3</v>
      </c>
      <c r="J470" t="s">
        <v>339</v>
      </c>
      <c r="K470" t="s">
        <v>605</v>
      </c>
      <c r="L470" t="s">
        <v>608</v>
      </c>
      <c r="M470" t="s">
        <v>995</v>
      </c>
      <c r="N470" t="s">
        <v>602</v>
      </c>
      <c r="O470" t="s">
        <v>603</v>
      </c>
      <c r="P470" t="s">
        <v>602</v>
      </c>
      <c r="Q470" s="17">
        <f>IFERROR(VLOOKUP(A470,已除帳印單!B:C,1,0),0)*1</f>
        <v>0</v>
      </c>
      <c r="R470" s="67" t="str">
        <f>IFERROR(VLOOKUP(J470,線別!A:B,2,1),"")</f>
        <v>A+線</v>
      </c>
      <c r="S470" s="17" t="str">
        <f>IFERROR(VLOOKUP(A470,已除帳印單!B:C,2,0),"")</f>
        <v/>
      </c>
      <c r="T470" s="68">
        <f t="shared" si="48"/>
        <v>43892</v>
      </c>
      <c r="U470" s="69">
        <f t="shared" si="49"/>
        <v>84.168773148148148</v>
      </c>
      <c r="V470" s="68" t="str">
        <f>IFERROR(VLOOKUP(A470,已除帳印單!B:D,3,0),"")</f>
        <v/>
      </c>
      <c r="W470" s="69" t="str">
        <f>IFERROR(VLOOKUP(A470,已除帳印單!B:E,4,0),"")</f>
        <v/>
      </c>
      <c r="X470" s="68" t="str">
        <f>IFERROR(INDEX(刷條碼區!A:C,MATCH(點上線資訊!S470,刷條碼區!C:C,0),1),"")</f>
        <v/>
      </c>
      <c r="Y470" s="69" t="str">
        <f>IFERROR(INDEX(刷條碼區!A:C,MATCH(點上線資訊!S470,刷條碼區!C:C,0),2),"")</f>
        <v/>
      </c>
      <c r="Z470" s="70" t="str">
        <f>IFERROR(INDEX(刷條碼區!D:G,MATCH(點上線資訊!S470,刷條碼區!F:F,0),1),"")</f>
        <v/>
      </c>
      <c r="AA470" s="71" t="str">
        <f>IFERROR(INDEX(刷條碼區!D:G,MATCH(點上線資訊!S470,刷條碼區!F:F,0),2),"")</f>
        <v/>
      </c>
      <c r="AB470" s="20" t="b">
        <f t="shared" si="44"/>
        <v>0</v>
      </c>
      <c r="AC470" s="20" t="b">
        <f t="shared" si="45"/>
        <v>0</v>
      </c>
      <c r="AD470" s="17" t="b">
        <f t="shared" si="46"/>
        <v>0</v>
      </c>
      <c r="AE470" s="17" t="b">
        <f t="shared" si="47"/>
        <v>0</v>
      </c>
    </row>
    <row r="471" spans="1:31" x14ac:dyDescent="0.2">
      <c r="A471" s="16">
        <v>5000499188</v>
      </c>
      <c r="B471" t="s">
        <v>0</v>
      </c>
      <c r="C471" t="s">
        <v>0</v>
      </c>
      <c r="D471" t="s">
        <v>1</v>
      </c>
      <c r="E471" t="s">
        <v>114</v>
      </c>
      <c r="F471" t="s">
        <v>115</v>
      </c>
      <c r="G471" s="2">
        <v>10</v>
      </c>
      <c r="H471" t="s">
        <v>461</v>
      </c>
      <c r="I471" t="s">
        <v>3</v>
      </c>
      <c r="J471" t="s">
        <v>339</v>
      </c>
      <c r="K471" t="s">
        <v>605</v>
      </c>
      <c r="L471" t="s">
        <v>608</v>
      </c>
      <c r="M471" t="s">
        <v>995</v>
      </c>
      <c r="N471" t="s">
        <v>602</v>
      </c>
      <c r="O471" t="s">
        <v>603</v>
      </c>
      <c r="P471" t="s">
        <v>602</v>
      </c>
      <c r="Q471" s="17">
        <f>IFERROR(VLOOKUP(A471,已除帳印單!B:C,1,0),0)*1</f>
        <v>0</v>
      </c>
      <c r="R471" s="67" t="str">
        <f>IFERROR(VLOOKUP(J471,線別!A:B,2,1),"")</f>
        <v>A+線</v>
      </c>
      <c r="S471" s="17" t="str">
        <f>IFERROR(VLOOKUP(A471,已除帳印單!B:C,2,0),"")</f>
        <v/>
      </c>
      <c r="T471" s="68">
        <f t="shared" si="48"/>
        <v>43892</v>
      </c>
      <c r="U471" s="69">
        <f t="shared" si="49"/>
        <v>84.168773148148148</v>
      </c>
      <c r="V471" s="68" t="str">
        <f>IFERROR(VLOOKUP(A471,已除帳印單!B:D,3,0),"")</f>
        <v/>
      </c>
      <c r="W471" s="69" t="str">
        <f>IFERROR(VLOOKUP(A471,已除帳印單!B:E,4,0),"")</f>
        <v/>
      </c>
      <c r="X471" s="68" t="str">
        <f>IFERROR(INDEX(刷條碼區!A:C,MATCH(點上線資訊!S471,刷條碼區!C:C,0),1),"")</f>
        <v/>
      </c>
      <c r="Y471" s="69" t="str">
        <f>IFERROR(INDEX(刷條碼區!A:C,MATCH(點上線資訊!S471,刷條碼區!C:C,0),2),"")</f>
        <v/>
      </c>
      <c r="Z471" s="70" t="str">
        <f>IFERROR(INDEX(刷條碼區!D:G,MATCH(點上線資訊!S471,刷條碼區!F:F,0),1),"")</f>
        <v/>
      </c>
      <c r="AA471" s="71" t="str">
        <f>IFERROR(INDEX(刷條碼區!D:G,MATCH(點上線資訊!S471,刷條碼區!F:F,0),2),"")</f>
        <v/>
      </c>
      <c r="AB471" s="20" t="b">
        <f t="shared" si="44"/>
        <v>0</v>
      </c>
      <c r="AC471" s="20" t="b">
        <f t="shared" si="45"/>
        <v>0</v>
      </c>
      <c r="AD471" s="17" t="b">
        <f t="shared" si="46"/>
        <v>0</v>
      </c>
      <c r="AE471" s="17" t="b">
        <f t="shared" si="47"/>
        <v>0</v>
      </c>
    </row>
    <row r="472" spans="1:31" x14ac:dyDescent="0.2">
      <c r="A472" s="16">
        <v>5000499189</v>
      </c>
      <c r="B472" t="s">
        <v>0</v>
      </c>
      <c r="C472" t="s">
        <v>0</v>
      </c>
      <c r="D472" t="s">
        <v>1</v>
      </c>
      <c r="E472" t="s">
        <v>114</v>
      </c>
      <c r="F472" t="s">
        <v>115</v>
      </c>
      <c r="G472" s="2">
        <v>7</v>
      </c>
      <c r="H472" t="s">
        <v>461</v>
      </c>
      <c r="I472" t="s">
        <v>3</v>
      </c>
      <c r="J472" t="s">
        <v>4</v>
      </c>
      <c r="K472" t="s">
        <v>605</v>
      </c>
      <c r="L472" t="s">
        <v>608</v>
      </c>
      <c r="M472" t="s">
        <v>453</v>
      </c>
      <c r="N472" t="s">
        <v>602</v>
      </c>
      <c r="O472" t="s">
        <v>603</v>
      </c>
      <c r="P472" t="s">
        <v>602</v>
      </c>
      <c r="Q472" s="17">
        <f>IFERROR(VLOOKUP(A472,已除帳印單!B:C,1,0),0)*1</f>
        <v>0</v>
      </c>
      <c r="R472" s="67" t="str">
        <f>IFERROR(VLOOKUP(J472,線別!A:B,2,1),"")</f>
        <v>IA線</v>
      </c>
      <c r="S472" s="17" t="str">
        <f>IFERROR(VLOOKUP(A472,已除帳印單!B:C,2,0),"")</f>
        <v/>
      </c>
      <c r="T472" s="68">
        <f t="shared" si="48"/>
        <v>43892</v>
      </c>
      <c r="U472" s="69">
        <f t="shared" si="49"/>
        <v>84.168773148148148</v>
      </c>
      <c r="V472" s="68" t="str">
        <f>IFERROR(VLOOKUP(A472,已除帳印單!B:D,3,0),"")</f>
        <v/>
      </c>
      <c r="W472" s="69" t="str">
        <f>IFERROR(VLOOKUP(A472,已除帳印單!B:E,4,0),"")</f>
        <v/>
      </c>
      <c r="X472" s="68" t="str">
        <f>IFERROR(INDEX(刷條碼區!A:C,MATCH(點上線資訊!S472,刷條碼區!C:C,0),1),"")</f>
        <v/>
      </c>
      <c r="Y472" s="69" t="str">
        <f>IFERROR(INDEX(刷條碼區!A:C,MATCH(點上線資訊!S472,刷條碼區!C:C,0),2),"")</f>
        <v/>
      </c>
      <c r="Z472" s="70" t="str">
        <f>IFERROR(INDEX(刷條碼區!D:G,MATCH(點上線資訊!S472,刷條碼區!F:F,0),1),"")</f>
        <v/>
      </c>
      <c r="AA472" s="71" t="str">
        <f>IFERROR(INDEX(刷條碼區!D:G,MATCH(點上線資訊!S472,刷條碼區!F:F,0),2),"")</f>
        <v/>
      </c>
      <c r="AB472" s="20" t="b">
        <f t="shared" si="44"/>
        <v>0</v>
      </c>
      <c r="AC472" s="20" t="b">
        <f t="shared" si="45"/>
        <v>0</v>
      </c>
      <c r="AD472" s="17" t="b">
        <f t="shared" si="46"/>
        <v>0</v>
      </c>
      <c r="AE472" s="17" t="b">
        <f t="shared" si="47"/>
        <v>0</v>
      </c>
    </row>
    <row r="473" spans="1:31" x14ac:dyDescent="0.2">
      <c r="A473" s="16">
        <v>5000499190</v>
      </c>
      <c r="B473" t="s">
        <v>0</v>
      </c>
      <c r="C473" t="s">
        <v>0</v>
      </c>
      <c r="D473" t="s">
        <v>1</v>
      </c>
      <c r="E473" t="s">
        <v>997</v>
      </c>
      <c r="F473" t="s">
        <v>998</v>
      </c>
      <c r="G473" s="2">
        <v>2</v>
      </c>
      <c r="H473" t="s">
        <v>461</v>
      </c>
      <c r="I473" t="s">
        <v>3</v>
      </c>
      <c r="J473" t="s">
        <v>4</v>
      </c>
      <c r="K473" t="s">
        <v>605</v>
      </c>
      <c r="L473" t="s">
        <v>608</v>
      </c>
      <c r="M473" t="s">
        <v>735</v>
      </c>
      <c r="N473" t="s">
        <v>602</v>
      </c>
      <c r="O473" t="s">
        <v>603</v>
      </c>
      <c r="P473" t="s">
        <v>602</v>
      </c>
      <c r="Q473" s="17">
        <f>IFERROR(VLOOKUP(A473,已除帳印單!B:C,1,0),0)*1</f>
        <v>0</v>
      </c>
      <c r="R473" s="67" t="str">
        <f>IFERROR(VLOOKUP(J473,線別!A:B,2,1),"")</f>
        <v>IA線</v>
      </c>
      <c r="S473" s="17" t="str">
        <f>IFERROR(VLOOKUP(A473,已除帳印單!B:C,2,0),"")</f>
        <v/>
      </c>
      <c r="T473" s="68">
        <f t="shared" si="48"/>
        <v>43892</v>
      </c>
      <c r="U473" s="69">
        <f t="shared" si="49"/>
        <v>84.168773148148148</v>
      </c>
      <c r="V473" s="68" t="str">
        <f>IFERROR(VLOOKUP(A473,已除帳印單!B:D,3,0),"")</f>
        <v/>
      </c>
      <c r="W473" s="69" t="str">
        <f>IFERROR(VLOOKUP(A473,已除帳印單!B:E,4,0),"")</f>
        <v/>
      </c>
      <c r="X473" s="68" t="str">
        <f>IFERROR(INDEX(刷條碼區!A:C,MATCH(點上線資訊!S473,刷條碼區!C:C,0),1),"")</f>
        <v/>
      </c>
      <c r="Y473" s="69" t="str">
        <f>IFERROR(INDEX(刷條碼區!A:C,MATCH(點上線資訊!S473,刷條碼區!C:C,0),2),"")</f>
        <v/>
      </c>
      <c r="Z473" s="70" t="str">
        <f>IFERROR(INDEX(刷條碼區!D:G,MATCH(點上線資訊!S473,刷條碼區!F:F,0),1),"")</f>
        <v/>
      </c>
      <c r="AA473" s="71" t="str">
        <f>IFERROR(INDEX(刷條碼區!D:G,MATCH(點上線資訊!S473,刷條碼區!F:F,0),2),"")</f>
        <v/>
      </c>
      <c r="AB473" s="20" t="b">
        <f t="shared" si="44"/>
        <v>0</v>
      </c>
      <c r="AC473" s="20" t="b">
        <f t="shared" si="45"/>
        <v>0</v>
      </c>
      <c r="AD473" s="17" t="b">
        <f t="shared" si="46"/>
        <v>0</v>
      </c>
      <c r="AE473" s="17" t="b">
        <f t="shared" si="47"/>
        <v>0</v>
      </c>
    </row>
    <row r="474" spans="1:31" x14ac:dyDescent="0.2">
      <c r="A474" s="16">
        <v>5000499193</v>
      </c>
      <c r="B474" t="s">
        <v>0</v>
      </c>
      <c r="C474" t="s">
        <v>0</v>
      </c>
      <c r="D474" t="s">
        <v>1</v>
      </c>
      <c r="E474" t="s">
        <v>110</v>
      </c>
      <c r="F474" t="s">
        <v>111</v>
      </c>
      <c r="G474" s="2">
        <v>3</v>
      </c>
      <c r="H474" t="s">
        <v>461</v>
      </c>
      <c r="I474" t="s">
        <v>3</v>
      </c>
      <c r="J474" t="s">
        <v>4</v>
      </c>
      <c r="K474" t="s">
        <v>605</v>
      </c>
      <c r="L474" t="s">
        <v>608</v>
      </c>
      <c r="M474" t="s">
        <v>591</v>
      </c>
      <c r="N474" t="s">
        <v>602</v>
      </c>
      <c r="O474" t="s">
        <v>603</v>
      </c>
      <c r="P474" t="s">
        <v>602</v>
      </c>
      <c r="Q474" s="17">
        <f>IFERROR(VLOOKUP(A474,已除帳印單!B:C,1,0),0)*1</f>
        <v>0</v>
      </c>
      <c r="R474" s="67" t="str">
        <f>IFERROR(VLOOKUP(J474,線別!A:B,2,1),"")</f>
        <v>IA線</v>
      </c>
      <c r="S474" s="17" t="str">
        <f>IFERROR(VLOOKUP(A474,已除帳印單!B:C,2,0),"")</f>
        <v/>
      </c>
      <c r="T474" s="68">
        <f t="shared" si="48"/>
        <v>43892</v>
      </c>
      <c r="U474" s="69">
        <f t="shared" si="49"/>
        <v>84.168773148148148</v>
      </c>
      <c r="V474" s="68" t="str">
        <f>IFERROR(VLOOKUP(A474,已除帳印單!B:D,3,0),"")</f>
        <v/>
      </c>
      <c r="W474" s="69" t="str">
        <f>IFERROR(VLOOKUP(A474,已除帳印單!B:E,4,0),"")</f>
        <v/>
      </c>
      <c r="X474" s="68" t="str">
        <f>IFERROR(INDEX(刷條碼區!A:C,MATCH(點上線資訊!S474,刷條碼區!C:C,0),1),"")</f>
        <v/>
      </c>
      <c r="Y474" s="69" t="str">
        <f>IFERROR(INDEX(刷條碼區!A:C,MATCH(點上線資訊!S474,刷條碼區!C:C,0),2),"")</f>
        <v/>
      </c>
      <c r="Z474" s="70" t="str">
        <f>IFERROR(INDEX(刷條碼區!D:G,MATCH(點上線資訊!S474,刷條碼區!F:F,0),1),"")</f>
        <v/>
      </c>
      <c r="AA474" s="71" t="str">
        <f>IFERROR(INDEX(刷條碼區!D:G,MATCH(點上線資訊!S474,刷條碼區!F:F,0),2),"")</f>
        <v/>
      </c>
      <c r="AB474" s="20" t="b">
        <f t="shared" si="44"/>
        <v>0</v>
      </c>
      <c r="AC474" s="20" t="b">
        <f t="shared" si="45"/>
        <v>0</v>
      </c>
      <c r="AD474" s="17" t="b">
        <f t="shared" si="46"/>
        <v>0</v>
      </c>
      <c r="AE474" s="17" t="b">
        <f t="shared" si="47"/>
        <v>0</v>
      </c>
    </row>
    <row r="475" spans="1:31" x14ac:dyDescent="0.2">
      <c r="A475" s="16">
        <v>5000499199</v>
      </c>
      <c r="B475" t="s">
        <v>0</v>
      </c>
      <c r="C475" t="s">
        <v>0</v>
      </c>
      <c r="D475" t="s">
        <v>1</v>
      </c>
      <c r="E475" t="s">
        <v>999</v>
      </c>
      <c r="F475" t="s">
        <v>1000</v>
      </c>
      <c r="G475" s="2">
        <v>9</v>
      </c>
      <c r="H475" t="s">
        <v>461</v>
      </c>
      <c r="I475" t="s">
        <v>3</v>
      </c>
      <c r="J475" t="s">
        <v>4</v>
      </c>
      <c r="K475" t="s">
        <v>605</v>
      </c>
      <c r="L475" t="s">
        <v>608</v>
      </c>
      <c r="M475" t="s">
        <v>415</v>
      </c>
      <c r="N475" t="s">
        <v>602</v>
      </c>
      <c r="O475" t="s">
        <v>603</v>
      </c>
      <c r="P475" t="s">
        <v>602</v>
      </c>
      <c r="Q475" s="17">
        <f>IFERROR(VLOOKUP(A475,已除帳印單!B:C,1,0),0)*1</f>
        <v>0</v>
      </c>
      <c r="R475" s="67" t="str">
        <f>IFERROR(VLOOKUP(J475,線別!A:B,2,1),"")</f>
        <v>IA線</v>
      </c>
      <c r="S475" s="17" t="str">
        <f>IFERROR(VLOOKUP(A475,已除帳印單!B:C,2,0),"")</f>
        <v/>
      </c>
      <c r="T475" s="68">
        <f t="shared" si="48"/>
        <v>43892</v>
      </c>
      <c r="U475" s="69">
        <f t="shared" si="49"/>
        <v>84.168773148148148</v>
      </c>
      <c r="V475" s="68" t="str">
        <f>IFERROR(VLOOKUP(A475,已除帳印單!B:D,3,0),"")</f>
        <v/>
      </c>
      <c r="W475" s="69" t="str">
        <f>IFERROR(VLOOKUP(A475,已除帳印單!B:E,4,0),"")</f>
        <v/>
      </c>
      <c r="X475" s="68" t="str">
        <f>IFERROR(INDEX(刷條碼區!A:C,MATCH(點上線資訊!S475,刷條碼區!C:C,0),1),"")</f>
        <v/>
      </c>
      <c r="Y475" s="69" t="str">
        <f>IFERROR(INDEX(刷條碼區!A:C,MATCH(點上線資訊!S475,刷條碼區!C:C,0),2),"")</f>
        <v/>
      </c>
      <c r="Z475" s="70" t="str">
        <f>IFERROR(INDEX(刷條碼區!D:G,MATCH(點上線資訊!S475,刷條碼區!F:F,0),1),"")</f>
        <v/>
      </c>
      <c r="AA475" s="71" t="str">
        <f>IFERROR(INDEX(刷條碼區!D:G,MATCH(點上線資訊!S475,刷條碼區!F:F,0),2),"")</f>
        <v/>
      </c>
      <c r="AB475" s="20" t="b">
        <f t="shared" si="44"/>
        <v>0</v>
      </c>
      <c r="AC475" s="20" t="b">
        <f t="shared" si="45"/>
        <v>0</v>
      </c>
      <c r="AD475" s="17" t="b">
        <f t="shared" si="46"/>
        <v>0</v>
      </c>
      <c r="AE475" s="17" t="b">
        <f t="shared" si="47"/>
        <v>0</v>
      </c>
    </row>
    <row r="476" spans="1:31" x14ac:dyDescent="0.2">
      <c r="A476" s="16">
        <v>5000499200</v>
      </c>
      <c r="B476" t="s">
        <v>0</v>
      </c>
      <c r="C476" t="s">
        <v>0</v>
      </c>
      <c r="D476" t="s">
        <v>1</v>
      </c>
      <c r="E476" t="s">
        <v>999</v>
      </c>
      <c r="F476" t="s">
        <v>1000</v>
      </c>
      <c r="G476" s="2">
        <v>20</v>
      </c>
      <c r="H476" t="s">
        <v>461</v>
      </c>
      <c r="I476" t="s">
        <v>3</v>
      </c>
      <c r="J476" t="s">
        <v>4</v>
      </c>
      <c r="K476" t="s">
        <v>605</v>
      </c>
      <c r="L476" t="s">
        <v>608</v>
      </c>
      <c r="M476" t="s">
        <v>415</v>
      </c>
      <c r="N476" t="s">
        <v>602</v>
      </c>
      <c r="O476" t="s">
        <v>603</v>
      </c>
      <c r="P476" t="s">
        <v>602</v>
      </c>
      <c r="Q476" s="17">
        <f>IFERROR(VLOOKUP(A476,已除帳印單!B:C,1,0),0)*1</f>
        <v>0</v>
      </c>
      <c r="R476" s="67" t="str">
        <f>IFERROR(VLOOKUP(J476,線別!A:B,2,1),"")</f>
        <v>IA線</v>
      </c>
      <c r="S476" s="17" t="str">
        <f>IFERROR(VLOOKUP(A476,已除帳印單!B:C,2,0),"")</f>
        <v/>
      </c>
      <c r="T476" s="68">
        <f t="shared" si="48"/>
        <v>43892</v>
      </c>
      <c r="U476" s="69">
        <f t="shared" si="49"/>
        <v>84.168773148148148</v>
      </c>
      <c r="V476" s="68" t="str">
        <f>IFERROR(VLOOKUP(A476,已除帳印單!B:D,3,0),"")</f>
        <v/>
      </c>
      <c r="W476" s="69" t="str">
        <f>IFERROR(VLOOKUP(A476,已除帳印單!B:E,4,0),"")</f>
        <v/>
      </c>
      <c r="X476" s="68" t="str">
        <f>IFERROR(INDEX(刷條碼區!A:C,MATCH(點上線資訊!S476,刷條碼區!C:C,0),1),"")</f>
        <v/>
      </c>
      <c r="Y476" s="69" t="str">
        <f>IFERROR(INDEX(刷條碼區!A:C,MATCH(點上線資訊!S476,刷條碼區!C:C,0),2),"")</f>
        <v/>
      </c>
      <c r="Z476" s="70" t="str">
        <f>IFERROR(INDEX(刷條碼區!D:G,MATCH(點上線資訊!S476,刷條碼區!F:F,0),1),"")</f>
        <v/>
      </c>
      <c r="AA476" s="71" t="str">
        <f>IFERROR(INDEX(刷條碼區!D:G,MATCH(點上線資訊!S476,刷條碼區!F:F,0),2),"")</f>
        <v/>
      </c>
      <c r="AB476" s="20" t="b">
        <f t="shared" si="44"/>
        <v>0</v>
      </c>
      <c r="AC476" s="20" t="b">
        <f t="shared" si="45"/>
        <v>0</v>
      </c>
      <c r="AD476" s="17" t="b">
        <f t="shared" si="46"/>
        <v>0</v>
      </c>
      <c r="AE476" s="17" t="b">
        <f t="shared" si="47"/>
        <v>0</v>
      </c>
    </row>
    <row r="477" spans="1:31" x14ac:dyDescent="0.2">
      <c r="A477" s="16">
        <v>5000499201</v>
      </c>
      <c r="B477" t="s">
        <v>0</v>
      </c>
      <c r="C477" t="s">
        <v>0</v>
      </c>
      <c r="D477" t="s">
        <v>1</v>
      </c>
      <c r="E477" t="s">
        <v>999</v>
      </c>
      <c r="F477" t="s">
        <v>1000</v>
      </c>
      <c r="G477" s="2">
        <v>8</v>
      </c>
      <c r="H477" t="s">
        <v>461</v>
      </c>
      <c r="I477" t="s">
        <v>3</v>
      </c>
      <c r="J477" t="s">
        <v>4</v>
      </c>
      <c r="K477" t="s">
        <v>605</v>
      </c>
      <c r="L477" t="s">
        <v>608</v>
      </c>
      <c r="M477" t="s">
        <v>415</v>
      </c>
      <c r="N477" t="s">
        <v>602</v>
      </c>
      <c r="O477" t="s">
        <v>603</v>
      </c>
      <c r="P477" t="s">
        <v>602</v>
      </c>
      <c r="Q477" s="17">
        <f>IFERROR(VLOOKUP(A477,已除帳印單!B:C,1,0),0)*1</f>
        <v>0</v>
      </c>
      <c r="R477" s="67" t="str">
        <f>IFERROR(VLOOKUP(J477,線別!A:B,2,1),"")</f>
        <v>IA線</v>
      </c>
      <c r="S477" s="17" t="str">
        <f>IFERROR(VLOOKUP(A477,已除帳印單!B:C,2,0),"")</f>
        <v/>
      </c>
      <c r="T477" s="68">
        <f t="shared" si="48"/>
        <v>43892</v>
      </c>
      <c r="U477" s="69">
        <f t="shared" si="49"/>
        <v>84.168773148148148</v>
      </c>
      <c r="V477" s="68" t="str">
        <f>IFERROR(VLOOKUP(A477,已除帳印單!B:D,3,0),"")</f>
        <v/>
      </c>
      <c r="W477" s="69" t="str">
        <f>IFERROR(VLOOKUP(A477,已除帳印單!B:E,4,0),"")</f>
        <v/>
      </c>
      <c r="X477" s="68" t="str">
        <f>IFERROR(INDEX(刷條碼區!A:C,MATCH(點上線資訊!S477,刷條碼區!C:C,0),1),"")</f>
        <v/>
      </c>
      <c r="Y477" s="69" t="str">
        <f>IFERROR(INDEX(刷條碼區!A:C,MATCH(點上線資訊!S477,刷條碼區!C:C,0),2),"")</f>
        <v/>
      </c>
      <c r="Z477" s="70" t="str">
        <f>IFERROR(INDEX(刷條碼區!D:G,MATCH(點上線資訊!S477,刷條碼區!F:F,0),1),"")</f>
        <v/>
      </c>
      <c r="AA477" s="71" t="str">
        <f>IFERROR(INDEX(刷條碼區!D:G,MATCH(點上線資訊!S477,刷條碼區!F:F,0),2),"")</f>
        <v/>
      </c>
      <c r="AB477" s="20" t="b">
        <f t="shared" si="44"/>
        <v>0</v>
      </c>
      <c r="AC477" s="20" t="b">
        <f t="shared" si="45"/>
        <v>0</v>
      </c>
      <c r="AD477" s="17" t="b">
        <f t="shared" si="46"/>
        <v>0</v>
      </c>
      <c r="AE477" s="17" t="b">
        <f t="shared" si="47"/>
        <v>0</v>
      </c>
    </row>
    <row r="478" spans="1:31" x14ac:dyDescent="0.2">
      <c r="A478" s="16">
        <v>5000499204</v>
      </c>
      <c r="B478" t="s">
        <v>0</v>
      </c>
      <c r="C478" t="s">
        <v>0</v>
      </c>
      <c r="D478" t="s">
        <v>1</v>
      </c>
      <c r="E478" t="s">
        <v>1001</v>
      </c>
      <c r="F478" t="s">
        <v>1002</v>
      </c>
      <c r="G478" s="2">
        <v>20</v>
      </c>
      <c r="H478" t="s">
        <v>461</v>
      </c>
      <c r="I478" t="s">
        <v>3</v>
      </c>
      <c r="J478" t="s">
        <v>4</v>
      </c>
      <c r="K478" t="s">
        <v>605</v>
      </c>
      <c r="L478" t="s">
        <v>608</v>
      </c>
      <c r="M478" t="s">
        <v>415</v>
      </c>
      <c r="N478" t="s">
        <v>602</v>
      </c>
      <c r="O478" t="s">
        <v>603</v>
      </c>
      <c r="P478" t="s">
        <v>602</v>
      </c>
      <c r="Q478" s="17">
        <f>IFERROR(VLOOKUP(A478,已除帳印單!B:C,1,0),0)*1</f>
        <v>0</v>
      </c>
      <c r="R478" s="67" t="str">
        <f>IFERROR(VLOOKUP(J478,線別!A:B,2,1),"")</f>
        <v>IA線</v>
      </c>
      <c r="S478" s="17" t="str">
        <f>IFERROR(VLOOKUP(A478,已除帳印單!B:C,2,0),"")</f>
        <v/>
      </c>
      <c r="T478" s="68">
        <f t="shared" si="48"/>
        <v>43892</v>
      </c>
      <c r="U478" s="69">
        <f t="shared" si="49"/>
        <v>84.168773148148148</v>
      </c>
      <c r="V478" s="68" t="str">
        <f>IFERROR(VLOOKUP(A478,已除帳印單!B:D,3,0),"")</f>
        <v/>
      </c>
      <c r="W478" s="69" t="str">
        <f>IFERROR(VLOOKUP(A478,已除帳印單!B:E,4,0),"")</f>
        <v/>
      </c>
      <c r="X478" s="68" t="str">
        <f>IFERROR(INDEX(刷條碼區!A:C,MATCH(點上線資訊!S478,刷條碼區!C:C,0),1),"")</f>
        <v/>
      </c>
      <c r="Y478" s="69" t="str">
        <f>IFERROR(INDEX(刷條碼區!A:C,MATCH(點上線資訊!S478,刷條碼區!C:C,0),2),"")</f>
        <v/>
      </c>
      <c r="Z478" s="70" t="str">
        <f>IFERROR(INDEX(刷條碼區!D:G,MATCH(點上線資訊!S478,刷條碼區!F:F,0),1),"")</f>
        <v/>
      </c>
      <c r="AA478" s="71" t="str">
        <f>IFERROR(INDEX(刷條碼區!D:G,MATCH(點上線資訊!S478,刷條碼區!F:F,0),2),"")</f>
        <v/>
      </c>
      <c r="AB478" s="20" t="b">
        <f t="shared" si="44"/>
        <v>0</v>
      </c>
      <c r="AC478" s="20" t="b">
        <f t="shared" si="45"/>
        <v>0</v>
      </c>
      <c r="AD478" s="17" t="b">
        <f t="shared" si="46"/>
        <v>0</v>
      </c>
      <c r="AE478" s="17" t="b">
        <f t="shared" si="47"/>
        <v>0</v>
      </c>
    </row>
    <row r="479" spans="1:31" x14ac:dyDescent="0.2">
      <c r="A479" s="16">
        <v>5000499205</v>
      </c>
      <c r="B479" t="s">
        <v>0</v>
      </c>
      <c r="C479" t="s">
        <v>0</v>
      </c>
      <c r="D479" t="s">
        <v>1</v>
      </c>
      <c r="E479" t="s">
        <v>1001</v>
      </c>
      <c r="F479" t="s">
        <v>1002</v>
      </c>
      <c r="G479" s="2">
        <v>6</v>
      </c>
      <c r="H479" t="s">
        <v>461</v>
      </c>
      <c r="I479" t="s">
        <v>3</v>
      </c>
      <c r="J479" t="s">
        <v>4</v>
      </c>
      <c r="K479" t="s">
        <v>605</v>
      </c>
      <c r="L479" t="s">
        <v>608</v>
      </c>
      <c r="M479" t="s">
        <v>415</v>
      </c>
      <c r="N479" t="s">
        <v>602</v>
      </c>
      <c r="O479" t="s">
        <v>603</v>
      </c>
      <c r="P479" t="s">
        <v>602</v>
      </c>
      <c r="Q479" s="17">
        <f>IFERROR(VLOOKUP(A479,已除帳印單!B:C,1,0),0)*1</f>
        <v>0</v>
      </c>
      <c r="R479" s="67" t="str">
        <f>IFERROR(VLOOKUP(J479,線別!A:B,2,1),"")</f>
        <v>IA線</v>
      </c>
      <c r="S479" s="17" t="str">
        <f>IFERROR(VLOOKUP(A479,已除帳印單!B:C,2,0),"")</f>
        <v/>
      </c>
      <c r="T479" s="68">
        <f t="shared" si="48"/>
        <v>43892</v>
      </c>
      <c r="U479" s="69">
        <f t="shared" si="49"/>
        <v>84.168773148148148</v>
      </c>
      <c r="V479" s="68" t="str">
        <f>IFERROR(VLOOKUP(A479,已除帳印單!B:D,3,0),"")</f>
        <v/>
      </c>
      <c r="W479" s="69" t="str">
        <f>IFERROR(VLOOKUP(A479,已除帳印單!B:E,4,0),"")</f>
        <v/>
      </c>
      <c r="X479" s="68" t="str">
        <f>IFERROR(INDEX(刷條碼區!A:C,MATCH(點上線資訊!S479,刷條碼區!C:C,0),1),"")</f>
        <v/>
      </c>
      <c r="Y479" s="69" t="str">
        <f>IFERROR(INDEX(刷條碼區!A:C,MATCH(點上線資訊!S479,刷條碼區!C:C,0),2),"")</f>
        <v/>
      </c>
      <c r="Z479" s="70" t="str">
        <f>IFERROR(INDEX(刷條碼區!D:G,MATCH(點上線資訊!S479,刷條碼區!F:F,0),1),"")</f>
        <v/>
      </c>
      <c r="AA479" s="71" t="str">
        <f>IFERROR(INDEX(刷條碼區!D:G,MATCH(點上線資訊!S479,刷條碼區!F:F,0),2),"")</f>
        <v/>
      </c>
      <c r="AB479" s="20" t="b">
        <f t="shared" si="44"/>
        <v>0</v>
      </c>
      <c r="AC479" s="20" t="b">
        <f t="shared" si="45"/>
        <v>0</v>
      </c>
      <c r="AD479" s="17" t="b">
        <f t="shared" si="46"/>
        <v>0</v>
      </c>
      <c r="AE479" s="17" t="b">
        <f t="shared" si="47"/>
        <v>0</v>
      </c>
    </row>
    <row r="480" spans="1:31" x14ac:dyDescent="0.2">
      <c r="A480" s="16">
        <v>5000499210</v>
      </c>
      <c r="B480" t="s">
        <v>0</v>
      </c>
      <c r="C480" t="s">
        <v>0</v>
      </c>
      <c r="D480" t="s">
        <v>1</v>
      </c>
      <c r="E480" t="s">
        <v>924</v>
      </c>
      <c r="F480" t="s">
        <v>925</v>
      </c>
      <c r="G480" s="2">
        <v>15</v>
      </c>
      <c r="H480" t="s">
        <v>461</v>
      </c>
      <c r="I480" t="s">
        <v>3</v>
      </c>
      <c r="J480" t="s">
        <v>4</v>
      </c>
      <c r="K480" t="s">
        <v>605</v>
      </c>
      <c r="L480" t="s">
        <v>608</v>
      </c>
      <c r="M480" t="s">
        <v>415</v>
      </c>
      <c r="N480" t="s">
        <v>602</v>
      </c>
      <c r="O480" t="s">
        <v>603</v>
      </c>
      <c r="P480" t="s">
        <v>602</v>
      </c>
      <c r="Q480" s="17">
        <f>IFERROR(VLOOKUP(A480,已除帳印單!B:C,1,0),0)*1</f>
        <v>0</v>
      </c>
      <c r="R480" s="67" t="str">
        <f>IFERROR(VLOOKUP(J480,線別!A:B,2,1),"")</f>
        <v>IA線</v>
      </c>
      <c r="S480" s="17" t="str">
        <f>IFERROR(VLOOKUP(A480,已除帳印單!B:C,2,0),"")</f>
        <v/>
      </c>
      <c r="T480" s="68">
        <f t="shared" si="48"/>
        <v>43892</v>
      </c>
      <c r="U480" s="69">
        <f t="shared" si="49"/>
        <v>84.168773148148148</v>
      </c>
      <c r="V480" s="68" t="str">
        <f>IFERROR(VLOOKUP(A480,已除帳印單!B:D,3,0),"")</f>
        <v/>
      </c>
      <c r="W480" s="69" t="str">
        <f>IFERROR(VLOOKUP(A480,已除帳印單!B:E,4,0),"")</f>
        <v/>
      </c>
      <c r="X480" s="68" t="str">
        <f>IFERROR(INDEX(刷條碼區!A:C,MATCH(點上線資訊!S480,刷條碼區!C:C,0),1),"")</f>
        <v/>
      </c>
      <c r="Y480" s="69" t="str">
        <f>IFERROR(INDEX(刷條碼區!A:C,MATCH(點上線資訊!S480,刷條碼區!C:C,0),2),"")</f>
        <v/>
      </c>
      <c r="Z480" s="70" t="str">
        <f>IFERROR(INDEX(刷條碼區!D:G,MATCH(點上線資訊!S480,刷條碼區!F:F,0),1),"")</f>
        <v/>
      </c>
      <c r="AA480" s="71" t="str">
        <f>IFERROR(INDEX(刷條碼區!D:G,MATCH(點上線資訊!S480,刷條碼區!F:F,0),2),"")</f>
        <v/>
      </c>
      <c r="AB480" s="20" t="b">
        <f t="shared" si="44"/>
        <v>0</v>
      </c>
      <c r="AC480" s="20" t="b">
        <f t="shared" si="45"/>
        <v>0</v>
      </c>
      <c r="AD480" s="17" t="b">
        <f t="shared" si="46"/>
        <v>0</v>
      </c>
      <c r="AE480" s="17" t="b">
        <f t="shared" si="47"/>
        <v>0</v>
      </c>
    </row>
    <row r="481" spans="1:31" x14ac:dyDescent="0.2">
      <c r="A481" s="16">
        <v>5000499222</v>
      </c>
      <c r="B481" t="s">
        <v>301</v>
      </c>
      <c r="C481" t="s">
        <v>301</v>
      </c>
      <c r="D481" t="s">
        <v>1</v>
      </c>
      <c r="E481" t="s">
        <v>352</v>
      </c>
      <c r="F481" t="s">
        <v>505</v>
      </c>
      <c r="G481" s="2">
        <v>20</v>
      </c>
      <c r="H481" t="s">
        <v>461</v>
      </c>
      <c r="I481" t="s">
        <v>3</v>
      </c>
      <c r="J481" t="s">
        <v>339</v>
      </c>
      <c r="K481" t="s">
        <v>602</v>
      </c>
      <c r="L481" t="s">
        <v>603</v>
      </c>
      <c r="M481" t="s">
        <v>602</v>
      </c>
      <c r="N481" t="s">
        <v>602</v>
      </c>
      <c r="O481" t="s">
        <v>603</v>
      </c>
      <c r="P481" t="s">
        <v>602</v>
      </c>
      <c r="Q481" s="17">
        <f>IFERROR(VLOOKUP(A481,已除帳印單!B:C,1,0),0)*1</f>
        <v>0</v>
      </c>
      <c r="R481" s="67" t="str">
        <f>IFERROR(VLOOKUP(J481,線別!A:B,2,1),"")</f>
        <v>A+線</v>
      </c>
      <c r="S481" s="17" t="str">
        <f>IFERROR(VLOOKUP(A481,已除帳印單!B:C,2,0),"")</f>
        <v/>
      </c>
      <c r="T481" s="68">
        <f t="shared" si="48"/>
        <v>43894</v>
      </c>
      <c r="U481" s="69">
        <f t="shared" si="49"/>
        <v>84.168796296296293</v>
      </c>
      <c r="V481" s="68" t="str">
        <f>IFERROR(VLOOKUP(A481,已除帳印單!B:D,3,0),"")</f>
        <v/>
      </c>
      <c r="W481" s="69" t="str">
        <f>IFERROR(VLOOKUP(A481,已除帳印單!B:E,4,0),"")</f>
        <v/>
      </c>
      <c r="X481" s="68" t="str">
        <f>IFERROR(INDEX(刷條碼區!A:C,MATCH(點上線資訊!S481,刷條碼區!C:C,0),1),"")</f>
        <v/>
      </c>
      <c r="Y481" s="69" t="str">
        <f>IFERROR(INDEX(刷條碼區!A:C,MATCH(點上線資訊!S481,刷條碼區!C:C,0),2),"")</f>
        <v/>
      </c>
      <c r="Z481" s="70" t="str">
        <f>IFERROR(INDEX(刷條碼區!D:G,MATCH(點上線資訊!S481,刷條碼區!F:F,0),1),"")</f>
        <v/>
      </c>
      <c r="AA481" s="71" t="str">
        <f>IFERROR(INDEX(刷條碼區!D:G,MATCH(點上線資訊!S481,刷條碼區!F:F,0),2),"")</f>
        <v/>
      </c>
      <c r="AB481" s="20">
        <f t="shared" si="44"/>
        <v>20</v>
      </c>
      <c r="AC481" s="20" t="b">
        <f t="shared" si="45"/>
        <v>0</v>
      </c>
      <c r="AD481" s="17" t="b">
        <f t="shared" si="46"/>
        <v>0</v>
      </c>
      <c r="AE481" s="17" t="b">
        <f t="shared" si="47"/>
        <v>0</v>
      </c>
    </row>
    <row r="482" spans="1:31" x14ac:dyDescent="0.2">
      <c r="A482" s="16">
        <v>5000499231</v>
      </c>
      <c r="B482" t="s">
        <v>6</v>
      </c>
      <c r="C482" t="s">
        <v>6</v>
      </c>
      <c r="D482" t="s">
        <v>1</v>
      </c>
      <c r="E482" t="s">
        <v>279</v>
      </c>
      <c r="F482" t="s">
        <v>510</v>
      </c>
      <c r="G482" s="2">
        <v>20</v>
      </c>
      <c r="H482" t="s">
        <v>461</v>
      </c>
      <c r="I482" t="s">
        <v>3</v>
      </c>
      <c r="J482" t="s">
        <v>283</v>
      </c>
      <c r="K482" t="s">
        <v>602</v>
      </c>
      <c r="L482" t="s">
        <v>603</v>
      </c>
      <c r="M482" t="s">
        <v>602</v>
      </c>
      <c r="N482" t="s">
        <v>602</v>
      </c>
      <c r="O482" t="s">
        <v>603</v>
      </c>
      <c r="P482" t="s">
        <v>602</v>
      </c>
      <c r="Q482" s="17">
        <f>IFERROR(VLOOKUP(A482,已除帳印單!B:C,1,0),0)*1</f>
        <v>0</v>
      </c>
      <c r="R482" s="67" t="str">
        <f>IFERROR(VLOOKUP(J482,線別!A:B,2,1),"")</f>
        <v>裝二線AGV</v>
      </c>
      <c r="S482" s="17" t="str">
        <f>IFERROR(VLOOKUP(A482,已除帳印單!B:C,2,0),"")</f>
        <v/>
      </c>
      <c r="T482" s="68">
        <f t="shared" si="48"/>
        <v>43893</v>
      </c>
      <c r="U482" s="69">
        <f t="shared" si="49"/>
        <v>84.168784722222213</v>
      </c>
      <c r="V482" s="68" t="str">
        <f>IFERROR(VLOOKUP(A482,已除帳印單!B:D,3,0),"")</f>
        <v/>
      </c>
      <c r="W482" s="69" t="str">
        <f>IFERROR(VLOOKUP(A482,已除帳印單!B:E,4,0),"")</f>
        <v/>
      </c>
      <c r="X482" s="68" t="str">
        <f>IFERROR(INDEX(刷條碼區!A:C,MATCH(點上線資訊!S482,刷條碼區!C:C,0),1),"")</f>
        <v/>
      </c>
      <c r="Y482" s="69" t="str">
        <f>IFERROR(INDEX(刷條碼區!A:C,MATCH(點上線資訊!S482,刷條碼區!C:C,0),2),"")</f>
        <v/>
      </c>
      <c r="Z482" s="70" t="str">
        <f>IFERROR(INDEX(刷條碼區!D:G,MATCH(點上線資訊!S482,刷條碼區!F:F,0),1),"")</f>
        <v/>
      </c>
      <c r="AA482" s="71" t="str">
        <f>IFERROR(INDEX(刷條碼區!D:G,MATCH(點上線資訊!S482,刷條碼區!F:F,0),2),"")</f>
        <v/>
      </c>
      <c r="AB482" s="20">
        <f t="shared" si="44"/>
        <v>20</v>
      </c>
      <c r="AC482" s="20" t="b">
        <f t="shared" si="45"/>
        <v>0</v>
      </c>
      <c r="AD482" s="17" t="b">
        <f t="shared" si="46"/>
        <v>0</v>
      </c>
      <c r="AE482" s="17" t="b">
        <f t="shared" si="47"/>
        <v>0</v>
      </c>
    </row>
    <row r="483" spans="1:31" x14ac:dyDescent="0.2">
      <c r="A483" s="16">
        <v>5000499233</v>
      </c>
      <c r="B483" t="s">
        <v>0</v>
      </c>
      <c r="C483" t="s">
        <v>0</v>
      </c>
      <c r="D483" t="s">
        <v>1</v>
      </c>
      <c r="E483" t="s">
        <v>1003</v>
      </c>
      <c r="F483" t="s">
        <v>1004</v>
      </c>
      <c r="G483" s="2">
        <v>10</v>
      </c>
      <c r="H483" t="s">
        <v>461</v>
      </c>
      <c r="I483" t="s">
        <v>3</v>
      </c>
      <c r="J483" t="s">
        <v>53</v>
      </c>
      <c r="K483" t="s">
        <v>605</v>
      </c>
      <c r="L483" t="s">
        <v>608</v>
      </c>
      <c r="M483" t="s">
        <v>423</v>
      </c>
      <c r="N483" t="s">
        <v>602</v>
      </c>
      <c r="O483" t="s">
        <v>603</v>
      </c>
      <c r="P483" t="s">
        <v>602</v>
      </c>
      <c r="Q483" s="17">
        <f>IFERROR(VLOOKUP(A483,已除帳印單!B:C,1,0),0)*1</f>
        <v>0</v>
      </c>
      <c r="R483" s="67" t="str">
        <f>IFERROR(VLOOKUP(J483,線別!A:B,2,1),"")</f>
        <v>裝二線</v>
      </c>
      <c r="S483" s="17" t="str">
        <f>IFERROR(VLOOKUP(A483,已除帳印單!B:C,2,0),"")</f>
        <v/>
      </c>
      <c r="T483" s="68">
        <f t="shared" si="48"/>
        <v>43892</v>
      </c>
      <c r="U483" s="69">
        <f t="shared" si="49"/>
        <v>84.168773148148148</v>
      </c>
      <c r="V483" s="68" t="str">
        <f>IFERROR(VLOOKUP(A483,已除帳印單!B:D,3,0),"")</f>
        <v/>
      </c>
      <c r="W483" s="69" t="str">
        <f>IFERROR(VLOOKUP(A483,已除帳印單!B:E,4,0),"")</f>
        <v/>
      </c>
      <c r="X483" s="68" t="str">
        <f>IFERROR(INDEX(刷條碼區!A:C,MATCH(點上線資訊!S483,刷條碼區!C:C,0),1),"")</f>
        <v/>
      </c>
      <c r="Y483" s="69" t="str">
        <f>IFERROR(INDEX(刷條碼區!A:C,MATCH(點上線資訊!S483,刷條碼區!C:C,0),2),"")</f>
        <v/>
      </c>
      <c r="Z483" s="70" t="str">
        <f>IFERROR(INDEX(刷條碼區!D:G,MATCH(點上線資訊!S483,刷條碼區!F:F,0),1),"")</f>
        <v/>
      </c>
      <c r="AA483" s="71" t="str">
        <f>IFERROR(INDEX(刷條碼區!D:G,MATCH(點上線資訊!S483,刷條碼區!F:F,0),2),"")</f>
        <v/>
      </c>
      <c r="AB483" s="20" t="b">
        <f t="shared" si="44"/>
        <v>0</v>
      </c>
      <c r="AC483" s="20" t="b">
        <f t="shared" si="45"/>
        <v>0</v>
      </c>
      <c r="AD483" s="17" t="b">
        <f t="shared" si="46"/>
        <v>0</v>
      </c>
      <c r="AE483" s="17" t="b">
        <f t="shared" si="47"/>
        <v>0</v>
      </c>
    </row>
    <row r="484" spans="1:31" x14ac:dyDescent="0.2">
      <c r="A484" s="16">
        <v>5000499234</v>
      </c>
      <c r="B484" t="s">
        <v>301</v>
      </c>
      <c r="C484" t="s">
        <v>301</v>
      </c>
      <c r="D484" t="s">
        <v>1</v>
      </c>
      <c r="E484" t="s">
        <v>314</v>
      </c>
      <c r="F484" t="s">
        <v>315</v>
      </c>
      <c r="G484" s="2">
        <v>20</v>
      </c>
      <c r="H484" t="s">
        <v>461</v>
      </c>
      <c r="I484" t="s">
        <v>3</v>
      </c>
      <c r="J484" t="s">
        <v>53</v>
      </c>
      <c r="K484" t="s">
        <v>602</v>
      </c>
      <c r="L484" t="s">
        <v>603</v>
      </c>
      <c r="M484" t="s">
        <v>602</v>
      </c>
      <c r="N484" t="s">
        <v>602</v>
      </c>
      <c r="O484" t="s">
        <v>603</v>
      </c>
      <c r="P484" t="s">
        <v>602</v>
      </c>
      <c r="Q484" s="17">
        <f>IFERROR(VLOOKUP(A484,已除帳印單!B:C,1,0),0)*1</f>
        <v>0</v>
      </c>
      <c r="R484" s="67" t="str">
        <f>IFERROR(VLOOKUP(J484,線別!A:B,2,1),"")</f>
        <v>裝二線</v>
      </c>
      <c r="S484" s="17" t="str">
        <f>IFERROR(VLOOKUP(A484,已除帳印單!B:C,2,0),"")</f>
        <v/>
      </c>
      <c r="T484" s="68">
        <f t="shared" si="48"/>
        <v>43894</v>
      </c>
      <c r="U484" s="69">
        <f t="shared" si="49"/>
        <v>84.168796296296293</v>
      </c>
      <c r="V484" s="68" t="str">
        <f>IFERROR(VLOOKUP(A484,已除帳印單!B:D,3,0),"")</f>
        <v/>
      </c>
      <c r="W484" s="69" t="str">
        <f>IFERROR(VLOOKUP(A484,已除帳印單!B:E,4,0),"")</f>
        <v/>
      </c>
      <c r="X484" s="68" t="str">
        <f>IFERROR(INDEX(刷條碼區!A:C,MATCH(點上線資訊!S484,刷條碼區!C:C,0),1),"")</f>
        <v/>
      </c>
      <c r="Y484" s="69" t="str">
        <f>IFERROR(INDEX(刷條碼區!A:C,MATCH(點上線資訊!S484,刷條碼區!C:C,0),2),"")</f>
        <v/>
      </c>
      <c r="Z484" s="70" t="str">
        <f>IFERROR(INDEX(刷條碼區!D:G,MATCH(點上線資訊!S484,刷條碼區!F:F,0),1),"")</f>
        <v/>
      </c>
      <c r="AA484" s="71" t="str">
        <f>IFERROR(INDEX(刷條碼區!D:G,MATCH(點上線資訊!S484,刷條碼區!F:F,0),2),"")</f>
        <v/>
      </c>
      <c r="AB484" s="20">
        <f t="shared" si="44"/>
        <v>20</v>
      </c>
      <c r="AC484" s="20" t="b">
        <f t="shared" si="45"/>
        <v>0</v>
      </c>
      <c r="AD484" s="17" t="b">
        <f t="shared" si="46"/>
        <v>0</v>
      </c>
      <c r="AE484" s="17" t="b">
        <f t="shared" si="47"/>
        <v>0</v>
      </c>
    </row>
    <row r="485" spans="1:31" x14ac:dyDescent="0.2">
      <c r="A485" s="16">
        <v>5000499235</v>
      </c>
      <c r="B485" t="s">
        <v>0</v>
      </c>
      <c r="C485" t="s">
        <v>0</v>
      </c>
      <c r="D485" t="s">
        <v>1</v>
      </c>
      <c r="E485" t="s">
        <v>1005</v>
      </c>
      <c r="F485" t="s">
        <v>1006</v>
      </c>
      <c r="G485" s="2">
        <v>15</v>
      </c>
      <c r="H485" t="s">
        <v>461</v>
      </c>
      <c r="I485" t="s">
        <v>3</v>
      </c>
      <c r="J485" t="s">
        <v>53</v>
      </c>
      <c r="K485" t="s">
        <v>605</v>
      </c>
      <c r="L485" t="s">
        <v>608</v>
      </c>
      <c r="M485" t="s">
        <v>421</v>
      </c>
      <c r="N485" t="s">
        <v>602</v>
      </c>
      <c r="O485" t="s">
        <v>603</v>
      </c>
      <c r="P485" t="s">
        <v>602</v>
      </c>
      <c r="Q485" s="17">
        <f>IFERROR(VLOOKUP(A485,已除帳印單!B:C,1,0),0)*1</f>
        <v>0</v>
      </c>
      <c r="R485" s="67" t="str">
        <f>IFERROR(VLOOKUP(J485,線別!A:B,2,1),"")</f>
        <v>裝二線</v>
      </c>
      <c r="S485" s="17" t="str">
        <f>IFERROR(VLOOKUP(A485,已除帳印單!B:C,2,0),"")</f>
        <v/>
      </c>
      <c r="T485" s="68">
        <f t="shared" si="48"/>
        <v>43892</v>
      </c>
      <c r="U485" s="69">
        <f t="shared" si="49"/>
        <v>84.168773148148148</v>
      </c>
      <c r="V485" s="68" t="str">
        <f>IFERROR(VLOOKUP(A485,已除帳印單!B:D,3,0),"")</f>
        <v/>
      </c>
      <c r="W485" s="69" t="str">
        <f>IFERROR(VLOOKUP(A485,已除帳印單!B:E,4,0),"")</f>
        <v/>
      </c>
      <c r="X485" s="68" t="str">
        <f>IFERROR(INDEX(刷條碼區!A:C,MATCH(點上線資訊!S485,刷條碼區!C:C,0),1),"")</f>
        <v/>
      </c>
      <c r="Y485" s="69" t="str">
        <f>IFERROR(INDEX(刷條碼區!A:C,MATCH(點上線資訊!S485,刷條碼區!C:C,0),2),"")</f>
        <v/>
      </c>
      <c r="Z485" s="70" t="str">
        <f>IFERROR(INDEX(刷條碼區!D:G,MATCH(點上線資訊!S485,刷條碼區!F:F,0),1),"")</f>
        <v/>
      </c>
      <c r="AA485" s="71" t="str">
        <f>IFERROR(INDEX(刷條碼區!D:G,MATCH(點上線資訊!S485,刷條碼區!F:F,0),2),"")</f>
        <v/>
      </c>
      <c r="AB485" s="20" t="b">
        <f t="shared" si="44"/>
        <v>0</v>
      </c>
      <c r="AC485" s="20" t="b">
        <f t="shared" si="45"/>
        <v>0</v>
      </c>
      <c r="AD485" s="17" t="b">
        <f t="shared" si="46"/>
        <v>0</v>
      </c>
      <c r="AE485" s="17" t="b">
        <f t="shared" si="47"/>
        <v>0</v>
      </c>
    </row>
    <row r="486" spans="1:31" x14ac:dyDescent="0.2">
      <c r="A486" s="16">
        <v>5000499239</v>
      </c>
      <c r="B486" t="s">
        <v>0</v>
      </c>
      <c r="C486" t="s">
        <v>0</v>
      </c>
      <c r="D486" t="s">
        <v>1</v>
      </c>
      <c r="E486" t="s">
        <v>80</v>
      </c>
      <c r="F486" t="s">
        <v>562</v>
      </c>
      <c r="G486" s="2">
        <v>10</v>
      </c>
      <c r="H486" t="s">
        <v>461</v>
      </c>
      <c r="I486" t="s">
        <v>3</v>
      </c>
      <c r="J486" t="s">
        <v>53</v>
      </c>
      <c r="K486" t="s">
        <v>605</v>
      </c>
      <c r="L486" t="s">
        <v>608</v>
      </c>
      <c r="M486" t="s">
        <v>421</v>
      </c>
      <c r="N486" t="s">
        <v>602</v>
      </c>
      <c r="O486" t="s">
        <v>603</v>
      </c>
      <c r="P486" t="s">
        <v>602</v>
      </c>
      <c r="Q486" s="17">
        <f>IFERROR(VLOOKUP(A486,已除帳印單!B:C,1,0),0)*1</f>
        <v>0</v>
      </c>
      <c r="R486" s="67" t="str">
        <f>IFERROR(VLOOKUP(J486,線別!A:B,2,1),"")</f>
        <v>裝二線</v>
      </c>
      <c r="S486" s="17" t="str">
        <f>IFERROR(VLOOKUP(A486,已除帳印單!B:C,2,0),"")</f>
        <v/>
      </c>
      <c r="T486" s="68">
        <f t="shared" si="48"/>
        <v>43892</v>
      </c>
      <c r="U486" s="69">
        <f t="shared" si="49"/>
        <v>84.168773148148148</v>
      </c>
      <c r="V486" s="68" t="str">
        <f>IFERROR(VLOOKUP(A486,已除帳印單!B:D,3,0),"")</f>
        <v/>
      </c>
      <c r="W486" s="69" t="str">
        <f>IFERROR(VLOOKUP(A486,已除帳印單!B:E,4,0),"")</f>
        <v/>
      </c>
      <c r="X486" s="68" t="str">
        <f>IFERROR(INDEX(刷條碼區!A:C,MATCH(點上線資訊!S486,刷條碼區!C:C,0),1),"")</f>
        <v/>
      </c>
      <c r="Y486" s="69" t="str">
        <f>IFERROR(INDEX(刷條碼區!A:C,MATCH(點上線資訊!S486,刷條碼區!C:C,0),2),"")</f>
        <v/>
      </c>
      <c r="Z486" s="70" t="str">
        <f>IFERROR(INDEX(刷條碼區!D:G,MATCH(點上線資訊!S486,刷條碼區!F:F,0),1),"")</f>
        <v/>
      </c>
      <c r="AA486" s="71" t="str">
        <f>IFERROR(INDEX(刷條碼區!D:G,MATCH(點上線資訊!S486,刷條碼區!F:F,0),2),"")</f>
        <v/>
      </c>
      <c r="AB486" s="20" t="b">
        <f t="shared" si="44"/>
        <v>0</v>
      </c>
      <c r="AC486" s="20" t="b">
        <f t="shared" si="45"/>
        <v>0</v>
      </c>
      <c r="AD486" s="17" t="b">
        <f t="shared" si="46"/>
        <v>0</v>
      </c>
      <c r="AE486" s="17" t="b">
        <f t="shared" si="47"/>
        <v>0</v>
      </c>
    </row>
    <row r="487" spans="1:31" x14ac:dyDescent="0.2">
      <c r="A487" s="16">
        <v>5000499247</v>
      </c>
      <c r="B487" t="s">
        <v>0</v>
      </c>
      <c r="C487" t="s">
        <v>0</v>
      </c>
      <c r="D487" t="s">
        <v>1</v>
      </c>
      <c r="E487" t="s">
        <v>2</v>
      </c>
      <c r="F487" t="s">
        <v>531</v>
      </c>
      <c r="G487" s="2">
        <v>10</v>
      </c>
      <c r="H487" t="s">
        <v>461</v>
      </c>
      <c r="I487" t="s">
        <v>3</v>
      </c>
      <c r="J487" t="s">
        <v>4</v>
      </c>
      <c r="K487" t="s">
        <v>602</v>
      </c>
      <c r="L487" t="s">
        <v>603</v>
      </c>
      <c r="M487" t="s">
        <v>602</v>
      </c>
      <c r="N487" t="s">
        <v>602</v>
      </c>
      <c r="O487" t="s">
        <v>603</v>
      </c>
      <c r="P487" t="s">
        <v>602</v>
      </c>
      <c r="Q487" s="17">
        <f>IFERROR(VLOOKUP(A487,已除帳印單!B:C,1,0),0)*1</f>
        <v>0</v>
      </c>
      <c r="R487" s="67" t="str">
        <f>IFERROR(VLOOKUP(J487,線別!A:B,2,1),"")</f>
        <v>IA線</v>
      </c>
      <c r="S487" s="17" t="str">
        <f>IFERROR(VLOOKUP(A487,已除帳印單!B:C,2,0),"")</f>
        <v/>
      </c>
      <c r="T487" s="68">
        <f t="shared" si="48"/>
        <v>43892</v>
      </c>
      <c r="U487" s="69">
        <f t="shared" si="49"/>
        <v>84.168773148148148</v>
      </c>
      <c r="V487" s="68" t="str">
        <f>IFERROR(VLOOKUP(A487,已除帳印單!B:D,3,0),"")</f>
        <v/>
      </c>
      <c r="W487" s="69" t="str">
        <f>IFERROR(VLOOKUP(A487,已除帳印單!B:E,4,0),"")</f>
        <v/>
      </c>
      <c r="X487" s="68" t="str">
        <f>IFERROR(INDEX(刷條碼區!A:C,MATCH(點上線資訊!S487,刷條碼區!C:C,0),1),"")</f>
        <v/>
      </c>
      <c r="Y487" s="69" t="str">
        <f>IFERROR(INDEX(刷條碼區!A:C,MATCH(點上線資訊!S487,刷條碼區!C:C,0),2),"")</f>
        <v/>
      </c>
      <c r="Z487" s="70" t="str">
        <f>IFERROR(INDEX(刷條碼區!D:G,MATCH(點上線資訊!S487,刷條碼區!F:F,0),1),"")</f>
        <v/>
      </c>
      <c r="AA487" s="71" t="str">
        <f>IFERROR(INDEX(刷條碼區!D:G,MATCH(點上線資訊!S487,刷條碼區!F:F,0),2),"")</f>
        <v/>
      </c>
      <c r="AB487" s="20">
        <f t="shared" si="44"/>
        <v>10</v>
      </c>
      <c r="AC487" s="20" t="b">
        <f t="shared" si="45"/>
        <v>0</v>
      </c>
      <c r="AD487" s="17" t="b">
        <f t="shared" si="46"/>
        <v>0</v>
      </c>
      <c r="AE487" s="17" t="b">
        <f t="shared" si="47"/>
        <v>0</v>
      </c>
    </row>
    <row r="488" spans="1:31" x14ac:dyDescent="0.2">
      <c r="A488" s="16">
        <v>5000499280</v>
      </c>
      <c r="B488" t="s">
        <v>0</v>
      </c>
      <c r="C488" t="s">
        <v>0</v>
      </c>
      <c r="D488" t="s">
        <v>1</v>
      </c>
      <c r="E488" t="s">
        <v>1007</v>
      </c>
      <c r="F488" t="s">
        <v>1008</v>
      </c>
      <c r="G488" s="2">
        <v>20</v>
      </c>
      <c r="H488" t="s">
        <v>461</v>
      </c>
      <c r="I488" t="s">
        <v>3</v>
      </c>
      <c r="J488" t="s">
        <v>53</v>
      </c>
      <c r="K488" t="s">
        <v>605</v>
      </c>
      <c r="L488" t="s">
        <v>608</v>
      </c>
      <c r="M488" t="s">
        <v>424</v>
      </c>
      <c r="N488" t="s">
        <v>602</v>
      </c>
      <c r="O488" t="s">
        <v>603</v>
      </c>
      <c r="P488" t="s">
        <v>602</v>
      </c>
      <c r="Q488" s="17">
        <f>IFERROR(VLOOKUP(A488,已除帳印單!B:C,1,0),0)*1</f>
        <v>0</v>
      </c>
      <c r="R488" s="67" t="str">
        <f>IFERROR(VLOOKUP(J488,線別!A:B,2,1),"")</f>
        <v>裝二線</v>
      </c>
      <c r="S488" s="17" t="str">
        <f>IFERROR(VLOOKUP(A488,已除帳印單!B:C,2,0),"")</f>
        <v/>
      </c>
      <c r="T488" s="68">
        <f t="shared" si="48"/>
        <v>43892</v>
      </c>
      <c r="U488" s="69">
        <f t="shared" si="49"/>
        <v>84.168773148148148</v>
      </c>
      <c r="V488" s="68" t="str">
        <f>IFERROR(VLOOKUP(A488,已除帳印單!B:D,3,0),"")</f>
        <v/>
      </c>
      <c r="W488" s="69" t="str">
        <f>IFERROR(VLOOKUP(A488,已除帳印單!B:E,4,0),"")</f>
        <v/>
      </c>
      <c r="X488" s="68" t="str">
        <f>IFERROR(INDEX(刷條碼區!A:C,MATCH(點上線資訊!S488,刷條碼區!C:C,0),1),"")</f>
        <v/>
      </c>
      <c r="Y488" s="69" t="str">
        <f>IFERROR(INDEX(刷條碼區!A:C,MATCH(點上線資訊!S488,刷條碼區!C:C,0),2),"")</f>
        <v/>
      </c>
      <c r="Z488" s="70" t="str">
        <f>IFERROR(INDEX(刷條碼區!D:G,MATCH(點上線資訊!S488,刷條碼區!F:F,0),1),"")</f>
        <v/>
      </c>
      <c r="AA488" s="71" t="str">
        <f>IFERROR(INDEX(刷條碼區!D:G,MATCH(點上線資訊!S488,刷條碼區!F:F,0),2),"")</f>
        <v/>
      </c>
      <c r="AB488" s="20" t="b">
        <f t="shared" si="44"/>
        <v>0</v>
      </c>
      <c r="AC488" s="20" t="b">
        <f t="shared" si="45"/>
        <v>0</v>
      </c>
      <c r="AD488" s="17" t="b">
        <f t="shared" si="46"/>
        <v>0</v>
      </c>
      <c r="AE488" s="17" t="b">
        <f t="shared" si="47"/>
        <v>0</v>
      </c>
    </row>
    <row r="489" spans="1:31" x14ac:dyDescent="0.2">
      <c r="A489" s="16">
        <v>5000499281</v>
      </c>
      <c r="B489" t="s">
        <v>0</v>
      </c>
      <c r="C489" t="s">
        <v>0</v>
      </c>
      <c r="D489" t="s">
        <v>1</v>
      </c>
      <c r="E489" t="s">
        <v>1007</v>
      </c>
      <c r="F489" t="s">
        <v>1008</v>
      </c>
      <c r="G489" s="2">
        <v>20</v>
      </c>
      <c r="H489" t="s">
        <v>461</v>
      </c>
      <c r="I489" t="s">
        <v>3</v>
      </c>
      <c r="J489" t="s">
        <v>53</v>
      </c>
      <c r="K489" t="s">
        <v>605</v>
      </c>
      <c r="L489" t="s">
        <v>608</v>
      </c>
      <c r="M489" t="s">
        <v>424</v>
      </c>
      <c r="N489" t="s">
        <v>602</v>
      </c>
      <c r="O489" t="s">
        <v>603</v>
      </c>
      <c r="P489" t="s">
        <v>602</v>
      </c>
      <c r="Q489" s="17">
        <f>IFERROR(VLOOKUP(A489,已除帳印單!B:C,1,0),0)*1</f>
        <v>0</v>
      </c>
      <c r="R489" s="67" t="str">
        <f>IFERROR(VLOOKUP(J489,線別!A:B,2,1),"")</f>
        <v>裝二線</v>
      </c>
      <c r="S489" s="17" t="str">
        <f>IFERROR(VLOOKUP(A489,已除帳印單!B:C,2,0),"")</f>
        <v/>
      </c>
      <c r="T489" s="68">
        <f t="shared" si="48"/>
        <v>43892</v>
      </c>
      <c r="U489" s="69">
        <f t="shared" si="49"/>
        <v>84.168773148148148</v>
      </c>
      <c r="V489" s="68" t="str">
        <f>IFERROR(VLOOKUP(A489,已除帳印單!B:D,3,0),"")</f>
        <v/>
      </c>
      <c r="W489" s="69" t="str">
        <f>IFERROR(VLOOKUP(A489,已除帳印單!B:E,4,0),"")</f>
        <v/>
      </c>
      <c r="X489" s="68" t="str">
        <f>IFERROR(INDEX(刷條碼區!A:C,MATCH(點上線資訊!S489,刷條碼區!C:C,0),1),"")</f>
        <v/>
      </c>
      <c r="Y489" s="69" t="str">
        <f>IFERROR(INDEX(刷條碼區!A:C,MATCH(點上線資訊!S489,刷條碼區!C:C,0),2),"")</f>
        <v/>
      </c>
      <c r="Z489" s="70" t="str">
        <f>IFERROR(INDEX(刷條碼區!D:G,MATCH(點上線資訊!S489,刷條碼區!F:F,0),1),"")</f>
        <v/>
      </c>
      <c r="AA489" s="71" t="str">
        <f>IFERROR(INDEX(刷條碼區!D:G,MATCH(點上線資訊!S489,刷條碼區!F:F,0),2),"")</f>
        <v/>
      </c>
      <c r="AB489" s="20" t="b">
        <f t="shared" si="44"/>
        <v>0</v>
      </c>
      <c r="AC489" s="20" t="b">
        <f t="shared" si="45"/>
        <v>0</v>
      </c>
      <c r="AD489" s="17" t="b">
        <f t="shared" si="46"/>
        <v>0</v>
      </c>
      <c r="AE489" s="17" t="b">
        <f t="shared" si="47"/>
        <v>0</v>
      </c>
    </row>
    <row r="490" spans="1:31" x14ac:dyDescent="0.2">
      <c r="A490" s="16">
        <v>5000499285</v>
      </c>
      <c r="B490" t="s">
        <v>0</v>
      </c>
      <c r="C490" t="s">
        <v>0</v>
      </c>
      <c r="D490" t="s">
        <v>1</v>
      </c>
      <c r="E490" t="s">
        <v>137</v>
      </c>
      <c r="F490" t="s">
        <v>514</v>
      </c>
      <c r="G490" s="2">
        <v>15</v>
      </c>
      <c r="H490" t="s">
        <v>461</v>
      </c>
      <c r="I490" t="s">
        <v>3</v>
      </c>
      <c r="J490" t="s">
        <v>53</v>
      </c>
      <c r="K490" t="s">
        <v>605</v>
      </c>
      <c r="L490" t="s">
        <v>608</v>
      </c>
      <c r="M490" t="s">
        <v>903</v>
      </c>
      <c r="N490" t="s">
        <v>602</v>
      </c>
      <c r="O490" t="s">
        <v>603</v>
      </c>
      <c r="P490" t="s">
        <v>602</v>
      </c>
      <c r="Q490" s="17">
        <f>IFERROR(VLOOKUP(A490,已除帳印單!B:C,1,0),0)*1</f>
        <v>0</v>
      </c>
      <c r="R490" s="67" t="str">
        <f>IFERROR(VLOOKUP(J490,線別!A:B,2,1),"")</f>
        <v>裝二線</v>
      </c>
      <c r="S490" s="17" t="str">
        <f>IFERROR(VLOOKUP(A490,已除帳印單!B:C,2,0),"")</f>
        <v/>
      </c>
      <c r="T490" s="68">
        <f t="shared" si="48"/>
        <v>43892</v>
      </c>
      <c r="U490" s="69">
        <f t="shared" si="49"/>
        <v>84.168773148148148</v>
      </c>
      <c r="V490" s="68" t="str">
        <f>IFERROR(VLOOKUP(A490,已除帳印單!B:D,3,0),"")</f>
        <v/>
      </c>
      <c r="W490" s="69" t="str">
        <f>IFERROR(VLOOKUP(A490,已除帳印單!B:E,4,0),"")</f>
        <v/>
      </c>
      <c r="X490" s="68" t="str">
        <f>IFERROR(INDEX(刷條碼區!A:C,MATCH(點上線資訊!S490,刷條碼區!C:C,0),1),"")</f>
        <v/>
      </c>
      <c r="Y490" s="69" t="str">
        <f>IFERROR(INDEX(刷條碼區!A:C,MATCH(點上線資訊!S490,刷條碼區!C:C,0),2),"")</f>
        <v/>
      </c>
      <c r="Z490" s="70" t="str">
        <f>IFERROR(INDEX(刷條碼區!D:G,MATCH(點上線資訊!S490,刷條碼區!F:F,0),1),"")</f>
        <v/>
      </c>
      <c r="AA490" s="71" t="str">
        <f>IFERROR(INDEX(刷條碼區!D:G,MATCH(點上線資訊!S490,刷條碼區!F:F,0),2),"")</f>
        <v/>
      </c>
      <c r="AB490" s="20" t="b">
        <f t="shared" si="44"/>
        <v>0</v>
      </c>
      <c r="AC490" s="20" t="b">
        <f t="shared" si="45"/>
        <v>0</v>
      </c>
      <c r="AD490" s="17" t="b">
        <f t="shared" si="46"/>
        <v>0</v>
      </c>
      <c r="AE490" s="17" t="b">
        <f t="shared" si="47"/>
        <v>0</v>
      </c>
    </row>
    <row r="491" spans="1:31" x14ac:dyDescent="0.2">
      <c r="A491" s="16">
        <v>5000499287</v>
      </c>
      <c r="B491" t="s">
        <v>0</v>
      </c>
      <c r="C491" t="s">
        <v>0</v>
      </c>
      <c r="D491" t="s">
        <v>1</v>
      </c>
      <c r="E491" t="s">
        <v>79</v>
      </c>
      <c r="F491" t="s">
        <v>561</v>
      </c>
      <c r="G491" s="2">
        <v>20</v>
      </c>
      <c r="H491" t="s">
        <v>461</v>
      </c>
      <c r="I491" t="s">
        <v>3</v>
      </c>
      <c r="J491" t="s">
        <v>53</v>
      </c>
      <c r="K491" t="s">
        <v>605</v>
      </c>
      <c r="L491" t="s">
        <v>608</v>
      </c>
      <c r="M491" t="s">
        <v>424</v>
      </c>
      <c r="N491" t="s">
        <v>602</v>
      </c>
      <c r="O491" t="s">
        <v>603</v>
      </c>
      <c r="P491" t="s">
        <v>602</v>
      </c>
      <c r="Q491" s="17">
        <f>IFERROR(VLOOKUP(A491,已除帳印單!B:C,1,0),0)*1</f>
        <v>0</v>
      </c>
      <c r="R491" s="67" t="str">
        <f>IFERROR(VLOOKUP(J491,線別!A:B,2,1),"")</f>
        <v>裝二線</v>
      </c>
      <c r="S491" s="17" t="str">
        <f>IFERROR(VLOOKUP(A491,已除帳印單!B:C,2,0),"")</f>
        <v/>
      </c>
      <c r="T491" s="68">
        <f t="shared" si="48"/>
        <v>43892</v>
      </c>
      <c r="U491" s="69">
        <f t="shared" si="49"/>
        <v>84.168773148148148</v>
      </c>
      <c r="V491" s="68" t="str">
        <f>IFERROR(VLOOKUP(A491,已除帳印單!B:D,3,0),"")</f>
        <v/>
      </c>
      <c r="W491" s="69" t="str">
        <f>IFERROR(VLOOKUP(A491,已除帳印單!B:E,4,0),"")</f>
        <v/>
      </c>
      <c r="X491" s="68" t="str">
        <f>IFERROR(INDEX(刷條碼區!A:C,MATCH(點上線資訊!S491,刷條碼區!C:C,0),1),"")</f>
        <v/>
      </c>
      <c r="Y491" s="69" t="str">
        <f>IFERROR(INDEX(刷條碼區!A:C,MATCH(點上線資訊!S491,刷條碼區!C:C,0),2),"")</f>
        <v/>
      </c>
      <c r="Z491" s="70" t="str">
        <f>IFERROR(INDEX(刷條碼區!D:G,MATCH(點上線資訊!S491,刷條碼區!F:F,0),1),"")</f>
        <v/>
      </c>
      <c r="AA491" s="71" t="str">
        <f>IFERROR(INDEX(刷條碼區!D:G,MATCH(點上線資訊!S491,刷條碼區!F:F,0),2),"")</f>
        <v/>
      </c>
      <c r="AB491" s="20" t="b">
        <f t="shared" si="44"/>
        <v>0</v>
      </c>
      <c r="AC491" s="20" t="b">
        <f t="shared" si="45"/>
        <v>0</v>
      </c>
      <c r="AD491" s="17" t="b">
        <f t="shared" si="46"/>
        <v>0</v>
      </c>
      <c r="AE491" s="17" t="b">
        <f t="shared" si="47"/>
        <v>0</v>
      </c>
    </row>
    <row r="492" spans="1:31" x14ac:dyDescent="0.2">
      <c r="A492" s="16">
        <v>5000499288</v>
      </c>
      <c r="B492" t="s">
        <v>0</v>
      </c>
      <c r="C492" t="s">
        <v>0</v>
      </c>
      <c r="D492" t="s">
        <v>1</v>
      </c>
      <c r="E492" t="s">
        <v>82</v>
      </c>
      <c r="F492" t="s">
        <v>534</v>
      </c>
      <c r="G492" s="2">
        <v>20</v>
      </c>
      <c r="H492" t="s">
        <v>461</v>
      </c>
      <c r="I492" t="s">
        <v>3</v>
      </c>
      <c r="J492" t="s">
        <v>53</v>
      </c>
      <c r="K492" t="s">
        <v>605</v>
      </c>
      <c r="L492" t="s">
        <v>608</v>
      </c>
      <c r="M492" t="s">
        <v>421</v>
      </c>
      <c r="N492" t="s">
        <v>602</v>
      </c>
      <c r="O492" t="s">
        <v>603</v>
      </c>
      <c r="P492" t="s">
        <v>602</v>
      </c>
      <c r="Q492" s="17">
        <f>IFERROR(VLOOKUP(A492,已除帳印單!B:C,1,0),0)*1</f>
        <v>0</v>
      </c>
      <c r="R492" s="67" t="str">
        <f>IFERROR(VLOOKUP(J492,線別!A:B,2,1),"")</f>
        <v>裝二線</v>
      </c>
      <c r="S492" s="17" t="str">
        <f>IFERROR(VLOOKUP(A492,已除帳印單!B:C,2,0),"")</f>
        <v/>
      </c>
      <c r="T492" s="68">
        <f t="shared" si="48"/>
        <v>43892</v>
      </c>
      <c r="U492" s="69">
        <f t="shared" si="49"/>
        <v>84.168773148148148</v>
      </c>
      <c r="V492" s="68" t="str">
        <f>IFERROR(VLOOKUP(A492,已除帳印單!B:D,3,0),"")</f>
        <v/>
      </c>
      <c r="W492" s="69" t="str">
        <f>IFERROR(VLOOKUP(A492,已除帳印單!B:E,4,0),"")</f>
        <v/>
      </c>
      <c r="X492" s="68" t="str">
        <f>IFERROR(INDEX(刷條碼區!A:C,MATCH(點上線資訊!S492,刷條碼區!C:C,0),1),"")</f>
        <v/>
      </c>
      <c r="Y492" s="69" t="str">
        <f>IFERROR(INDEX(刷條碼區!A:C,MATCH(點上線資訊!S492,刷條碼區!C:C,0),2),"")</f>
        <v/>
      </c>
      <c r="Z492" s="70" t="str">
        <f>IFERROR(INDEX(刷條碼區!D:G,MATCH(點上線資訊!S492,刷條碼區!F:F,0),1),"")</f>
        <v/>
      </c>
      <c r="AA492" s="71" t="str">
        <f>IFERROR(INDEX(刷條碼區!D:G,MATCH(點上線資訊!S492,刷條碼區!F:F,0),2),"")</f>
        <v/>
      </c>
      <c r="AB492" s="20" t="b">
        <f t="shared" si="44"/>
        <v>0</v>
      </c>
      <c r="AC492" s="20" t="b">
        <f t="shared" si="45"/>
        <v>0</v>
      </c>
      <c r="AD492" s="17" t="b">
        <f t="shared" si="46"/>
        <v>0</v>
      </c>
      <c r="AE492" s="17" t="b">
        <f t="shared" si="47"/>
        <v>0</v>
      </c>
    </row>
    <row r="493" spans="1:31" x14ac:dyDescent="0.2">
      <c r="A493" s="16">
        <v>5000499289</v>
      </c>
      <c r="B493" t="s">
        <v>0</v>
      </c>
      <c r="C493" t="s">
        <v>0</v>
      </c>
      <c r="D493" t="s">
        <v>1</v>
      </c>
      <c r="E493" t="s">
        <v>1009</v>
      </c>
      <c r="F493" t="s">
        <v>1010</v>
      </c>
      <c r="G493" s="2">
        <v>12</v>
      </c>
      <c r="H493" t="s">
        <v>461</v>
      </c>
      <c r="I493" t="s">
        <v>3</v>
      </c>
      <c r="J493" t="s">
        <v>53</v>
      </c>
      <c r="K493" t="s">
        <v>605</v>
      </c>
      <c r="L493" t="s">
        <v>608</v>
      </c>
      <c r="M493" t="s">
        <v>421</v>
      </c>
      <c r="N493" t="s">
        <v>602</v>
      </c>
      <c r="O493" t="s">
        <v>603</v>
      </c>
      <c r="P493" t="s">
        <v>602</v>
      </c>
      <c r="Q493" s="17">
        <f>IFERROR(VLOOKUP(A493,已除帳印單!B:C,1,0),0)*1</f>
        <v>0</v>
      </c>
      <c r="R493" s="67" t="str">
        <f>IFERROR(VLOOKUP(J493,線別!A:B,2,1),"")</f>
        <v>裝二線</v>
      </c>
      <c r="S493" s="17" t="str">
        <f>IFERROR(VLOOKUP(A493,已除帳印單!B:C,2,0),"")</f>
        <v/>
      </c>
      <c r="T493" s="68">
        <f t="shared" si="48"/>
        <v>43892</v>
      </c>
      <c r="U493" s="69">
        <f t="shared" si="49"/>
        <v>84.168773148148148</v>
      </c>
      <c r="V493" s="68" t="str">
        <f>IFERROR(VLOOKUP(A493,已除帳印單!B:D,3,0),"")</f>
        <v/>
      </c>
      <c r="W493" s="69" t="str">
        <f>IFERROR(VLOOKUP(A493,已除帳印單!B:E,4,0),"")</f>
        <v/>
      </c>
      <c r="X493" s="68" t="str">
        <f>IFERROR(INDEX(刷條碼區!A:C,MATCH(點上線資訊!S493,刷條碼區!C:C,0),1),"")</f>
        <v/>
      </c>
      <c r="Y493" s="69" t="str">
        <f>IFERROR(INDEX(刷條碼區!A:C,MATCH(點上線資訊!S493,刷條碼區!C:C,0),2),"")</f>
        <v/>
      </c>
      <c r="Z493" s="70" t="str">
        <f>IFERROR(INDEX(刷條碼區!D:G,MATCH(點上線資訊!S493,刷條碼區!F:F,0),1),"")</f>
        <v/>
      </c>
      <c r="AA493" s="71" t="str">
        <f>IFERROR(INDEX(刷條碼區!D:G,MATCH(點上線資訊!S493,刷條碼區!F:F,0),2),"")</f>
        <v/>
      </c>
      <c r="AB493" s="20" t="b">
        <f t="shared" si="44"/>
        <v>0</v>
      </c>
      <c r="AC493" s="20" t="b">
        <f t="shared" si="45"/>
        <v>0</v>
      </c>
      <c r="AD493" s="17" t="b">
        <f t="shared" si="46"/>
        <v>0</v>
      </c>
      <c r="AE493" s="17" t="b">
        <f t="shared" si="47"/>
        <v>0</v>
      </c>
    </row>
    <row r="494" spans="1:31" x14ac:dyDescent="0.2">
      <c r="A494" s="16">
        <v>5000499290</v>
      </c>
      <c r="B494" t="s">
        <v>301</v>
      </c>
      <c r="C494" t="s">
        <v>301</v>
      </c>
      <c r="D494" t="s">
        <v>1</v>
      </c>
      <c r="E494" t="s">
        <v>330</v>
      </c>
      <c r="F494" t="s">
        <v>532</v>
      </c>
      <c r="G494" s="2">
        <v>12</v>
      </c>
      <c r="H494" t="s">
        <v>461</v>
      </c>
      <c r="I494" t="s">
        <v>3</v>
      </c>
      <c r="J494" t="s">
        <v>53</v>
      </c>
      <c r="K494" t="s">
        <v>602</v>
      </c>
      <c r="L494" t="s">
        <v>603</v>
      </c>
      <c r="M494" t="s">
        <v>602</v>
      </c>
      <c r="N494" t="s">
        <v>602</v>
      </c>
      <c r="O494" t="s">
        <v>603</v>
      </c>
      <c r="P494" t="s">
        <v>602</v>
      </c>
      <c r="Q494" s="17">
        <f>IFERROR(VLOOKUP(A494,已除帳印單!B:C,1,0),0)*1</f>
        <v>0</v>
      </c>
      <c r="R494" s="67" t="str">
        <f>IFERROR(VLOOKUP(J494,線別!A:B,2,1),"")</f>
        <v>裝二線</v>
      </c>
      <c r="S494" s="17" t="str">
        <f>IFERROR(VLOOKUP(A494,已除帳印單!B:C,2,0),"")</f>
        <v/>
      </c>
      <c r="T494" s="68">
        <f t="shared" si="48"/>
        <v>43894</v>
      </c>
      <c r="U494" s="69">
        <f t="shared" si="49"/>
        <v>84.168796296296293</v>
      </c>
      <c r="V494" s="68" t="str">
        <f>IFERROR(VLOOKUP(A494,已除帳印單!B:D,3,0),"")</f>
        <v/>
      </c>
      <c r="W494" s="69" t="str">
        <f>IFERROR(VLOOKUP(A494,已除帳印單!B:E,4,0),"")</f>
        <v/>
      </c>
      <c r="X494" s="68" t="str">
        <f>IFERROR(INDEX(刷條碼區!A:C,MATCH(點上線資訊!S494,刷條碼區!C:C,0),1),"")</f>
        <v/>
      </c>
      <c r="Y494" s="69" t="str">
        <f>IFERROR(INDEX(刷條碼區!A:C,MATCH(點上線資訊!S494,刷條碼區!C:C,0),2),"")</f>
        <v/>
      </c>
      <c r="Z494" s="70" t="str">
        <f>IFERROR(INDEX(刷條碼區!D:G,MATCH(點上線資訊!S494,刷條碼區!F:F,0),1),"")</f>
        <v/>
      </c>
      <c r="AA494" s="71" t="str">
        <f>IFERROR(INDEX(刷條碼區!D:G,MATCH(點上線資訊!S494,刷條碼區!F:F,0),2),"")</f>
        <v/>
      </c>
      <c r="AB494" s="20">
        <f t="shared" si="44"/>
        <v>12</v>
      </c>
      <c r="AC494" s="20" t="b">
        <f t="shared" si="45"/>
        <v>0</v>
      </c>
      <c r="AD494" s="17" t="b">
        <f t="shared" si="46"/>
        <v>0</v>
      </c>
      <c r="AE494" s="17" t="b">
        <f t="shared" si="47"/>
        <v>0</v>
      </c>
    </row>
    <row r="495" spans="1:31" x14ac:dyDescent="0.2">
      <c r="A495" s="16">
        <v>5000499314</v>
      </c>
      <c r="B495" t="s">
        <v>0</v>
      </c>
      <c r="C495" t="s">
        <v>0</v>
      </c>
      <c r="D495" t="s">
        <v>1</v>
      </c>
      <c r="E495" t="s">
        <v>129</v>
      </c>
      <c r="F495" t="s">
        <v>130</v>
      </c>
      <c r="G495" s="2">
        <v>10</v>
      </c>
      <c r="H495" t="s">
        <v>461</v>
      </c>
      <c r="I495" t="s">
        <v>3</v>
      </c>
      <c r="J495" t="s">
        <v>4</v>
      </c>
      <c r="K495" t="s">
        <v>605</v>
      </c>
      <c r="L495" t="s">
        <v>608</v>
      </c>
      <c r="M495" t="s">
        <v>709</v>
      </c>
      <c r="N495" t="s">
        <v>602</v>
      </c>
      <c r="O495" t="s">
        <v>603</v>
      </c>
      <c r="P495" t="s">
        <v>602</v>
      </c>
      <c r="Q495" s="17">
        <f>IFERROR(VLOOKUP(A495,已除帳印單!B:C,1,0),0)*1</f>
        <v>0</v>
      </c>
      <c r="R495" s="67" t="str">
        <f>IFERROR(VLOOKUP(J495,線別!A:B,2,1),"")</f>
        <v>IA線</v>
      </c>
      <c r="S495" s="17" t="str">
        <f>IFERROR(VLOOKUP(A495,已除帳印單!B:C,2,0),"")</f>
        <v/>
      </c>
      <c r="T495" s="68">
        <f t="shared" si="48"/>
        <v>43892</v>
      </c>
      <c r="U495" s="69">
        <f t="shared" si="49"/>
        <v>84.168773148148148</v>
      </c>
      <c r="V495" s="68" t="str">
        <f>IFERROR(VLOOKUP(A495,已除帳印單!B:D,3,0),"")</f>
        <v/>
      </c>
      <c r="W495" s="69" t="str">
        <f>IFERROR(VLOOKUP(A495,已除帳印單!B:E,4,0),"")</f>
        <v/>
      </c>
      <c r="X495" s="68" t="str">
        <f>IFERROR(INDEX(刷條碼區!A:C,MATCH(點上線資訊!S495,刷條碼區!C:C,0),1),"")</f>
        <v/>
      </c>
      <c r="Y495" s="69" t="str">
        <f>IFERROR(INDEX(刷條碼區!A:C,MATCH(點上線資訊!S495,刷條碼區!C:C,0),2),"")</f>
        <v/>
      </c>
      <c r="Z495" s="70" t="str">
        <f>IFERROR(INDEX(刷條碼區!D:G,MATCH(點上線資訊!S495,刷條碼區!F:F,0),1),"")</f>
        <v/>
      </c>
      <c r="AA495" s="71" t="str">
        <f>IFERROR(INDEX(刷條碼區!D:G,MATCH(點上線資訊!S495,刷條碼區!F:F,0),2),"")</f>
        <v/>
      </c>
      <c r="AB495" s="20" t="b">
        <f t="shared" si="44"/>
        <v>0</v>
      </c>
      <c r="AC495" s="20" t="b">
        <f t="shared" si="45"/>
        <v>0</v>
      </c>
      <c r="AD495" s="17" t="b">
        <f t="shared" si="46"/>
        <v>0</v>
      </c>
      <c r="AE495" s="17" t="b">
        <f t="shared" si="47"/>
        <v>0</v>
      </c>
    </row>
    <row r="496" spans="1:31" x14ac:dyDescent="0.2">
      <c r="A496" s="16">
        <v>5000499315</v>
      </c>
      <c r="B496" t="s">
        <v>0</v>
      </c>
      <c r="C496" t="s">
        <v>0</v>
      </c>
      <c r="D496" t="s">
        <v>1</v>
      </c>
      <c r="E496" t="s">
        <v>127</v>
      </c>
      <c r="F496" t="s">
        <v>128</v>
      </c>
      <c r="G496" s="2">
        <v>10</v>
      </c>
      <c r="H496" t="s">
        <v>461</v>
      </c>
      <c r="I496" t="s">
        <v>3</v>
      </c>
      <c r="J496" t="s">
        <v>4</v>
      </c>
      <c r="K496" t="s">
        <v>605</v>
      </c>
      <c r="L496" t="s">
        <v>608</v>
      </c>
      <c r="M496" t="s">
        <v>709</v>
      </c>
      <c r="N496" t="s">
        <v>602</v>
      </c>
      <c r="O496" t="s">
        <v>603</v>
      </c>
      <c r="P496" t="s">
        <v>602</v>
      </c>
      <c r="Q496" s="17">
        <f>IFERROR(VLOOKUP(A496,已除帳印單!B:C,1,0),0)*1</f>
        <v>0</v>
      </c>
      <c r="R496" s="67" t="str">
        <f>IFERROR(VLOOKUP(J496,線別!A:B,2,1),"")</f>
        <v>IA線</v>
      </c>
      <c r="S496" s="17" t="str">
        <f>IFERROR(VLOOKUP(A496,已除帳印單!B:C,2,0),"")</f>
        <v/>
      </c>
      <c r="T496" s="68">
        <f t="shared" si="48"/>
        <v>43892</v>
      </c>
      <c r="U496" s="69">
        <f t="shared" si="49"/>
        <v>84.168773148148148</v>
      </c>
      <c r="V496" s="68" t="str">
        <f>IFERROR(VLOOKUP(A496,已除帳印單!B:D,3,0),"")</f>
        <v/>
      </c>
      <c r="W496" s="69" t="str">
        <f>IFERROR(VLOOKUP(A496,已除帳印單!B:E,4,0),"")</f>
        <v/>
      </c>
      <c r="X496" s="68" t="str">
        <f>IFERROR(INDEX(刷條碼區!A:C,MATCH(點上線資訊!S496,刷條碼區!C:C,0),1),"")</f>
        <v/>
      </c>
      <c r="Y496" s="69" t="str">
        <f>IFERROR(INDEX(刷條碼區!A:C,MATCH(點上線資訊!S496,刷條碼區!C:C,0),2),"")</f>
        <v/>
      </c>
      <c r="Z496" s="70" t="str">
        <f>IFERROR(INDEX(刷條碼區!D:G,MATCH(點上線資訊!S496,刷條碼區!F:F,0),1),"")</f>
        <v/>
      </c>
      <c r="AA496" s="71" t="str">
        <f>IFERROR(INDEX(刷條碼區!D:G,MATCH(點上線資訊!S496,刷條碼區!F:F,0),2),"")</f>
        <v/>
      </c>
      <c r="AB496" s="20" t="b">
        <f t="shared" si="44"/>
        <v>0</v>
      </c>
      <c r="AC496" s="20" t="b">
        <f t="shared" si="45"/>
        <v>0</v>
      </c>
      <c r="AD496" s="17" t="b">
        <f t="shared" si="46"/>
        <v>0</v>
      </c>
      <c r="AE496" s="17" t="b">
        <f t="shared" si="47"/>
        <v>0</v>
      </c>
    </row>
    <row r="497" spans="1:31" x14ac:dyDescent="0.2">
      <c r="A497" s="16">
        <v>5000499322</v>
      </c>
      <c r="B497" t="s">
        <v>301</v>
      </c>
      <c r="C497" t="s">
        <v>301</v>
      </c>
      <c r="D497" t="s">
        <v>1</v>
      </c>
      <c r="E497" t="s">
        <v>332</v>
      </c>
      <c r="F497" t="s">
        <v>533</v>
      </c>
      <c r="G497" s="2">
        <v>20</v>
      </c>
      <c r="H497" t="s">
        <v>461</v>
      </c>
      <c r="I497" t="s">
        <v>3</v>
      </c>
      <c r="J497" t="s">
        <v>53</v>
      </c>
      <c r="K497" t="s">
        <v>602</v>
      </c>
      <c r="L497" t="s">
        <v>603</v>
      </c>
      <c r="M497" t="s">
        <v>602</v>
      </c>
      <c r="N497" t="s">
        <v>602</v>
      </c>
      <c r="O497" t="s">
        <v>603</v>
      </c>
      <c r="P497" t="s">
        <v>602</v>
      </c>
      <c r="Q497" s="17">
        <f>IFERROR(VLOOKUP(A497,已除帳印單!B:C,1,0),0)*1</f>
        <v>0</v>
      </c>
      <c r="R497" s="67" t="str">
        <f>IFERROR(VLOOKUP(J497,線別!A:B,2,1),"")</f>
        <v>裝二線</v>
      </c>
      <c r="S497" s="17" t="str">
        <f>IFERROR(VLOOKUP(A497,已除帳印單!B:C,2,0),"")</f>
        <v/>
      </c>
      <c r="T497" s="68">
        <f t="shared" si="48"/>
        <v>43894</v>
      </c>
      <c r="U497" s="69">
        <f t="shared" si="49"/>
        <v>84.168796296296293</v>
      </c>
      <c r="V497" s="68" t="str">
        <f>IFERROR(VLOOKUP(A497,已除帳印單!B:D,3,0),"")</f>
        <v/>
      </c>
      <c r="W497" s="69" t="str">
        <f>IFERROR(VLOOKUP(A497,已除帳印單!B:E,4,0),"")</f>
        <v/>
      </c>
      <c r="X497" s="68" t="str">
        <f>IFERROR(INDEX(刷條碼區!A:C,MATCH(點上線資訊!S497,刷條碼區!C:C,0),1),"")</f>
        <v/>
      </c>
      <c r="Y497" s="69" t="str">
        <f>IFERROR(INDEX(刷條碼區!A:C,MATCH(點上線資訊!S497,刷條碼區!C:C,0),2),"")</f>
        <v/>
      </c>
      <c r="Z497" s="70" t="str">
        <f>IFERROR(INDEX(刷條碼區!D:G,MATCH(點上線資訊!S497,刷條碼區!F:F,0),1),"")</f>
        <v/>
      </c>
      <c r="AA497" s="71" t="str">
        <f>IFERROR(INDEX(刷條碼區!D:G,MATCH(點上線資訊!S497,刷條碼區!F:F,0),2),"")</f>
        <v/>
      </c>
      <c r="AB497" s="20">
        <f t="shared" si="44"/>
        <v>20</v>
      </c>
      <c r="AC497" s="20" t="b">
        <f t="shared" si="45"/>
        <v>0</v>
      </c>
      <c r="AD497" s="17" t="b">
        <f t="shared" si="46"/>
        <v>0</v>
      </c>
      <c r="AE497" s="17" t="b">
        <f t="shared" si="47"/>
        <v>0</v>
      </c>
    </row>
    <row r="498" spans="1:31" x14ac:dyDescent="0.2">
      <c r="A498" s="16">
        <v>5000499323</v>
      </c>
      <c r="B498" t="s">
        <v>301</v>
      </c>
      <c r="C498" t="s">
        <v>301</v>
      </c>
      <c r="D498" t="s">
        <v>1</v>
      </c>
      <c r="E498" t="s">
        <v>332</v>
      </c>
      <c r="F498" t="s">
        <v>533</v>
      </c>
      <c r="G498" s="2">
        <v>20</v>
      </c>
      <c r="H498" t="s">
        <v>461</v>
      </c>
      <c r="I498" t="s">
        <v>3</v>
      </c>
      <c r="J498" t="s">
        <v>53</v>
      </c>
      <c r="K498" t="s">
        <v>602</v>
      </c>
      <c r="L498" t="s">
        <v>603</v>
      </c>
      <c r="M498" t="s">
        <v>602</v>
      </c>
      <c r="N498" t="s">
        <v>602</v>
      </c>
      <c r="O498" t="s">
        <v>603</v>
      </c>
      <c r="P498" t="s">
        <v>602</v>
      </c>
      <c r="Q498" s="17">
        <f>IFERROR(VLOOKUP(A498,已除帳印單!B:C,1,0),0)*1</f>
        <v>0</v>
      </c>
      <c r="R498" s="67" t="str">
        <f>IFERROR(VLOOKUP(J498,線別!A:B,2,1),"")</f>
        <v>裝二線</v>
      </c>
      <c r="S498" s="17" t="str">
        <f>IFERROR(VLOOKUP(A498,已除帳印單!B:C,2,0),"")</f>
        <v/>
      </c>
      <c r="T498" s="68">
        <f t="shared" si="48"/>
        <v>43894</v>
      </c>
      <c r="U498" s="69">
        <f t="shared" si="49"/>
        <v>84.168796296296293</v>
      </c>
      <c r="V498" s="68" t="str">
        <f>IFERROR(VLOOKUP(A498,已除帳印單!B:D,3,0),"")</f>
        <v/>
      </c>
      <c r="W498" s="69" t="str">
        <f>IFERROR(VLOOKUP(A498,已除帳印單!B:E,4,0),"")</f>
        <v/>
      </c>
      <c r="X498" s="68" t="str">
        <f>IFERROR(INDEX(刷條碼區!A:C,MATCH(點上線資訊!S498,刷條碼區!C:C,0),1),"")</f>
        <v/>
      </c>
      <c r="Y498" s="69" t="str">
        <f>IFERROR(INDEX(刷條碼區!A:C,MATCH(點上線資訊!S498,刷條碼區!C:C,0),2),"")</f>
        <v/>
      </c>
      <c r="Z498" s="70" t="str">
        <f>IFERROR(INDEX(刷條碼區!D:G,MATCH(點上線資訊!S498,刷條碼區!F:F,0),1),"")</f>
        <v/>
      </c>
      <c r="AA498" s="71" t="str">
        <f>IFERROR(INDEX(刷條碼區!D:G,MATCH(點上線資訊!S498,刷條碼區!F:F,0),2),"")</f>
        <v/>
      </c>
      <c r="AB498" s="20">
        <f t="shared" si="44"/>
        <v>20</v>
      </c>
      <c r="AC498" s="20" t="b">
        <f t="shared" si="45"/>
        <v>0</v>
      </c>
      <c r="AD498" s="17" t="b">
        <f t="shared" si="46"/>
        <v>0</v>
      </c>
      <c r="AE498" s="17" t="b">
        <f t="shared" si="47"/>
        <v>0</v>
      </c>
    </row>
    <row r="499" spans="1:31" x14ac:dyDescent="0.2">
      <c r="A499" s="16">
        <v>5000499324</v>
      </c>
      <c r="B499" t="s">
        <v>0</v>
      </c>
      <c r="C499" t="s">
        <v>0</v>
      </c>
      <c r="D499" t="s">
        <v>1</v>
      </c>
      <c r="E499" t="s">
        <v>1007</v>
      </c>
      <c r="F499" t="s">
        <v>1008</v>
      </c>
      <c r="G499" s="2">
        <v>20</v>
      </c>
      <c r="H499" t="s">
        <v>461</v>
      </c>
      <c r="I499" t="s">
        <v>3</v>
      </c>
      <c r="J499" t="s">
        <v>53</v>
      </c>
      <c r="K499" t="s">
        <v>605</v>
      </c>
      <c r="L499" t="s">
        <v>608</v>
      </c>
      <c r="M499" t="s">
        <v>424</v>
      </c>
      <c r="N499" t="s">
        <v>602</v>
      </c>
      <c r="O499" t="s">
        <v>603</v>
      </c>
      <c r="P499" t="s">
        <v>602</v>
      </c>
      <c r="Q499" s="17">
        <f>IFERROR(VLOOKUP(A499,已除帳印單!B:C,1,0),0)*1</f>
        <v>0</v>
      </c>
      <c r="R499" s="67" t="str">
        <f>IFERROR(VLOOKUP(J499,線別!A:B,2,1),"")</f>
        <v>裝二線</v>
      </c>
      <c r="S499" s="17" t="str">
        <f>IFERROR(VLOOKUP(A499,已除帳印單!B:C,2,0),"")</f>
        <v/>
      </c>
      <c r="T499" s="68">
        <f t="shared" si="48"/>
        <v>43892</v>
      </c>
      <c r="U499" s="69">
        <f t="shared" si="49"/>
        <v>84.168773148148148</v>
      </c>
      <c r="V499" s="68" t="str">
        <f>IFERROR(VLOOKUP(A499,已除帳印單!B:D,3,0),"")</f>
        <v/>
      </c>
      <c r="W499" s="69" t="str">
        <f>IFERROR(VLOOKUP(A499,已除帳印單!B:E,4,0),"")</f>
        <v/>
      </c>
      <c r="X499" s="68" t="str">
        <f>IFERROR(INDEX(刷條碼區!A:C,MATCH(點上線資訊!S499,刷條碼區!C:C,0),1),"")</f>
        <v/>
      </c>
      <c r="Y499" s="69" t="str">
        <f>IFERROR(INDEX(刷條碼區!A:C,MATCH(點上線資訊!S499,刷條碼區!C:C,0),2),"")</f>
        <v/>
      </c>
      <c r="Z499" s="70" t="str">
        <f>IFERROR(INDEX(刷條碼區!D:G,MATCH(點上線資訊!S499,刷條碼區!F:F,0),1),"")</f>
        <v/>
      </c>
      <c r="AA499" s="71" t="str">
        <f>IFERROR(INDEX(刷條碼區!D:G,MATCH(點上線資訊!S499,刷條碼區!F:F,0),2),"")</f>
        <v/>
      </c>
      <c r="AB499" s="20" t="b">
        <f t="shared" si="44"/>
        <v>0</v>
      </c>
      <c r="AC499" s="20" t="b">
        <f t="shared" si="45"/>
        <v>0</v>
      </c>
      <c r="AD499" s="17" t="b">
        <f t="shared" si="46"/>
        <v>0</v>
      </c>
      <c r="AE499" s="17" t="b">
        <f t="shared" si="47"/>
        <v>0</v>
      </c>
    </row>
    <row r="500" spans="1:31" x14ac:dyDescent="0.2">
      <c r="A500" s="16">
        <v>5000499332</v>
      </c>
      <c r="B500" t="s">
        <v>0</v>
      </c>
      <c r="C500" t="s">
        <v>0</v>
      </c>
      <c r="D500" t="s">
        <v>1</v>
      </c>
      <c r="E500" t="s">
        <v>81</v>
      </c>
      <c r="F500" t="s">
        <v>535</v>
      </c>
      <c r="G500" s="2">
        <v>15</v>
      </c>
      <c r="H500" t="s">
        <v>461</v>
      </c>
      <c r="I500" t="s">
        <v>3</v>
      </c>
      <c r="J500" t="s">
        <v>53</v>
      </c>
      <c r="K500" t="s">
        <v>605</v>
      </c>
      <c r="L500" t="s">
        <v>608</v>
      </c>
      <c r="M500" t="s">
        <v>421</v>
      </c>
      <c r="N500" t="s">
        <v>602</v>
      </c>
      <c r="O500" t="s">
        <v>603</v>
      </c>
      <c r="P500" t="s">
        <v>602</v>
      </c>
      <c r="Q500" s="17">
        <f>IFERROR(VLOOKUP(A500,已除帳印單!B:C,1,0),0)*1</f>
        <v>0</v>
      </c>
      <c r="R500" s="67" t="str">
        <f>IFERROR(VLOOKUP(J500,線別!A:B,2,1),"")</f>
        <v>裝二線</v>
      </c>
      <c r="S500" s="17" t="str">
        <f>IFERROR(VLOOKUP(A500,已除帳印單!B:C,2,0),"")</f>
        <v/>
      </c>
      <c r="T500" s="68">
        <f t="shared" si="48"/>
        <v>43892</v>
      </c>
      <c r="U500" s="69">
        <f t="shared" si="49"/>
        <v>84.168773148148148</v>
      </c>
      <c r="V500" s="68" t="str">
        <f>IFERROR(VLOOKUP(A500,已除帳印單!B:D,3,0),"")</f>
        <v/>
      </c>
      <c r="W500" s="69" t="str">
        <f>IFERROR(VLOOKUP(A500,已除帳印單!B:E,4,0),"")</f>
        <v/>
      </c>
      <c r="X500" s="68" t="str">
        <f>IFERROR(INDEX(刷條碼區!A:C,MATCH(點上線資訊!S500,刷條碼區!C:C,0),1),"")</f>
        <v/>
      </c>
      <c r="Y500" s="69" t="str">
        <f>IFERROR(INDEX(刷條碼區!A:C,MATCH(點上線資訊!S500,刷條碼區!C:C,0),2),"")</f>
        <v/>
      </c>
      <c r="Z500" s="70" t="str">
        <f>IFERROR(INDEX(刷條碼區!D:G,MATCH(點上線資訊!S500,刷條碼區!F:F,0),1),"")</f>
        <v/>
      </c>
      <c r="AA500" s="71" t="str">
        <f>IFERROR(INDEX(刷條碼區!D:G,MATCH(點上線資訊!S500,刷條碼區!F:F,0),2),"")</f>
        <v/>
      </c>
      <c r="AB500" s="20" t="b">
        <f t="shared" si="44"/>
        <v>0</v>
      </c>
      <c r="AC500" s="20" t="b">
        <f t="shared" si="45"/>
        <v>0</v>
      </c>
      <c r="AD500" s="17" t="b">
        <f t="shared" si="46"/>
        <v>0</v>
      </c>
      <c r="AE500" s="17" t="b">
        <f t="shared" si="47"/>
        <v>0</v>
      </c>
    </row>
    <row r="501" spans="1:31" x14ac:dyDescent="0.2">
      <c r="A501" s="16">
        <v>5000499333</v>
      </c>
      <c r="B501" t="s">
        <v>6</v>
      </c>
      <c r="C501" t="s">
        <v>6</v>
      </c>
      <c r="D501" t="s">
        <v>1</v>
      </c>
      <c r="E501" t="s">
        <v>82</v>
      </c>
      <c r="F501" t="s">
        <v>534</v>
      </c>
      <c r="G501" s="2">
        <v>11</v>
      </c>
      <c r="H501" t="s">
        <v>461</v>
      </c>
      <c r="I501" t="s">
        <v>3</v>
      </c>
      <c r="J501" t="s">
        <v>53</v>
      </c>
      <c r="K501" t="s">
        <v>602</v>
      </c>
      <c r="L501" t="s">
        <v>603</v>
      </c>
      <c r="M501" t="s">
        <v>602</v>
      </c>
      <c r="N501" t="s">
        <v>602</v>
      </c>
      <c r="O501" t="s">
        <v>603</v>
      </c>
      <c r="P501" t="s">
        <v>602</v>
      </c>
      <c r="Q501" s="17">
        <f>IFERROR(VLOOKUP(A501,已除帳印單!B:C,1,0),0)*1</f>
        <v>0</v>
      </c>
      <c r="R501" s="67" t="str">
        <f>IFERROR(VLOOKUP(J501,線別!A:B,2,1),"")</f>
        <v>裝二線</v>
      </c>
      <c r="S501" s="17" t="str">
        <f>IFERROR(VLOOKUP(A501,已除帳印單!B:C,2,0),"")</f>
        <v/>
      </c>
      <c r="T501" s="68">
        <f t="shared" si="48"/>
        <v>43893</v>
      </c>
      <c r="U501" s="69">
        <f t="shared" si="49"/>
        <v>84.168784722222213</v>
      </c>
      <c r="V501" s="68" t="str">
        <f>IFERROR(VLOOKUP(A501,已除帳印單!B:D,3,0),"")</f>
        <v/>
      </c>
      <c r="W501" s="69" t="str">
        <f>IFERROR(VLOOKUP(A501,已除帳印單!B:E,4,0),"")</f>
        <v/>
      </c>
      <c r="X501" s="68" t="str">
        <f>IFERROR(INDEX(刷條碼區!A:C,MATCH(點上線資訊!S501,刷條碼區!C:C,0),1),"")</f>
        <v/>
      </c>
      <c r="Y501" s="69" t="str">
        <f>IFERROR(INDEX(刷條碼區!A:C,MATCH(點上線資訊!S501,刷條碼區!C:C,0),2),"")</f>
        <v/>
      </c>
      <c r="Z501" s="70" t="str">
        <f>IFERROR(INDEX(刷條碼區!D:G,MATCH(點上線資訊!S501,刷條碼區!F:F,0),1),"")</f>
        <v/>
      </c>
      <c r="AA501" s="71" t="str">
        <f>IFERROR(INDEX(刷條碼區!D:G,MATCH(點上線資訊!S501,刷條碼區!F:F,0),2),"")</f>
        <v/>
      </c>
      <c r="AB501" s="20">
        <f t="shared" si="44"/>
        <v>11</v>
      </c>
      <c r="AC501" s="20" t="b">
        <f t="shared" si="45"/>
        <v>0</v>
      </c>
      <c r="AD501" s="17" t="b">
        <f t="shared" si="46"/>
        <v>0</v>
      </c>
      <c r="AE501" s="17" t="b">
        <f t="shared" si="47"/>
        <v>0</v>
      </c>
    </row>
    <row r="502" spans="1:31" x14ac:dyDescent="0.2">
      <c r="A502" s="16">
        <v>5000499334</v>
      </c>
      <c r="B502" t="s">
        <v>6</v>
      </c>
      <c r="C502" t="s">
        <v>6</v>
      </c>
      <c r="D502" t="s">
        <v>1</v>
      </c>
      <c r="E502" t="s">
        <v>82</v>
      </c>
      <c r="F502" t="s">
        <v>534</v>
      </c>
      <c r="G502" s="2">
        <v>10</v>
      </c>
      <c r="H502" t="s">
        <v>461</v>
      </c>
      <c r="I502" t="s">
        <v>3</v>
      </c>
      <c r="J502" t="s">
        <v>53</v>
      </c>
      <c r="K502" t="s">
        <v>602</v>
      </c>
      <c r="L502" t="s">
        <v>603</v>
      </c>
      <c r="M502" t="s">
        <v>602</v>
      </c>
      <c r="N502" t="s">
        <v>602</v>
      </c>
      <c r="O502" t="s">
        <v>603</v>
      </c>
      <c r="P502" t="s">
        <v>602</v>
      </c>
      <c r="Q502" s="17">
        <f>IFERROR(VLOOKUP(A502,已除帳印單!B:C,1,0),0)*1</f>
        <v>0</v>
      </c>
      <c r="R502" s="67" t="str">
        <f>IFERROR(VLOOKUP(J502,線別!A:B,2,1),"")</f>
        <v>裝二線</v>
      </c>
      <c r="S502" s="17" t="str">
        <f>IFERROR(VLOOKUP(A502,已除帳印單!B:C,2,0),"")</f>
        <v/>
      </c>
      <c r="T502" s="68">
        <f t="shared" si="48"/>
        <v>43893</v>
      </c>
      <c r="U502" s="69">
        <f t="shared" si="49"/>
        <v>84.168784722222213</v>
      </c>
      <c r="V502" s="68" t="str">
        <f>IFERROR(VLOOKUP(A502,已除帳印單!B:D,3,0),"")</f>
        <v/>
      </c>
      <c r="W502" s="69" t="str">
        <f>IFERROR(VLOOKUP(A502,已除帳印單!B:E,4,0),"")</f>
        <v/>
      </c>
      <c r="X502" s="68" t="str">
        <f>IFERROR(INDEX(刷條碼區!A:C,MATCH(點上線資訊!S502,刷條碼區!C:C,0),1),"")</f>
        <v/>
      </c>
      <c r="Y502" s="69" t="str">
        <f>IFERROR(INDEX(刷條碼區!A:C,MATCH(點上線資訊!S502,刷條碼區!C:C,0),2),"")</f>
        <v/>
      </c>
      <c r="Z502" s="70" t="str">
        <f>IFERROR(INDEX(刷條碼區!D:G,MATCH(點上線資訊!S502,刷條碼區!F:F,0),1),"")</f>
        <v/>
      </c>
      <c r="AA502" s="71" t="str">
        <f>IFERROR(INDEX(刷條碼區!D:G,MATCH(點上線資訊!S502,刷條碼區!F:F,0),2),"")</f>
        <v/>
      </c>
      <c r="AB502" s="20">
        <f t="shared" si="44"/>
        <v>10</v>
      </c>
      <c r="AC502" s="20" t="b">
        <f t="shared" si="45"/>
        <v>0</v>
      </c>
      <c r="AD502" s="17" t="b">
        <f t="shared" si="46"/>
        <v>0</v>
      </c>
      <c r="AE502" s="17" t="b">
        <f t="shared" si="47"/>
        <v>0</v>
      </c>
    </row>
    <row r="503" spans="1:31" x14ac:dyDescent="0.2">
      <c r="A503" s="16">
        <v>5000499335</v>
      </c>
      <c r="B503" t="s">
        <v>6</v>
      </c>
      <c r="C503" t="s">
        <v>6</v>
      </c>
      <c r="D503" t="s">
        <v>1</v>
      </c>
      <c r="E503" t="s">
        <v>82</v>
      </c>
      <c r="F503" t="s">
        <v>534</v>
      </c>
      <c r="G503" s="2">
        <v>10</v>
      </c>
      <c r="H503" t="s">
        <v>461</v>
      </c>
      <c r="I503" t="s">
        <v>3</v>
      </c>
      <c r="J503" t="s">
        <v>53</v>
      </c>
      <c r="K503" t="s">
        <v>602</v>
      </c>
      <c r="L503" t="s">
        <v>603</v>
      </c>
      <c r="M503" t="s">
        <v>602</v>
      </c>
      <c r="N503" t="s">
        <v>602</v>
      </c>
      <c r="O503" t="s">
        <v>603</v>
      </c>
      <c r="P503" t="s">
        <v>602</v>
      </c>
      <c r="Q503" s="17">
        <f>IFERROR(VLOOKUP(A503,已除帳印單!B:C,1,0),0)*1</f>
        <v>0</v>
      </c>
      <c r="R503" s="67" t="str">
        <f>IFERROR(VLOOKUP(J503,線別!A:B,2,1),"")</f>
        <v>裝二線</v>
      </c>
      <c r="S503" s="17" t="str">
        <f>IFERROR(VLOOKUP(A503,已除帳印單!B:C,2,0),"")</f>
        <v/>
      </c>
      <c r="T503" s="68">
        <f t="shared" si="48"/>
        <v>43893</v>
      </c>
      <c r="U503" s="69">
        <f t="shared" si="49"/>
        <v>84.168784722222213</v>
      </c>
      <c r="V503" s="68" t="str">
        <f>IFERROR(VLOOKUP(A503,已除帳印單!B:D,3,0),"")</f>
        <v/>
      </c>
      <c r="W503" s="69" t="str">
        <f>IFERROR(VLOOKUP(A503,已除帳印單!B:E,4,0),"")</f>
        <v/>
      </c>
      <c r="X503" s="68" t="str">
        <f>IFERROR(INDEX(刷條碼區!A:C,MATCH(點上線資訊!S503,刷條碼區!C:C,0),1),"")</f>
        <v/>
      </c>
      <c r="Y503" s="69" t="str">
        <f>IFERROR(INDEX(刷條碼區!A:C,MATCH(點上線資訊!S503,刷條碼區!C:C,0),2),"")</f>
        <v/>
      </c>
      <c r="Z503" s="70" t="str">
        <f>IFERROR(INDEX(刷條碼區!D:G,MATCH(點上線資訊!S503,刷條碼區!F:F,0),1),"")</f>
        <v/>
      </c>
      <c r="AA503" s="71" t="str">
        <f>IFERROR(INDEX(刷條碼區!D:G,MATCH(點上線資訊!S503,刷條碼區!F:F,0),2),"")</f>
        <v/>
      </c>
      <c r="AB503" s="20">
        <f t="shared" si="44"/>
        <v>10</v>
      </c>
      <c r="AC503" s="20" t="b">
        <f t="shared" si="45"/>
        <v>0</v>
      </c>
      <c r="AD503" s="17" t="b">
        <f t="shared" si="46"/>
        <v>0</v>
      </c>
      <c r="AE503" s="17" t="b">
        <f t="shared" si="47"/>
        <v>0</v>
      </c>
    </row>
    <row r="504" spans="1:31" x14ac:dyDescent="0.2">
      <c r="A504" s="16">
        <v>5000499336</v>
      </c>
      <c r="B504" t="s">
        <v>6</v>
      </c>
      <c r="C504" t="s">
        <v>6</v>
      </c>
      <c r="D504" t="s">
        <v>1</v>
      </c>
      <c r="E504" t="s">
        <v>81</v>
      </c>
      <c r="F504" t="s">
        <v>535</v>
      </c>
      <c r="G504" s="2">
        <v>10</v>
      </c>
      <c r="H504" t="s">
        <v>461</v>
      </c>
      <c r="I504" t="s">
        <v>3</v>
      </c>
      <c r="J504" t="s">
        <v>53</v>
      </c>
      <c r="K504" t="s">
        <v>602</v>
      </c>
      <c r="L504" t="s">
        <v>603</v>
      </c>
      <c r="M504" t="s">
        <v>602</v>
      </c>
      <c r="N504" t="s">
        <v>602</v>
      </c>
      <c r="O504" t="s">
        <v>603</v>
      </c>
      <c r="P504" t="s">
        <v>602</v>
      </c>
      <c r="Q504" s="17">
        <f>IFERROR(VLOOKUP(A504,已除帳印單!B:C,1,0),0)*1</f>
        <v>0</v>
      </c>
      <c r="R504" s="67" t="str">
        <f>IFERROR(VLOOKUP(J504,線別!A:B,2,1),"")</f>
        <v>裝二線</v>
      </c>
      <c r="S504" s="17" t="str">
        <f>IFERROR(VLOOKUP(A504,已除帳印單!B:C,2,0),"")</f>
        <v/>
      </c>
      <c r="T504" s="68">
        <f t="shared" si="48"/>
        <v>43893</v>
      </c>
      <c r="U504" s="69">
        <f t="shared" si="49"/>
        <v>84.168784722222213</v>
      </c>
      <c r="V504" s="68" t="str">
        <f>IFERROR(VLOOKUP(A504,已除帳印單!B:D,3,0),"")</f>
        <v/>
      </c>
      <c r="W504" s="69" t="str">
        <f>IFERROR(VLOOKUP(A504,已除帳印單!B:E,4,0),"")</f>
        <v/>
      </c>
      <c r="X504" s="68" t="str">
        <f>IFERROR(INDEX(刷條碼區!A:C,MATCH(點上線資訊!S504,刷條碼區!C:C,0),1),"")</f>
        <v/>
      </c>
      <c r="Y504" s="69" t="str">
        <f>IFERROR(INDEX(刷條碼區!A:C,MATCH(點上線資訊!S504,刷條碼區!C:C,0),2),"")</f>
        <v/>
      </c>
      <c r="Z504" s="70" t="str">
        <f>IFERROR(INDEX(刷條碼區!D:G,MATCH(點上線資訊!S504,刷條碼區!F:F,0),1),"")</f>
        <v/>
      </c>
      <c r="AA504" s="71" t="str">
        <f>IFERROR(INDEX(刷條碼區!D:G,MATCH(點上線資訊!S504,刷條碼區!F:F,0),2),"")</f>
        <v/>
      </c>
      <c r="AB504" s="20">
        <f t="shared" si="44"/>
        <v>10</v>
      </c>
      <c r="AC504" s="20" t="b">
        <f t="shared" si="45"/>
        <v>0</v>
      </c>
      <c r="AD504" s="17" t="b">
        <f t="shared" si="46"/>
        <v>0</v>
      </c>
      <c r="AE504" s="17" t="b">
        <f t="shared" si="47"/>
        <v>0</v>
      </c>
    </row>
    <row r="505" spans="1:31" x14ac:dyDescent="0.2">
      <c r="A505" s="16">
        <v>5000499337</v>
      </c>
      <c r="B505" t="s">
        <v>6</v>
      </c>
      <c r="C505" t="s">
        <v>6</v>
      </c>
      <c r="D505" t="s">
        <v>1</v>
      </c>
      <c r="E505" t="s">
        <v>81</v>
      </c>
      <c r="F505" t="s">
        <v>535</v>
      </c>
      <c r="G505" s="2">
        <v>10</v>
      </c>
      <c r="H505" t="s">
        <v>461</v>
      </c>
      <c r="I505" t="s">
        <v>3</v>
      </c>
      <c r="J505" t="s">
        <v>53</v>
      </c>
      <c r="K505" t="s">
        <v>602</v>
      </c>
      <c r="L505" t="s">
        <v>603</v>
      </c>
      <c r="M505" t="s">
        <v>602</v>
      </c>
      <c r="N505" t="s">
        <v>602</v>
      </c>
      <c r="O505" t="s">
        <v>603</v>
      </c>
      <c r="P505" t="s">
        <v>602</v>
      </c>
      <c r="Q505" s="17">
        <f>IFERROR(VLOOKUP(A505,已除帳印單!B:C,1,0),0)*1</f>
        <v>0</v>
      </c>
      <c r="R505" s="67" t="str">
        <f>IFERROR(VLOOKUP(J505,線別!A:B,2,1),"")</f>
        <v>裝二線</v>
      </c>
      <c r="S505" s="17" t="str">
        <f>IFERROR(VLOOKUP(A505,已除帳印單!B:C,2,0),"")</f>
        <v/>
      </c>
      <c r="T505" s="68">
        <f t="shared" si="48"/>
        <v>43893</v>
      </c>
      <c r="U505" s="69">
        <f t="shared" si="49"/>
        <v>84.168784722222213</v>
      </c>
      <c r="V505" s="68" t="str">
        <f>IFERROR(VLOOKUP(A505,已除帳印單!B:D,3,0),"")</f>
        <v/>
      </c>
      <c r="W505" s="69" t="str">
        <f>IFERROR(VLOOKUP(A505,已除帳印單!B:E,4,0),"")</f>
        <v/>
      </c>
      <c r="X505" s="68" t="str">
        <f>IFERROR(INDEX(刷條碼區!A:C,MATCH(點上線資訊!S505,刷條碼區!C:C,0),1),"")</f>
        <v/>
      </c>
      <c r="Y505" s="69" t="str">
        <f>IFERROR(INDEX(刷條碼區!A:C,MATCH(點上線資訊!S505,刷條碼區!C:C,0),2),"")</f>
        <v/>
      </c>
      <c r="Z505" s="70" t="str">
        <f>IFERROR(INDEX(刷條碼區!D:G,MATCH(點上線資訊!S505,刷條碼區!F:F,0),1),"")</f>
        <v/>
      </c>
      <c r="AA505" s="71" t="str">
        <f>IFERROR(INDEX(刷條碼區!D:G,MATCH(點上線資訊!S505,刷條碼區!F:F,0),2),"")</f>
        <v/>
      </c>
      <c r="AB505" s="20">
        <f t="shared" si="44"/>
        <v>10</v>
      </c>
      <c r="AC505" s="20" t="b">
        <f t="shared" si="45"/>
        <v>0</v>
      </c>
      <c r="AD505" s="17" t="b">
        <f t="shared" si="46"/>
        <v>0</v>
      </c>
      <c r="AE505" s="17" t="b">
        <f t="shared" si="47"/>
        <v>0</v>
      </c>
    </row>
    <row r="506" spans="1:31" x14ac:dyDescent="0.2">
      <c r="A506" s="16">
        <v>5000499338</v>
      </c>
      <c r="B506" t="s">
        <v>6</v>
      </c>
      <c r="C506" t="s">
        <v>6</v>
      </c>
      <c r="D506" t="s">
        <v>1</v>
      </c>
      <c r="E506" t="s">
        <v>81</v>
      </c>
      <c r="F506" t="s">
        <v>535</v>
      </c>
      <c r="G506" s="2">
        <v>10</v>
      </c>
      <c r="H506" t="s">
        <v>461</v>
      </c>
      <c r="I506" t="s">
        <v>3</v>
      </c>
      <c r="J506" t="s">
        <v>53</v>
      </c>
      <c r="K506" t="s">
        <v>602</v>
      </c>
      <c r="L506" t="s">
        <v>603</v>
      </c>
      <c r="M506" t="s">
        <v>602</v>
      </c>
      <c r="N506" t="s">
        <v>602</v>
      </c>
      <c r="O506" t="s">
        <v>603</v>
      </c>
      <c r="P506" t="s">
        <v>602</v>
      </c>
      <c r="Q506" s="17">
        <f>IFERROR(VLOOKUP(A506,已除帳印單!B:C,1,0),0)*1</f>
        <v>0</v>
      </c>
      <c r="R506" s="67" t="str">
        <f>IFERROR(VLOOKUP(J506,線別!A:B,2,1),"")</f>
        <v>裝二線</v>
      </c>
      <c r="S506" s="17" t="str">
        <f>IFERROR(VLOOKUP(A506,已除帳印單!B:C,2,0),"")</f>
        <v/>
      </c>
      <c r="T506" s="68">
        <f t="shared" si="48"/>
        <v>43893</v>
      </c>
      <c r="U506" s="69">
        <f t="shared" si="49"/>
        <v>84.168784722222213</v>
      </c>
      <c r="V506" s="68" t="str">
        <f>IFERROR(VLOOKUP(A506,已除帳印單!B:D,3,0),"")</f>
        <v/>
      </c>
      <c r="W506" s="69" t="str">
        <f>IFERROR(VLOOKUP(A506,已除帳印單!B:E,4,0),"")</f>
        <v/>
      </c>
      <c r="X506" s="68" t="str">
        <f>IFERROR(INDEX(刷條碼區!A:C,MATCH(點上線資訊!S506,刷條碼區!C:C,0),1),"")</f>
        <v/>
      </c>
      <c r="Y506" s="69" t="str">
        <f>IFERROR(INDEX(刷條碼區!A:C,MATCH(點上線資訊!S506,刷條碼區!C:C,0),2),"")</f>
        <v/>
      </c>
      <c r="Z506" s="70" t="str">
        <f>IFERROR(INDEX(刷條碼區!D:G,MATCH(點上線資訊!S506,刷條碼區!F:F,0),1),"")</f>
        <v/>
      </c>
      <c r="AA506" s="71" t="str">
        <f>IFERROR(INDEX(刷條碼區!D:G,MATCH(點上線資訊!S506,刷條碼區!F:F,0),2),"")</f>
        <v/>
      </c>
      <c r="AB506" s="20">
        <f t="shared" si="44"/>
        <v>10</v>
      </c>
      <c r="AC506" s="20" t="b">
        <f t="shared" si="45"/>
        <v>0</v>
      </c>
      <c r="AD506" s="17" t="b">
        <f t="shared" si="46"/>
        <v>0</v>
      </c>
      <c r="AE506" s="17" t="b">
        <f t="shared" si="47"/>
        <v>0</v>
      </c>
    </row>
    <row r="507" spans="1:31" x14ac:dyDescent="0.2">
      <c r="A507" s="16">
        <v>5000499339</v>
      </c>
      <c r="B507" t="s">
        <v>0</v>
      </c>
      <c r="C507" t="s">
        <v>0</v>
      </c>
      <c r="D507" t="s">
        <v>1</v>
      </c>
      <c r="E507" t="s">
        <v>81</v>
      </c>
      <c r="F507" t="s">
        <v>535</v>
      </c>
      <c r="G507" s="2">
        <v>10</v>
      </c>
      <c r="H507" t="s">
        <v>461</v>
      </c>
      <c r="I507" t="s">
        <v>3</v>
      </c>
      <c r="J507" t="s">
        <v>53</v>
      </c>
      <c r="K507" t="s">
        <v>605</v>
      </c>
      <c r="L507" t="s">
        <v>608</v>
      </c>
      <c r="M507" t="s">
        <v>421</v>
      </c>
      <c r="N507" t="s">
        <v>602</v>
      </c>
      <c r="O507" t="s">
        <v>603</v>
      </c>
      <c r="P507" t="s">
        <v>602</v>
      </c>
      <c r="Q507" s="17">
        <f>IFERROR(VLOOKUP(A507,已除帳印單!B:C,1,0),0)*1</f>
        <v>0</v>
      </c>
      <c r="R507" s="67" t="str">
        <f>IFERROR(VLOOKUP(J507,線別!A:B,2,1),"")</f>
        <v>裝二線</v>
      </c>
      <c r="S507" s="17" t="str">
        <f>IFERROR(VLOOKUP(A507,已除帳印單!B:C,2,0),"")</f>
        <v/>
      </c>
      <c r="T507" s="68">
        <f t="shared" si="48"/>
        <v>43892</v>
      </c>
      <c r="U507" s="69">
        <f t="shared" si="49"/>
        <v>84.168773148148148</v>
      </c>
      <c r="V507" s="68" t="str">
        <f>IFERROR(VLOOKUP(A507,已除帳印單!B:D,3,0),"")</f>
        <v/>
      </c>
      <c r="W507" s="69" t="str">
        <f>IFERROR(VLOOKUP(A507,已除帳印單!B:E,4,0),"")</f>
        <v/>
      </c>
      <c r="X507" s="68" t="str">
        <f>IFERROR(INDEX(刷條碼區!A:C,MATCH(點上線資訊!S507,刷條碼區!C:C,0),1),"")</f>
        <v/>
      </c>
      <c r="Y507" s="69" t="str">
        <f>IFERROR(INDEX(刷條碼區!A:C,MATCH(點上線資訊!S507,刷條碼區!C:C,0),2),"")</f>
        <v/>
      </c>
      <c r="Z507" s="70" t="str">
        <f>IFERROR(INDEX(刷條碼區!D:G,MATCH(點上線資訊!S507,刷條碼區!F:F,0),1),"")</f>
        <v/>
      </c>
      <c r="AA507" s="71" t="str">
        <f>IFERROR(INDEX(刷條碼區!D:G,MATCH(點上線資訊!S507,刷條碼區!F:F,0),2),"")</f>
        <v/>
      </c>
      <c r="AB507" s="20" t="b">
        <f t="shared" si="44"/>
        <v>0</v>
      </c>
      <c r="AC507" s="20" t="b">
        <f t="shared" si="45"/>
        <v>0</v>
      </c>
      <c r="AD507" s="17" t="b">
        <f t="shared" si="46"/>
        <v>0</v>
      </c>
      <c r="AE507" s="17" t="b">
        <f t="shared" si="47"/>
        <v>0</v>
      </c>
    </row>
    <row r="508" spans="1:31" x14ac:dyDescent="0.2">
      <c r="A508" s="16">
        <v>5000499343</v>
      </c>
      <c r="B508" t="s">
        <v>0</v>
      </c>
      <c r="C508" t="s">
        <v>0</v>
      </c>
      <c r="D508" t="s">
        <v>1</v>
      </c>
      <c r="E508" t="s">
        <v>1011</v>
      </c>
      <c r="F508" t="s">
        <v>1012</v>
      </c>
      <c r="G508" s="2">
        <v>1</v>
      </c>
      <c r="H508" t="s">
        <v>461</v>
      </c>
      <c r="I508" t="s">
        <v>3</v>
      </c>
      <c r="J508" t="s">
        <v>4</v>
      </c>
      <c r="K508" t="s">
        <v>605</v>
      </c>
      <c r="L508" t="s">
        <v>608</v>
      </c>
      <c r="M508" t="s">
        <v>1013</v>
      </c>
      <c r="N508" t="s">
        <v>602</v>
      </c>
      <c r="O508" t="s">
        <v>603</v>
      </c>
      <c r="P508" t="s">
        <v>602</v>
      </c>
      <c r="Q508" s="17">
        <f>IFERROR(VLOOKUP(A508,已除帳印單!B:C,1,0),0)*1</f>
        <v>0</v>
      </c>
      <c r="R508" s="67" t="str">
        <f>IFERROR(VLOOKUP(J508,線別!A:B,2,1),"")</f>
        <v>IA線</v>
      </c>
      <c r="S508" s="17" t="str">
        <f>IFERROR(VLOOKUP(A508,已除帳印單!B:C,2,0),"")</f>
        <v/>
      </c>
      <c r="T508" s="68">
        <f t="shared" si="48"/>
        <v>43892</v>
      </c>
      <c r="U508" s="69">
        <f t="shared" si="49"/>
        <v>84.168773148148148</v>
      </c>
      <c r="V508" s="68" t="str">
        <f>IFERROR(VLOOKUP(A508,已除帳印單!B:D,3,0),"")</f>
        <v/>
      </c>
      <c r="W508" s="69" t="str">
        <f>IFERROR(VLOOKUP(A508,已除帳印單!B:E,4,0),"")</f>
        <v/>
      </c>
      <c r="X508" s="68" t="str">
        <f>IFERROR(INDEX(刷條碼區!A:C,MATCH(點上線資訊!S508,刷條碼區!C:C,0),1),"")</f>
        <v/>
      </c>
      <c r="Y508" s="69" t="str">
        <f>IFERROR(INDEX(刷條碼區!A:C,MATCH(點上線資訊!S508,刷條碼區!C:C,0),2),"")</f>
        <v/>
      </c>
      <c r="Z508" s="70" t="str">
        <f>IFERROR(INDEX(刷條碼區!D:G,MATCH(點上線資訊!S508,刷條碼區!F:F,0),1),"")</f>
        <v/>
      </c>
      <c r="AA508" s="71" t="str">
        <f>IFERROR(INDEX(刷條碼區!D:G,MATCH(點上線資訊!S508,刷條碼區!F:F,0),2),"")</f>
        <v/>
      </c>
      <c r="AB508" s="20" t="b">
        <f t="shared" si="44"/>
        <v>0</v>
      </c>
      <c r="AC508" s="20" t="b">
        <f t="shared" si="45"/>
        <v>0</v>
      </c>
      <c r="AD508" s="17" t="b">
        <f t="shared" si="46"/>
        <v>0</v>
      </c>
      <c r="AE508" s="17" t="b">
        <f t="shared" si="47"/>
        <v>0</v>
      </c>
    </row>
    <row r="509" spans="1:31" x14ac:dyDescent="0.2">
      <c r="A509" s="16">
        <v>5000499344</v>
      </c>
      <c r="B509" t="s">
        <v>0</v>
      </c>
      <c r="C509" t="s">
        <v>0</v>
      </c>
      <c r="D509" t="s">
        <v>1</v>
      </c>
      <c r="E509" t="s">
        <v>1014</v>
      </c>
      <c r="F509" t="s">
        <v>1015</v>
      </c>
      <c r="G509" s="2">
        <v>1</v>
      </c>
      <c r="H509" t="s">
        <v>461</v>
      </c>
      <c r="I509" t="s">
        <v>3</v>
      </c>
      <c r="J509" t="s">
        <v>4</v>
      </c>
      <c r="K509" t="s">
        <v>605</v>
      </c>
      <c r="L509" t="s">
        <v>608</v>
      </c>
      <c r="M509" t="s">
        <v>1013</v>
      </c>
      <c r="N509" t="s">
        <v>602</v>
      </c>
      <c r="O509" t="s">
        <v>603</v>
      </c>
      <c r="P509" t="s">
        <v>602</v>
      </c>
      <c r="Q509" s="17">
        <f>IFERROR(VLOOKUP(A509,已除帳印單!B:C,1,0),0)*1</f>
        <v>0</v>
      </c>
      <c r="R509" s="67" t="str">
        <f>IFERROR(VLOOKUP(J509,線別!A:B,2,1),"")</f>
        <v>IA線</v>
      </c>
      <c r="S509" s="17" t="str">
        <f>IFERROR(VLOOKUP(A509,已除帳印單!B:C,2,0),"")</f>
        <v/>
      </c>
      <c r="T509" s="68">
        <f t="shared" si="48"/>
        <v>43892</v>
      </c>
      <c r="U509" s="69">
        <f t="shared" si="49"/>
        <v>84.168773148148148</v>
      </c>
      <c r="V509" s="68" t="str">
        <f>IFERROR(VLOOKUP(A509,已除帳印單!B:D,3,0),"")</f>
        <v/>
      </c>
      <c r="W509" s="69" t="str">
        <f>IFERROR(VLOOKUP(A509,已除帳印單!B:E,4,0),"")</f>
        <v/>
      </c>
      <c r="X509" s="68" t="str">
        <f>IFERROR(INDEX(刷條碼區!A:C,MATCH(點上線資訊!S509,刷條碼區!C:C,0),1),"")</f>
        <v/>
      </c>
      <c r="Y509" s="69" t="str">
        <f>IFERROR(INDEX(刷條碼區!A:C,MATCH(點上線資訊!S509,刷條碼區!C:C,0),2),"")</f>
        <v/>
      </c>
      <c r="Z509" s="70" t="str">
        <f>IFERROR(INDEX(刷條碼區!D:G,MATCH(點上線資訊!S509,刷條碼區!F:F,0),1),"")</f>
        <v/>
      </c>
      <c r="AA509" s="71" t="str">
        <f>IFERROR(INDEX(刷條碼區!D:G,MATCH(點上線資訊!S509,刷條碼區!F:F,0),2),"")</f>
        <v/>
      </c>
      <c r="AB509" s="20" t="b">
        <f t="shared" si="44"/>
        <v>0</v>
      </c>
      <c r="AC509" s="20" t="b">
        <f t="shared" si="45"/>
        <v>0</v>
      </c>
      <c r="AD509" s="17" t="b">
        <f t="shared" si="46"/>
        <v>0</v>
      </c>
      <c r="AE509" s="17" t="b">
        <f t="shared" si="47"/>
        <v>0</v>
      </c>
    </row>
    <row r="510" spans="1:31" x14ac:dyDescent="0.2">
      <c r="A510" s="16">
        <v>5000499345</v>
      </c>
      <c r="B510" t="s">
        <v>0</v>
      </c>
      <c r="C510" t="s">
        <v>0</v>
      </c>
      <c r="D510" t="s">
        <v>1</v>
      </c>
      <c r="E510" t="s">
        <v>1016</v>
      </c>
      <c r="F510" t="s">
        <v>742</v>
      </c>
      <c r="G510" s="2">
        <v>2</v>
      </c>
      <c r="H510" t="s">
        <v>461</v>
      </c>
      <c r="I510" t="s">
        <v>3</v>
      </c>
      <c r="J510" t="s">
        <v>4</v>
      </c>
      <c r="K510" t="s">
        <v>605</v>
      </c>
      <c r="L510" t="s">
        <v>608</v>
      </c>
      <c r="M510" t="s">
        <v>743</v>
      </c>
      <c r="N510" t="s">
        <v>602</v>
      </c>
      <c r="O510" t="s">
        <v>603</v>
      </c>
      <c r="P510" t="s">
        <v>602</v>
      </c>
      <c r="Q510" s="17">
        <f>IFERROR(VLOOKUP(A510,已除帳印單!B:C,1,0),0)*1</f>
        <v>0</v>
      </c>
      <c r="R510" s="67" t="str">
        <f>IFERROR(VLOOKUP(J510,線別!A:B,2,1),"")</f>
        <v>IA線</v>
      </c>
      <c r="S510" s="17" t="str">
        <f>IFERROR(VLOOKUP(A510,已除帳印單!B:C,2,0),"")</f>
        <v/>
      </c>
      <c r="T510" s="68">
        <f t="shared" si="48"/>
        <v>43892</v>
      </c>
      <c r="U510" s="69">
        <f t="shared" si="49"/>
        <v>84.168773148148148</v>
      </c>
      <c r="V510" s="68" t="str">
        <f>IFERROR(VLOOKUP(A510,已除帳印單!B:D,3,0),"")</f>
        <v/>
      </c>
      <c r="W510" s="69" t="str">
        <f>IFERROR(VLOOKUP(A510,已除帳印單!B:E,4,0),"")</f>
        <v/>
      </c>
      <c r="X510" s="68" t="str">
        <f>IFERROR(INDEX(刷條碼區!A:C,MATCH(點上線資訊!S510,刷條碼區!C:C,0),1),"")</f>
        <v/>
      </c>
      <c r="Y510" s="69" t="str">
        <f>IFERROR(INDEX(刷條碼區!A:C,MATCH(點上線資訊!S510,刷條碼區!C:C,0),2),"")</f>
        <v/>
      </c>
      <c r="Z510" s="70" t="str">
        <f>IFERROR(INDEX(刷條碼區!D:G,MATCH(點上線資訊!S510,刷條碼區!F:F,0),1),"")</f>
        <v/>
      </c>
      <c r="AA510" s="71" t="str">
        <f>IFERROR(INDEX(刷條碼區!D:G,MATCH(點上線資訊!S510,刷條碼區!F:F,0),2),"")</f>
        <v/>
      </c>
      <c r="AB510" s="20" t="b">
        <f t="shared" si="44"/>
        <v>0</v>
      </c>
      <c r="AC510" s="20" t="b">
        <f t="shared" si="45"/>
        <v>0</v>
      </c>
      <c r="AD510" s="17" t="b">
        <f t="shared" si="46"/>
        <v>0</v>
      </c>
      <c r="AE510" s="17" t="b">
        <f t="shared" si="47"/>
        <v>0</v>
      </c>
    </row>
    <row r="511" spans="1:31" x14ac:dyDescent="0.2">
      <c r="A511" s="16">
        <v>5000499356</v>
      </c>
      <c r="B511" t="s">
        <v>0</v>
      </c>
      <c r="C511" t="s">
        <v>0</v>
      </c>
      <c r="D511" t="s">
        <v>1</v>
      </c>
      <c r="E511" t="s">
        <v>87</v>
      </c>
      <c r="F511" t="s">
        <v>536</v>
      </c>
      <c r="G511" s="2">
        <v>2</v>
      </c>
      <c r="H511" t="s">
        <v>461</v>
      </c>
      <c r="I511" t="s">
        <v>3</v>
      </c>
      <c r="J511" t="s">
        <v>4</v>
      </c>
      <c r="K511" t="s">
        <v>602</v>
      </c>
      <c r="L511" t="s">
        <v>603</v>
      </c>
      <c r="M511" t="s">
        <v>602</v>
      </c>
      <c r="N511" t="s">
        <v>602</v>
      </c>
      <c r="O511" t="s">
        <v>603</v>
      </c>
      <c r="P511" t="s">
        <v>602</v>
      </c>
      <c r="Q511" s="17">
        <f>IFERROR(VLOOKUP(A511,已除帳印單!B:C,1,0),0)*1</f>
        <v>0</v>
      </c>
      <c r="R511" s="67" t="str">
        <f>IFERROR(VLOOKUP(J511,線別!A:B,2,1),"")</f>
        <v>IA線</v>
      </c>
      <c r="S511" s="17" t="str">
        <f>IFERROR(VLOOKUP(A511,已除帳印單!B:C,2,0),"")</f>
        <v/>
      </c>
      <c r="T511" s="68">
        <f t="shared" si="48"/>
        <v>43892</v>
      </c>
      <c r="U511" s="69">
        <f t="shared" si="49"/>
        <v>84.168773148148148</v>
      </c>
      <c r="V511" s="68" t="str">
        <f>IFERROR(VLOOKUP(A511,已除帳印單!B:D,3,0),"")</f>
        <v/>
      </c>
      <c r="W511" s="69" t="str">
        <f>IFERROR(VLOOKUP(A511,已除帳印單!B:E,4,0),"")</f>
        <v/>
      </c>
      <c r="X511" s="68" t="str">
        <f>IFERROR(INDEX(刷條碼區!A:C,MATCH(點上線資訊!S511,刷條碼區!C:C,0),1),"")</f>
        <v/>
      </c>
      <c r="Y511" s="69" t="str">
        <f>IFERROR(INDEX(刷條碼區!A:C,MATCH(點上線資訊!S511,刷條碼區!C:C,0),2),"")</f>
        <v/>
      </c>
      <c r="Z511" s="70" t="str">
        <f>IFERROR(INDEX(刷條碼區!D:G,MATCH(點上線資訊!S511,刷條碼區!F:F,0),1),"")</f>
        <v/>
      </c>
      <c r="AA511" s="71" t="str">
        <f>IFERROR(INDEX(刷條碼區!D:G,MATCH(點上線資訊!S511,刷條碼區!F:F,0),2),"")</f>
        <v/>
      </c>
      <c r="AB511" s="20">
        <f t="shared" si="44"/>
        <v>2</v>
      </c>
      <c r="AC511" s="20" t="b">
        <f t="shared" si="45"/>
        <v>0</v>
      </c>
      <c r="AD511" s="17" t="b">
        <f t="shared" si="46"/>
        <v>0</v>
      </c>
      <c r="AE511" s="17" t="b">
        <f t="shared" si="47"/>
        <v>0</v>
      </c>
    </row>
    <row r="512" spans="1:31" x14ac:dyDescent="0.2">
      <c r="A512" s="16">
        <v>5000499360</v>
      </c>
      <c r="B512" t="s">
        <v>6</v>
      </c>
      <c r="C512" t="s">
        <v>6</v>
      </c>
      <c r="D512" t="s">
        <v>1</v>
      </c>
      <c r="E512" t="s">
        <v>81</v>
      </c>
      <c r="F512" t="s">
        <v>535</v>
      </c>
      <c r="G512" s="2">
        <v>10</v>
      </c>
      <c r="H512" t="s">
        <v>461</v>
      </c>
      <c r="I512" t="s">
        <v>3</v>
      </c>
      <c r="J512" t="s">
        <v>53</v>
      </c>
      <c r="K512" t="s">
        <v>602</v>
      </c>
      <c r="L512" t="s">
        <v>603</v>
      </c>
      <c r="M512" t="s">
        <v>602</v>
      </c>
      <c r="N512" t="s">
        <v>602</v>
      </c>
      <c r="O512" t="s">
        <v>603</v>
      </c>
      <c r="P512" t="s">
        <v>602</v>
      </c>
      <c r="Q512" s="17">
        <f>IFERROR(VLOOKUP(A512,已除帳印單!B:C,1,0),0)*1</f>
        <v>0</v>
      </c>
      <c r="R512" s="67" t="str">
        <f>IFERROR(VLOOKUP(J512,線別!A:B,2,1),"")</f>
        <v>裝二線</v>
      </c>
      <c r="S512" s="17" t="str">
        <f>IFERROR(VLOOKUP(A512,已除帳印單!B:C,2,0),"")</f>
        <v/>
      </c>
      <c r="T512" s="68">
        <f t="shared" si="48"/>
        <v>43893</v>
      </c>
      <c r="U512" s="69">
        <f t="shared" si="49"/>
        <v>84.168784722222213</v>
      </c>
      <c r="V512" s="68" t="str">
        <f>IFERROR(VLOOKUP(A512,已除帳印單!B:D,3,0),"")</f>
        <v/>
      </c>
      <c r="W512" s="69" t="str">
        <f>IFERROR(VLOOKUP(A512,已除帳印單!B:E,4,0),"")</f>
        <v/>
      </c>
      <c r="X512" s="68" t="str">
        <f>IFERROR(INDEX(刷條碼區!A:C,MATCH(點上線資訊!S512,刷條碼區!C:C,0),1),"")</f>
        <v/>
      </c>
      <c r="Y512" s="69" t="str">
        <f>IFERROR(INDEX(刷條碼區!A:C,MATCH(點上線資訊!S512,刷條碼區!C:C,0),2),"")</f>
        <v/>
      </c>
      <c r="Z512" s="70" t="str">
        <f>IFERROR(INDEX(刷條碼區!D:G,MATCH(點上線資訊!S512,刷條碼區!F:F,0),1),"")</f>
        <v/>
      </c>
      <c r="AA512" s="71" t="str">
        <f>IFERROR(INDEX(刷條碼區!D:G,MATCH(點上線資訊!S512,刷條碼區!F:F,0),2),"")</f>
        <v/>
      </c>
      <c r="AB512" s="20">
        <f t="shared" si="44"/>
        <v>10</v>
      </c>
      <c r="AC512" s="20" t="b">
        <f t="shared" si="45"/>
        <v>0</v>
      </c>
      <c r="AD512" s="17" t="b">
        <f t="shared" si="46"/>
        <v>0</v>
      </c>
      <c r="AE512" s="17" t="b">
        <f t="shared" si="47"/>
        <v>0</v>
      </c>
    </row>
    <row r="513" spans="1:31" x14ac:dyDescent="0.2">
      <c r="A513" s="16">
        <v>5000499361</v>
      </c>
      <c r="B513" t="s">
        <v>301</v>
      </c>
      <c r="C513" t="s">
        <v>301</v>
      </c>
      <c r="D513" t="s">
        <v>1</v>
      </c>
      <c r="E513" t="s">
        <v>331</v>
      </c>
      <c r="F513" t="s">
        <v>537</v>
      </c>
      <c r="G513" s="2">
        <v>10</v>
      </c>
      <c r="H513" t="s">
        <v>461</v>
      </c>
      <c r="I513" t="s">
        <v>3</v>
      </c>
      <c r="J513" t="s">
        <v>53</v>
      </c>
      <c r="K513" t="s">
        <v>602</v>
      </c>
      <c r="L513" t="s">
        <v>603</v>
      </c>
      <c r="M513" t="s">
        <v>602</v>
      </c>
      <c r="N513" t="s">
        <v>602</v>
      </c>
      <c r="O513" t="s">
        <v>603</v>
      </c>
      <c r="P513" t="s">
        <v>602</v>
      </c>
      <c r="Q513" s="17">
        <f>IFERROR(VLOOKUP(A513,已除帳印單!B:C,1,0),0)*1</f>
        <v>0</v>
      </c>
      <c r="R513" s="67" t="str">
        <f>IFERROR(VLOOKUP(J513,線別!A:B,2,1),"")</f>
        <v>裝二線</v>
      </c>
      <c r="S513" s="17" t="str">
        <f>IFERROR(VLOOKUP(A513,已除帳印單!B:C,2,0),"")</f>
        <v/>
      </c>
      <c r="T513" s="68">
        <f t="shared" si="48"/>
        <v>43894</v>
      </c>
      <c r="U513" s="69">
        <f t="shared" si="49"/>
        <v>84.168796296296293</v>
      </c>
      <c r="V513" s="68" t="str">
        <f>IFERROR(VLOOKUP(A513,已除帳印單!B:D,3,0),"")</f>
        <v/>
      </c>
      <c r="W513" s="69" t="str">
        <f>IFERROR(VLOOKUP(A513,已除帳印單!B:E,4,0),"")</f>
        <v/>
      </c>
      <c r="X513" s="68" t="str">
        <f>IFERROR(INDEX(刷條碼區!A:C,MATCH(點上線資訊!S513,刷條碼區!C:C,0),1),"")</f>
        <v/>
      </c>
      <c r="Y513" s="69" t="str">
        <f>IFERROR(INDEX(刷條碼區!A:C,MATCH(點上線資訊!S513,刷條碼區!C:C,0),2),"")</f>
        <v/>
      </c>
      <c r="Z513" s="70" t="str">
        <f>IFERROR(INDEX(刷條碼區!D:G,MATCH(點上線資訊!S513,刷條碼區!F:F,0),1),"")</f>
        <v/>
      </c>
      <c r="AA513" s="71" t="str">
        <f>IFERROR(INDEX(刷條碼區!D:G,MATCH(點上線資訊!S513,刷條碼區!F:F,0),2),"")</f>
        <v/>
      </c>
      <c r="AB513" s="20">
        <f t="shared" si="44"/>
        <v>10</v>
      </c>
      <c r="AC513" s="20" t="b">
        <f t="shared" si="45"/>
        <v>0</v>
      </c>
      <c r="AD513" s="17" t="b">
        <f t="shared" si="46"/>
        <v>0</v>
      </c>
      <c r="AE513" s="17" t="b">
        <f t="shared" si="47"/>
        <v>0</v>
      </c>
    </row>
    <row r="514" spans="1:31" x14ac:dyDescent="0.2">
      <c r="A514" s="16">
        <v>5000499362</v>
      </c>
      <c r="B514" t="s">
        <v>301</v>
      </c>
      <c r="C514" t="s">
        <v>301</v>
      </c>
      <c r="D514" t="s">
        <v>1</v>
      </c>
      <c r="E514" t="s">
        <v>331</v>
      </c>
      <c r="F514" t="s">
        <v>537</v>
      </c>
      <c r="G514" s="2">
        <v>10</v>
      </c>
      <c r="H514" t="s">
        <v>461</v>
      </c>
      <c r="I514" t="s">
        <v>3</v>
      </c>
      <c r="J514" t="s">
        <v>53</v>
      </c>
      <c r="K514" t="s">
        <v>602</v>
      </c>
      <c r="L514" t="s">
        <v>603</v>
      </c>
      <c r="M514" t="s">
        <v>602</v>
      </c>
      <c r="N514" t="s">
        <v>602</v>
      </c>
      <c r="O514" t="s">
        <v>603</v>
      </c>
      <c r="P514" t="s">
        <v>602</v>
      </c>
      <c r="Q514" s="17">
        <f>IFERROR(VLOOKUP(A514,已除帳印單!B:C,1,0),0)*1</f>
        <v>0</v>
      </c>
      <c r="R514" s="67" t="str">
        <f>IFERROR(VLOOKUP(J514,線別!A:B,2,1),"")</f>
        <v>裝二線</v>
      </c>
      <c r="S514" s="17" t="str">
        <f>IFERROR(VLOOKUP(A514,已除帳印單!B:C,2,0),"")</f>
        <v/>
      </c>
      <c r="T514" s="68">
        <f t="shared" si="48"/>
        <v>43894</v>
      </c>
      <c r="U514" s="69">
        <f t="shared" si="49"/>
        <v>84.168796296296293</v>
      </c>
      <c r="V514" s="68" t="str">
        <f>IFERROR(VLOOKUP(A514,已除帳印單!B:D,3,0),"")</f>
        <v/>
      </c>
      <c r="W514" s="69" t="str">
        <f>IFERROR(VLOOKUP(A514,已除帳印單!B:E,4,0),"")</f>
        <v/>
      </c>
      <c r="X514" s="68" t="str">
        <f>IFERROR(INDEX(刷條碼區!A:C,MATCH(點上線資訊!S514,刷條碼區!C:C,0),1),"")</f>
        <v/>
      </c>
      <c r="Y514" s="69" t="str">
        <f>IFERROR(INDEX(刷條碼區!A:C,MATCH(點上線資訊!S514,刷條碼區!C:C,0),2),"")</f>
        <v/>
      </c>
      <c r="Z514" s="70" t="str">
        <f>IFERROR(INDEX(刷條碼區!D:G,MATCH(點上線資訊!S514,刷條碼區!F:F,0),1),"")</f>
        <v/>
      </c>
      <c r="AA514" s="71" t="str">
        <f>IFERROR(INDEX(刷條碼區!D:G,MATCH(點上線資訊!S514,刷條碼區!F:F,0),2),"")</f>
        <v/>
      </c>
      <c r="AB514" s="20">
        <f t="shared" si="44"/>
        <v>10</v>
      </c>
      <c r="AC514" s="20" t="b">
        <f t="shared" si="45"/>
        <v>0</v>
      </c>
      <c r="AD514" s="17" t="b">
        <f t="shared" si="46"/>
        <v>0</v>
      </c>
      <c r="AE514" s="17" t="b">
        <f t="shared" si="47"/>
        <v>0</v>
      </c>
    </row>
    <row r="515" spans="1:31" x14ac:dyDescent="0.2">
      <c r="A515" s="16">
        <v>5000499363</v>
      </c>
      <c r="B515" t="s">
        <v>301</v>
      </c>
      <c r="C515" t="s">
        <v>301</v>
      </c>
      <c r="D515" t="s">
        <v>1</v>
      </c>
      <c r="E515" t="s">
        <v>322</v>
      </c>
      <c r="F515" t="s">
        <v>535</v>
      </c>
      <c r="G515" s="2">
        <v>20</v>
      </c>
      <c r="H515" t="s">
        <v>461</v>
      </c>
      <c r="I515" t="s">
        <v>3</v>
      </c>
      <c r="J515" t="s">
        <v>53</v>
      </c>
      <c r="K515" t="s">
        <v>602</v>
      </c>
      <c r="L515" t="s">
        <v>603</v>
      </c>
      <c r="M515" t="s">
        <v>602</v>
      </c>
      <c r="N515" t="s">
        <v>602</v>
      </c>
      <c r="O515" t="s">
        <v>603</v>
      </c>
      <c r="P515" t="s">
        <v>602</v>
      </c>
      <c r="Q515" s="17">
        <f>IFERROR(VLOOKUP(A515,已除帳印單!B:C,1,0),0)*1</f>
        <v>0</v>
      </c>
      <c r="R515" s="67" t="str">
        <f>IFERROR(VLOOKUP(J515,線別!A:B,2,1),"")</f>
        <v>裝二線</v>
      </c>
      <c r="S515" s="17" t="str">
        <f>IFERROR(VLOOKUP(A515,已除帳印單!B:C,2,0),"")</f>
        <v/>
      </c>
      <c r="T515" s="68">
        <f t="shared" si="48"/>
        <v>43894</v>
      </c>
      <c r="U515" s="69">
        <f t="shared" si="49"/>
        <v>84.168796296296293</v>
      </c>
      <c r="V515" s="68" t="str">
        <f>IFERROR(VLOOKUP(A515,已除帳印單!B:D,3,0),"")</f>
        <v/>
      </c>
      <c r="W515" s="69" t="str">
        <f>IFERROR(VLOOKUP(A515,已除帳印單!B:E,4,0),"")</f>
        <v/>
      </c>
      <c r="X515" s="68" t="str">
        <f>IFERROR(INDEX(刷條碼區!A:C,MATCH(點上線資訊!S515,刷條碼區!C:C,0),1),"")</f>
        <v/>
      </c>
      <c r="Y515" s="69" t="str">
        <f>IFERROR(INDEX(刷條碼區!A:C,MATCH(點上線資訊!S515,刷條碼區!C:C,0),2),"")</f>
        <v/>
      </c>
      <c r="Z515" s="70" t="str">
        <f>IFERROR(INDEX(刷條碼區!D:G,MATCH(點上線資訊!S515,刷條碼區!F:F,0),1),"")</f>
        <v/>
      </c>
      <c r="AA515" s="71" t="str">
        <f>IFERROR(INDEX(刷條碼區!D:G,MATCH(點上線資訊!S515,刷條碼區!F:F,0),2),"")</f>
        <v/>
      </c>
      <c r="AB515" s="20">
        <f t="shared" ref="AB515:AB578" si="50">IF(K515&amp;N515="",G515)</f>
        <v>20</v>
      </c>
      <c r="AC515" s="20" t="b">
        <f t="shared" ref="AC515:AC578" si="51">IF(S515&lt;&gt;"",G515)</f>
        <v>0</v>
      </c>
      <c r="AD515" s="17" t="b">
        <f t="shared" ref="AD515:AD578" si="52">IF(X515&lt;&gt;"",G515)</f>
        <v>0</v>
      </c>
      <c r="AE515" s="17" t="b">
        <f t="shared" ref="AE515:AE578" si="53">IF(Z515&lt;&gt;"",G515)</f>
        <v>0</v>
      </c>
    </row>
    <row r="516" spans="1:31" x14ac:dyDescent="0.2">
      <c r="A516" s="16">
        <v>5000499366</v>
      </c>
      <c r="B516" t="s">
        <v>301</v>
      </c>
      <c r="C516" t="s">
        <v>301</v>
      </c>
      <c r="D516" t="s">
        <v>1</v>
      </c>
      <c r="E516" t="s">
        <v>538</v>
      </c>
      <c r="F516" t="s">
        <v>539</v>
      </c>
      <c r="G516" s="2">
        <v>1</v>
      </c>
      <c r="H516" t="s">
        <v>461</v>
      </c>
      <c r="I516" t="s">
        <v>3</v>
      </c>
      <c r="J516" t="s">
        <v>283</v>
      </c>
      <c r="K516" t="s">
        <v>602</v>
      </c>
      <c r="L516" t="s">
        <v>603</v>
      </c>
      <c r="M516" t="s">
        <v>602</v>
      </c>
      <c r="N516" t="s">
        <v>602</v>
      </c>
      <c r="O516" t="s">
        <v>603</v>
      </c>
      <c r="P516" t="s">
        <v>602</v>
      </c>
      <c r="Q516" s="17">
        <f>IFERROR(VLOOKUP(A516,已除帳印單!B:C,1,0),0)*1</f>
        <v>0</v>
      </c>
      <c r="R516" s="67" t="str">
        <f>IFERROR(VLOOKUP(J516,線別!A:B,2,1),"")</f>
        <v>裝二線AGV</v>
      </c>
      <c r="S516" s="17" t="str">
        <f>IFERROR(VLOOKUP(A516,已除帳印單!B:C,2,0),"")</f>
        <v/>
      </c>
      <c r="T516" s="68">
        <f t="shared" si="48"/>
        <v>43894</v>
      </c>
      <c r="U516" s="69">
        <f t="shared" si="49"/>
        <v>84.168796296296293</v>
      </c>
      <c r="V516" s="68" t="str">
        <f>IFERROR(VLOOKUP(A516,已除帳印單!B:D,3,0),"")</f>
        <v/>
      </c>
      <c r="W516" s="69" t="str">
        <f>IFERROR(VLOOKUP(A516,已除帳印單!B:E,4,0),"")</f>
        <v/>
      </c>
      <c r="X516" s="68" t="str">
        <f>IFERROR(INDEX(刷條碼區!A:C,MATCH(點上線資訊!S516,刷條碼區!C:C,0),1),"")</f>
        <v/>
      </c>
      <c r="Y516" s="69" t="str">
        <f>IFERROR(INDEX(刷條碼區!A:C,MATCH(點上線資訊!S516,刷條碼區!C:C,0),2),"")</f>
        <v/>
      </c>
      <c r="Z516" s="70" t="str">
        <f>IFERROR(INDEX(刷條碼區!D:G,MATCH(點上線資訊!S516,刷條碼區!F:F,0),1),"")</f>
        <v/>
      </c>
      <c r="AA516" s="71" t="str">
        <f>IFERROR(INDEX(刷條碼區!D:G,MATCH(點上線資訊!S516,刷條碼區!F:F,0),2),"")</f>
        <v/>
      </c>
      <c r="AB516" s="20">
        <f t="shared" si="50"/>
        <v>1</v>
      </c>
      <c r="AC516" s="20" t="b">
        <f t="shared" si="51"/>
        <v>0</v>
      </c>
      <c r="AD516" s="17" t="b">
        <f t="shared" si="52"/>
        <v>0</v>
      </c>
      <c r="AE516" s="17" t="b">
        <f t="shared" si="53"/>
        <v>0</v>
      </c>
    </row>
    <row r="517" spans="1:31" x14ac:dyDescent="0.2">
      <c r="A517" s="16">
        <v>5000499369</v>
      </c>
      <c r="B517" t="s">
        <v>301</v>
      </c>
      <c r="C517" t="s">
        <v>301</v>
      </c>
      <c r="D517" t="s">
        <v>1</v>
      </c>
      <c r="E517" t="s">
        <v>538</v>
      </c>
      <c r="F517" t="s">
        <v>539</v>
      </c>
      <c r="G517" s="2">
        <v>9</v>
      </c>
      <c r="H517" t="s">
        <v>461</v>
      </c>
      <c r="I517" t="s">
        <v>3</v>
      </c>
      <c r="J517" t="s">
        <v>283</v>
      </c>
      <c r="K517" t="s">
        <v>602</v>
      </c>
      <c r="L517" t="s">
        <v>603</v>
      </c>
      <c r="M517" t="s">
        <v>602</v>
      </c>
      <c r="N517" t="s">
        <v>602</v>
      </c>
      <c r="O517" t="s">
        <v>603</v>
      </c>
      <c r="P517" t="s">
        <v>602</v>
      </c>
      <c r="Q517" s="17">
        <f>IFERROR(VLOOKUP(A517,已除帳印單!B:C,1,0),0)*1</f>
        <v>0</v>
      </c>
      <c r="R517" s="67" t="str">
        <f>IFERROR(VLOOKUP(J517,線別!A:B,2,1),"")</f>
        <v>裝二線AGV</v>
      </c>
      <c r="S517" s="17" t="str">
        <f>IFERROR(VLOOKUP(A517,已除帳印單!B:C,2,0),"")</f>
        <v/>
      </c>
      <c r="T517" s="68">
        <f t="shared" si="48"/>
        <v>43894</v>
      </c>
      <c r="U517" s="69">
        <f t="shared" si="49"/>
        <v>84.168796296296293</v>
      </c>
      <c r="V517" s="68" t="str">
        <f>IFERROR(VLOOKUP(A517,已除帳印單!B:D,3,0),"")</f>
        <v/>
      </c>
      <c r="W517" s="69" t="str">
        <f>IFERROR(VLOOKUP(A517,已除帳印單!B:E,4,0),"")</f>
        <v/>
      </c>
      <c r="X517" s="68" t="str">
        <f>IFERROR(INDEX(刷條碼區!A:C,MATCH(點上線資訊!S517,刷條碼區!C:C,0),1),"")</f>
        <v/>
      </c>
      <c r="Y517" s="69" t="str">
        <f>IFERROR(INDEX(刷條碼區!A:C,MATCH(點上線資訊!S517,刷條碼區!C:C,0),2),"")</f>
        <v/>
      </c>
      <c r="Z517" s="70" t="str">
        <f>IFERROR(INDEX(刷條碼區!D:G,MATCH(點上線資訊!S517,刷條碼區!F:F,0),1),"")</f>
        <v/>
      </c>
      <c r="AA517" s="71" t="str">
        <f>IFERROR(INDEX(刷條碼區!D:G,MATCH(點上線資訊!S517,刷條碼區!F:F,0),2),"")</f>
        <v/>
      </c>
      <c r="AB517" s="20">
        <f t="shared" si="50"/>
        <v>9</v>
      </c>
      <c r="AC517" s="20" t="b">
        <f t="shared" si="51"/>
        <v>0</v>
      </c>
      <c r="AD517" s="17" t="b">
        <f t="shared" si="52"/>
        <v>0</v>
      </c>
      <c r="AE517" s="17" t="b">
        <f t="shared" si="53"/>
        <v>0</v>
      </c>
    </row>
    <row r="518" spans="1:31" x14ac:dyDescent="0.2">
      <c r="A518" s="16">
        <v>5000499373</v>
      </c>
      <c r="B518" t="s">
        <v>301</v>
      </c>
      <c r="C518" t="s">
        <v>301</v>
      </c>
      <c r="D518" t="s">
        <v>1</v>
      </c>
      <c r="E518" t="s">
        <v>540</v>
      </c>
      <c r="F518" t="s">
        <v>498</v>
      </c>
      <c r="G518" s="2">
        <v>12</v>
      </c>
      <c r="H518" t="s">
        <v>461</v>
      </c>
      <c r="I518" t="s">
        <v>3</v>
      </c>
      <c r="J518" t="s">
        <v>283</v>
      </c>
      <c r="K518" t="s">
        <v>602</v>
      </c>
      <c r="L518" t="s">
        <v>603</v>
      </c>
      <c r="M518" t="s">
        <v>602</v>
      </c>
      <c r="N518" t="s">
        <v>602</v>
      </c>
      <c r="O518" t="s">
        <v>603</v>
      </c>
      <c r="P518" t="s">
        <v>602</v>
      </c>
      <c r="Q518" s="17">
        <f>IFERROR(VLOOKUP(A518,已除帳印單!B:C,1,0),0)*1</f>
        <v>0</v>
      </c>
      <c r="R518" s="67" t="str">
        <f>IFERROR(VLOOKUP(J518,線別!A:B,2,1),"")</f>
        <v>裝二線AGV</v>
      </c>
      <c r="S518" s="17" t="str">
        <f>IFERROR(VLOOKUP(A518,已除帳印單!B:C,2,0),"")</f>
        <v/>
      </c>
      <c r="T518" s="68">
        <f t="shared" si="48"/>
        <v>43894</v>
      </c>
      <c r="U518" s="69">
        <f t="shared" si="49"/>
        <v>84.168796296296293</v>
      </c>
      <c r="V518" s="68" t="str">
        <f>IFERROR(VLOOKUP(A518,已除帳印單!B:D,3,0),"")</f>
        <v/>
      </c>
      <c r="W518" s="69" t="str">
        <f>IFERROR(VLOOKUP(A518,已除帳印單!B:E,4,0),"")</f>
        <v/>
      </c>
      <c r="X518" s="68" t="str">
        <f>IFERROR(INDEX(刷條碼區!A:C,MATCH(點上線資訊!S518,刷條碼區!C:C,0),1),"")</f>
        <v/>
      </c>
      <c r="Y518" s="69" t="str">
        <f>IFERROR(INDEX(刷條碼區!A:C,MATCH(點上線資訊!S518,刷條碼區!C:C,0),2),"")</f>
        <v/>
      </c>
      <c r="Z518" s="70" t="str">
        <f>IFERROR(INDEX(刷條碼區!D:G,MATCH(點上線資訊!S518,刷條碼區!F:F,0),1),"")</f>
        <v/>
      </c>
      <c r="AA518" s="71" t="str">
        <f>IFERROR(INDEX(刷條碼區!D:G,MATCH(點上線資訊!S518,刷條碼區!F:F,0),2),"")</f>
        <v/>
      </c>
      <c r="AB518" s="20">
        <f t="shared" si="50"/>
        <v>12</v>
      </c>
      <c r="AC518" s="20" t="b">
        <f t="shared" si="51"/>
        <v>0</v>
      </c>
      <c r="AD518" s="17" t="b">
        <f t="shared" si="52"/>
        <v>0</v>
      </c>
      <c r="AE518" s="17" t="b">
        <f t="shared" si="53"/>
        <v>0</v>
      </c>
    </row>
    <row r="519" spans="1:31" x14ac:dyDescent="0.2">
      <c r="A519" s="16">
        <v>5000499374</v>
      </c>
      <c r="B519" t="s">
        <v>301</v>
      </c>
      <c r="C519" t="s">
        <v>301</v>
      </c>
      <c r="D519" t="s">
        <v>1</v>
      </c>
      <c r="E519" t="s">
        <v>540</v>
      </c>
      <c r="F519" t="s">
        <v>498</v>
      </c>
      <c r="G519" s="2">
        <v>2</v>
      </c>
      <c r="H519" t="s">
        <v>461</v>
      </c>
      <c r="I519" t="s">
        <v>3</v>
      </c>
      <c r="J519" t="s">
        <v>283</v>
      </c>
      <c r="K519" t="s">
        <v>602</v>
      </c>
      <c r="L519" t="s">
        <v>603</v>
      </c>
      <c r="M519" t="s">
        <v>602</v>
      </c>
      <c r="N519" t="s">
        <v>602</v>
      </c>
      <c r="O519" t="s">
        <v>603</v>
      </c>
      <c r="P519" t="s">
        <v>602</v>
      </c>
      <c r="Q519" s="17">
        <f>IFERROR(VLOOKUP(A519,已除帳印單!B:C,1,0),0)*1</f>
        <v>0</v>
      </c>
      <c r="R519" s="67" t="str">
        <f>IFERROR(VLOOKUP(J519,線別!A:B,2,1),"")</f>
        <v>裝二線AGV</v>
      </c>
      <c r="S519" s="17" t="str">
        <f>IFERROR(VLOOKUP(A519,已除帳印單!B:C,2,0),"")</f>
        <v/>
      </c>
      <c r="T519" s="68">
        <f t="shared" si="48"/>
        <v>43894</v>
      </c>
      <c r="U519" s="69">
        <f t="shared" si="49"/>
        <v>84.168796296296293</v>
      </c>
      <c r="V519" s="68" t="str">
        <f>IFERROR(VLOOKUP(A519,已除帳印單!B:D,3,0),"")</f>
        <v/>
      </c>
      <c r="W519" s="69" t="str">
        <f>IFERROR(VLOOKUP(A519,已除帳印單!B:E,4,0),"")</f>
        <v/>
      </c>
      <c r="X519" s="68" t="str">
        <f>IFERROR(INDEX(刷條碼區!A:C,MATCH(點上線資訊!S519,刷條碼區!C:C,0),1),"")</f>
        <v/>
      </c>
      <c r="Y519" s="69" t="str">
        <f>IFERROR(INDEX(刷條碼區!A:C,MATCH(點上線資訊!S519,刷條碼區!C:C,0),2),"")</f>
        <v/>
      </c>
      <c r="Z519" s="70" t="str">
        <f>IFERROR(INDEX(刷條碼區!D:G,MATCH(點上線資訊!S519,刷條碼區!F:F,0),1),"")</f>
        <v/>
      </c>
      <c r="AA519" s="71" t="str">
        <f>IFERROR(INDEX(刷條碼區!D:G,MATCH(點上線資訊!S519,刷條碼區!F:F,0),2),"")</f>
        <v/>
      </c>
      <c r="AB519" s="20">
        <f t="shared" si="50"/>
        <v>2</v>
      </c>
      <c r="AC519" s="20" t="b">
        <f t="shared" si="51"/>
        <v>0</v>
      </c>
      <c r="AD519" s="17" t="b">
        <f t="shared" si="52"/>
        <v>0</v>
      </c>
      <c r="AE519" s="17" t="b">
        <f t="shared" si="53"/>
        <v>0</v>
      </c>
    </row>
    <row r="520" spans="1:31" x14ac:dyDescent="0.2">
      <c r="A520" s="16">
        <v>5000499375</v>
      </c>
      <c r="B520" t="s">
        <v>301</v>
      </c>
      <c r="C520" t="s">
        <v>301</v>
      </c>
      <c r="D520" t="s">
        <v>1</v>
      </c>
      <c r="E520" t="s">
        <v>540</v>
      </c>
      <c r="F520" t="s">
        <v>498</v>
      </c>
      <c r="G520" s="2">
        <v>1</v>
      </c>
      <c r="H520" t="s">
        <v>461</v>
      </c>
      <c r="I520" t="s">
        <v>3</v>
      </c>
      <c r="J520" t="s">
        <v>283</v>
      </c>
      <c r="K520" t="s">
        <v>602</v>
      </c>
      <c r="L520" t="s">
        <v>603</v>
      </c>
      <c r="M520" t="s">
        <v>602</v>
      </c>
      <c r="N520" t="s">
        <v>602</v>
      </c>
      <c r="O520" t="s">
        <v>603</v>
      </c>
      <c r="P520" t="s">
        <v>602</v>
      </c>
      <c r="Q520" s="17">
        <f>IFERROR(VLOOKUP(A520,已除帳印單!B:C,1,0),0)*1</f>
        <v>0</v>
      </c>
      <c r="R520" s="67" t="str">
        <f>IFERROR(VLOOKUP(J520,線別!A:B,2,1),"")</f>
        <v>裝二線AGV</v>
      </c>
      <c r="S520" s="17" t="str">
        <f>IFERROR(VLOOKUP(A520,已除帳印單!B:C,2,0),"")</f>
        <v/>
      </c>
      <c r="T520" s="68">
        <f t="shared" si="48"/>
        <v>43894</v>
      </c>
      <c r="U520" s="69">
        <f t="shared" si="49"/>
        <v>84.168796296296293</v>
      </c>
      <c r="V520" s="68" t="str">
        <f>IFERROR(VLOOKUP(A520,已除帳印單!B:D,3,0),"")</f>
        <v/>
      </c>
      <c r="W520" s="69" t="str">
        <f>IFERROR(VLOOKUP(A520,已除帳印單!B:E,4,0),"")</f>
        <v/>
      </c>
      <c r="X520" s="68" t="str">
        <f>IFERROR(INDEX(刷條碼區!A:C,MATCH(點上線資訊!S520,刷條碼區!C:C,0),1),"")</f>
        <v/>
      </c>
      <c r="Y520" s="69" t="str">
        <f>IFERROR(INDEX(刷條碼區!A:C,MATCH(點上線資訊!S520,刷條碼區!C:C,0),2),"")</f>
        <v/>
      </c>
      <c r="Z520" s="70" t="str">
        <f>IFERROR(INDEX(刷條碼區!D:G,MATCH(點上線資訊!S520,刷條碼區!F:F,0),1),"")</f>
        <v/>
      </c>
      <c r="AA520" s="71" t="str">
        <f>IFERROR(INDEX(刷條碼區!D:G,MATCH(點上線資訊!S520,刷條碼區!F:F,0),2),"")</f>
        <v/>
      </c>
      <c r="AB520" s="20">
        <f t="shared" si="50"/>
        <v>1</v>
      </c>
      <c r="AC520" s="20" t="b">
        <f t="shared" si="51"/>
        <v>0</v>
      </c>
      <c r="AD520" s="17" t="b">
        <f t="shared" si="52"/>
        <v>0</v>
      </c>
      <c r="AE520" s="17" t="b">
        <f t="shared" si="53"/>
        <v>0</v>
      </c>
    </row>
    <row r="521" spans="1:31" x14ac:dyDescent="0.2">
      <c r="A521" s="16">
        <v>5000499378</v>
      </c>
      <c r="B521" t="s">
        <v>301</v>
      </c>
      <c r="C521" t="s">
        <v>301</v>
      </c>
      <c r="D521" t="s">
        <v>1</v>
      </c>
      <c r="E521" t="s">
        <v>538</v>
      </c>
      <c r="F521" t="s">
        <v>539</v>
      </c>
      <c r="G521" s="2">
        <v>1</v>
      </c>
      <c r="H521" t="s">
        <v>461</v>
      </c>
      <c r="I521" t="s">
        <v>3</v>
      </c>
      <c r="J521" t="s">
        <v>283</v>
      </c>
      <c r="K521" t="s">
        <v>602</v>
      </c>
      <c r="L521" t="s">
        <v>603</v>
      </c>
      <c r="M521" t="s">
        <v>602</v>
      </c>
      <c r="N521" t="s">
        <v>602</v>
      </c>
      <c r="O521" t="s">
        <v>603</v>
      </c>
      <c r="P521" t="s">
        <v>602</v>
      </c>
      <c r="Q521" s="17">
        <f>IFERROR(VLOOKUP(A521,已除帳印單!B:C,1,0),0)*1</f>
        <v>0</v>
      </c>
      <c r="R521" s="67" t="str">
        <f>IFERROR(VLOOKUP(J521,線別!A:B,2,1),"")</f>
        <v>裝二線AGV</v>
      </c>
      <c r="S521" s="17" t="str">
        <f>IFERROR(VLOOKUP(A521,已除帳印單!B:C,2,0),"")</f>
        <v/>
      </c>
      <c r="T521" s="68">
        <f t="shared" si="48"/>
        <v>43894</v>
      </c>
      <c r="U521" s="69">
        <f t="shared" si="49"/>
        <v>84.168796296296293</v>
      </c>
      <c r="V521" s="68" t="str">
        <f>IFERROR(VLOOKUP(A521,已除帳印單!B:D,3,0),"")</f>
        <v/>
      </c>
      <c r="W521" s="69" t="str">
        <f>IFERROR(VLOOKUP(A521,已除帳印單!B:E,4,0),"")</f>
        <v/>
      </c>
      <c r="X521" s="68" t="str">
        <f>IFERROR(INDEX(刷條碼區!A:C,MATCH(點上線資訊!S521,刷條碼區!C:C,0),1),"")</f>
        <v/>
      </c>
      <c r="Y521" s="69" t="str">
        <f>IFERROR(INDEX(刷條碼區!A:C,MATCH(點上線資訊!S521,刷條碼區!C:C,0),2),"")</f>
        <v/>
      </c>
      <c r="Z521" s="70" t="str">
        <f>IFERROR(INDEX(刷條碼區!D:G,MATCH(點上線資訊!S521,刷條碼區!F:F,0),1),"")</f>
        <v/>
      </c>
      <c r="AA521" s="71" t="str">
        <f>IFERROR(INDEX(刷條碼區!D:G,MATCH(點上線資訊!S521,刷條碼區!F:F,0),2),"")</f>
        <v/>
      </c>
      <c r="AB521" s="20">
        <f t="shared" si="50"/>
        <v>1</v>
      </c>
      <c r="AC521" s="20" t="b">
        <f t="shared" si="51"/>
        <v>0</v>
      </c>
      <c r="AD521" s="17" t="b">
        <f t="shared" si="52"/>
        <v>0</v>
      </c>
      <c r="AE521" s="17" t="b">
        <f t="shared" si="53"/>
        <v>0</v>
      </c>
    </row>
    <row r="522" spans="1:31" x14ac:dyDescent="0.2">
      <c r="A522" s="16">
        <v>5000499422</v>
      </c>
      <c r="B522" t="s">
        <v>301</v>
      </c>
      <c r="C522" t="s">
        <v>301</v>
      </c>
      <c r="D522" t="s">
        <v>1</v>
      </c>
      <c r="E522" t="s">
        <v>389</v>
      </c>
      <c r="F522" t="s">
        <v>1017</v>
      </c>
      <c r="G522" s="2">
        <v>3</v>
      </c>
      <c r="H522" t="s">
        <v>461</v>
      </c>
      <c r="I522" t="s">
        <v>3</v>
      </c>
      <c r="J522" t="s">
        <v>19</v>
      </c>
      <c r="K522" t="s">
        <v>605</v>
      </c>
      <c r="L522" t="s">
        <v>608</v>
      </c>
      <c r="M522" t="s">
        <v>1018</v>
      </c>
      <c r="N522" t="s">
        <v>602</v>
      </c>
      <c r="O522" t="s">
        <v>603</v>
      </c>
      <c r="P522" t="s">
        <v>602</v>
      </c>
      <c r="Q522" s="17">
        <f>IFERROR(VLOOKUP(A522,已除帳印單!B:C,1,0),0)*1</f>
        <v>0</v>
      </c>
      <c r="R522" s="67" t="str">
        <f>IFERROR(VLOOKUP(J522,線別!A:B,2,1),"")</f>
        <v>FM_IA預組</v>
      </c>
      <c r="S522" s="17" t="str">
        <f>IFERROR(VLOOKUP(A522,已除帳印單!B:C,2,0),"")</f>
        <v/>
      </c>
      <c r="T522" s="68">
        <f t="shared" ref="T522:T585" si="54">--TEXT(B522,"0000-00-00")</f>
        <v>43894</v>
      </c>
      <c r="U522" s="69">
        <f t="shared" ref="U522:U585" si="55">--TEXT(C522,"00\:00\:00")</f>
        <v>84.168796296296293</v>
      </c>
      <c r="V522" s="68" t="str">
        <f>IFERROR(VLOOKUP(A522,已除帳印單!B:D,3,0),"")</f>
        <v/>
      </c>
      <c r="W522" s="69" t="str">
        <f>IFERROR(VLOOKUP(A522,已除帳印單!B:E,4,0),"")</f>
        <v/>
      </c>
      <c r="X522" s="68" t="str">
        <f>IFERROR(INDEX(刷條碼區!A:C,MATCH(點上線資訊!S522,刷條碼區!C:C,0),1),"")</f>
        <v/>
      </c>
      <c r="Y522" s="69" t="str">
        <f>IFERROR(INDEX(刷條碼區!A:C,MATCH(點上線資訊!S522,刷條碼區!C:C,0),2),"")</f>
        <v/>
      </c>
      <c r="Z522" s="70" t="str">
        <f>IFERROR(INDEX(刷條碼區!D:G,MATCH(點上線資訊!S522,刷條碼區!F:F,0),1),"")</f>
        <v/>
      </c>
      <c r="AA522" s="71" t="str">
        <f>IFERROR(INDEX(刷條碼區!D:G,MATCH(點上線資訊!S522,刷條碼區!F:F,0),2),"")</f>
        <v/>
      </c>
      <c r="AB522" s="20" t="b">
        <f t="shared" si="50"/>
        <v>0</v>
      </c>
      <c r="AC522" s="20" t="b">
        <f t="shared" si="51"/>
        <v>0</v>
      </c>
      <c r="AD522" s="17" t="b">
        <f t="shared" si="52"/>
        <v>0</v>
      </c>
      <c r="AE522" s="17" t="b">
        <f t="shared" si="53"/>
        <v>0</v>
      </c>
    </row>
    <row r="523" spans="1:31" x14ac:dyDescent="0.2">
      <c r="A523" s="16">
        <v>5000499423</v>
      </c>
      <c r="B523" t="s">
        <v>6</v>
      </c>
      <c r="C523" t="s">
        <v>6</v>
      </c>
      <c r="D523" t="s">
        <v>1</v>
      </c>
      <c r="E523" t="s">
        <v>1019</v>
      </c>
      <c r="F523" t="s">
        <v>1020</v>
      </c>
      <c r="G523" s="2">
        <v>3</v>
      </c>
      <c r="H523" t="s">
        <v>461</v>
      </c>
      <c r="I523" t="s">
        <v>3</v>
      </c>
      <c r="J523" t="s">
        <v>19</v>
      </c>
      <c r="K523" t="s">
        <v>605</v>
      </c>
      <c r="L523" t="s">
        <v>608</v>
      </c>
      <c r="M523" t="s">
        <v>1021</v>
      </c>
      <c r="N523" t="s">
        <v>602</v>
      </c>
      <c r="O523" t="s">
        <v>603</v>
      </c>
      <c r="P523" t="s">
        <v>602</v>
      </c>
      <c r="Q523" s="17">
        <f>IFERROR(VLOOKUP(A523,已除帳印單!B:C,1,0),0)*1</f>
        <v>0</v>
      </c>
      <c r="R523" s="67" t="str">
        <f>IFERROR(VLOOKUP(J523,線別!A:B,2,1),"")</f>
        <v>FM_IA預組</v>
      </c>
      <c r="S523" s="17" t="str">
        <f>IFERROR(VLOOKUP(A523,已除帳印單!B:C,2,0),"")</f>
        <v/>
      </c>
      <c r="T523" s="68">
        <f t="shared" si="54"/>
        <v>43893</v>
      </c>
      <c r="U523" s="69">
        <f t="shared" si="55"/>
        <v>84.168784722222213</v>
      </c>
      <c r="V523" s="68" t="str">
        <f>IFERROR(VLOOKUP(A523,已除帳印單!B:D,3,0),"")</f>
        <v/>
      </c>
      <c r="W523" s="69" t="str">
        <f>IFERROR(VLOOKUP(A523,已除帳印單!B:E,4,0),"")</f>
        <v/>
      </c>
      <c r="X523" s="68" t="str">
        <f>IFERROR(INDEX(刷條碼區!A:C,MATCH(點上線資訊!S523,刷條碼區!C:C,0),1),"")</f>
        <v/>
      </c>
      <c r="Y523" s="69" t="str">
        <f>IFERROR(INDEX(刷條碼區!A:C,MATCH(點上線資訊!S523,刷條碼區!C:C,0),2),"")</f>
        <v/>
      </c>
      <c r="Z523" s="70" t="str">
        <f>IFERROR(INDEX(刷條碼區!D:G,MATCH(點上線資訊!S523,刷條碼區!F:F,0),1),"")</f>
        <v/>
      </c>
      <c r="AA523" s="71" t="str">
        <f>IFERROR(INDEX(刷條碼區!D:G,MATCH(點上線資訊!S523,刷條碼區!F:F,0),2),"")</f>
        <v/>
      </c>
      <c r="AB523" s="20" t="b">
        <f t="shared" si="50"/>
        <v>0</v>
      </c>
      <c r="AC523" s="20" t="b">
        <f t="shared" si="51"/>
        <v>0</v>
      </c>
      <c r="AD523" s="17" t="b">
        <f t="shared" si="52"/>
        <v>0</v>
      </c>
      <c r="AE523" s="17" t="b">
        <f t="shared" si="53"/>
        <v>0</v>
      </c>
    </row>
    <row r="524" spans="1:31" x14ac:dyDescent="0.2">
      <c r="A524" s="16">
        <v>5000499424</v>
      </c>
      <c r="B524" t="s">
        <v>301</v>
      </c>
      <c r="C524" t="s">
        <v>301</v>
      </c>
      <c r="D524" t="s">
        <v>1</v>
      </c>
      <c r="E524" t="s">
        <v>377</v>
      </c>
      <c r="F524" t="s">
        <v>1022</v>
      </c>
      <c r="G524" s="2">
        <v>7</v>
      </c>
      <c r="H524" t="s">
        <v>461</v>
      </c>
      <c r="I524" t="s">
        <v>3</v>
      </c>
      <c r="J524" t="s">
        <v>19</v>
      </c>
      <c r="K524" t="s">
        <v>605</v>
      </c>
      <c r="L524" t="s">
        <v>608</v>
      </c>
      <c r="M524" t="s">
        <v>447</v>
      </c>
      <c r="N524" t="s">
        <v>602</v>
      </c>
      <c r="O524" t="s">
        <v>603</v>
      </c>
      <c r="P524" t="s">
        <v>602</v>
      </c>
      <c r="Q524" s="17">
        <f>IFERROR(VLOOKUP(A524,已除帳印單!B:C,1,0),0)*1</f>
        <v>0</v>
      </c>
      <c r="R524" s="67" t="str">
        <f>IFERROR(VLOOKUP(J524,線別!A:B,2,1),"")</f>
        <v>FM_IA預組</v>
      </c>
      <c r="S524" s="17" t="str">
        <f>IFERROR(VLOOKUP(A524,已除帳印單!B:C,2,0),"")</f>
        <v/>
      </c>
      <c r="T524" s="68">
        <f t="shared" si="54"/>
        <v>43894</v>
      </c>
      <c r="U524" s="69">
        <f t="shared" si="55"/>
        <v>84.168796296296293</v>
      </c>
      <c r="V524" s="68" t="str">
        <f>IFERROR(VLOOKUP(A524,已除帳印單!B:D,3,0),"")</f>
        <v/>
      </c>
      <c r="W524" s="69" t="str">
        <f>IFERROR(VLOOKUP(A524,已除帳印單!B:E,4,0),"")</f>
        <v/>
      </c>
      <c r="X524" s="68" t="str">
        <f>IFERROR(INDEX(刷條碼區!A:C,MATCH(點上線資訊!S524,刷條碼區!C:C,0),1),"")</f>
        <v/>
      </c>
      <c r="Y524" s="69" t="str">
        <f>IFERROR(INDEX(刷條碼區!A:C,MATCH(點上線資訊!S524,刷條碼區!C:C,0),2),"")</f>
        <v/>
      </c>
      <c r="Z524" s="70" t="str">
        <f>IFERROR(INDEX(刷條碼區!D:G,MATCH(點上線資訊!S524,刷條碼區!F:F,0),1),"")</f>
        <v/>
      </c>
      <c r="AA524" s="71" t="str">
        <f>IFERROR(INDEX(刷條碼區!D:G,MATCH(點上線資訊!S524,刷條碼區!F:F,0),2),"")</f>
        <v/>
      </c>
      <c r="AB524" s="20" t="b">
        <f t="shared" si="50"/>
        <v>0</v>
      </c>
      <c r="AC524" s="20" t="b">
        <f t="shared" si="51"/>
        <v>0</v>
      </c>
      <c r="AD524" s="17" t="b">
        <f t="shared" si="52"/>
        <v>0</v>
      </c>
      <c r="AE524" s="17" t="b">
        <f t="shared" si="53"/>
        <v>0</v>
      </c>
    </row>
    <row r="525" spans="1:31" x14ac:dyDescent="0.2">
      <c r="A525" s="16">
        <v>5000499425</v>
      </c>
      <c r="B525" t="s">
        <v>301</v>
      </c>
      <c r="C525" t="s">
        <v>301</v>
      </c>
      <c r="D525" t="s">
        <v>1</v>
      </c>
      <c r="E525" t="s">
        <v>367</v>
      </c>
      <c r="F525" t="s">
        <v>981</v>
      </c>
      <c r="G525" s="2">
        <v>7</v>
      </c>
      <c r="H525" t="s">
        <v>461</v>
      </c>
      <c r="I525" t="s">
        <v>3</v>
      </c>
      <c r="J525" t="s">
        <v>5</v>
      </c>
      <c r="K525" t="s">
        <v>605</v>
      </c>
      <c r="L525" t="s">
        <v>608</v>
      </c>
      <c r="M525" t="s">
        <v>452</v>
      </c>
      <c r="N525" t="s">
        <v>602</v>
      </c>
      <c r="O525" t="s">
        <v>603</v>
      </c>
      <c r="P525" t="s">
        <v>602</v>
      </c>
      <c r="Q525" s="17">
        <f>IFERROR(VLOOKUP(A525,已除帳印單!B:C,1,0),0)*1</f>
        <v>0</v>
      </c>
      <c r="R525" s="67" t="str">
        <f>IFERROR(VLOOKUP(J525,線別!A:B,2,1),"")</f>
        <v>FM線</v>
      </c>
      <c r="S525" s="17" t="str">
        <f>IFERROR(VLOOKUP(A525,已除帳印單!B:C,2,0),"")</f>
        <v/>
      </c>
      <c r="T525" s="68">
        <f t="shared" si="54"/>
        <v>43894</v>
      </c>
      <c r="U525" s="69">
        <f t="shared" si="55"/>
        <v>84.168796296296293</v>
      </c>
      <c r="V525" s="68" t="str">
        <f>IFERROR(VLOOKUP(A525,已除帳印單!B:D,3,0),"")</f>
        <v/>
      </c>
      <c r="W525" s="69" t="str">
        <f>IFERROR(VLOOKUP(A525,已除帳印單!B:E,4,0),"")</f>
        <v/>
      </c>
      <c r="X525" s="68" t="str">
        <f>IFERROR(INDEX(刷條碼區!A:C,MATCH(點上線資訊!S525,刷條碼區!C:C,0),1),"")</f>
        <v/>
      </c>
      <c r="Y525" s="69" t="str">
        <f>IFERROR(INDEX(刷條碼區!A:C,MATCH(點上線資訊!S525,刷條碼區!C:C,0),2),"")</f>
        <v/>
      </c>
      <c r="Z525" s="70" t="str">
        <f>IFERROR(INDEX(刷條碼區!D:G,MATCH(點上線資訊!S525,刷條碼區!F:F,0),1),"")</f>
        <v/>
      </c>
      <c r="AA525" s="71" t="str">
        <f>IFERROR(INDEX(刷條碼區!D:G,MATCH(點上線資訊!S525,刷條碼區!F:F,0),2),"")</f>
        <v/>
      </c>
      <c r="AB525" s="20" t="b">
        <f t="shared" si="50"/>
        <v>0</v>
      </c>
      <c r="AC525" s="20" t="b">
        <f t="shared" si="51"/>
        <v>0</v>
      </c>
      <c r="AD525" s="17" t="b">
        <f t="shared" si="52"/>
        <v>0</v>
      </c>
      <c r="AE525" s="17" t="b">
        <f t="shared" si="53"/>
        <v>0</v>
      </c>
    </row>
    <row r="526" spans="1:31" x14ac:dyDescent="0.2">
      <c r="A526" s="16">
        <v>5000499427</v>
      </c>
      <c r="B526" t="s">
        <v>301</v>
      </c>
      <c r="C526" t="s">
        <v>301</v>
      </c>
      <c r="D526" t="s">
        <v>1</v>
      </c>
      <c r="E526" t="s">
        <v>384</v>
      </c>
      <c r="F526" t="s">
        <v>1023</v>
      </c>
      <c r="G526" s="2">
        <v>7</v>
      </c>
      <c r="H526" t="s">
        <v>461</v>
      </c>
      <c r="I526" t="s">
        <v>3</v>
      </c>
      <c r="J526" t="s">
        <v>19</v>
      </c>
      <c r="K526" t="s">
        <v>605</v>
      </c>
      <c r="L526" t="s">
        <v>608</v>
      </c>
      <c r="M526" t="s">
        <v>1024</v>
      </c>
      <c r="N526" t="s">
        <v>602</v>
      </c>
      <c r="O526" t="s">
        <v>603</v>
      </c>
      <c r="P526" t="s">
        <v>602</v>
      </c>
      <c r="Q526" s="17">
        <f>IFERROR(VLOOKUP(A526,已除帳印單!B:C,1,0),0)*1</f>
        <v>0</v>
      </c>
      <c r="R526" s="67" t="str">
        <f>IFERROR(VLOOKUP(J526,線別!A:B,2,1),"")</f>
        <v>FM_IA預組</v>
      </c>
      <c r="S526" s="17" t="str">
        <f>IFERROR(VLOOKUP(A526,已除帳印單!B:C,2,0),"")</f>
        <v/>
      </c>
      <c r="T526" s="68">
        <f t="shared" si="54"/>
        <v>43894</v>
      </c>
      <c r="U526" s="69">
        <f t="shared" si="55"/>
        <v>84.168796296296293</v>
      </c>
      <c r="V526" s="68" t="str">
        <f>IFERROR(VLOOKUP(A526,已除帳印單!B:D,3,0),"")</f>
        <v/>
      </c>
      <c r="W526" s="69" t="str">
        <f>IFERROR(VLOOKUP(A526,已除帳印單!B:E,4,0),"")</f>
        <v/>
      </c>
      <c r="X526" s="68" t="str">
        <f>IFERROR(INDEX(刷條碼區!A:C,MATCH(點上線資訊!S526,刷條碼區!C:C,0),1),"")</f>
        <v/>
      </c>
      <c r="Y526" s="69" t="str">
        <f>IFERROR(INDEX(刷條碼區!A:C,MATCH(點上線資訊!S526,刷條碼區!C:C,0),2),"")</f>
        <v/>
      </c>
      <c r="Z526" s="70" t="str">
        <f>IFERROR(INDEX(刷條碼區!D:G,MATCH(點上線資訊!S526,刷條碼區!F:F,0),1),"")</f>
        <v/>
      </c>
      <c r="AA526" s="71" t="str">
        <f>IFERROR(INDEX(刷條碼區!D:G,MATCH(點上線資訊!S526,刷條碼區!F:F,0),2),"")</f>
        <v/>
      </c>
      <c r="AB526" s="20" t="b">
        <f t="shared" si="50"/>
        <v>0</v>
      </c>
      <c r="AC526" s="20" t="b">
        <f t="shared" si="51"/>
        <v>0</v>
      </c>
      <c r="AD526" s="17" t="b">
        <f t="shared" si="52"/>
        <v>0</v>
      </c>
      <c r="AE526" s="17" t="b">
        <f t="shared" si="53"/>
        <v>0</v>
      </c>
    </row>
    <row r="527" spans="1:31" x14ac:dyDescent="0.2">
      <c r="A527" s="16">
        <v>5000499428</v>
      </c>
      <c r="B527" t="s">
        <v>6</v>
      </c>
      <c r="C527" t="s">
        <v>6</v>
      </c>
      <c r="D527" t="s">
        <v>1</v>
      </c>
      <c r="E527" t="s">
        <v>1025</v>
      </c>
      <c r="F527" t="s">
        <v>1026</v>
      </c>
      <c r="G527" s="2">
        <v>8</v>
      </c>
      <c r="H527" t="s">
        <v>461</v>
      </c>
      <c r="I527" t="s">
        <v>3</v>
      </c>
      <c r="J527" t="s">
        <v>19</v>
      </c>
      <c r="K527" t="s">
        <v>605</v>
      </c>
      <c r="L527" t="s">
        <v>608</v>
      </c>
      <c r="M527" t="s">
        <v>1027</v>
      </c>
      <c r="N527" t="s">
        <v>602</v>
      </c>
      <c r="O527" t="s">
        <v>603</v>
      </c>
      <c r="P527" t="s">
        <v>602</v>
      </c>
      <c r="Q527" s="17">
        <f>IFERROR(VLOOKUP(A527,已除帳印單!B:C,1,0),0)*1</f>
        <v>0</v>
      </c>
      <c r="R527" s="67" t="str">
        <f>IFERROR(VLOOKUP(J527,線別!A:B,2,1),"")</f>
        <v>FM_IA預組</v>
      </c>
      <c r="S527" s="17" t="str">
        <f>IFERROR(VLOOKUP(A527,已除帳印單!B:C,2,0),"")</f>
        <v/>
      </c>
      <c r="T527" s="68">
        <f t="shared" si="54"/>
        <v>43893</v>
      </c>
      <c r="U527" s="69">
        <f t="shared" si="55"/>
        <v>84.168784722222213</v>
      </c>
      <c r="V527" s="68" t="str">
        <f>IFERROR(VLOOKUP(A527,已除帳印單!B:D,3,0),"")</f>
        <v/>
      </c>
      <c r="W527" s="69" t="str">
        <f>IFERROR(VLOOKUP(A527,已除帳印單!B:E,4,0),"")</f>
        <v/>
      </c>
      <c r="X527" s="68" t="str">
        <f>IFERROR(INDEX(刷條碼區!A:C,MATCH(點上線資訊!S527,刷條碼區!C:C,0),1),"")</f>
        <v/>
      </c>
      <c r="Y527" s="69" t="str">
        <f>IFERROR(INDEX(刷條碼區!A:C,MATCH(點上線資訊!S527,刷條碼區!C:C,0),2),"")</f>
        <v/>
      </c>
      <c r="Z527" s="70" t="str">
        <f>IFERROR(INDEX(刷條碼區!D:G,MATCH(點上線資訊!S527,刷條碼區!F:F,0),1),"")</f>
        <v/>
      </c>
      <c r="AA527" s="71" t="str">
        <f>IFERROR(INDEX(刷條碼區!D:G,MATCH(點上線資訊!S527,刷條碼區!F:F,0),2),"")</f>
        <v/>
      </c>
      <c r="AB527" s="20" t="b">
        <f t="shared" si="50"/>
        <v>0</v>
      </c>
      <c r="AC527" s="20" t="b">
        <f t="shared" si="51"/>
        <v>0</v>
      </c>
      <c r="AD527" s="17" t="b">
        <f t="shared" si="52"/>
        <v>0</v>
      </c>
      <c r="AE527" s="17" t="b">
        <f t="shared" si="53"/>
        <v>0</v>
      </c>
    </row>
    <row r="528" spans="1:31" x14ac:dyDescent="0.2">
      <c r="A528" s="16">
        <v>5000499429</v>
      </c>
      <c r="B528" t="s">
        <v>301</v>
      </c>
      <c r="C528" t="s">
        <v>301</v>
      </c>
      <c r="D528" t="s">
        <v>1</v>
      </c>
      <c r="E528" t="s">
        <v>385</v>
      </c>
      <c r="F528" t="s">
        <v>1028</v>
      </c>
      <c r="G528" s="2">
        <v>3</v>
      </c>
      <c r="H528" t="s">
        <v>461</v>
      </c>
      <c r="I528" t="s">
        <v>3</v>
      </c>
      <c r="J528" t="s">
        <v>19</v>
      </c>
      <c r="K528" t="s">
        <v>605</v>
      </c>
      <c r="L528" t="s">
        <v>608</v>
      </c>
      <c r="M528" t="s">
        <v>1018</v>
      </c>
      <c r="N528" t="s">
        <v>602</v>
      </c>
      <c r="O528" t="s">
        <v>603</v>
      </c>
      <c r="P528" t="s">
        <v>602</v>
      </c>
      <c r="Q528" s="17">
        <f>IFERROR(VLOOKUP(A528,已除帳印單!B:C,1,0),0)*1</f>
        <v>0</v>
      </c>
      <c r="R528" s="67" t="str">
        <f>IFERROR(VLOOKUP(J528,線別!A:B,2,1),"")</f>
        <v>FM_IA預組</v>
      </c>
      <c r="S528" s="17" t="str">
        <f>IFERROR(VLOOKUP(A528,已除帳印單!B:C,2,0),"")</f>
        <v/>
      </c>
      <c r="T528" s="68">
        <f t="shared" si="54"/>
        <v>43894</v>
      </c>
      <c r="U528" s="69">
        <f t="shared" si="55"/>
        <v>84.168796296296293</v>
      </c>
      <c r="V528" s="68" t="str">
        <f>IFERROR(VLOOKUP(A528,已除帳印單!B:D,3,0),"")</f>
        <v/>
      </c>
      <c r="W528" s="69" t="str">
        <f>IFERROR(VLOOKUP(A528,已除帳印單!B:E,4,0),"")</f>
        <v/>
      </c>
      <c r="X528" s="68" t="str">
        <f>IFERROR(INDEX(刷條碼區!A:C,MATCH(點上線資訊!S528,刷條碼區!C:C,0),1),"")</f>
        <v/>
      </c>
      <c r="Y528" s="69" t="str">
        <f>IFERROR(INDEX(刷條碼區!A:C,MATCH(點上線資訊!S528,刷條碼區!C:C,0),2),"")</f>
        <v/>
      </c>
      <c r="Z528" s="70" t="str">
        <f>IFERROR(INDEX(刷條碼區!D:G,MATCH(點上線資訊!S528,刷條碼區!F:F,0),1),"")</f>
        <v/>
      </c>
      <c r="AA528" s="71" t="str">
        <f>IFERROR(INDEX(刷條碼區!D:G,MATCH(點上線資訊!S528,刷條碼區!F:F,0),2),"")</f>
        <v/>
      </c>
      <c r="AB528" s="20" t="b">
        <f t="shared" si="50"/>
        <v>0</v>
      </c>
      <c r="AC528" s="20" t="b">
        <f t="shared" si="51"/>
        <v>0</v>
      </c>
      <c r="AD528" s="17" t="b">
        <f t="shared" si="52"/>
        <v>0</v>
      </c>
      <c r="AE528" s="17" t="b">
        <f t="shared" si="53"/>
        <v>0</v>
      </c>
    </row>
    <row r="529" spans="1:31" x14ac:dyDescent="0.2">
      <c r="A529" s="16">
        <v>5000499430</v>
      </c>
      <c r="B529" t="s">
        <v>6</v>
      </c>
      <c r="C529" t="s">
        <v>6</v>
      </c>
      <c r="D529" t="s">
        <v>1</v>
      </c>
      <c r="E529" t="s">
        <v>1029</v>
      </c>
      <c r="F529" t="s">
        <v>1030</v>
      </c>
      <c r="G529" s="2">
        <v>1</v>
      </c>
      <c r="H529" t="s">
        <v>461</v>
      </c>
      <c r="I529" t="s">
        <v>3</v>
      </c>
      <c r="J529" t="s">
        <v>19</v>
      </c>
      <c r="K529" t="s">
        <v>605</v>
      </c>
      <c r="L529" t="s">
        <v>608</v>
      </c>
      <c r="M529" t="s">
        <v>1021</v>
      </c>
      <c r="N529" t="s">
        <v>602</v>
      </c>
      <c r="O529" t="s">
        <v>603</v>
      </c>
      <c r="P529" t="s">
        <v>602</v>
      </c>
      <c r="Q529" s="17">
        <f>IFERROR(VLOOKUP(A529,已除帳印單!B:C,1,0),0)*1</f>
        <v>0</v>
      </c>
      <c r="R529" s="67" t="str">
        <f>IFERROR(VLOOKUP(J529,線別!A:B,2,1),"")</f>
        <v>FM_IA預組</v>
      </c>
      <c r="S529" s="17" t="str">
        <f>IFERROR(VLOOKUP(A529,已除帳印單!B:C,2,0),"")</f>
        <v/>
      </c>
      <c r="T529" s="68">
        <f t="shared" si="54"/>
        <v>43893</v>
      </c>
      <c r="U529" s="69">
        <f t="shared" si="55"/>
        <v>84.168784722222213</v>
      </c>
      <c r="V529" s="68" t="str">
        <f>IFERROR(VLOOKUP(A529,已除帳印單!B:D,3,0),"")</f>
        <v/>
      </c>
      <c r="W529" s="69" t="str">
        <f>IFERROR(VLOOKUP(A529,已除帳印單!B:E,4,0),"")</f>
        <v/>
      </c>
      <c r="X529" s="68" t="str">
        <f>IFERROR(INDEX(刷條碼區!A:C,MATCH(點上線資訊!S529,刷條碼區!C:C,0),1),"")</f>
        <v/>
      </c>
      <c r="Y529" s="69" t="str">
        <f>IFERROR(INDEX(刷條碼區!A:C,MATCH(點上線資訊!S529,刷條碼區!C:C,0),2),"")</f>
        <v/>
      </c>
      <c r="Z529" s="70" t="str">
        <f>IFERROR(INDEX(刷條碼區!D:G,MATCH(點上線資訊!S529,刷條碼區!F:F,0),1),"")</f>
        <v/>
      </c>
      <c r="AA529" s="71" t="str">
        <f>IFERROR(INDEX(刷條碼區!D:G,MATCH(點上線資訊!S529,刷條碼區!F:F,0),2),"")</f>
        <v/>
      </c>
      <c r="AB529" s="20" t="b">
        <f t="shared" si="50"/>
        <v>0</v>
      </c>
      <c r="AC529" s="20" t="b">
        <f t="shared" si="51"/>
        <v>0</v>
      </c>
      <c r="AD529" s="17" t="b">
        <f t="shared" si="52"/>
        <v>0</v>
      </c>
      <c r="AE529" s="17" t="b">
        <f t="shared" si="53"/>
        <v>0</v>
      </c>
    </row>
    <row r="530" spans="1:31" x14ac:dyDescent="0.2">
      <c r="A530" s="16">
        <v>5000499432</v>
      </c>
      <c r="B530" t="s">
        <v>301</v>
      </c>
      <c r="C530" t="s">
        <v>301</v>
      </c>
      <c r="D530" t="s">
        <v>1</v>
      </c>
      <c r="E530" t="s">
        <v>388</v>
      </c>
      <c r="F530" t="s">
        <v>1017</v>
      </c>
      <c r="G530" s="2">
        <v>4</v>
      </c>
      <c r="H530" t="s">
        <v>461</v>
      </c>
      <c r="I530" t="s">
        <v>3</v>
      </c>
      <c r="J530" t="s">
        <v>19</v>
      </c>
      <c r="K530" t="s">
        <v>605</v>
      </c>
      <c r="L530" t="s">
        <v>608</v>
      </c>
      <c r="M530" t="s">
        <v>1018</v>
      </c>
      <c r="N530" t="s">
        <v>602</v>
      </c>
      <c r="O530" t="s">
        <v>603</v>
      </c>
      <c r="P530" t="s">
        <v>602</v>
      </c>
      <c r="Q530" s="17">
        <f>IFERROR(VLOOKUP(A530,已除帳印單!B:C,1,0),0)*1</f>
        <v>0</v>
      </c>
      <c r="R530" s="67" t="str">
        <f>IFERROR(VLOOKUP(J530,線別!A:B,2,1),"")</f>
        <v>FM_IA預組</v>
      </c>
      <c r="S530" s="17" t="str">
        <f>IFERROR(VLOOKUP(A530,已除帳印單!B:C,2,0),"")</f>
        <v/>
      </c>
      <c r="T530" s="68">
        <f t="shared" si="54"/>
        <v>43894</v>
      </c>
      <c r="U530" s="69">
        <f t="shared" si="55"/>
        <v>84.168796296296293</v>
      </c>
      <c r="V530" s="68" t="str">
        <f>IFERROR(VLOOKUP(A530,已除帳印單!B:D,3,0),"")</f>
        <v/>
      </c>
      <c r="W530" s="69" t="str">
        <f>IFERROR(VLOOKUP(A530,已除帳印單!B:E,4,0),"")</f>
        <v/>
      </c>
      <c r="X530" s="68" t="str">
        <f>IFERROR(INDEX(刷條碼區!A:C,MATCH(點上線資訊!S530,刷條碼區!C:C,0),1),"")</f>
        <v/>
      </c>
      <c r="Y530" s="69" t="str">
        <f>IFERROR(INDEX(刷條碼區!A:C,MATCH(點上線資訊!S530,刷條碼區!C:C,0),2),"")</f>
        <v/>
      </c>
      <c r="Z530" s="70" t="str">
        <f>IFERROR(INDEX(刷條碼區!D:G,MATCH(點上線資訊!S530,刷條碼區!F:F,0),1),"")</f>
        <v/>
      </c>
      <c r="AA530" s="71" t="str">
        <f>IFERROR(INDEX(刷條碼區!D:G,MATCH(點上線資訊!S530,刷條碼區!F:F,0),2),"")</f>
        <v/>
      </c>
      <c r="AB530" s="20" t="b">
        <f t="shared" si="50"/>
        <v>0</v>
      </c>
      <c r="AC530" s="20" t="b">
        <f t="shared" si="51"/>
        <v>0</v>
      </c>
      <c r="AD530" s="17" t="b">
        <f t="shared" si="52"/>
        <v>0</v>
      </c>
      <c r="AE530" s="17" t="b">
        <f t="shared" si="53"/>
        <v>0</v>
      </c>
    </row>
    <row r="531" spans="1:31" x14ac:dyDescent="0.2">
      <c r="A531" s="16">
        <v>5000499433</v>
      </c>
      <c r="B531" t="s">
        <v>301</v>
      </c>
      <c r="C531" t="s">
        <v>301</v>
      </c>
      <c r="D531" t="s">
        <v>1</v>
      </c>
      <c r="E531" t="s">
        <v>387</v>
      </c>
      <c r="F531" t="s">
        <v>1031</v>
      </c>
      <c r="G531" s="2">
        <v>3</v>
      </c>
      <c r="H531" t="s">
        <v>461</v>
      </c>
      <c r="I531" t="s">
        <v>3</v>
      </c>
      <c r="J531" t="s">
        <v>19</v>
      </c>
      <c r="K531" t="s">
        <v>605</v>
      </c>
      <c r="L531" t="s">
        <v>608</v>
      </c>
      <c r="M531" t="s">
        <v>1018</v>
      </c>
      <c r="N531" t="s">
        <v>602</v>
      </c>
      <c r="O531" t="s">
        <v>603</v>
      </c>
      <c r="P531" t="s">
        <v>602</v>
      </c>
      <c r="Q531" s="17">
        <f>IFERROR(VLOOKUP(A531,已除帳印單!B:C,1,0),0)*1</f>
        <v>0</v>
      </c>
      <c r="R531" s="67" t="str">
        <f>IFERROR(VLOOKUP(J531,線別!A:B,2,1),"")</f>
        <v>FM_IA預組</v>
      </c>
      <c r="S531" s="17" t="str">
        <f>IFERROR(VLOOKUP(A531,已除帳印單!B:C,2,0),"")</f>
        <v/>
      </c>
      <c r="T531" s="68">
        <f t="shared" si="54"/>
        <v>43894</v>
      </c>
      <c r="U531" s="69">
        <f t="shared" si="55"/>
        <v>84.168796296296293</v>
      </c>
      <c r="V531" s="68" t="str">
        <f>IFERROR(VLOOKUP(A531,已除帳印單!B:D,3,0),"")</f>
        <v/>
      </c>
      <c r="W531" s="69" t="str">
        <f>IFERROR(VLOOKUP(A531,已除帳印單!B:E,4,0),"")</f>
        <v/>
      </c>
      <c r="X531" s="68" t="str">
        <f>IFERROR(INDEX(刷條碼區!A:C,MATCH(點上線資訊!S531,刷條碼區!C:C,0),1),"")</f>
        <v/>
      </c>
      <c r="Y531" s="69" t="str">
        <f>IFERROR(INDEX(刷條碼區!A:C,MATCH(點上線資訊!S531,刷條碼區!C:C,0),2),"")</f>
        <v/>
      </c>
      <c r="Z531" s="70" t="str">
        <f>IFERROR(INDEX(刷條碼區!D:G,MATCH(點上線資訊!S531,刷條碼區!F:F,0),1),"")</f>
        <v/>
      </c>
      <c r="AA531" s="71" t="str">
        <f>IFERROR(INDEX(刷條碼區!D:G,MATCH(點上線資訊!S531,刷條碼區!F:F,0),2),"")</f>
        <v/>
      </c>
      <c r="AB531" s="20" t="b">
        <f t="shared" si="50"/>
        <v>0</v>
      </c>
      <c r="AC531" s="20" t="b">
        <f t="shared" si="51"/>
        <v>0</v>
      </c>
      <c r="AD531" s="17" t="b">
        <f t="shared" si="52"/>
        <v>0</v>
      </c>
      <c r="AE531" s="17" t="b">
        <f t="shared" si="53"/>
        <v>0</v>
      </c>
    </row>
    <row r="532" spans="1:31" x14ac:dyDescent="0.2">
      <c r="A532" s="16">
        <v>5000499434</v>
      </c>
      <c r="B532" t="s">
        <v>301</v>
      </c>
      <c r="C532" t="s">
        <v>301</v>
      </c>
      <c r="D532" t="s">
        <v>1</v>
      </c>
      <c r="E532" t="s">
        <v>386</v>
      </c>
      <c r="F532" t="s">
        <v>1020</v>
      </c>
      <c r="G532" s="2">
        <v>3</v>
      </c>
      <c r="H532" t="s">
        <v>461</v>
      </c>
      <c r="I532" t="s">
        <v>3</v>
      </c>
      <c r="J532" t="s">
        <v>19</v>
      </c>
      <c r="K532" t="s">
        <v>605</v>
      </c>
      <c r="L532" t="s">
        <v>608</v>
      </c>
      <c r="M532" t="s">
        <v>1018</v>
      </c>
      <c r="N532" t="s">
        <v>602</v>
      </c>
      <c r="O532" t="s">
        <v>603</v>
      </c>
      <c r="P532" t="s">
        <v>602</v>
      </c>
      <c r="Q532" s="17">
        <f>IFERROR(VLOOKUP(A532,已除帳印單!B:C,1,0),0)*1</f>
        <v>0</v>
      </c>
      <c r="R532" s="67" t="str">
        <f>IFERROR(VLOOKUP(J532,線別!A:B,2,1),"")</f>
        <v>FM_IA預組</v>
      </c>
      <c r="S532" s="17" t="str">
        <f>IFERROR(VLOOKUP(A532,已除帳印單!B:C,2,0),"")</f>
        <v/>
      </c>
      <c r="T532" s="68">
        <f t="shared" si="54"/>
        <v>43894</v>
      </c>
      <c r="U532" s="69">
        <f t="shared" si="55"/>
        <v>84.168796296296293</v>
      </c>
      <c r="V532" s="68" t="str">
        <f>IFERROR(VLOOKUP(A532,已除帳印單!B:D,3,0),"")</f>
        <v/>
      </c>
      <c r="W532" s="69" t="str">
        <f>IFERROR(VLOOKUP(A532,已除帳印單!B:E,4,0),"")</f>
        <v/>
      </c>
      <c r="X532" s="68" t="str">
        <f>IFERROR(INDEX(刷條碼區!A:C,MATCH(點上線資訊!S532,刷條碼區!C:C,0),1),"")</f>
        <v/>
      </c>
      <c r="Y532" s="69" t="str">
        <f>IFERROR(INDEX(刷條碼區!A:C,MATCH(點上線資訊!S532,刷條碼區!C:C,0),2),"")</f>
        <v/>
      </c>
      <c r="Z532" s="70" t="str">
        <f>IFERROR(INDEX(刷條碼區!D:G,MATCH(點上線資訊!S532,刷條碼區!F:F,0),1),"")</f>
        <v/>
      </c>
      <c r="AA532" s="71" t="str">
        <f>IFERROR(INDEX(刷條碼區!D:G,MATCH(點上線資訊!S532,刷條碼區!F:F,0),2),"")</f>
        <v/>
      </c>
      <c r="AB532" s="20" t="b">
        <f t="shared" si="50"/>
        <v>0</v>
      </c>
      <c r="AC532" s="20" t="b">
        <f t="shared" si="51"/>
        <v>0</v>
      </c>
      <c r="AD532" s="17" t="b">
        <f t="shared" si="52"/>
        <v>0</v>
      </c>
      <c r="AE532" s="17" t="b">
        <f t="shared" si="53"/>
        <v>0</v>
      </c>
    </row>
    <row r="533" spans="1:31" x14ac:dyDescent="0.2">
      <c r="A533" s="16">
        <v>5000499436</v>
      </c>
      <c r="B533" t="s">
        <v>0</v>
      </c>
      <c r="C533" t="s">
        <v>0</v>
      </c>
      <c r="D533" t="s">
        <v>1</v>
      </c>
      <c r="E533" t="s">
        <v>378</v>
      </c>
      <c r="F533" t="s">
        <v>1032</v>
      </c>
      <c r="G533" s="2">
        <v>7</v>
      </c>
      <c r="H533" t="s">
        <v>461</v>
      </c>
      <c r="I533" t="s">
        <v>3</v>
      </c>
      <c r="J533" t="s">
        <v>19</v>
      </c>
      <c r="K533" t="s">
        <v>605</v>
      </c>
      <c r="L533" t="s">
        <v>608</v>
      </c>
      <c r="M533" t="s">
        <v>773</v>
      </c>
      <c r="N533" t="s">
        <v>602</v>
      </c>
      <c r="O533" t="s">
        <v>603</v>
      </c>
      <c r="P533" t="s">
        <v>602</v>
      </c>
      <c r="Q533" s="17">
        <f>IFERROR(VLOOKUP(A533,已除帳印單!B:C,1,0),0)*1</f>
        <v>0</v>
      </c>
      <c r="R533" s="67" t="str">
        <f>IFERROR(VLOOKUP(J533,線別!A:B,2,1),"")</f>
        <v>FM_IA預組</v>
      </c>
      <c r="S533" s="17" t="str">
        <f>IFERROR(VLOOKUP(A533,已除帳印單!B:C,2,0),"")</f>
        <v/>
      </c>
      <c r="T533" s="68">
        <f t="shared" si="54"/>
        <v>43892</v>
      </c>
      <c r="U533" s="69">
        <f t="shared" si="55"/>
        <v>84.168773148148148</v>
      </c>
      <c r="V533" s="68" t="str">
        <f>IFERROR(VLOOKUP(A533,已除帳印單!B:D,3,0),"")</f>
        <v/>
      </c>
      <c r="W533" s="69" t="str">
        <f>IFERROR(VLOOKUP(A533,已除帳印單!B:E,4,0),"")</f>
        <v/>
      </c>
      <c r="X533" s="68" t="str">
        <f>IFERROR(INDEX(刷條碼區!A:C,MATCH(點上線資訊!S533,刷條碼區!C:C,0),1),"")</f>
        <v/>
      </c>
      <c r="Y533" s="69" t="str">
        <f>IFERROR(INDEX(刷條碼區!A:C,MATCH(點上線資訊!S533,刷條碼區!C:C,0),2),"")</f>
        <v/>
      </c>
      <c r="Z533" s="70" t="str">
        <f>IFERROR(INDEX(刷條碼區!D:G,MATCH(點上線資訊!S533,刷條碼區!F:F,0),1),"")</f>
        <v/>
      </c>
      <c r="AA533" s="71" t="str">
        <f>IFERROR(INDEX(刷條碼區!D:G,MATCH(點上線資訊!S533,刷條碼區!F:F,0),2),"")</f>
        <v/>
      </c>
      <c r="AB533" s="20" t="b">
        <f t="shared" si="50"/>
        <v>0</v>
      </c>
      <c r="AC533" s="20" t="b">
        <f t="shared" si="51"/>
        <v>0</v>
      </c>
      <c r="AD533" s="17" t="b">
        <f t="shared" si="52"/>
        <v>0</v>
      </c>
      <c r="AE533" s="17" t="b">
        <f t="shared" si="53"/>
        <v>0</v>
      </c>
    </row>
    <row r="534" spans="1:31" x14ac:dyDescent="0.2">
      <c r="A534" s="16">
        <v>5000499437</v>
      </c>
      <c r="B534" t="s">
        <v>301</v>
      </c>
      <c r="C534" t="s">
        <v>301</v>
      </c>
      <c r="D534" t="s">
        <v>1</v>
      </c>
      <c r="E534" t="s">
        <v>378</v>
      </c>
      <c r="F534" t="s">
        <v>1032</v>
      </c>
      <c r="G534" s="2">
        <v>10</v>
      </c>
      <c r="H534" t="s">
        <v>461</v>
      </c>
      <c r="I534" t="s">
        <v>3</v>
      </c>
      <c r="J534" t="s">
        <v>19</v>
      </c>
      <c r="K534" t="s">
        <v>605</v>
      </c>
      <c r="L534" t="s">
        <v>608</v>
      </c>
      <c r="M534" t="s">
        <v>447</v>
      </c>
      <c r="N534" t="s">
        <v>602</v>
      </c>
      <c r="O534" t="s">
        <v>603</v>
      </c>
      <c r="P534" t="s">
        <v>602</v>
      </c>
      <c r="Q534" s="17">
        <f>IFERROR(VLOOKUP(A534,已除帳印單!B:C,1,0),0)*1</f>
        <v>0</v>
      </c>
      <c r="R534" s="67" t="str">
        <f>IFERROR(VLOOKUP(J534,線別!A:B,2,1),"")</f>
        <v>FM_IA預組</v>
      </c>
      <c r="S534" s="17" t="str">
        <f>IFERROR(VLOOKUP(A534,已除帳印單!B:C,2,0),"")</f>
        <v/>
      </c>
      <c r="T534" s="68">
        <f t="shared" si="54"/>
        <v>43894</v>
      </c>
      <c r="U534" s="69">
        <f t="shared" si="55"/>
        <v>84.168796296296293</v>
      </c>
      <c r="V534" s="68" t="str">
        <f>IFERROR(VLOOKUP(A534,已除帳印單!B:D,3,0),"")</f>
        <v/>
      </c>
      <c r="W534" s="69" t="str">
        <f>IFERROR(VLOOKUP(A534,已除帳印單!B:E,4,0),"")</f>
        <v/>
      </c>
      <c r="X534" s="68" t="str">
        <f>IFERROR(INDEX(刷條碼區!A:C,MATCH(點上線資訊!S534,刷條碼區!C:C,0),1),"")</f>
        <v/>
      </c>
      <c r="Y534" s="69" t="str">
        <f>IFERROR(INDEX(刷條碼區!A:C,MATCH(點上線資訊!S534,刷條碼區!C:C,0),2),"")</f>
        <v/>
      </c>
      <c r="Z534" s="70" t="str">
        <f>IFERROR(INDEX(刷條碼區!D:G,MATCH(點上線資訊!S534,刷條碼區!F:F,0),1),"")</f>
        <v/>
      </c>
      <c r="AA534" s="71" t="str">
        <f>IFERROR(INDEX(刷條碼區!D:G,MATCH(點上線資訊!S534,刷條碼區!F:F,0),2),"")</f>
        <v/>
      </c>
      <c r="AB534" s="20" t="b">
        <f t="shared" si="50"/>
        <v>0</v>
      </c>
      <c r="AC534" s="20" t="b">
        <f t="shared" si="51"/>
        <v>0</v>
      </c>
      <c r="AD534" s="17" t="b">
        <f t="shared" si="52"/>
        <v>0</v>
      </c>
      <c r="AE534" s="17" t="b">
        <f t="shared" si="53"/>
        <v>0</v>
      </c>
    </row>
    <row r="535" spans="1:31" x14ac:dyDescent="0.2">
      <c r="A535" s="16">
        <v>5000499438</v>
      </c>
      <c r="B535" t="s">
        <v>0</v>
      </c>
      <c r="C535" t="s">
        <v>0</v>
      </c>
      <c r="D535" t="s">
        <v>1</v>
      </c>
      <c r="E535" t="s">
        <v>378</v>
      </c>
      <c r="F535" t="s">
        <v>1032</v>
      </c>
      <c r="G535" s="2">
        <v>1</v>
      </c>
      <c r="H535" t="s">
        <v>461</v>
      </c>
      <c r="I535" t="s">
        <v>3</v>
      </c>
      <c r="J535" t="s">
        <v>19</v>
      </c>
      <c r="K535" t="s">
        <v>605</v>
      </c>
      <c r="L535" t="s">
        <v>608</v>
      </c>
      <c r="M535" t="s">
        <v>773</v>
      </c>
      <c r="N535" t="s">
        <v>602</v>
      </c>
      <c r="O535" t="s">
        <v>603</v>
      </c>
      <c r="P535" t="s">
        <v>602</v>
      </c>
      <c r="Q535" s="17">
        <f>IFERROR(VLOOKUP(A535,已除帳印單!B:C,1,0),0)*1</f>
        <v>0</v>
      </c>
      <c r="R535" s="67" t="str">
        <f>IFERROR(VLOOKUP(J535,線別!A:B,2,1),"")</f>
        <v>FM_IA預組</v>
      </c>
      <c r="S535" s="17" t="str">
        <f>IFERROR(VLOOKUP(A535,已除帳印單!B:C,2,0),"")</f>
        <v/>
      </c>
      <c r="T535" s="68">
        <f t="shared" si="54"/>
        <v>43892</v>
      </c>
      <c r="U535" s="69">
        <f t="shared" si="55"/>
        <v>84.168773148148148</v>
      </c>
      <c r="V535" s="68" t="str">
        <f>IFERROR(VLOOKUP(A535,已除帳印單!B:D,3,0),"")</f>
        <v/>
      </c>
      <c r="W535" s="69" t="str">
        <f>IFERROR(VLOOKUP(A535,已除帳印單!B:E,4,0),"")</f>
        <v/>
      </c>
      <c r="X535" s="68" t="str">
        <f>IFERROR(INDEX(刷條碼區!A:C,MATCH(點上線資訊!S535,刷條碼區!C:C,0),1),"")</f>
        <v/>
      </c>
      <c r="Y535" s="69" t="str">
        <f>IFERROR(INDEX(刷條碼區!A:C,MATCH(點上線資訊!S535,刷條碼區!C:C,0),2),"")</f>
        <v/>
      </c>
      <c r="Z535" s="70" t="str">
        <f>IFERROR(INDEX(刷條碼區!D:G,MATCH(點上線資訊!S535,刷條碼區!F:F,0),1),"")</f>
        <v/>
      </c>
      <c r="AA535" s="71" t="str">
        <f>IFERROR(INDEX(刷條碼區!D:G,MATCH(點上線資訊!S535,刷條碼區!F:F,0),2),"")</f>
        <v/>
      </c>
      <c r="AB535" s="20" t="b">
        <f t="shared" si="50"/>
        <v>0</v>
      </c>
      <c r="AC535" s="20" t="b">
        <f t="shared" si="51"/>
        <v>0</v>
      </c>
      <c r="AD535" s="17" t="b">
        <f t="shared" si="52"/>
        <v>0</v>
      </c>
      <c r="AE535" s="17" t="b">
        <f t="shared" si="53"/>
        <v>0</v>
      </c>
    </row>
    <row r="536" spans="1:31" x14ac:dyDescent="0.2">
      <c r="A536" s="16">
        <v>5000499439</v>
      </c>
      <c r="B536" t="s">
        <v>301</v>
      </c>
      <c r="C536" t="s">
        <v>301</v>
      </c>
      <c r="D536" t="s">
        <v>1</v>
      </c>
      <c r="E536" t="s">
        <v>379</v>
      </c>
      <c r="F536" t="s">
        <v>850</v>
      </c>
      <c r="G536" s="2">
        <v>10</v>
      </c>
      <c r="H536" t="s">
        <v>461</v>
      </c>
      <c r="I536" t="s">
        <v>3</v>
      </c>
      <c r="J536" t="s">
        <v>19</v>
      </c>
      <c r="K536" t="s">
        <v>605</v>
      </c>
      <c r="L536" t="s">
        <v>608</v>
      </c>
      <c r="M536" t="s">
        <v>447</v>
      </c>
      <c r="N536" t="s">
        <v>602</v>
      </c>
      <c r="O536" t="s">
        <v>603</v>
      </c>
      <c r="P536" t="s">
        <v>602</v>
      </c>
      <c r="Q536" s="17">
        <f>IFERROR(VLOOKUP(A536,已除帳印單!B:C,1,0),0)*1</f>
        <v>0</v>
      </c>
      <c r="R536" s="67" t="str">
        <f>IFERROR(VLOOKUP(J536,線別!A:B,2,1),"")</f>
        <v>FM_IA預組</v>
      </c>
      <c r="S536" s="17" t="str">
        <f>IFERROR(VLOOKUP(A536,已除帳印單!B:C,2,0),"")</f>
        <v/>
      </c>
      <c r="T536" s="68">
        <f t="shared" si="54"/>
        <v>43894</v>
      </c>
      <c r="U536" s="69">
        <f t="shared" si="55"/>
        <v>84.168796296296293</v>
      </c>
      <c r="V536" s="68" t="str">
        <f>IFERROR(VLOOKUP(A536,已除帳印單!B:D,3,0),"")</f>
        <v/>
      </c>
      <c r="W536" s="69" t="str">
        <f>IFERROR(VLOOKUP(A536,已除帳印單!B:E,4,0),"")</f>
        <v/>
      </c>
      <c r="X536" s="68" t="str">
        <f>IFERROR(INDEX(刷條碼區!A:C,MATCH(點上線資訊!S536,刷條碼區!C:C,0),1),"")</f>
        <v/>
      </c>
      <c r="Y536" s="69" t="str">
        <f>IFERROR(INDEX(刷條碼區!A:C,MATCH(點上線資訊!S536,刷條碼區!C:C,0),2),"")</f>
        <v/>
      </c>
      <c r="Z536" s="70" t="str">
        <f>IFERROR(INDEX(刷條碼區!D:G,MATCH(點上線資訊!S536,刷條碼區!F:F,0),1),"")</f>
        <v/>
      </c>
      <c r="AA536" s="71" t="str">
        <f>IFERROR(INDEX(刷條碼區!D:G,MATCH(點上線資訊!S536,刷條碼區!F:F,0),2),"")</f>
        <v/>
      </c>
      <c r="AB536" s="20" t="b">
        <f t="shared" si="50"/>
        <v>0</v>
      </c>
      <c r="AC536" s="20" t="b">
        <f t="shared" si="51"/>
        <v>0</v>
      </c>
      <c r="AD536" s="17" t="b">
        <f t="shared" si="52"/>
        <v>0</v>
      </c>
      <c r="AE536" s="17" t="b">
        <f t="shared" si="53"/>
        <v>0</v>
      </c>
    </row>
    <row r="537" spans="1:31" x14ac:dyDescent="0.2">
      <c r="A537" s="16">
        <v>5000499440</v>
      </c>
      <c r="B537" t="s">
        <v>301</v>
      </c>
      <c r="C537" t="s">
        <v>301</v>
      </c>
      <c r="D537" t="s">
        <v>1</v>
      </c>
      <c r="E537" t="s">
        <v>379</v>
      </c>
      <c r="F537" t="s">
        <v>850</v>
      </c>
      <c r="G537" s="2">
        <v>6</v>
      </c>
      <c r="H537" t="s">
        <v>461</v>
      </c>
      <c r="I537" t="s">
        <v>3</v>
      </c>
      <c r="J537" t="s">
        <v>19</v>
      </c>
      <c r="K537" t="s">
        <v>605</v>
      </c>
      <c r="L537" t="s">
        <v>608</v>
      </c>
      <c r="M537" t="s">
        <v>447</v>
      </c>
      <c r="N537" t="s">
        <v>602</v>
      </c>
      <c r="O537" t="s">
        <v>603</v>
      </c>
      <c r="P537" t="s">
        <v>602</v>
      </c>
      <c r="Q537" s="17">
        <f>IFERROR(VLOOKUP(A537,已除帳印單!B:C,1,0),0)*1</f>
        <v>0</v>
      </c>
      <c r="R537" s="67" t="str">
        <f>IFERROR(VLOOKUP(J537,線別!A:B,2,1),"")</f>
        <v>FM_IA預組</v>
      </c>
      <c r="S537" s="17" t="str">
        <f>IFERROR(VLOOKUP(A537,已除帳印單!B:C,2,0),"")</f>
        <v/>
      </c>
      <c r="T537" s="68">
        <f t="shared" si="54"/>
        <v>43894</v>
      </c>
      <c r="U537" s="69">
        <f t="shared" si="55"/>
        <v>84.168796296296293</v>
      </c>
      <c r="V537" s="68" t="str">
        <f>IFERROR(VLOOKUP(A537,已除帳印單!B:D,3,0),"")</f>
        <v/>
      </c>
      <c r="W537" s="69" t="str">
        <f>IFERROR(VLOOKUP(A537,已除帳印單!B:E,4,0),"")</f>
        <v/>
      </c>
      <c r="X537" s="68" t="str">
        <f>IFERROR(INDEX(刷條碼區!A:C,MATCH(點上線資訊!S537,刷條碼區!C:C,0),1),"")</f>
        <v/>
      </c>
      <c r="Y537" s="69" t="str">
        <f>IFERROR(INDEX(刷條碼區!A:C,MATCH(點上線資訊!S537,刷條碼區!C:C,0),2),"")</f>
        <v/>
      </c>
      <c r="Z537" s="70" t="str">
        <f>IFERROR(INDEX(刷條碼區!D:G,MATCH(點上線資訊!S537,刷條碼區!F:F,0),1),"")</f>
        <v/>
      </c>
      <c r="AA537" s="71" t="str">
        <f>IFERROR(INDEX(刷條碼區!D:G,MATCH(點上線資訊!S537,刷條碼區!F:F,0),2),"")</f>
        <v/>
      </c>
      <c r="AB537" s="20" t="b">
        <f t="shared" si="50"/>
        <v>0</v>
      </c>
      <c r="AC537" s="20" t="b">
        <f t="shared" si="51"/>
        <v>0</v>
      </c>
      <c r="AD537" s="17" t="b">
        <f t="shared" si="52"/>
        <v>0</v>
      </c>
      <c r="AE537" s="17" t="b">
        <f t="shared" si="53"/>
        <v>0</v>
      </c>
    </row>
    <row r="538" spans="1:31" x14ac:dyDescent="0.2">
      <c r="A538" s="16">
        <v>5000499441</v>
      </c>
      <c r="B538" t="s">
        <v>301</v>
      </c>
      <c r="C538" t="s">
        <v>301</v>
      </c>
      <c r="D538" t="s">
        <v>1</v>
      </c>
      <c r="E538" t="s">
        <v>380</v>
      </c>
      <c r="F538" t="s">
        <v>1033</v>
      </c>
      <c r="G538" s="2">
        <v>8</v>
      </c>
      <c r="H538" t="s">
        <v>461</v>
      </c>
      <c r="I538" t="s">
        <v>3</v>
      </c>
      <c r="J538" t="s">
        <v>19</v>
      </c>
      <c r="K538" t="s">
        <v>605</v>
      </c>
      <c r="L538" t="s">
        <v>608</v>
      </c>
      <c r="M538" t="s">
        <v>447</v>
      </c>
      <c r="N538" t="s">
        <v>602</v>
      </c>
      <c r="O538" t="s">
        <v>603</v>
      </c>
      <c r="P538" t="s">
        <v>602</v>
      </c>
      <c r="Q538" s="17">
        <f>IFERROR(VLOOKUP(A538,已除帳印單!B:C,1,0),0)*1</f>
        <v>0</v>
      </c>
      <c r="R538" s="67" t="str">
        <f>IFERROR(VLOOKUP(J538,線別!A:B,2,1),"")</f>
        <v>FM_IA預組</v>
      </c>
      <c r="S538" s="17" t="str">
        <f>IFERROR(VLOOKUP(A538,已除帳印單!B:C,2,0),"")</f>
        <v/>
      </c>
      <c r="T538" s="68">
        <f t="shared" si="54"/>
        <v>43894</v>
      </c>
      <c r="U538" s="69">
        <f t="shared" si="55"/>
        <v>84.168796296296293</v>
      </c>
      <c r="V538" s="68" t="str">
        <f>IFERROR(VLOOKUP(A538,已除帳印單!B:D,3,0),"")</f>
        <v/>
      </c>
      <c r="W538" s="69" t="str">
        <f>IFERROR(VLOOKUP(A538,已除帳印單!B:E,4,0),"")</f>
        <v/>
      </c>
      <c r="X538" s="68" t="str">
        <f>IFERROR(INDEX(刷條碼區!A:C,MATCH(點上線資訊!S538,刷條碼區!C:C,0),1),"")</f>
        <v/>
      </c>
      <c r="Y538" s="69" t="str">
        <f>IFERROR(INDEX(刷條碼區!A:C,MATCH(點上線資訊!S538,刷條碼區!C:C,0),2),"")</f>
        <v/>
      </c>
      <c r="Z538" s="70" t="str">
        <f>IFERROR(INDEX(刷條碼區!D:G,MATCH(點上線資訊!S538,刷條碼區!F:F,0),1),"")</f>
        <v/>
      </c>
      <c r="AA538" s="71" t="str">
        <f>IFERROR(INDEX(刷條碼區!D:G,MATCH(點上線資訊!S538,刷條碼區!F:F,0),2),"")</f>
        <v/>
      </c>
      <c r="AB538" s="20" t="b">
        <f t="shared" si="50"/>
        <v>0</v>
      </c>
      <c r="AC538" s="20" t="b">
        <f t="shared" si="51"/>
        <v>0</v>
      </c>
      <c r="AD538" s="17" t="b">
        <f t="shared" si="52"/>
        <v>0</v>
      </c>
      <c r="AE538" s="17" t="b">
        <f t="shared" si="53"/>
        <v>0</v>
      </c>
    </row>
    <row r="539" spans="1:31" x14ac:dyDescent="0.2">
      <c r="A539" s="16">
        <v>5000499442</v>
      </c>
      <c r="B539" t="s">
        <v>6</v>
      </c>
      <c r="C539" t="s">
        <v>6</v>
      </c>
      <c r="D539" t="s">
        <v>1</v>
      </c>
      <c r="E539" t="s">
        <v>1034</v>
      </c>
      <c r="F539" t="s">
        <v>1035</v>
      </c>
      <c r="G539" s="2">
        <v>4</v>
      </c>
      <c r="H539" t="s">
        <v>461</v>
      </c>
      <c r="I539" t="s">
        <v>3</v>
      </c>
      <c r="J539" t="s">
        <v>19</v>
      </c>
      <c r="K539" t="s">
        <v>605</v>
      </c>
      <c r="L539" t="s">
        <v>608</v>
      </c>
      <c r="M539" t="s">
        <v>1036</v>
      </c>
      <c r="N539" t="s">
        <v>602</v>
      </c>
      <c r="O539" t="s">
        <v>603</v>
      </c>
      <c r="P539" t="s">
        <v>602</v>
      </c>
      <c r="Q539" s="17">
        <f>IFERROR(VLOOKUP(A539,已除帳印單!B:C,1,0),0)*1</f>
        <v>0</v>
      </c>
      <c r="R539" s="67" t="str">
        <f>IFERROR(VLOOKUP(J539,線別!A:B,2,1),"")</f>
        <v>FM_IA預組</v>
      </c>
      <c r="S539" s="17" t="str">
        <f>IFERROR(VLOOKUP(A539,已除帳印單!B:C,2,0),"")</f>
        <v/>
      </c>
      <c r="T539" s="68">
        <f t="shared" si="54"/>
        <v>43893</v>
      </c>
      <c r="U539" s="69">
        <f t="shared" si="55"/>
        <v>84.168784722222213</v>
      </c>
      <c r="V539" s="68" t="str">
        <f>IFERROR(VLOOKUP(A539,已除帳印單!B:D,3,0),"")</f>
        <v/>
      </c>
      <c r="W539" s="69" t="str">
        <f>IFERROR(VLOOKUP(A539,已除帳印單!B:E,4,0),"")</f>
        <v/>
      </c>
      <c r="X539" s="68" t="str">
        <f>IFERROR(INDEX(刷條碼區!A:C,MATCH(點上線資訊!S539,刷條碼區!C:C,0),1),"")</f>
        <v/>
      </c>
      <c r="Y539" s="69" t="str">
        <f>IFERROR(INDEX(刷條碼區!A:C,MATCH(點上線資訊!S539,刷條碼區!C:C,0),2),"")</f>
        <v/>
      </c>
      <c r="Z539" s="70" t="str">
        <f>IFERROR(INDEX(刷條碼區!D:G,MATCH(點上線資訊!S539,刷條碼區!F:F,0),1),"")</f>
        <v/>
      </c>
      <c r="AA539" s="71" t="str">
        <f>IFERROR(INDEX(刷條碼區!D:G,MATCH(點上線資訊!S539,刷條碼區!F:F,0),2),"")</f>
        <v/>
      </c>
      <c r="AB539" s="20" t="b">
        <f t="shared" si="50"/>
        <v>0</v>
      </c>
      <c r="AC539" s="20" t="b">
        <f t="shared" si="51"/>
        <v>0</v>
      </c>
      <c r="AD539" s="17" t="b">
        <f t="shared" si="52"/>
        <v>0</v>
      </c>
      <c r="AE539" s="17" t="b">
        <f t="shared" si="53"/>
        <v>0</v>
      </c>
    </row>
    <row r="540" spans="1:31" x14ac:dyDescent="0.2">
      <c r="A540" s="16">
        <v>5000499443</v>
      </c>
      <c r="B540" t="s">
        <v>6</v>
      </c>
      <c r="C540" t="s">
        <v>6</v>
      </c>
      <c r="D540" t="s">
        <v>1</v>
      </c>
      <c r="E540" t="s">
        <v>1037</v>
      </c>
      <c r="F540" t="s">
        <v>1038</v>
      </c>
      <c r="G540" s="2">
        <v>5</v>
      </c>
      <c r="H540" t="s">
        <v>461</v>
      </c>
      <c r="I540" t="s">
        <v>3</v>
      </c>
      <c r="J540" t="s">
        <v>19</v>
      </c>
      <c r="K540" t="s">
        <v>605</v>
      </c>
      <c r="L540" t="s">
        <v>608</v>
      </c>
      <c r="M540" t="s">
        <v>1036</v>
      </c>
      <c r="N540" t="s">
        <v>602</v>
      </c>
      <c r="O540" t="s">
        <v>603</v>
      </c>
      <c r="P540" t="s">
        <v>602</v>
      </c>
      <c r="Q540" s="17">
        <f>IFERROR(VLOOKUP(A540,已除帳印單!B:C,1,0),0)*1</f>
        <v>0</v>
      </c>
      <c r="R540" s="67" t="str">
        <f>IFERROR(VLOOKUP(J540,線別!A:B,2,1),"")</f>
        <v>FM_IA預組</v>
      </c>
      <c r="S540" s="17" t="str">
        <f>IFERROR(VLOOKUP(A540,已除帳印單!B:C,2,0),"")</f>
        <v/>
      </c>
      <c r="T540" s="68">
        <f t="shared" si="54"/>
        <v>43893</v>
      </c>
      <c r="U540" s="69">
        <f t="shared" si="55"/>
        <v>84.168784722222213</v>
      </c>
      <c r="V540" s="68" t="str">
        <f>IFERROR(VLOOKUP(A540,已除帳印單!B:D,3,0),"")</f>
        <v/>
      </c>
      <c r="W540" s="69" t="str">
        <f>IFERROR(VLOOKUP(A540,已除帳印單!B:E,4,0),"")</f>
        <v/>
      </c>
      <c r="X540" s="68" t="str">
        <f>IFERROR(INDEX(刷條碼區!A:C,MATCH(點上線資訊!S540,刷條碼區!C:C,0),1),"")</f>
        <v/>
      </c>
      <c r="Y540" s="69" t="str">
        <f>IFERROR(INDEX(刷條碼區!A:C,MATCH(點上線資訊!S540,刷條碼區!C:C,0),2),"")</f>
        <v/>
      </c>
      <c r="Z540" s="70" t="str">
        <f>IFERROR(INDEX(刷條碼區!D:G,MATCH(點上線資訊!S540,刷條碼區!F:F,0),1),"")</f>
        <v/>
      </c>
      <c r="AA540" s="71" t="str">
        <f>IFERROR(INDEX(刷條碼區!D:G,MATCH(點上線資訊!S540,刷條碼區!F:F,0),2),"")</f>
        <v/>
      </c>
      <c r="AB540" s="20" t="b">
        <f t="shared" si="50"/>
        <v>0</v>
      </c>
      <c r="AC540" s="20" t="b">
        <f t="shared" si="51"/>
        <v>0</v>
      </c>
      <c r="AD540" s="17" t="b">
        <f t="shared" si="52"/>
        <v>0</v>
      </c>
      <c r="AE540" s="17" t="b">
        <f t="shared" si="53"/>
        <v>0</v>
      </c>
    </row>
    <row r="541" spans="1:31" x14ac:dyDescent="0.2">
      <c r="A541" s="16">
        <v>5000499444</v>
      </c>
      <c r="B541" t="s">
        <v>6</v>
      </c>
      <c r="C541" t="s">
        <v>6</v>
      </c>
      <c r="D541" t="s">
        <v>1</v>
      </c>
      <c r="E541" t="s">
        <v>1039</v>
      </c>
      <c r="F541" t="s">
        <v>1040</v>
      </c>
      <c r="G541" s="2">
        <v>3</v>
      </c>
      <c r="H541" t="s">
        <v>461</v>
      </c>
      <c r="I541" t="s">
        <v>3</v>
      </c>
      <c r="J541" t="s">
        <v>19</v>
      </c>
      <c r="K541" t="s">
        <v>605</v>
      </c>
      <c r="L541" t="s">
        <v>608</v>
      </c>
      <c r="M541" t="s">
        <v>1036</v>
      </c>
      <c r="N541" t="s">
        <v>602</v>
      </c>
      <c r="O541" t="s">
        <v>603</v>
      </c>
      <c r="P541" t="s">
        <v>602</v>
      </c>
      <c r="Q541" s="17">
        <f>IFERROR(VLOOKUP(A541,已除帳印單!B:C,1,0),0)*1</f>
        <v>0</v>
      </c>
      <c r="R541" s="67" t="str">
        <f>IFERROR(VLOOKUP(J541,線別!A:B,2,1),"")</f>
        <v>FM_IA預組</v>
      </c>
      <c r="S541" s="17" t="str">
        <f>IFERROR(VLOOKUP(A541,已除帳印單!B:C,2,0),"")</f>
        <v/>
      </c>
      <c r="T541" s="68">
        <f t="shared" si="54"/>
        <v>43893</v>
      </c>
      <c r="U541" s="69">
        <f t="shared" si="55"/>
        <v>84.168784722222213</v>
      </c>
      <c r="V541" s="68" t="str">
        <f>IFERROR(VLOOKUP(A541,已除帳印單!B:D,3,0),"")</f>
        <v/>
      </c>
      <c r="W541" s="69" t="str">
        <f>IFERROR(VLOOKUP(A541,已除帳印單!B:E,4,0),"")</f>
        <v/>
      </c>
      <c r="X541" s="68" t="str">
        <f>IFERROR(INDEX(刷條碼區!A:C,MATCH(點上線資訊!S541,刷條碼區!C:C,0),1),"")</f>
        <v/>
      </c>
      <c r="Y541" s="69" t="str">
        <f>IFERROR(INDEX(刷條碼區!A:C,MATCH(點上線資訊!S541,刷條碼區!C:C,0),2),"")</f>
        <v/>
      </c>
      <c r="Z541" s="70" t="str">
        <f>IFERROR(INDEX(刷條碼區!D:G,MATCH(點上線資訊!S541,刷條碼區!F:F,0),1),"")</f>
        <v/>
      </c>
      <c r="AA541" s="71" t="str">
        <f>IFERROR(INDEX(刷條碼區!D:G,MATCH(點上線資訊!S541,刷條碼區!F:F,0),2),"")</f>
        <v/>
      </c>
      <c r="AB541" s="20" t="b">
        <f t="shared" si="50"/>
        <v>0</v>
      </c>
      <c r="AC541" s="20" t="b">
        <f t="shared" si="51"/>
        <v>0</v>
      </c>
      <c r="AD541" s="17" t="b">
        <f t="shared" si="52"/>
        <v>0</v>
      </c>
      <c r="AE541" s="17" t="b">
        <f t="shared" si="53"/>
        <v>0</v>
      </c>
    </row>
    <row r="542" spans="1:31" x14ac:dyDescent="0.2">
      <c r="A542" s="16">
        <v>5000499448</v>
      </c>
      <c r="B542" t="s">
        <v>301</v>
      </c>
      <c r="C542" t="s">
        <v>301</v>
      </c>
      <c r="D542" t="s">
        <v>1</v>
      </c>
      <c r="E542" t="s">
        <v>524</v>
      </c>
      <c r="F542" t="s">
        <v>525</v>
      </c>
      <c r="G542" s="2">
        <v>1</v>
      </c>
      <c r="H542" t="s">
        <v>461</v>
      </c>
      <c r="I542" t="s">
        <v>3</v>
      </c>
      <c r="J542" t="s">
        <v>8</v>
      </c>
      <c r="K542" t="s">
        <v>602</v>
      </c>
      <c r="L542" t="s">
        <v>603</v>
      </c>
      <c r="M542" t="s">
        <v>602</v>
      </c>
      <c r="N542" t="s">
        <v>602</v>
      </c>
      <c r="O542" t="s">
        <v>603</v>
      </c>
      <c r="P542" t="s">
        <v>602</v>
      </c>
      <c r="Q542" s="17">
        <f>IFERROR(VLOOKUP(A542,已除帳印單!B:C,1,0),0)*1</f>
        <v>0</v>
      </c>
      <c r="R542" s="67" t="str">
        <f>IFERROR(VLOOKUP(J542,線別!A:B,2,1),"")</f>
        <v>裝一線</v>
      </c>
      <c r="S542" s="17" t="str">
        <f>IFERROR(VLOOKUP(A542,已除帳印單!B:C,2,0),"")</f>
        <v/>
      </c>
      <c r="T542" s="68">
        <f t="shared" si="54"/>
        <v>43894</v>
      </c>
      <c r="U542" s="69">
        <f t="shared" si="55"/>
        <v>84.168796296296293</v>
      </c>
      <c r="V542" s="68" t="str">
        <f>IFERROR(VLOOKUP(A542,已除帳印單!B:D,3,0),"")</f>
        <v/>
      </c>
      <c r="W542" s="69" t="str">
        <f>IFERROR(VLOOKUP(A542,已除帳印單!B:E,4,0),"")</f>
        <v/>
      </c>
      <c r="X542" s="68" t="str">
        <f>IFERROR(INDEX(刷條碼區!A:C,MATCH(點上線資訊!S542,刷條碼區!C:C,0),1),"")</f>
        <v/>
      </c>
      <c r="Y542" s="69" t="str">
        <f>IFERROR(INDEX(刷條碼區!A:C,MATCH(點上線資訊!S542,刷條碼區!C:C,0),2),"")</f>
        <v/>
      </c>
      <c r="Z542" s="70" t="str">
        <f>IFERROR(INDEX(刷條碼區!D:G,MATCH(點上線資訊!S542,刷條碼區!F:F,0),1),"")</f>
        <v/>
      </c>
      <c r="AA542" s="71" t="str">
        <f>IFERROR(INDEX(刷條碼區!D:G,MATCH(點上線資訊!S542,刷條碼區!F:F,0),2),"")</f>
        <v/>
      </c>
      <c r="AB542" s="20">
        <f t="shared" si="50"/>
        <v>1</v>
      </c>
      <c r="AC542" s="20" t="b">
        <f t="shared" si="51"/>
        <v>0</v>
      </c>
      <c r="AD542" s="17" t="b">
        <f t="shared" si="52"/>
        <v>0</v>
      </c>
      <c r="AE542" s="17" t="b">
        <f t="shared" si="53"/>
        <v>0</v>
      </c>
    </row>
    <row r="543" spans="1:31" x14ac:dyDescent="0.2">
      <c r="A543" s="16">
        <v>5000499449</v>
      </c>
      <c r="B543" t="s">
        <v>301</v>
      </c>
      <c r="C543" t="s">
        <v>301</v>
      </c>
      <c r="D543" t="s">
        <v>1</v>
      </c>
      <c r="E543" t="s">
        <v>541</v>
      </c>
      <c r="F543" t="s">
        <v>542</v>
      </c>
      <c r="G543" s="2">
        <v>5</v>
      </c>
      <c r="H543" t="s">
        <v>461</v>
      </c>
      <c r="I543" t="s">
        <v>3</v>
      </c>
      <c r="J543" t="s">
        <v>8</v>
      </c>
      <c r="K543" t="s">
        <v>602</v>
      </c>
      <c r="L543" t="s">
        <v>603</v>
      </c>
      <c r="M543" t="s">
        <v>602</v>
      </c>
      <c r="N543" t="s">
        <v>602</v>
      </c>
      <c r="O543" t="s">
        <v>603</v>
      </c>
      <c r="P543" t="s">
        <v>602</v>
      </c>
      <c r="Q543" s="17">
        <f>IFERROR(VLOOKUP(A543,已除帳印單!B:C,1,0),0)*1</f>
        <v>0</v>
      </c>
      <c r="R543" s="67" t="str">
        <f>IFERROR(VLOOKUP(J543,線別!A:B,2,1),"")</f>
        <v>裝一線</v>
      </c>
      <c r="S543" s="17" t="str">
        <f>IFERROR(VLOOKUP(A543,已除帳印單!B:C,2,0),"")</f>
        <v/>
      </c>
      <c r="T543" s="68">
        <f t="shared" si="54"/>
        <v>43894</v>
      </c>
      <c r="U543" s="69">
        <f t="shared" si="55"/>
        <v>84.168796296296293</v>
      </c>
      <c r="V543" s="68" t="str">
        <f>IFERROR(VLOOKUP(A543,已除帳印單!B:D,3,0),"")</f>
        <v/>
      </c>
      <c r="W543" s="69" t="str">
        <f>IFERROR(VLOOKUP(A543,已除帳印單!B:E,4,0),"")</f>
        <v/>
      </c>
      <c r="X543" s="68" t="str">
        <f>IFERROR(INDEX(刷條碼區!A:C,MATCH(點上線資訊!S543,刷條碼區!C:C,0),1),"")</f>
        <v/>
      </c>
      <c r="Y543" s="69" t="str">
        <f>IFERROR(INDEX(刷條碼區!A:C,MATCH(點上線資訊!S543,刷條碼區!C:C,0),2),"")</f>
        <v/>
      </c>
      <c r="Z543" s="70" t="str">
        <f>IFERROR(INDEX(刷條碼區!D:G,MATCH(點上線資訊!S543,刷條碼區!F:F,0),1),"")</f>
        <v/>
      </c>
      <c r="AA543" s="71" t="str">
        <f>IFERROR(INDEX(刷條碼區!D:G,MATCH(點上線資訊!S543,刷條碼區!F:F,0),2),"")</f>
        <v/>
      </c>
      <c r="AB543" s="20">
        <f t="shared" si="50"/>
        <v>5</v>
      </c>
      <c r="AC543" s="20" t="b">
        <f t="shared" si="51"/>
        <v>0</v>
      </c>
      <c r="AD543" s="17" t="b">
        <f t="shared" si="52"/>
        <v>0</v>
      </c>
      <c r="AE543" s="17" t="b">
        <f t="shared" si="53"/>
        <v>0</v>
      </c>
    </row>
    <row r="544" spans="1:31" x14ac:dyDescent="0.2">
      <c r="A544" s="16">
        <v>5000499450</v>
      </c>
      <c r="B544" t="s">
        <v>6</v>
      </c>
      <c r="C544" t="s">
        <v>6</v>
      </c>
      <c r="D544" t="s">
        <v>1</v>
      </c>
      <c r="E544" t="s">
        <v>1041</v>
      </c>
      <c r="F544" t="s">
        <v>1042</v>
      </c>
      <c r="G544" s="2">
        <v>6</v>
      </c>
      <c r="H544" t="s">
        <v>461</v>
      </c>
      <c r="I544" t="s">
        <v>3</v>
      </c>
      <c r="J544" t="s">
        <v>8</v>
      </c>
      <c r="K544" t="s">
        <v>605</v>
      </c>
      <c r="L544" t="s">
        <v>608</v>
      </c>
      <c r="M544" t="s">
        <v>405</v>
      </c>
      <c r="N544" t="s">
        <v>602</v>
      </c>
      <c r="O544" t="s">
        <v>603</v>
      </c>
      <c r="P544" t="s">
        <v>602</v>
      </c>
      <c r="Q544" s="17">
        <f>IFERROR(VLOOKUP(A544,已除帳印單!B:C,1,0),0)*1</f>
        <v>0</v>
      </c>
      <c r="R544" s="67" t="str">
        <f>IFERROR(VLOOKUP(J544,線別!A:B,2,1),"")</f>
        <v>裝一線</v>
      </c>
      <c r="S544" s="17" t="str">
        <f>IFERROR(VLOOKUP(A544,已除帳印單!B:C,2,0),"")</f>
        <v/>
      </c>
      <c r="T544" s="68">
        <f t="shared" si="54"/>
        <v>43893</v>
      </c>
      <c r="U544" s="69">
        <f t="shared" si="55"/>
        <v>84.168784722222213</v>
      </c>
      <c r="V544" s="68" t="str">
        <f>IFERROR(VLOOKUP(A544,已除帳印單!B:D,3,0),"")</f>
        <v/>
      </c>
      <c r="W544" s="69" t="str">
        <f>IFERROR(VLOOKUP(A544,已除帳印單!B:E,4,0),"")</f>
        <v/>
      </c>
      <c r="X544" s="68" t="str">
        <f>IFERROR(INDEX(刷條碼區!A:C,MATCH(點上線資訊!S544,刷條碼區!C:C,0),1),"")</f>
        <v/>
      </c>
      <c r="Y544" s="69" t="str">
        <f>IFERROR(INDEX(刷條碼區!A:C,MATCH(點上線資訊!S544,刷條碼區!C:C,0),2),"")</f>
        <v/>
      </c>
      <c r="Z544" s="70" t="str">
        <f>IFERROR(INDEX(刷條碼區!D:G,MATCH(點上線資訊!S544,刷條碼區!F:F,0),1),"")</f>
        <v/>
      </c>
      <c r="AA544" s="71" t="str">
        <f>IFERROR(INDEX(刷條碼區!D:G,MATCH(點上線資訊!S544,刷條碼區!F:F,0),2),"")</f>
        <v/>
      </c>
      <c r="AB544" s="20" t="b">
        <f t="shared" si="50"/>
        <v>0</v>
      </c>
      <c r="AC544" s="20" t="b">
        <f t="shared" si="51"/>
        <v>0</v>
      </c>
      <c r="AD544" s="17" t="b">
        <f t="shared" si="52"/>
        <v>0</v>
      </c>
      <c r="AE544" s="17" t="b">
        <f t="shared" si="53"/>
        <v>0</v>
      </c>
    </row>
    <row r="545" spans="1:31" x14ac:dyDescent="0.2">
      <c r="A545" s="16">
        <v>5000499451</v>
      </c>
      <c r="B545" t="s">
        <v>301</v>
      </c>
      <c r="C545" t="s">
        <v>301</v>
      </c>
      <c r="D545" t="s">
        <v>1</v>
      </c>
      <c r="E545" t="s">
        <v>543</v>
      </c>
      <c r="F545" t="s">
        <v>544</v>
      </c>
      <c r="G545" s="2">
        <v>10</v>
      </c>
      <c r="H545" t="s">
        <v>461</v>
      </c>
      <c r="I545" t="s">
        <v>3</v>
      </c>
      <c r="J545" t="s">
        <v>8</v>
      </c>
      <c r="K545" t="s">
        <v>602</v>
      </c>
      <c r="L545" t="s">
        <v>603</v>
      </c>
      <c r="M545" t="s">
        <v>602</v>
      </c>
      <c r="N545" t="s">
        <v>602</v>
      </c>
      <c r="O545" t="s">
        <v>603</v>
      </c>
      <c r="P545" t="s">
        <v>602</v>
      </c>
      <c r="Q545" s="17">
        <f>IFERROR(VLOOKUP(A545,已除帳印單!B:C,1,0),0)*1</f>
        <v>0</v>
      </c>
      <c r="R545" s="67" t="str">
        <f>IFERROR(VLOOKUP(J545,線別!A:B,2,1),"")</f>
        <v>裝一線</v>
      </c>
      <c r="S545" s="17" t="str">
        <f>IFERROR(VLOOKUP(A545,已除帳印單!B:C,2,0),"")</f>
        <v/>
      </c>
      <c r="T545" s="68">
        <f t="shared" si="54"/>
        <v>43894</v>
      </c>
      <c r="U545" s="69">
        <f t="shared" si="55"/>
        <v>84.168796296296293</v>
      </c>
      <c r="V545" s="68" t="str">
        <f>IFERROR(VLOOKUP(A545,已除帳印單!B:D,3,0),"")</f>
        <v/>
      </c>
      <c r="W545" s="69" t="str">
        <f>IFERROR(VLOOKUP(A545,已除帳印單!B:E,4,0),"")</f>
        <v/>
      </c>
      <c r="X545" s="68" t="str">
        <f>IFERROR(INDEX(刷條碼區!A:C,MATCH(點上線資訊!S545,刷條碼區!C:C,0),1),"")</f>
        <v/>
      </c>
      <c r="Y545" s="69" t="str">
        <f>IFERROR(INDEX(刷條碼區!A:C,MATCH(點上線資訊!S545,刷條碼區!C:C,0),2),"")</f>
        <v/>
      </c>
      <c r="Z545" s="70" t="str">
        <f>IFERROR(INDEX(刷條碼區!D:G,MATCH(點上線資訊!S545,刷條碼區!F:F,0),1),"")</f>
        <v/>
      </c>
      <c r="AA545" s="71" t="str">
        <f>IFERROR(INDEX(刷條碼區!D:G,MATCH(點上線資訊!S545,刷條碼區!F:F,0),2),"")</f>
        <v/>
      </c>
      <c r="AB545" s="20">
        <f t="shared" si="50"/>
        <v>10</v>
      </c>
      <c r="AC545" s="20" t="b">
        <f t="shared" si="51"/>
        <v>0</v>
      </c>
      <c r="AD545" s="17" t="b">
        <f t="shared" si="52"/>
        <v>0</v>
      </c>
      <c r="AE545" s="17" t="b">
        <f t="shared" si="53"/>
        <v>0</v>
      </c>
    </row>
    <row r="546" spans="1:31" x14ac:dyDescent="0.2">
      <c r="A546" s="16">
        <v>5000499452</v>
      </c>
      <c r="B546" t="s">
        <v>301</v>
      </c>
      <c r="C546" t="s">
        <v>301</v>
      </c>
      <c r="D546" t="s">
        <v>1</v>
      </c>
      <c r="E546" t="s">
        <v>543</v>
      </c>
      <c r="F546" t="s">
        <v>544</v>
      </c>
      <c r="G546" s="2">
        <v>3</v>
      </c>
      <c r="H546" t="s">
        <v>461</v>
      </c>
      <c r="I546" t="s">
        <v>3</v>
      </c>
      <c r="J546" t="s">
        <v>8</v>
      </c>
      <c r="K546" t="s">
        <v>602</v>
      </c>
      <c r="L546" t="s">
        <v>603</v>
      </c>
      <c r="M546" t="s">
        <v>602</v>
      </c>
      <c r="N546" t="s">
        <v>602</v>
      </c>
      <c r="O546" t="s">
        <v>603</v>
      </c>
      <c r="P546" t="s">
        <v>602</v>
      </c>
      <c r="Q546" s="17">
        <f>IFERROR(VLOOKUP(A546,已除帳印單!B:C,1,0),0)*1</f>
        <v>0</v>
      </c>
      <c r="R546" s="67" t="str">
        <f>IFERROR(VLOOKUP(J546,線別!A:B,2,1),"")</f>
        <v>裝一線</v>
      </c>
      <c r="S546" s="17" t="str">
        <f>IFERROR(VLOOKUP(A546,已除帳印單!B:C,2,0),"")</f>
        <v/>
      </c>
      <c r="T546" s="68">
        <f t="shared" si="54"/>
        <v>43894</v>
      </c>
      <c r="U546" s="69">
        <f t="shared" si="55"/>
        <v>84.168796296296293</v>
      </c>
      <c r="V546" s="68" t="str">
        <f>IFERROR(VLOOKUP(A546,已除帳印單!B:D,3,0),"")</f>
        <v/>
      </c>
      <c r="W546" s="69" t="str">
        <f>IFERROR(VLOOKUP(A546,已除帳印單!B:E,4,0),"")</f>
        <v/>
      </c>
      <c r="X546" s="68" t="str">
        <f>IFERROR(INDEX(刷條碼區!A:C,MATCH(點上線資訊!S546,刷條碼區!C:C,0),1),"")</f>
        <v/>
      </c>
      <c r="Y546" s="69" t="str">
        <f>IFERROR(INDEX(刷條碼區!A:C,MATCH(點上線資訊!S546,刷條碼區!C:C,0),2),"")</f>
        <v/>
      </c>
      <c r="Z546" s="70" t="str">
        <f>IFERROR(INDEX(刷條碼區!D:G,MATCH(點上線資訊!S546,刷條碼區!F:F,0),1),"")</f>
        <v/>
      </c>
      <c r="AA546" s="71" t="str">
        <f>IFERROR(INDEX(刷條碼區!D:G,MATCH(點上線資訊!S546,刷條碼區!F:F,0),2),"")</f>
        <v/>
      </c>
      <c r="AB546" s="20">
        <f t="shared" si="50"/>
        <v>3</v>
      </c>
      <c r="AC546" s="20" t="b">
        <f t="shared" si="51"/>
        <v>0</v>
      </c>
      <c r="AD546" s="17" t="b">
        <f t="shared" si="52"/>
        <v>0</v>
      </c>
      <c r="AE546" s="17" t="b">
        <f t="shared" si="53"/>
        <v>0</v>
      </c>
    </row>
    <row r="547" spans="1:31" x14ac:dyDescent="0.2">
      <c r="A547" s="16">
        <v>5000499453</v>
      </c>
      <c r="B547" t="s">
        <v>6</v>
      </c>
      <c r="C547" t="s">
        <v>6</v>
      </c>
      <c r="D547" t="s">
        <v>1</v>
      </c>
      <c r="E547" t="s">
        <v>95</v>
      </c>
      <c r="F547" t="s">
        <v>574</v>
      </c>
      <c r="G547" s="2">
        <v>1</v>
      </c>
      <c r="H547" t="s">
        <v>461</v>
      </c>
      <c r="I547" t="s">
        <v>3</v>
      </c>
      <c r="J547" t="s">
        <v>8</v>
      </c>
      <c r="K547" t="s">
        <v>605</v>
      </c>
      <c r="L547" t="s">
        <v>608</v>
      </c>
      <c r="M547" t="s">
        <v>762</v>
      </c>
      <c r="N547" t="s">
        <v>602</v>
      </c>
      <c r="O547" t="s">
        <v>603</v>
      </c>
      <c r="P547" t="s">
        <v>602</v>
      </c>
      <c r="Q547" s="17">
        <f>IFERROR(VLOOKUP(A547,已除帳印單!B:C,1,0),0)*1</f>
        <v>0</v>
      </c>
      <c r="R547" s="67" t="str">
        <f>IFERROR(VLOOKUP(J547,線別!A:B,2,1),"")</f>
        <v>裝一線</v>
      </c>
      <c r="S547" s="17" t="str">
        <f>IFERROR(VLOOKUP(A547,已除帳印單!B:C,2,0),"")</f>
        <v/>
      </c>
      <c r="T547" s="68">
        <f t="shared" si="54"/>
        <v>43893</v>
      </c>
      <c r="U547" s="69">
        <f t="shared" si="55"/>
        <v>84.168784722222213</v>
      </c>
      <c r="V547" s="68" t="str">
        <f>IFERROR(VLOOKUP(A547,已除帳印單!B:D,3,0),"")</f>
        <v/>
      </c>
      <c r="W547" s="69" t="str">
        <f>IFERROR(VLOOKUP(A547,已除帳印單!B:E,4,0),"")</f>
        <v/>
      </c>
      <c r="X547" s="68" t="str">
        <f>IFERROR(INDEX(刷條碼區!A:C,MATCH(點上線資訊!S547,刷條碼區!C:C,0),1),"")</f>
        <v/>
      </c>
      <c r="Y547" s="69" t="str">
        <f>IFERROR(INDEX(刷條碼區!A:C,MATCH(點上線資訊!S547,刷條碼區!C:C,0),2),"")</f>
        <v/>
      </c>
      <c r="Z547" s="70" t="str">
        <f>IFERROR(INDEX(刷條碼區!D:G,MATCH(點上線資訊!S547,刷條碼區!F:F,0),1),"")</f>
        <v/>
      </c>
      <c r="AA547" s="71" t="str">
        <f>IFERROR(INDEX(刷條碼區!D:G,MATCH(點上線資訊!S547,刷條碼區!F:F,0),2),"")</f>
        <v/>
      </c>
      <c r="AB547" s="20" t="b">
        <f t="shared" si="50"/>
        <v>0</v>
      </c>
      <c r="AC547" s="20" t="b">
        <f t="shared" si="51"/>
        <v>0</v>
      </c>
      <c r="AD547" s="17" t="b">
        <f t="shared" si="52"/>
        <v>0</v>
      </c>
      <c r="AE547" s="17" t="b">
        <f t="shared" si="53"/>
        <v>0</v>
      </c>
    </row>
    <row r="548" spans="1:31" x14ac:dyDescent="0.2">
      <c r="A548" s="16">
        <v>5000499454</v>
      </c>
      <c r="B548" t="s">
        <v>301</v>
      </c>
      <c r="C548" t="s">
        <v>301</v>
      </c>
      <c r="D548" t="s">
        <v>1</v>
      </c>
      <c r="E548" t="s">
        <v>545</v>
      </c>
      <c r="F548" t="s">
        <v>546</v>
      </c>
      <c r="G548" s="2">
        <v>6</v>
      </c>
      <c r="H548" t="s">
        <v>461</v>
      </c>
      <c r="I548" t="s">
        <v>3</v>
      </c>
      <c r="J548" t="s">
        <v>8</v>
      </c>
      <c r="K548" t="s">
        <v>602</v>
      </c>
      <c r="L548" t="s">
        <v>603</v>
      </c>
      <c r="M548" t="s">
        <v>602</v>
      </c>
      <c r="N548" t="s">
        <v>602</v>
      </c>
      <c r="O548" t="s">
        <v>603</v>
      </c>
      <c r="P548" t="s">
        <v>602</v>
      </c>
      <c r="Q548" s="17">
        <f>IFERROR(VLOOKUP(A548,已除帳印單!B:C,1,0),0)*1</f>
        <v>0</v>
      </c>
      <c r="R548" s="67" t="str">
        <f>IFERROR(VLOOKUP(J548,線別!A:B,2,1),"")</f>
        <v>裝一線</v>
      </c>
      <c r="S548" s="17" t="str">
        <f>IFERROR(VLOOKUP(A548,已除帳印單!B:C,2,0),"")</f>
        <v/>
      </c>
      <c r="T548" s="68">
        <f t="shared" si="54"/>
        <v>43894</v>
      </c>
      <c r="U548" s="69">
        <f t="shared" si="55"/>
        <v>84.168796296296293</v>
      </c>
      <c r="V548" s="68" t="str">
        <f>IFERROR(VLOOKUP(A548,已除帳印單!B:D,3,0),"")</f>
        <v/>
      </c>
      <c r="W548" s="69" t="str">
        <f>IFERROR(VLOOKUP(A548,已除帳印單!B:E,4,0),"")</f>
        <v/>
      </c>
      <c r="X548" s="68" t="str">
        <f>IFERROR(INDEX(刷條碼區!A:C,MATCH(點上線資訊!S548,刷條碼區!C:C,0),1),"")</f>
        <v/>
      </c>
      <c r="Y548" s="69" t="str">
        <f>IFERROR(INDEX(刷條碼區!A:C,MATCH(點上線資訊!S548,刷條碼區!C:C,0),2),"")</f>
        <v/>
      </c>
      <c r="Z548" s="70" t="str">
        <f>IFERROR(INDEX(刷條碼區!D:G,MATCH(點上線資訊!S548,刷條碼區!F:F,0),1),"")</f>
        <v/>
      </c>
      <c r="AA548" s="71" t="str">
        <f>IFERROR(INDEX(刷條碼區!D:G,MATCH(點上線資訊!S548,刷條碼區!F:F,0),2),"")</f>
        <v/>
      </c>
      <c r="AB548" s="20">
        <f t="shared" si="50"/>
        <v>6</v>
      </c>
      <c r="AC548" s="20" t="b">
        <f t="shared" si="51"/>
        <v>0</v>
      </c>
      <c r="AD548" s="17" t="b">
        <f t="shared" si="52"/>
        <v>0</v>
      </c>
      <c r="AE548" s="17" t="b">
        <f t="shared" si="53"/>
        <v>0</v>
      </c>
    </row>
    <row r="549" spans="1:31" x14ac:dyDescent="0.2">
      <c r="A549" s="16">
        <v>5000499455</v>
      </c>
      <c r="B549" t="s">
        <v>6</v>
      </c>
      <c r="C549" t="s">
        <v>6</v>
      </c>
      <c r="D549" t="s">
        <v>1</v>
      </c>
      <c r="E549" t="s">
        <v>1043</v>
      </c>
      <c r="F549" t="s">
        <v>1044</v>
      </c>
      <c r="G549" s="2">
        <v>7</v>
      </c>
      <c r="H549" t="s">
        <v>461</v>
      </c>
      <c r="I549" t="s">
        <v>3</v>
      </c>
      <c r="J549" t="s">
        <v>8</v>
      </c>
      <c r="K549" t="s">
        <v>605</v>
      </c>
      <c r="L549" t="s">
        <v>608</v>
      </c>
      <c r="M549" t="s">
        <v>411</v>
      </c>
      <c r="N549" t="s">
        <v>602</v>
      </c>
      <c r="O549" t="s">
        <v>603</v>
      </c>
      <c r="P549" t="s">
        <v>602</v>
      </c>
      <c r="Q549" s="17">
        <f>IFERROR(VLOOKUP(A549,已除帳印單!B:C,1,0),0)*1</f>
        <v>0</v>
      </c>
      <c r="R549" s="67" t="str">
        <f>IFERROR(VLOOKUP(J549,線別!A:B,2,1),"")</f>
        <v>裝一線</v>
      </c>
      <c r="S549" s="17" t="str">
        <f>IFERROR(VLOOKUP(A549,已除帳印單!B:C,2,0),"")</f>
        <v/>
      </c>
      <c r="T549" s="68">
        <f t="shared" si="54"/>
        <v>43893</v>
      </c>
      <c r="U549" s="69">
        <f t="shared" si="55"/>
        <v>84.168784722222213</v>
      </c>
      <c r="V549" s="68" t="str">
        <f>IFERROR(VLOOKUP(A549,已除帳印單!B:D,3,0),"")</f>
        <v/>
      </c>
      <c r="W549" s="69" t="str">
        <f>IFERROR(VLOOKUP(A549,已除帳印單!B:E,4,0),"")</f>
        <v/>
      </c>
      <c r="X549" s="68" t="str">
        <f>IFERROR(INDEX(刷條碼區!A:C,MATCH(點上線資訊!S549,刷條碼區!C:C,0),1),"")</f>
        <v/>
      </c>
      <c r="Y549" s="69" t="str">
        <f>IFERROR(INDEX(刷條碼區!A:C,MATCH(點上線資訊!S549,刷條碼區!C:C,0),2),"")</f>
        <v/>
      </c>
      <c r="Z549" s="70" t="str">
        <f>IFERROR(INDEX(刷條碼區!D:G,MATCH(點上線資訊!S549,刷條碼區!F:F,0),1),"")</f>
        <v/>
      </c>
      <c r="AA549" s="71" t="str">
        <f>IFERROR(INDEX(刷條碼區!D:G,MATCH(點上線資訊!S549,刷條碼區!F:F,0),2),"")</f>
        <v/>
      </c>
      <c r="AB549" s="20" t="b">
        <f t="shared" si="50"/>
        <v>0</v>
      </c>
      <c r="AC549" s="20" t="b">
        <f t="shared" si="51"/>
        <v>0</v>
      </c>
      <c r="AD549" s="17" t="b">
        <f t="shared" si="52"/>
        <v>0</v>
      </c>
      <c r="AE549" s="17" t="b">
        <f t="shared" si="53"/>
        <v>0</v>
      </c>
    </row>
    <row r="550" spans="1:31" x14ac:dyDescent="0.2">
      <c r="A550" s="16">
        <v>5000499456</v>
      </c>
      <c r="B550" t="s">
        <v>301</v>
      </c>
      <c r="C550" t="s">
        <v>301</v>
      </c>
      <c r="D550" t="s">
        <v>1</v>
      </c>
      <c r="E550" t="s">
        <v>547</v>
      </c>
      <c r="F550" t="s">
        <v>548</v>
      </c>
      <c r="G550" s="2">
        <v>3</v>
      </c>
      <c r="H550" t="s">
        <v>461</v>
      </c>
      <c r="I550" t="s">
        <v>3</v>
      </c>
      <c r="J550" t="s">
        <v>8</v>
      </c>
      <c r="K550" t="s">
        <v>602</v>
      </c>
      <c r="L550" t="s">
        <v>603</v>
      </c>
      <c r="M550" t="s">
        <v>602</v>
      </c>
      <c r="N550" t="s">
        <v>602</v>
      </c>
      <c r="O550" t="s">
        <v>603</v>
      </c>
      <c r="P550" t="s">
        <v>602</v>
      </c>
      <c r="Q550" s="17">
        <f>IFERROR(VLOOKUP(A550,已除帳印單!B:C,1,0),0)*1</f>
        <v>0</v>
      </c>
      <c r="R550" s="67" t="str">
        <f>IFERROR(VLOOKUP(J550,線別!A:B,2,1),"")</f>
        <v>裝一線</v>
      </c>
      <c r="S550" s="17" t="str">
        <f>IFERROR(VLOOKUP(A550,已除帳印單!B:C,2,0),"")</f>
        <v/>
      </c>
      <c r="T550" s="68">
        <f t="shared" si="54"/>
        <v>43894</v>
      </c>
      <c r="U550" s="69">
        <f t="shared" si="55"/>
        <v>84.168796296296293</v>
      </c>
      <c r="V550" s="68" t="str">
        <f>IFERROR(VLOOKUP(A550,已除帳印單!B:D,3,0),"")</f>
        <v/>
      </c>
      <c r="W550" s="69" t="str">
        <f>IFERROR(VLOOKUP(A550,已除帳印單!B:E,4,0),"")</f>
        <v/>
      </c>
      <c r="X550" s="68" t="str">
        <f>IFERROR(INDEX(刷條碼區!A:C,MATCH(點上線資訊!S550,刷條碼區!C:C,0),1),"")</f>
        <v/>
      </c>
      <c r="Y550" s="69" t="str">
        <f>IFERROR(INDEX(刷條碼區!A:C,MATCH(點上線資訊!S550,刷條碼區!C:C,0),2),"")</f>
        <v/>
      </c>
      <c r="Z550" s="70" t="str">
        <f>IFERROR(INDEX(刷條碼區!D:G,MATCH(點上線資訊!S550,刷條碼區!F:F,0),1),"")</f>
        <v/>
      </c>
      <c r="AA550" s="71" t="str">
        <f>IFERROR(INDEX(刷條碼區!D:G,MATCH(點上線資訊!S550,刷條碼區!F:F,0),2),"")</f>
        <v/>
      </c>
      <c r="AB550" s="20">
        <f t="shared" si="50"/>
        <v>3</v>
      </c>
      <c r="AC550" s="20" t="b">
        <f t="shared" si="51"/>
        <v>0</v>
      </c>
      <c r="AD550" s="17" t="b">
        <f t="shared" si="52"/>
        <v>0</v>
      </c>
      <c r="AE550" s="17" t="b">
        <f t="shared" si="53"/>
        <v>0</v>
      </c>
    </row>
    <row r="551" spans="1:31" x14ac:dyDescent="0.2">
      <c r="A551" s="16">
        <v>5000499458</v>
      </c>
      <c r="B551" t="s">
        <v>6</v>
      </c>
      <c r="C551" t="s">
        <v>6</v>
      </c>
      <c r="D551" t="s">
        <v>1</v>
      </c>
      <c r="E551" t="s">
        <v>1045</v>
      </c>
      <c r="F551" t="s">
        <v>1046</v>
      </c>
      <c r="G551" s="2">
        <v>2</v>
      </c>
      <c r="H551" t="s">
        <v>461</v>
      </c>
      <c r="I551" t="s">
        <v>3</v>
      </c>
      <c r="J551" t="s">
        <v>8</v>
      </c>
      <c r="K551" t="s">
        <v>605</v>
      </c>
      <c r="L551" t="s">
        <v>608</v>
      </c>
      <c r="M551" t="s">
        <v>406</v>
      </c>
      <c r="N551" t="s">
        <v>602</v>
      </c>
      <c r="O551" t="s">
        <v>603</v>
      </c>
      <c r="P551" t="s">
        <v>602</v>
      </c>
      <c r="Q551" s="17">
        <f>IFERROR(VLOOKUP(A551,已除帳印單!B:C,1,0),0)*1</f>
        <v>0</v>
      </c>
      <c r="R551" s="67" t="str">
        <f>IFERROR(VLOOKUP(J551,線別!A:B,2,1),"")</f>
        <v>裝一線</v>
      </c>
      <c r="S551" s="17" t="str">
        <f>IFERROR(VLOOKUP(A551,已除帳印單!B:C,2,0),"")</f>
        <v/>
      </c>
      <c r="T551" s="68">
        <f t="shared" si="54"/>
        <v>43893</v>
      </c>
      <c r="U551" s="69">
        <f t="shared" si="55"/>
        <v>84.168784722222213</v>
      </c>
      <c r="V551" s="68" t="str">
        <f>IFERROR(VLOOKUP(A551,已除帳印單!B:D,3,0),"")</f>
        <v/>
      </c>
      <c r="W551" s="69" t="str">
        <f>IFERROR(VLOOKUP(A551,已除帳印單!B:E,4,0),"")</f>
        <v/>
      </c>
      <c r="X551" s="68" t="str">
        <f>IFERROR(INDEX(刷條碼區!A:C,MATCH(點上線資訊!S551,刷條碼區!C:C,0),1),"")</f>
        <v/>
      </c>
      <c r="Y551" s="69" t="str">
        <f>IFERROR(INDEX(刷條碼區!A:C,MATCH(點上線資訊!S551,刷條碼區!C:C,0),2),"")</f>
        <v/>
      </c>
      <c r="Z551" s="70" t="str">
        <f>IFERROR(INDEX(刷條碼區!D:G,MATCH(點上線資訊!S551,刷條碼區!F:F,0),1),"")</f>
        <v/>
      </c>
      <c r="AA551" s="71" t="str">
        <f>IFERROR(INDEX(刷條碼區!D:G,MATCH(點上線資訊!S551,刷條碼區!F:F,0),2),"")</f>
        <v/>
      </c>
      <c r="AB551" s="20" t="b">
        <f t="shared" si="50"/>
        <v>0</v>
      </c>
      <c r="AC551" s="20" t="b">
        <f t="shared" si="51"/>
        <v>0</v>
      </c>
      <c r="AD551" s="17" t="b">
        <f t="shared" si="52"/>
        <v>0</v>
      </c>
      <c r="AE551" s="17" t="b">
        <f t="shared" si="53"/>
        <v>0</v>
      </c>
    </row>
    <row r="552" spans="1:31" x14ac:dyDescent="0.2">
      <c r="A552" s="16">
        <v>5000499459</v>
      </c>
      <c r="B552" t="s">
        <v>6</v>
      </c>
      <c r="C552" t="s">
        <v>6</v>
      </c>
      <c r="D552" t="s">
        <v>1</v>
      </c>
      <c r="E552" t="s">
        <v>1045</v>
      </c>
      <c r="F552" t="s">
        <v>1046</v>
      </c>
      <c r="G552" s="2">
        <v>1</v>
      </c>
      <c r="H552" t="s">
        <v>461</v>
      </c>
      <c r="I552" t="s">
        <v>3</v>
      </c>
      <c r="J552" t="s">
        <v>8</v>
      </c>
      <c r="K552" t="s">
        <v>605</v>
      </c>
      <c r="L552" t="s">
        <v>608</v>
      </c>
      <c r="M552" t="s">
        <v>406</v>
      </c>
      <c r="N552" t="s">
        <v>602</v>
      </c>
      <c r="O552" t="s">
        <v>603</v>
      </c>
      <c r="P552" t="s">
        <v>602</v>
      </c>
      <c r="Q552" s="17">
        <f>IFERROR(VLOOKUP(A552,已除帳印單!B:C,1,0),0)*1</f>
        <v>0</v>
      </c>
      <c r="R552" s="67" t="str">
        <f>IFERROR(VLOOKUP(J552,線別!A:B,2,1),"")</f>
        <v>裝一線</v>
      </c>
      <c r="S552" s="17" t="str">
        <f>IFERROR(VLOOKUP(A552,已除帳印單!B:C,2,0),"")</f>
        <v/>
      </c>
      <c r="T552" s="68">
        <f t="shared" si="54"/>
        <v>43893</v>
      </c>
      <c r="U552" s="69">
        <f t="shared" si="55"/>
        <v>84.168784722222213</v>
      </c>
      <c r="V552" s="68" t="str">
        <f>IFERROR(VLOOKUP(A552,已除帳印單!B:D,3,0),"")</f>
        <v/>
      </c>
      <c r="W552" s="69" t="str">
        <f>IFERROR(VLOOKUP(A552,已除帳印單!B:E,4,0),"")</f>
        <v/>
      </c>
      <c r="X552" s="68" t="str">
        <f>IFERROR(INDEX(刷條碼區!A:C,MATCH(點上線資訊!S552,刷條碼區!C:C,0),1),"")</f>
        <v/>
      </c>
      <c r="Y552" s="69" t="str">
        <f>IFERROR(INDEX(刷條碼區!A:C,MATCH(點上線資訊!S552,刷條碼區!C:C,0),2),"")</f>
        <v/>
      </c>
      <c r="Z552" s="70" t="str">
        <f>IFERROR(INDEX(刷條碼區!D:G,MATCH(點上線資訊!S552,刷條碼區!F:F,0),1),"")</f>
        <v/>
      </c>
      <c r="AA552" s="71" t="str">
        <f>IFERROR(INDEX(刷條碼區!D:G,MATCH(點上線資訊!S552,刷條碼區!F:F,0),2),"")</f>
        <v/>
      </c>
      <c r="AB552" s="20" t="b">
        <f t="shared" si="50"/>
        <v>0</v>
      </c>
      <c r="AC552" s="20" t="b">
        <f t="shared" si="51"/>
        <v>0</v>
      </c>
      <c r="AD552" s="17" t="b">
        <f t="shared" si="52"/>
        <v>0</v>
      </c>
      <c r="AE552" s="17" t="b">
        <f t="shared" si="53"/>
        <v>0</v>
      </c>
    </row>
    <row r="553" spans="1:31" x14ac:dyDescent="0.2">
      <c r="A553" s="16">
        <v>5000499460</v>
      </c>
      <c r="B553" t="s">
        <v>6</v>
      </c>
      <c r="C553" t="s">
        <v>6</v>
      </c>
      <c r="D553" t="s">
        <v>1</v>
      </c>
      <c r="E553" t="s">
        <v>101</v>
      </c>
      <c r="F553" t="s">
        <v>546</v>
      </c>
      <c r="G553" s="2">
        <v>2</v>
      </c>
      <c r="H553" t="s">
        <v>461</v>
      </c>
      <c r="I553" t="s">
        <v>3</v>
      </c>
      <c r="J553" t="s">
        <v>8</v>
      </c>
      <c r="K553" t="s">
        <v>605</v>
      </c>
      <c r="L553" t="s">
        <v>608</v>
      </c>
      <c r="M553" t="s">
        <v>768</v>
      </c>
      <c r="N553" t="s">
        <v>602</v>
      </c>
      <c r="O553" t="s">
        <v>603</v>
      </c>
      <c r="P553" t="s">
        <v>602</v>
      </c>
      <c r="Q553" s="17">
        <f>IFERROR(VLOOKUP(A553,已除帳印單!B:C,1,0),0)*1</f>
        <v>0</v>
      </c>
      <c r="R553" s="67" t="str">
        <f>IFERROR(VLOOKUP(J553,線別!A:B,2,1),"")</f>
        <v>裝一線</v>
      </c>
      <c r="S553" s="17" t="str">
        <f>IFERROR(VLOOKUP(A553,已除帳印單!B:C,2,0),"")</f>
        <v/>
      </c>
      <c r="T553" s="68">
        <f t="shared" si="54"/>
        <v>43893</v>
      </c>
      <c r="U553" s="69">
        <f t="shared" si="55"/>
        <v>84.168784722222213</v>
      </c>
      <c r="V553" s="68" t="str">
        <f>IFERROR(VLOOKUP(A553,已除帳印單!B:D,3,0),"")</f>
        <v/>
      </c>
      <c r="W553" s="69" t="str">
        <f>IFERROR(VLOOKUP(A553,已除帳印單!B:E,4,0),"")</f>
        <v/>
      </c>
      <c r="X553" s="68" t="str">
        <f>IFERROR(INDEX(刷條碼區!A:C,MATCH(點上線資訊!S553,刷條碼區!C:C,0),1),"")</f>
        <v/>
      </c>
      <c r="Y553" s="69" t="str">
        <f>IFERROR(INDEX(刷條碼區!A:C,MATCH(點上線資訊!S553,刷條碼區!C:C,0),2),"")</f>
        <v/>
      </c>
      <c r="Z553" s="70" t="str">
        <f>IFERROR(INDEX(刷條碼區!D:G,MATCH(點上線資訊!S553,刷條碼區!F:F,0),1),"")</f>
        <v/>
      </c>
      <c r="AA553" s="71" t="str">
        <f>IFERROR(INDEX(刷條碼區!D:G,MATCH(點上線資訊!S553,刷條碼區!F:F,0),2),"")</f>
        <v/>
      </c>
      <c r="AB553" s="20" t="b">
        <f t="shared" si="50"/>
        <v>0</v>
      </c>
      <c r="AC553" s="20" t="b">
        <f t="shared" si="51"/>
        <v>0</v>
      </c>
      <c r="AD553" s="17" t="b">
        <f t="shared" si="52"/>
        <v>0</v>
      </c>
      <c r="AE553" s="17" t="b">
        <f t="shared" si="53"/>
        <v>0</v>
      </c>
    </row>
    <row r="554" spans="1:31" x14ac:dyDescent="0.2">
      <c r="A554" s="16">
        <v>5000499461</v>
      </c>
      <c r="B554" t="s">
        <v>301</v>
      </c>
      <c r="C554" t="s">
        <v>301</v>
      </c>
      <c r="D554" t="s">
        <v>1</v>
      </c>
      <c r="E554" t="s">
        <v>549</v>
      </c>
      <c r="F554" t="s">
        <v>550</v>
      </c>
      <c r="G554" s="2">
        <v>6</v>
      </c>
      <c r="H554" t="s">
        <v>461</v>
      </c>
      <c r="I554" t="s">
        <v>3</v>
      </c>
      <c r="J554" t="s">
        <v>8</v>
      </c>
      <c r="K554" t="s">
        <v>602</v>
      </c>
      <c r="L554" t="s">
        <v>603</v>
      </c>
      <c r="M554" t="s">
        <v>602</v>
      </c>
      <c r="N554" t="s">
        <v>602</v>
      </c>
      <c r="O554" t="s">
        <v>603</v>
      </c>
      <c r="P554" t="s">
        <v>602</v>
      </c>
      <c r="Q554" s="17">
        <f>IFERROR(VLOOKUP(A554,已除帳印單!B:C,1,0),0)*1</f>
        <v>0</v>
      </c>
      <c r="R554" s="67" t="str">
        <f>IFERROR(VLOOKUP(J554,線別!A:B,2,1),"")</f>
        <v>裝一線</v>
      </c>
      <c r="S554" s="17" t="str">
        <f>IFERROR(VLOOKUP(A554,已除帳印單!B:C,2,0),"")</f>
        <v/>
      </c>
      <c r="T554" s="68">
        <f t="shared" si="54"/>
        <v>43894</v>
      </c>
      <c r="U554" s="69">
        <f t="shared" si="55"/>
        <v>84.168796296296293</v>
      </c>
      <c r="V554" s="68" t="str">
        <f>IFERROR(VLOOKUP(A554,已除帳印單!B:D,3,0),"")</f>
        <v/>
      </c>
      <c r="W554" s="69" t="str">
        <f>IFERROR(VLOOKUP(A554,已除帳印單!B:E,4,0),"")</f>
        <v/>
      </c>
      <c r="X554" s="68" t="str">
        <f>IFERROR(INDEX(刷條碼區!A:C,MATCH(點上線資訊!S554,刷條碼區!C:C,0),1),"")</f>
        <v/>
      </c>
      <c r="Y554" s="69" t="str">
        <f>IFERROR(INDEX(刷條碼區!A:C,MATCH(點上線資訊!S554,刷條碼區!C:C,0),2),"")</f>
        <v/>
      </c>
      <c r="Z554" s="70" t="str">
        <f>IFERROR(INDEX(刷條碼區!D:G,MATCH(點上線資訊!S554,刷條碼區!F:F,0),1),"")</f>
        <v/>
      </c>
      <c r="AA554" s="71" t="str">
        <f>IFERROR(INDEX(刷條碼區!D:G,MATCH(點上線資訊!S554,刷條碼區!F:F,0),2),"")</f>
        <v/>
      </c>
      <c r="AB554" s="20">
        <f t="shared" si="50"/>
        <v>6</v>
      </c>
      <c r="AC554" s="20" t="b">
        <f t="shared" si="51"/>
        <v>0</v>
      </c>
      <c r="AD554" s="17" t="b">
        <f t="shared" si="52"/>
        <v>0</v>
      </c>
      <c r="AE554" s="17" t="b">
        <f t="shared" si="53"/>
        <v>0</v>
      </c>
    </row>
    <row r="555" spans="1:31" x14ac:dyDescent="0.2">
      <c r="A555" s="16">
        <v>5000499462</v>
      </c>
      <c r="B555" t="s">
        <v>301</v>
      </c>
      <c r="C555" t="s">
        <v>301</v>
      </c>
      <c r="D555" t="s">
        <v>1</v>
      </c>
      <c r="E555" t="s">
        <v>551</v>
      </c>
      <c r="F555" t="s">
        <v>552</v>
      </c>
      <c r="G555" s="2">
        <v>3</v>
      </c>
      <c r="H555" t="s">
        <v>461</v>
      </c>
      <c r="I555" t="s">
        <v>3</v>
      </c>
      <c r="J555" t="s">
        <v>8</v>
      </c>
      <c r="K555" t="s">
        <v>602</v>
      </c>
      <c r="L555" t="s">
        <v>603</v>
      </c>
      <c r="M555" t="s">
        <v>602</v>
      </c>
      <c r="N555" t="s">
        <v>602</v>
      </c>
      <c r="O555" t="s">
        <v>603</v>
      </c>
      <c r="P555" t="s">
        <v>602</v>
      </c>
      <c r="Q555" s="17">
        <f>IFERROR(VLOOKUP(A555,已除帳印單!B:C,1,0),0)*1</f>
        <v>0</v>
      </c>
      <c r="R555" s="67" t="str">
        <f>IFERROR(VLOOKUP(J555,線別!A:B,2,1),"")</f>
        <v>裝一線</v>
      </c>
      <c r="S555" s="17" t="str">
        <f>IFERROR(VLOOKUP(A555,已除帳印單!B:C,2,0),"")</f>
        <v/>
      </c>
      <c r="T555" s="68">
        <f t="shared" si="54"/>
        <v>43894</v>
      </c>
      <c r="U555" s="69">
        <f t="shared" si="55"/>
        <v>84.168796296296293</v>
      </c>
      <c r="V555" s="68" t="str">
        <f>IFERROR(VLOOKUP(A555,已除帳印單!B:D,3,0),"")</f>
        <v/>
      </c>
      <c r="W555" s="69" t="str">
        <f>IFERROR(VLOOKUP(A555,已除帳印單!B:E,4,0),"")</f>
        <v/>
      </c>
      <c r="X555" s="68" t="str">
        <f>IFERROR(INDEX(刷條碼區!A:C,MATCH(點上線資訊!S555,刷條碼區!C:C,0),1),"")</f>
        <v/>
      </c>
      <c r="Y555" s="69" t="str">
        <f>IFERROR(INDEX(刷條碼區!A:C,MATCH(點上線資訊!S555,刷條碼區!C:C,0),2),"")</f>
        <v/>
      </c>
      <c r="Z555" s="70" t="str">
        <f>IFERROR(INDEX(刷條碼區!D:G,MATCH(點上線資訊!S555,刷條碼區!F:F,0),1),"")</f>
        <v/>
      </c>
      <c r="AA555" s="71" t="str">
        <f>IFERROR(INDEX(刷條碼區!D:G,MATCH(點上線資訊!S555,刷條碼區!F:F,0),2),"")</f>
        <v/>
      </c>
      <c r="AB555" s="20">
        <f t="shared" si="50"/>
        <v>3</v>
      </c>
      <c r="AC555" s="20" t="b">
        <f t="shared" si="51"/>
        <v>0</v>
      </c>
      <c r="AD555" s="17" t="b">
        <f t="shared" si="52"/>
        <v>0</v>
      </c>
      <c r="AE555" s="17" t="b">
        <f t="shared" si="53"/>
        <v>0</v>
      </c>
    </row>
    <row r="556" spans="1:31" x14ac:dyDescent="0.2">
      <c r="A556" s="16">
        <v>5000499464</v>
      </c>
      <c r="B556" t="s">
        <v>6</v>
      </c>
      <c r="C556" t="s">
        <v>6</v>
      </c>
      <c r="D556" t="s">
        <v>1</v>
      </c>
      <c r="E556" t="s">
        <v>1047</v>
      </c>
      <c r="F556" t="s">
        <v>1048</v>
      </c>
      <c r="G556" s="2">
        <v>2</v>
      </c>
      <c r="H556" t="s">
        <v>461</v>
      </c>
      <c r="I556" t="s">
        <v>3</v>
      </c>
      <c r="J556" t="s">
        <v>136</v>
      </c>
      <c r="K556" t="s">
        <v>605</v>
      </c>
      <c r="L556" t="s">
        <v>608</v>
      </c>
      <c r="M556" t="s">
        <v>413</v>
      </c>
      <c r="N556" t="s">
        <v>602</v>
      </c>
      <c r="O556" t="s">
        <v>603</v>
      </c>
      <c r="P556" t="s">
        <v>602</v>
      </c>
      <c r="Q556" s="17">
        <f>IFERROR(VLOOKUP(A556,已除帳印單!B:C,1,0),0)*1</f>
        <v>0</v>
      </c>
      <c r="R556" s="67" t="str">
        <f>IFERROR(VLOOKUP(J556,線別!A:B,2,1),"")</f>
        <v>SCB線</v>
      </c>
      <c r="S556" s="17" t="str">
        <f>IFERROR(VLOOKUP(A556,已除帳印單!B:C,2,0),"")</f>
        <v/>
      </c>
      <c r="T556" s="68">
        <f t="shared" si="54"/>
        <v>43893</v>
      </c>
      <c r="U556" s="69">
        <f t="shared" si="55"/>
        <v>84.168784722222213</v>
      </c>
      <c r="V556" s="68" t="str">
        <f>IFERROR(VLOOKUP(A556,已除帳印單!B:D,3,0),"")</f>
        <v/>
      </c>
      <c r="W556" s="69" t="str">
        <f>IFERROR(VLOOKUP(A556,已除帳印單!B:E,4,0),"")</f>
        <v/>
      </c>
      <c r="X556" s="68" t="str">
        <f>IFERROR(INDEX(刷條碼區!A:C,MATCH(點上線資訊!S556,刷條碼區!C:C,0),1),"")</f>
        <v/>
      </c>
      <c r="Y556" s="69" t="str">
        <f>IFERROR(INDEX(刷條碼區!A:C,MATCH(點上線資訊!S556,刷條碼區!C:C,0),2),"")</f>
        <v/>
      </c>
      <c r="Z556" s="70" t="str">
        <f>IFERROR(INDEX(刷條碼區!D:G,MATCH(點上線資訊!S556,刷條碼區!F:F,0),1),"")</f>
        <v/>
      </c>
      <c r="AA556" s="71" t="str">
        <f>IFERROR(INDEX(刷條碼區!D:G,MATCH(點上線資訊!S556,刷條碼區!F:F,0),2),"")</f>
        <v/>
      </c>
      <c r="AB556" s="20" t="b">
        <f t="shared" si="50"/>
        <v>0</v>
      </c>
      <c r="AC556" s="20" t="b">
        <f t="shared" si="51"/>
        <v>0</v>
      </c>
      <c r="AD556" s="17" t="b">
        <f t="shared" si="52"/>
        <v>0</v>
      </c>
      <c r="AE556" s="17" t="b">
        <f t="shared" si="53"/>
        <v>0</v>
      </c>
    </row>
    <row r="557" spans="1:31" x14ac:dyDescent="0.2">
      <c r="A557" s="16">
        <v>5000499470</v>
      </c>
      <c r="B557" t="s">
        <v>6</v>
      </c>
      <c r="C557" t="s">
        <v>6</v>
      </c>
      <c r="D557" t="s">
        <v>1</v>
      </c>
      <c r="E557" t="s">
        <v>1049</v>
      </c>
      <c r="F557" t="s">
        <v>1050</v>
      </c>
      <c r="G557" s="2">
        <v>2</v>
      </c>
      <c r="H557" t="s">
        <v>461</v>
      </c>
      <c r="I557" t="s">
        <v>3</v>
      </c>
      <c r="J557" t="s">
        <v>136</v>
      </c>
      <c r="K557" t="s">
        <v>605</v>
      </c>
      <c r="L557" t="s">
        <v>608</v>
      </c>
      <c r="M557" t="s">
        <v>425</v>
      </c>
      <c r="N557" t="s">
        <v>602</v>
      </c>
      <c r="O557" t="s">
        <v>603</v>
      </c>
      <c r="P557" t="s">
        <v>602</v>
      </c>
      <c r="Q557" s="17">
        <f>IFERROR(VLOOKUP(A557,已除帳印單!B:C,1,0),0)*1</f>
        <v>0</v>
      </c>
      <c r="R557" s="67" t="str">
        <f>IFERROR(VLOOKUP(J557,線別!A:B,2,1),"")</f>
        <v>SCB線</v>
      </c>
      <c r="S557" s="17" t="str">
        <f>IFERROR(VLOOKUP(A557,已除帳印單!B:C,2,0),"")</f>
        <v/>
      </c>
      <c r="T557" s="68">
        <f t="shared" si="54"/>
        <v>43893</v>
      </c>
      <c r="U557" s="69">
        <f t="shared" si="55"/>
        <v>84.168784722222213</v>
      </c>
      <c r="V557" s="68" t="str">
        <f>IFERROR(VLOOKUP(A557,已除帳印單!B:D,3,0),"")</f>
        <v/>
      </c>
      <c r="W557" s="69" t="str">
        <f>IFERROR(VLOOKUP(A557,已除帳印單!B:E,4,0),"")</f>
        <v/>
      </c>
      <c r="X557" s="68" t="str">
        <f>IFERROR(INDEX(刷條碼區!A:C,MATCH(點上線資訊!S557,刷條碼區!C:C,0),1),"")</f>
        <v/>
      </c>
      <c r="Y557" s="69" t="str">
        <f>IFERROR(INDEX(刷條碼區!A:C,MATCH(點上線資訊!S557,刷條碼區!C:C,0),2),"")</f>
        <v/>
      </c>
      <c r="Z557" s="70" t="str">
        <f>IFERROR(INDEX(刷條碼區!D:G,MATCH(點上線資訊!S557,刷條碼區!F:F,0),1),"")</f>
        <v/>
      </c>
      <c r="AA557" s="71" t="str">
        <f>IFERROR(INDEX(刷條碼區!D:G,MATCH(點上線資訊!S557,刷條碼區!F:F,0),2),"")</f>
        <v/>
      </c>
      <c r="AB557" s="20" t="b">
        <f t="shared" si="50"/>
        <v>0</v>
      </c>
      <c r="AC557" s="20" t="b">
        <f t="shared" si="51"/>
        <v>0</v>
      </c>
      <c r="AD557" s="17" t="b">
        <f t="shared" si="52"/>
        <v>0</v>
      </c>
      <c r="AE557" s="17" t="b">
        <f t="shared" si="53"/>
        <v>0</v>
      </c>
    </row>
    <row r="558" spans="1:31" x14ac:dyDescent="0.2">
      <c r="A558" s="16">
        <v>5000499471</v>
      </c>
      <c r="B558" t="s">
        <v>6</v>
      </c>
      <c r="C558" t="s">
        <v>6</v>
      </c>
      <c r="D558" t="s">
        <v>1</v>
      </c>
      <c r="E558" t="s">
        <v>1049</v>
      </c>
      <c r="F558" t="s">
        <v>1050</v>
      </c>
      <c r="G558" s="2">
        <v>2</v>
      </c>
      <c r="H558" t="s">
        <v>461</v>
      </c>
      <c r="I558" t="s">
        <v>3</v>
      </c>
      <c r="J558" t="s">
        <v>136</v>
      </c>
      <c r="K558" t="s">
        <v>605</v>
      </c>
      <c r="L558" t="s">
        <v>608</v>
      </c>
      <c r="M558" t="s">
        <v>425</v>
      </c>
      <c r="N558" t="s">
        <v>602</v>
      </c>
      <c r="O558" t="s">
        <v>603</v>
      </c>
      <c r="P558" t="s">
        <v>602</v>
      </c>
      <c r="Q558" s="17">
        <f>IFERROR(VLOOKUP(A558,已除帳印單!B:C,1,0),0)*1</f>
        <v>0</v>
      </c>
      <c r="R558" s="67" t="str">
        <f>IFERROR(VLOOKUP(J558,線別!A:B,2,1),"")</f>
        <v>SCB線</v>
      </c>
      <c r="S558" s="17" t="str">
        <f>IFERROR(VLOOKUP(A558,已除帳印單!B:C,2,0),"")</f>
        <v/>
      </c>
      <c r="T558" s="68">
        <f t="shared" si="54"/>
        <v>43893</v>
      </c>
      <c r="U558" s="69">
        <f t="shared" si="55"/>
        <v>84.168784722222213</v>
      </c>
      <c r="V558" s="68" t="str">
        <f>IFERROR(VLOOKUP(A558,已除帳印單!B:D,3,0),"")</f>
        <v/>
      </c>
      <c r="W558" s="69" t="str">
        <f>IFERROR(VLOOKUP(A558,已除帳印單!B:E,4,0),"")</f>
        <v/>
      </c>
      <c r="X558" s="68" t="str">
        <f>IFERROR(INDEX(刷條碼區!A:C,MATCH(點上線資訊!S558,刷條碼區!C:C,0),1),"")</f>
        <v/>
      </c>
      <c r="Y558" s="69" t="str">
        <f>IFERROR(INDEX(刷條碼區!A:C,MATCH(點上線資訊!S558,刷條碼區!C:C,0),2),"")</f>
        <v/>
      </c>
      <c r="Z558" s="70" t="str">
        <f>IFERROR(INDEX(刷條碼區!D:G,MATCH(點上線資訊!S558,刷條碼區!F:F,0),1),"")</f>
        <v/>
      </c>
      <c r="AA558" s="71" t="str">
        <f>IFERROR(INDEX(刷條碼區!D:G,MATCH(點上線資訊!S558,刷條碼區!F:F,0),2),"")</f>
        <v/>
      </c>
      <c r="AB558" s="20" t="b">
        <f t="shared" si="50"/>
        <v>0</v>
      </c>
      <c r="AC558" s="20" t="b">
        <f t="shared" si="51"/>
        <v>0</v>
      </c>
      <c r="AD558" s="17" t="b">
        <f t="shared" si="52"/>
        <v>0</v>
      </c>
      <c r="AE558" s="17" t="b">
        <f t="shared" si="53"/>
        <v>0</v>
      </c>
    </row>
    <row r="559" spans="1:31" x14ac:dyDescent="0.2">
      <c r="A559" s="16">
        <v>5000499472</v>
      </c>
      <c r="B559" t="s">
        <v>6</v>
      </c>
      <c r="C559" t="s">
        <v>6</v>
      </c>
      <c r="D559" t="s">
        <v>1</v>
      </c>
      <c r="E559" t="s">
        <v>1051</v>
      </c>
      <c r="F559" t="s">
        <v>1052</v>
      </c>
      <c r="G559" s="2">
        <v>1</v>
      </c>
      <c r="H559" t="s">
        <v>461</v>
      </c>
      <c r="I559" t="s">
        <v>3</v>
      </c>
      <c r="J559" t="s">
        <v>136</v>
      </c>
      <c r="K559" t="s">
        <v>605</v>
      </c>
      <c r="L559" t="s">
        <v>608</v>
      </c>
      <c r="M559" t="s">
        <v>425</v>
      </c>
      <c r="N559" t="s">
        <v>602</v>
      </c>
      <c r="O559" t="s">
        <v>603</v>
      </c>
      <c r="P559" t="s">
        <v>602</v>
      </c>
      <c r="Q559" s="17">
        <f>IFERROR(VLOOKUP(A559,已除帳印單!B:C,1,0),0)*1</f>
        <v>0</v>
      </c>
      <c r="R559" s="67" t="str">
        <f>IFERROR(VLOOKUP(J559,線別!A:B,2,1),"")</f>
        <v>SCB線</v>
      </c>
      <c r="S559" s="17" t="str">
        <f>IFERROR(VLOOKUP(A559,已除帳印單!B:C,2,0),"")</f>
        <v/>
      </c>
      <c r="T559" s="68">
        <f t="shared" si="54"/>
        <v>43893</v>
      </c>
      <c r="U559" s="69">
        <f t="shared" si="55"/>
        <v>84.168784722222213</v>
      </c>
      <c r="V559" s="68" t="str">
        <f>IFERROR(VLOOKUP(A559,已除帳印單!B:D,3,0),"")</f>
        <v/>
      </c>
      <c r="W559" s="69" t="str">
        <f>IFERROR(VLOOKUP(A559,已除帳印單!B:E,4,0),"")</f>
        <v/>
      </c>
      <c r="X559" s="68" t="str">
        <f>IFERROR(INDEX(刷條碼區!A:C,MATCH(點上線資訊!S559,刷條碼區!C:C,0),1),"")</f>
        <v/>
      </c>
      <c r="Y559" s="69" t="str">
        <f>IFERROR(INDEX(刷條碼區!A:C,MATCH(點上線資訊!S559,刷條碼區!C:C,0),2),"")</f>
        <v/>
      </c>
      <c r="Z559" s="70" t="str">
        <f>IFERROR(INDEX(刷條碼區!D:G,MATCH(點上線資訊!S559,刷條碼區!F:F,0),1),"")</f>
        <v/>
      </c>
      <c r="AA559" s="71" t="str">
        <f>IFERROR(INDEX(刷條碼區!D:G,MATCH(點上線資訊!S559,刷條碼區!F:F,0),2),"")</f>
        <v/>
      </c>
      <c r="AB559" s="20" t="b">
        <f t="shared" si="50"/>
        <v>0</v>
      </c>
      <c r="AC559" s="20" t="b">
        <f t="shared" si="51"/>
        <v>0</v>
      </c>
      <c r="AD559" s="17" t="b">
        <f t="shared" si="52"/>
        <v>0</v>
      </c>
      <c r="AE559" s="17" t="b">
        <f t="shared" si="53"/>
        <v>0</v>
      </c>
    </row>
    <row r="560" spans="1:31" x14ac:dyDescent="0.2">
      <c r="A560" s="16">
        <v>5000499473</v>
      </c>
      <c r="B560" t="s">
        <v>6</v>
      </c>
      <c r="C560" t="s">
        <v>6</v>
      </c>
      <c r="D560" t="s">
        <v>1</v>
      </c>
      <c r="E560" t="s">
        <v>1051</v>
      </c>
      <c r="F560" t="s">
        <v>1052</v>
      </c>
      <c r="G560" s="2">
        <v>2</v>
      </c>
      <c r="H560" t="s">
        <v>461</v>
      </c>
      <c r="I560" t="s">
        <v>3</v>
      </c>
      <c r="J560" t="s">
        <v>136</v>
      </c>
      <c r="K560" t="s">
        <v>605</v>
      </c>
      <c r="L560" t="s">
        <v>608</v>
      </c>
      <c r="M560" t="s">
        <v>425</v>
      </c>
      <c r="N560" t="s">
        <v>602</v>
      </c>
      <c r="O560" t="s">
        <v>603</v>
      </c>
      <c r="P560" t="s">
        <v>602</v>
      </c>
      <c r="Q560" s="17">
        <f>IFERROR(VLOOKUP(A560,已除帳印單!B:C,1,0),0)*1</f>
        <v>0</v>
      </c>
      <c r="R560" s="67" t="str">
        <f>IFERROR(VLOOKUP(J560,線別!A:B,2,1),"")</f>
        <v>SCB線</v>
      </c>
      <c r="S560" s="17" t="str">
        <f>IFERROR(VLOOKUP(A560,已除帳印單!B:C,2,0),"")</f>
        <v/>
      </c>
      <c r="T560" s="68">
        <f t="shared" si="54"/>
        <v>43893</v>
      </c>
      <c r="U560" s="69">
        <f t="shared" si="55"/>
        <v>84.168784722222213</v>
      </c>
      <c r="V560" s="68" t="str">
        <f>IFERROR(VLOOKUP(A560,已除帳印單!B:D,3,0),"")</f>
        <v/>
      </c>
      <c r="W560" s="69" t="str">
        <f>IFERROR(VLOOKUP(A560,已除帳印單!B:E,4,0),"")</f>
        <v/>
      </c>
      <c r="X560" s="68" t="str">
        <f>IFERROR(INDEX(刷條碼區!A:C,MATCH(點上線資訊!S560,刷條碼區!C:C,0),1),"")</f>
        <v/>
      </c>
      <c r="Y560" s="69" t="str">
        <f>IFERROR(INDEX(刷條碼區!A:C,MATCH(點上線資訊!S560,刷條碼區!C:C,0),2),"")</f>
        <v/>
      </c>
      <c r="Z560" s="70" t="str">
        <f>IFERROR(INDEX(刷條碼區!D:G,MATCH(點上線資訊!S560,刷條碼區!F:F,0),1),"")</f>
        <v/>
      </c>
      <c r="AA560" s="71" t="str">
        <f>IFERROR(INDEX(刷條碼區!D:G,MATCH(點上線資訊!S560,刷條碼區!F:F,0),2),"")</f>
        <v/>
      </c>
      <c r="AB560" s="20" t="b">
        <f t="shared" si="50"/>
        <v>0</v>
      </c>
      <c r="AC560" s="20" t="b">
        <f t="shared" si="51"/>
        <v>0</v>
      </c>
      <c r="AD560" s="17" t="b">
        <f t="shared" si="52"/>
        <v>0</v>
      </c>
      <c r="AE560" s="17" t="b">
        <f t="shared" si="53"/>
        <v>0</v>
      </c>
    </row>
    <row r="561" spans="1:31" x14ac:dyDescent="0.2">
      <c r="A561" s="16">
        <v>5000499474</v>
      </c>
      <c r="B561" t="s">
        <v>6</v>
      </c>
      <c r="C561" t="s">
        <v>6</v>
      </c>
      <c r="D561" t="s">
        <v>1</v>
      </c>
      <c r="E561" t="s">
        <v>1051</v>
      </c>
      <c r="F561" t="s">
        <v>1052</v>
      </c>
      <c r="G561" s="2">
        <v>2</v>
      </c>
      <c r="H561" t="s">
        <v>461</v>
      </c>
      <c r="I561" t="s">
        <v>3</v>
      </c>
      <c r="J561" t="s">
        <v>136</v>
      </c>
      <c r="K561" t="s">
        <v>605</v>
      </c>
      <c r="L561" t="s">
        <v>608</v>
      </c>
      <c r="M561" t="s">
        <v>425</v>
      </c>
      <c r="N561" t="s">
        <v>602</v>
      </c>
      <c r="O561" t="s">
        <v>603</v>
      </c>
      <c r="P561" t="s">
        <v>602</v>
      </c>
      <c r="Q561" s="17">
        <f>IFERROR(VLOOKUP(A561,已除帳印單!B:C,1,0),0)*1</f>
        <v>0</v>
      </c>
      <c r="R561" s="67" t="str">
        <f>IFERROR(VLOOKUP(J561,線別!A:B,2,1),"")</f>
        <v>SCB線</v>
      </c>
      <c r="S561" s="17" t="str">
        <f>IFERROR(VLOOKUP(A561,已除帳印單!B:C,2,0),"")</f>
        <v/>
      </c>
      <c r="T561" s="68">
        <f t="shared" si="54"/>
        <v>43893</v>
      </c>
      <c r="U561" s="69">
        <f t="shared" si="55"/>
        <v>84.168784722222213</v>
      </c>
      <c r="V561" s="68" t="str">
        <f>IFERROR(VLOOKUP(A561,已除帳印單!B:D,3,0),"")</f>
        <v/>
      </c>
      <c r="W561" s="69" t="str">
        <f>IFERROR(VLOOKUP(A561,已除帳印單!B:E,4,0),"")</f>
        <v/>
      </c>
      <c r="X561" s="68" t="str">
        <f>IFERROR(INDEX(刷條碼區!A:C,MATCH(點上線資訊!S561,刷條碼區!C:C,0),1),"")</f>
        <v/>
      </c>
      <c r="Y561" s="69" t="str">
        <f>IFERROR(INDEX(刷條碼區!A:C,MATCH(點上線資訊!S561,刷條碼區!C:C,0),2),"")</f>
        <v/>
      </c>
      <c r="Z561" s="70" t="str">
        <f>IFERROR(INDEX(刷條碼區!D:G,MATCH(點上線資訊!S561,刷條碼區!F:F,0),1),"")</f>
        <v/>
      </c>
      <c r="AA561" s="71" t="str">
        <f>IFERROR(INDEX(刷條碼區!D:G,MATCH(點上線資訊!S561,刷條碼區!F:F,0),2),"")</f>
        <v/>
      </c>
      <c r="AB561" s="20" t="b">
        <f t="shared" si="50"/>
        <v>0</v>
      </c>
      <c r="AC561" s="20" t="b">
        <f t="shared" si="51"/>
        <v>0</v>
      </c>
      <c r="AD561" s="17" t="b">
        <f t="shared" si="52"/>
        <v>0</v>
      </c>
      <c r="AE561" s="17" t="b">
        <f t="shared" si="53"/>
        <v>0</v>
      </c>
    </row>
    <row r="562" spans="1:31" x14ac:dyDescent="0.2">
      <c r="A562" s="16">
        <v>5000499475</v>
      </c>
      <c r="B562" t="s">
        <v>301</v>
      </c>
      <c r="C562" t="s">
        <v>301</v>
      </c>
      <c r="D562" t="s">
        <v>1</v>
      </c>
      <c r="E562" t="s">
        <v>553</v>
      </c>
      <c r="F562" t="s">
        <v>554</v>
      </c>
      <c r="G562" s="2">
        <v>3</v>
      </c>
      <c r="H562" t="s">
        <v>461</v>
      </c>
      <c r="I562" t="s">
        <v>3</v>
      </c>
      <c r="J562" t="s">
        <v>8</v>
      </c>
      <c r="K562" t="s">
        <v>602</v>
      </c>
      <c r="L562" t="s">
        <v>603</v>
      </c>
      <c r="M562" t="s">
        <v>602</v>
      </c>
      <c r="N562" t="s">
        <v>602</v>
      </c>
      <c r="O562" t="s">
        <v>603</v>
      </c>
      <c r="P562" t="s">
        <v>602</v>
      </c>
      <c r="Q562" s="17">
        <f>IFERROR(VLOOKUP(A562,已除帳印單!B:C,1,0),0)*1</f>
        <v>0</v>
      </c>
      <c r="R562" s="67" t="str">
        <f>IFERROR(VLOOKUP(J562,線別!A:B,2,1),"")</f>
        <v>裝一線</v>
      </c>
      <c r="S562" s="17" t="str">
        <f>IFERROR(VLOOKUP(A562,已除帳印單!B:C,2,0),"")</f>
        <v/>
      </c>
      <c r="T562" s="68">
        <f t="shared" si="54"/>
        <v>43894</v>
      </c>
      <c r="U562" s="69">
        <f t="shared" si="55"/>
        <v>84.168796296296293</v>
      </c>
      <c r="V562" s="68" t="str">
        <f>IFERROR(VLOOKUP(A562,已除帳印單!B:D,3,0),"")</f>
        <v/>
      </c>
      <c r="W562" s="69" t="str">
        <f>IFERROR(VLOOKUP(A562,已除帳印單!B:E,4,0),"")</f>
        <v/>
      </c>
      <c r="X562" s="68" t="str">
        <f>IFERROR(INDEX(刷條碼區!A:C,MATCH(點上線資訊!S562,刷條碼區!C:C,0),1),"")</f>
        <v/>
      </c>
      <c r="Y562" s="69" t="str">
        <f>IFERROR(INDEX(刷條碼區!A:C,MATCH(點上線資訊!S562,刷條碼區!C:C,0),2),"")</f>
        <v/>
      </c>
      <c r="Z562" s="70" t="str">
        <f>IFERROR(INDEX(刷條碼區!D:G,MATCH(點上線資訊!S562,刷條碼區!F:F,0),1),"")</f>
        <v/>
      </c>
      <c r="AA562" s="71" t="str">
        <f>IFERROR(INDEX(刷條碼區!D:G,MATCH(點上線資訊!S562,刷條碼區!F:F,0),2),"")</f>
        <v/>
      </c>
      <c r="AB562" s="20">
        <f t="shared" si="50"/>
        <v>3</v>
      </c>
      <c r="AC562" s="20" t="b">
        <f t="shared" si="51"/>
        <v>0</v>
      </c>
      <c r="AD562" s="17" t="b">
        <f t="shared" si="52"/>
        <v>0</v>
      </c>
      <c r="AE562" s="17" t="b">
        <f t="shared" si="53"/>
        <v>0</v>
      </c>
    </row>
    <row r="563" spans="1:31" x14ac:dyDescent="0.2">
      <c r="A563" s="16">
        <v>5000499476</v>
      </c>
      <c r="B563" t="s">
        <v>301</v>
      </c>
      <c r="C563" t="s">
        <v>301</v>
      </c>
      <c r="D563" t="s">
        <v>1</v>
      </c>
      <c r="E563" t="s">
        <v>555</v>
      </c>
      <c r="F563" t="s">
        <v>556</v>
      </c>
      <c r="G563" s="2">
        <v>4</v>
      </c>
      <c r="H563" t="s">
        <v>461</v>
      </c>
      <c r="I563" t="s">
        <v>3</v>
      </c>
      <c r="J563" t="s">
        <v>8</v>
      </c>
      <c r="K563" t="s">
        <v>602</v>
      </c>
      <c r="L563" t="s">
        <v>603</v>
      </c>
      <c r="M563" t="s">
        <v>602</v>
      </c>
      <c r="N563" t="s">
        <v>602</v>
      </c>
      <c r="O563" t="s">
        <v>603</v>
      </c>
      <c r="P563" t="s">
        <v>602</v>
      </c>
      <c r="Q563" s="17">
        <f>IFERROR(VLOOKUP(A563,已除帳印單!B:C,1,0),0)*1</f>
        <v>0</v>
      </c>
      <c r="R563" s="67" t="str">
        <f>IFERROR(VLOOKUP(J563,線別!A:B,2,1),"")</f>
        <v>裝一線</v>
      </c>
      <c r="S563" s="17" t="str">
        <f>IFERROR(VLOOKUP(A563,已除帳印單!B:C,2,0),"")</f>
        <v/>
      </c>
      <c r="T563" s="68">
        <f t="shared" si="54"/>
        <v>43894</v>
      </c>
      <c r="U563" s="69">
        <f t="shared" si="55"/>
        <v>84.168796296296293</v>
      </c>
      <c r="V563" s="68" t="str">
        <f>IFERROR(VLOOKUP(A563,已除帳印單!B:D,3,0),"")</f>
        <v/>
      </c>
      <c r="W563" s="69" t="str">
        <f>IFERROR(VLOOKUP(A563,已除帳印單!B:E,4,0),"")</f>
        <v/>
      </c>
      <c r="X563" s="68" t="str">
        <f>IFERROR(INDEX(刷條碼區!A:C,MATCH(點上線資訊!S563,刷條碼區!C:C,0),1),"")</f>
        <v/>
      </c>
      <c r="Y563" s="69" t="str">
        <f>IFERROR(INDEX(刷條碼區!A:C,MATCH(點上線資訊!S563,刷條碼區!C:C,0),2),"")</f>
        <v/>
      </c>
      <c r="Z563" s="70" t="str">
        <f>IFERROR(INDEX(刷條碼區!D:G,MATCH(點上線資訊!S563,刷條碼區!F:F,0),1),"")</f>
        <v/>
      </c>
      <c r="AA563" s="71" t="str">
        <f>IFERROR(INDEX(刷條碼區!D:G,MATCH(點上線資訊!S563,刷條碼區!F:F,0),2),"")</f>
        <v/>
      </c>
      <c r="AB563" s="20">
        <f t="shared" si="50"/>
        <v>4</v>
      </c>
      <c r="AC563" s="20" t="b">
        <f t="shared" si="51"/>
        <v>0</v>
      </c>
      <c r="AD563" s="17" t="b">
        <f t="shared" si="52"/>
        <v>0</v>
      </c>
      <c r="AE563" s="17" t="b">
        <f t="shared" si="53"/>
        <v>0</v>
      </c>
    </row>
    <row r="564" spans="1:31" x14ac:dyDescent="0.2">
      <c r="A564" s="16">
        <v>5000499477</v>
      </c>
      <c r="B564" t="s">
        <v>6</v>
      </c>
      <c r="C564" t="s">
        <v>6</v>
      </c>
      <c r="D564" t="s">
        <v>1</v>
      </c>
      <c r="E564" t="s">
        <v>77</v>
      </c>
      <c r="F564" t="s">
        <v>557</v>
      </c>
      <c r="G564" s="2">
        <v>2</v>
      </c>
      <c r="H564" t="s">
        <v>461</v>
      </c>
      <c r="I564" t="s">
        <v>3</v>
      </c>
      <c r="J564" t="s">
        <v>8</v>
      </c>
      <c r="K564" t="s">
        <v>605</v>
      </c>
      <c r="L564" t="s">
        <v>608</v>
      </c>
      <c r="M564" t="s">
        <v>1053</v>
      </c>
      <c r="N564" t="s">
        <v>602</v>
      </c>
      <c r="O564" t="s">
        <v>603</v>
      </c>
      <c r="P564" t="s">
        <v>602</v>
      </c>
      <c r="Q564" s="17">
        <f>IFERROR(VLOOKUP(A564,已除帳印單!B:C,1,0),0)*1</f>
        <v>0</v>
      </c>
      <c r="R564" s="67" t="str">
        <f>IFERROR(VLOOKUP(J564,線別!A:B,2,1),"")</f>
        <v>裝一線</v>
      </c>
      <c r="S564" s="17" t="str">
        <f>IFERROR(VLOOKUP(A564,已除帳印單!B:C,2,0),"")</f>
        <v/>
      </c>
      <c r="T564" s="68">
        <f t="shared" si="54"/>
        <v>43893</v>
      </c>
      <c r="U564" s="69">
        <f t="shared" si="55"/>
        <v>84.168784722222213</v>
      </c>
      <c r="V564" s="68" t="str">
        <f>IFERROR(VLOOKUP(A564,已除帳印單!B:D,3,0),"")</f>
        <v/>
      </c>
      <c r="W564" s="69" t="str">
        <f>IFERROR(VLOOKUP(A564,已除帳印單!B:E,4,0),"")</f>
        <v/>
      </c>
      <c r="X564" s="68" t="str">
        <f>IFERROR(INDEX(刷條碼區!A:C,MATCH(點上線資訊!S564,刷條碼區!C:C,0),1),"")</f>
        <v/>
      </c>
      <c r="Y564" s="69" t="str">
        <f>IFERROR(INDEX(刷條碼區!A:C,MATCH(點上線資訊!S564,刷條碼區!C:C,0),2),"")</f>
        <v/>
      </c>
      <c r="Z564" s="70" t="str">
        <f>IFERROR(INDEX(刷條碼區!D:G,MATCH(點上線資訊!S564,刷條碼區!F:F,0),1),"")</f>
        <v/>
      </c>
      <c r="AA564" s="71" t="str">
        <f>IFERROR(INDEX(刷條碼區!D:G,MATCH(點上線資訊!S564,刷條碼區!F:F,0),2),"")</f>
        <v/>
      </c>
      <c r="AB564" s="20" t="b">
        <f t="shared" si="50"/>
        <v>0</v>
      </c>
      <c r="AC564" s="20" t="b">
        <f t="shared" si="51"/>
        <v>0</v>
      </c>
      <c r="AD564" s="17" t="b">
        <f t="shared" si="52"/>
        <v>0</v>
      </c>
      <c r="AE564" s="17" t="b">
        <f t="shared" si="53"/>
        <v>0</v>
      </c>
    </row>
    <row r="565" spans="1:31" x14ac:dyDescent="0.2">
      <c r="A565" s="16">
        <v>5000499477</v>
      </c>
      <c r="B565" t="s">
        <v>301</v>
      </c>
      <c r="C565" t="s">
        <v>301</v>
      </c>
      <c r="D565" t="s">
        <v>1</v>
      </c>
      <c r="E565" t="s">
        <v>77</v>
      </c>
      <c r="F565" t="s">
        <v>557</v>
      </c>
      <c r="G565" s="2">
        <v>1</v>
      </c>
      <c r="H565" t="s">
        <v>461</v>
      </c>
      <c r="I565" t="s">
        <v>3</v>
      </c>
      <c r="J565" t="s">
        <v>8</v>
      </c>
      <c r="K565" t="s">
        <v>602</v>
      </c>
      <c r="L565" t="s">
        <v>603</v>
      </c>
      <c r="M565" t="s">
        <v>602</v>
      </c>
      <c r="N565" t="s">
        <v>602</v>
      </c>
      <c r="O565" t="s">
        <v>603</v>
      </c>
      <c r="P565" t="s">
        <v>602</v>
      </c>
      <c r="Q565" s="17">
        <f>IFERROR(VLOOKUP(A565,已除帳印單!B:C,1,0),0)*1</f>
        <v>0</v>
      </c>
      <c r="R565" s="67" t="str">
        <f>IFERROR(VLOOKUP(J565,線別!A:B,2,1),"")</f>
        <v>裝一線</v>
      </c>
      <c r="S565" s="17" t="str">
        <f>IFERROR(VLOOKUP(A565,已除帳印單!B:C,2,0),"")</f>
        <v/>
      </c>
      <c r="T565" s="68">
        <f t="shared" si="54"/>
        <v>43894</v>
      </c>
      <c r="U565" s="69">
        <f t="shared" si="55"/>
        <v>84.168796296296293</v>
      </c>
      <c r="V565" s="68" t="str">
        <f>IFERROR(VLOOKUP(A565,已除帳印單!B:D,3,0),"")</f>
        <v/>
      </c>
      <c r="W565" s="69" t="str">
        <f>IFERROR(VLOOKUP(A565,已除帳印單!B:E,4,0),"")</f>
        <v/>
      </c>
      <c r="X565" s="68" t="str">
        <f>IFERROR(INDEX(刷條碼區!A:C,MATCH(點上線資訊!S565,刷條碼區!C:C,0),1),"")</f>
        <v/>
      </c>
      <c r="Y565" s="69" t="str">
        <f>IFERROR(INDEX(刷條碼區!A:C,MATCH(點上線資訊!S565,刷條碼區!C:C,0),2),"")</f>
        <v/>
      </c>
      <c r="Z565" s="70" t="str">
        <f>IFERROR(INDEX(刷條碼區!D:G,MATCH(點上線資訊!S565,刷條碼區!F:F,0),1),"")</f>
        <v/>
      </c>
      <c r="AA565" s="71" t="str">
        <f>IFERROR(INDEX(刷條碼區!D:G,MATCH(點上線資訊!S565,刷條碼區!F:F,0),2),"")</f>
        <v/>
      </c>
      <c r="AB565" s="20">
        <f t="shared" si="50"/>
        <v>1</v>
      </c>
      <c r="AC565" s="20" t="b">
        <f t="shared" si="51"/>
        <v>0</v>
      </c>
      <c r="AD565" s="17" t="b">
        <f t="shared" si="52"/>
        <v>0</v>
      </c>
      <c r="AE565" s="17" t="b">
        <f t="shared" si="53"/>
        <v>0</v>
      </c>
    </row>
    <row r="566" spans="1:31" x14ac:dyDescent="0.2">
      <c r="A566" s="16">
        <v>5000499486</v>
      </c>
      <c r="B566" t="s">
        <v>0</v>
      </c>
      <c r="C566" t="s">
        <v>0</v>
      </c>
      <c r="D566" t="s">
        <v>1</v>
      </c>
      <c r="E566" t="s">
        <v>1054</v>
      </c>
      <c r="F566" t="s">
        <v>1055</v>
      </c>
      <c r="G566" s="2">
        <v>10</v>
      </c>
      <c r="H566" t="s">
        <v>461</v>
      </c>
      <c r="I566" t="s">
        <v>3</v>
      </c>
      <c r="J566" t="s">
        <v>4</v>
      </c>
      <c r="K566" t="s">
        <v>605</v>
      </c>
      <c r="L566" t="s">
        <v>608</v>
      </c>
      <c r="M566" t="s">
        <v>1056</v>
      </c>
      <c r="N566" t="s">
        <v>602</v>
      </c>
      <c r="O566" t="s">
        <v>603</v>
      </c>
      <c r="P566" t="s">
        <v>602</v>
      </c>
      <c r="Q566" s="17">
        <f>IFERROR(VLOOKUP(A566,已除帳印單!B:C,1,0),0)*1</f>
        <v>0</v>
      </c>
      <c r="R566" s="67" t="str">
        <f>IFERROR(VLOOKUP(J566,線別!A:B,2,1),"")</f>
        <v>IA線</v>
      </c>
      <c r="S566" s="17" t="str">
        <f>IFERROR(VLOOKUP(A566,已除帳印單!B:C,2,0),"")</f>
        <v/>
      </c>
      <c r="T566" s="68">
        <f t="shared" si="54"/>
        <v>43892</v>
      </c>
      <c r="U566" s="69">
        <f t="shared" si="55"/>
        <v>84.168773148148148</v>
      </c>
      <c r="V566" s="68" t="str">
        <f>IFERROR(VLOOKUP(A566,已除帳印單!B:D,3,0),"")</f>
        <v/>
      </c>
      <c r="W566" s="69" t="str">
        <f>IFERROR(VLOOKUP(A566,已除帳印單!B:E,4,0),"")</f>
        <v/>
      </c>
      <c r="X566" s="68" t="str">
        <f>IFERROR(INDEX(刷條碼區!A:C,MATCH(點上線資訊!S566,刷條碼區!C:C,0),1),"")</f>
        <v/>
      </c>
      <c r="Y566" s="69" t="str">
        <f>IFERROR(INDEX(刷條碼區!A:C,MATCH(點上線資訊!S566,刷條碼區!C:C,0),2),"")</f>
        <v/>
      </c>
      <c r="Z566" s="70" t="str">
        <f>IFERROR(INDEX(刷條碼區!D:G,MATCH(點上線資訊!S566,刷條碼區!F:F,0),1),"")</f>
        <v/>
      </c>
      <c r="AA566" s="71" t="str">
        <f>IFERROR(INDEX(刷條碼區!D:G,MATCH(點上線資訊!S566,刷條碼區!F:F,0),2),"")</f>
        <v/>
      </c>
      <c r="AB566" s="20" t="b">
        <f t="shared" si="50"/>
        <v>0</v>
      </c>
      <c r="AC566" s="20" t="b">
        <f t="shared" si="51"/>
        <v>0</v>
      </c>
      <c r="AD566" s="17" t="b">
        <f t="shared" si="52"/>
        <v>0</v>
      </c>
      <c r="AE566" s="17" t="b">
        <f t="shared" si="53"/>
        <v>0</v>
      </c>
    </row>
    <row r="567" spans="1:31" x14ac:dyDescent="0.2">
      <c r="A567" s="16">
        <v>5000499488</v>
      </c>
      <c r="B567" t="s">
        <v>6</v>
      </c>
      <c r="C567" t="s">
        <v>6</v>
      </c>
      <c r="D567" t="s">
        <v>1</v>
      </c>
      <c r="E567" t="s">
        <v>1057</v>
      </c>
      <c r="F567" t="s">
        <v>1058</v>
      </c>
      <c r="G567" s="2">
        <v>2</v>
      </c>
      <c r="H567" t="s">
        <v>461</v>
      </c>
      <c r="I567" t="s">
        <v>3</v>
      </c>
      <c r="J567" t="s">
        <v>136</v>
      </c>
      <c r="K567" t="s">
        <v>605</v>
      </c>
      <c r="L567" t="s">
        <v>608</v>
      </c>
      <c r="M567" t="s">
        <v>425</v>
      </c>
      <c r="N567" t="s">
        <v>602</v>
      </c>
      <c r="O567" t="s">
        <v>603</v>
      </c>
      <c r="P567" t="s">
        <v>602</v>
      </c>
      <c r="Q567" s="17">
        <f>IFERROR(VLOOKUP(A567,已除帳印單!B:C,1,0),0)*1</f>
        <v>0</v>
      </c>
      <c r="R567" s="67" t="str">
        <f>IFERROR(VLOOKUP(J567,線別!A:B,2,1),"")</f>
        <v>SCB線</v>
      </c>
      <c r="S567" s="17" t="str">
        <f>IFERROR(VLOOKUP(A567,已除帳印單!B:C,2,0),"")</f>
        <v/>
      </c>
      <c r="T567" s="68">
        <f t="shared" si="54"/>
        <v>43893</v>
      </c>
      <c r="U567" s="69">
        <f t="shared" si="55"/>
        <v>84.168784722222213</v>
      </c>
      <c r="V567" s="68" t="str">
        <f>IFERROR(VLOOKUP(A567,已除帳印單!B:D,3,0),"")</f>
        <v/>
      </c>
      <c r="W567" s="69" t="str">
        <f>IFERROR(VLOOKUP(A567,已除帳印單!B:E,4,0),"")</f>
        <v/>
      </c>
      <c r="X567" s="68" t="str">
        <f>IFERROR(INDEX(刷條碼區!A:C,MATCH(點上線資訊!S567,刷條碼區!C:C,0),1),"")</f>
        <v/>
      </c>
      <c r="Y567" s="69" t="str">
        <f>IFERROR(INDEX(刷條碼區!A:C,MATCH(點上線資訊!S567,刷條碼區!C:C,0),2),"")</f>
        <v/>
      </c>
      <c r="Z567" s="70" t="str">
        <f>IFERROR(INDEX(刷條碼區!D:G,MATCH(點上線資訊!S567,刷條碼區!F:F,0),1),"")</f>
        <v/>
      </c>
      <c r="AA567" s="71" t="str">
        <f>IFERROR(INDEX(刷條碼區!D:G,MATCH(點上線資訊!S567,刷條碼區!F:F,0),2),"")</f>
        <v/>
      </c>
      <c r="AB567" s="20" t="b">
        <f t="shared" si="50"/>
        <v>0</v>
      </c>
      <c r="AC567" s="20" t="b">
        <f t="shared" si="51"/>
        <v>0</v>
      </c>
      <c r="AD567" s="17" t="b">
        <f t="shared" si="52"/>
        <v>0</v>
      </c>
      <c r="AE567" s="17" t="b">
        <f t="shared" si="53"/>
        <v>0</v>
      </c>
    </row>
    <row r="568" spans="1:31" x14ac:dyDescent="0.2">
      <c r="A568" s="16">
        <v>5000499489</v>
      </c>
      <c r="B568" t="s">
        <v>6</v>
      </c>
      <c r="C568" t="s">
        <v>6</v>
      </c>
      <c r="D568" t="s">
        <v>1</v>
      </c>
      <c r="E568" t="s">
        <v>1059</v>
      </c>
      <c r="F568" t="s">
        <v>1050</v>
      </c>
      <c r="G568" s="2">
        <v>2</v>
      </c>
      <c r="H568" t="s">
        <v>461</v>
      </c>
      <c r="I568" t="s">
        <v>3</v>
      </c>
      <c r="J568" t="s">
        <v>136</v>
      </c>
      <c r="K568" t="s">
        <v>605</v>
      </c>
      <c r="L568" t="s">
        <v>608</v>
      </c>
      <c r="M568" t="s">
        <v>425</v>
      </c>
      <c r="N568" t="s">
        <v>602</v>
      </c>
      <c r="O568" t="s">
        <v>603</v>
      </c>
      <c r="P568" t="s">
        <v>602</v>
      </c>
      <c r="Q568" s="17">
        <f>IFERROR(VLOOKUP(A568,已除帳印單!B:C,1,0),0)*1</f>
        <v>0</v>
      </c>
      <c r="R568" s="67" t="str">
        <f>IFERROR(VLOOKUP(J568,線別!A:B,2,1),"")</f>
        <v>SCB線</v>
      </c>
      <c r="S568" s="17" t="str">
        <f>IFERROR(VLOOKUP(A568,已除帳印單!B:C,2,0),"")</f>
        <v/>
      </c>
      <c r="T568" s="68">
        <f t="shared" si="54"/>
        <v>43893</v>
      </c>
      <c r="U568" s="69">
        <f t="shared" si="55"/>
        <v>84.168784722222213</v>
      </c>
      <c r="V568" s="68" t="str">
        <f>IFERROR(VLOOKUP(A568,已除帳印單!B:D,3,0),"")</f>
        <v/>
      </c>
      <c r="W568" s="69" t="str">
        <f>IFERROR(VLOOKUP(A568,已除帳印單!B:E,4,0),"")</f>
        <v/>
      </c>
      <c r="X568" s="68" t="str">
        <f>IFERROR(INDEX(刷條碼區!A:C,MATCH(點上線資訊!S568,刷條碼區!C:C,0),1),"")</f>
        <v/>
      </c>
      <c r="Y568" s="69" t="str">
        <f>IFERROR(INDEX(刷條碼區!A:C,MATCH(點上線資訊!S568,刷條碼區!C:C,0),2),"")</f>
        <v/>
      </c>
      <c r="Z568" s="70" t="str">
        <f>IFERROR(INDEX(刷條碼區!D:G,MATCH(點上線資訊!S568,刷條碼區!F:F,0),1),"")</f>
        <v/>
      </c>
      <c r="AA568" s="71" t="str">
        <f>IFERROR(INDEX(刷條碼區!D:G,MATCH(點上線資訊!S568,刷條碼區!F:F,0),2),"")</f>
        <v/>
      </c>
      <c r="AB568" s="20" t="b">
        <f t="shared" si="50"/>
        <v>0</v>
      </c>
      <c r="AC568" s="20" t="b">
        <f t="shared" si="51"/>
        <v>0</v>
      </c>
      <c r="AD568" s="17" t="b">
        <f t="shared" si="52"/>
        <v>0</v>
      </c>
      <c r="AE568" s="17" t="b">
        <f t="shared" si="53"/>
        <v>0</v>
      </c>
    </row>
    <row r="569" spans="1:31" x14ac:dyDescent="0.2">
      <c r="A569" s="16">
        <v>5000499492</v>
      </c>
      <c r="B569" t="s">
        <v>6</v>
      </c>
      <c r="C569" t="s">
        <v>6</v>
      </c>
      <c r="D569" t="s">
        <v>1</v>
      </c>
      <c r="E569" t="s">
        <v>1060</v>
      </c>
      <c r="F569" t="s">
        <v>842</v>
      </c>
      <c r="G569" s="2">
        <v>6</v>
      </c>
      <c r="H569" t="s">
        <v>461</v>
      </c>
      <c r="I569" t="s">
        <v>3</v>
      </c>
      <c r="J569" t="s">
        <v>136</v>
      </c>
      <c r="K569" t="s">
        <v>605</v>
      </c>
      <c r="L569" t="s">
        <v>608</v>
      </c>
      <c r="M569" t="s">
        <v>413</v>
      </c>
      <c r="N569" t="s">
        <v>602</v>
      </c>
      <c r="O569" t="s">
        <v>603</v>
      </c>
      <c r="P569" t="s">
        <v>602</v>
      </c>
      <c r="Q569" s="17">
        <f>IFERROR(VLOOKUP(A569,已除帳印單!B:C,1,0),0)*1</f>
        <v>0</v>
      </c>
      <c r="R569" s="67" t="str">
        <f>IFERROR(VLOOKUP(J569,線別!A:B,2,1),"")</f>
        <v>SCB線</v>
      </c>
      <c r="S569" s="17" t="str">
        <f>IFERROR(VLOOKUP(A569,已除帳印單!B:C,2,0),"")</f>
        <v/>
      </c>
      <c r="T569" s="68">
        <f t="shared" si="54"/>
        <v>43893</v>
      </c>
      <c r="U569" s="69">
        <f t="shared" si="55"/>
        <v>84.168784722222213</v>
      </c>
      <c r="V569" s="68" t="str">
        <f>IFERROR(VLOOKUP(A569,已除帳印單!B:D,3,0),"")</f>
        <v/>
      </c>
      <c r="W569" s="69" t="str">
        <f>IFERROR(VLOOKUP(A569,已除帳印單!B:E,4,0),"")</f>
        <v/>
      </c>
      <c r="X569" s="68" t="str">
        <f>IFERROR(INDEX(刷條碼區!A:C,MATCH(點上線資訊!S569,刷條碼區!C:C,0),1),"")</f>
        <v/>
      </c>
      <c r="Y569" s="69" t="str">
        <f>IFERROR(INDEX(刷條碼區!A:C,MATCH(點上線資訊!S569,刷條碼區!C:C,0),2),"")</f>
        <v/>
      </c>
      <c r="Z569" s="70" t="str">
        <f>IFERROR(INDEX(刷條碼區!D:G,MATCH(點上線資訊!S569,刷條碼區!F:F,0),1),"")</f>
        <v/>
      </c>
      <c r="AA569" s="71" t="str">
        <f>IFERROR(INDEX(刷條碼區!D:G,MATCH(點上線資訊!S569,刷條碼區!F:F,0),2),"")</f>
        <v/>
      </c>
      <c r="AB569" s="20" t="b">
        <f t="shared" si="50"/>
        <v>0</v>
      </c>
      <c r="AC569" s="20" t="b">
        <f t="shared" si="51"/>
        <v>0</v>
      </c>
      <c r="AD569" s="17" t="b">
        <f t="shared" si="52"/>
        <v>0</v>
      </c>
      <c r="AE569" s="17" t="b">
        <f t="shared" si="53"/>
        <v>0</v>
      </c>
    </row>
    <row r="570" spans="1:31" x14ac:dyDescent="0.2">
      <c r="A570" s="16">
        <v>5000499495</v>
      </c>
      <c r="B570" t="s">
        <v>6</v>
      </c>
      <c r="C570" t="s">
        <v>6</v>
      </c>
      <c r="D570" t="s">
        <v>1</v>
      </c>
      <c r="E570" t="s">
        <v>1061</v>
      </c>
      <c r="F570" t="s">
        <v>1062</v>
      </c>
      <c r="G570" s="2">
        <v>3</v>
      </c>
      <c r="H570" t="s">
        <v>461</v>
      </c>
      <c r="I570" t="s">
        <v>3</v>
      </c>
      <c r="J570" t="s">
        <v>19</v>
      </c>
      <c r="K570" t="s">
        <v>605</v>
      </c>
      <c r="L570" t="s">
        <v>608</v>
      </c>
      <c r="M570" t="s">
        <v>1063</v>
      </c>
      <c r="N570" t="s">
        <v>602</v>
      </c>
      <c r="O570" t="s">
        <v>603</v>
      </c>
      <c r="P570" t="s">
        <v>602</v>
      </c>
      <c r="Q570" s="17">
        <f>IFERROR(VLOOKUP(A570,已除帳印單!B:C,1,0),0)*1</f>
        <v>0</v>
      </c>
      <c r="R570" s="67" t="str">
        <f>IFERROR(VLOOKUP(J570,線別!A:B,2,1),"")</f>
        <v>FM_IA預組</v>
      </c>
      <c r="S570" s="17" t="str">
        <f>IFERROR(VLOOKUP(A570,已除帳印單!B:C,2,0),"")</f>
        <v/>
      </c>
      <c r="T570" s="68">
        <f t="shared" si="54"/>
        <v>43893</v>
      </c>
      <c r="U570" s="69">
        <f t="shared" si="55"/>
        <v>84.168784722222213</v>
      </c>
      <c r="V570" s="68" t="str">
        <f>IFERROR(VLOOKUP(A570,已除帳印單!B:D,3,0),"")</f>
        <v/>
      </c>
      <c r="W570" s="69" t="str">
        <f>IFERROR(VLOOKUP(A570,已除帳印單!B:E,4,0),"")</f>
        <v/>
      </c>
      <c r="X570" s="68" t="str">
        <f>IFERROR(INDEX(刷條碼區!A:C,MATCH(點上線資訊!S570,刷條碼區!C:C,0),1),"")</f>
        <v/>
      </c>
      <c r="Y570" s="69" t="str">
        <f>IFERROR(INDEX(刷條碼區!A:C,MATCH(點上線資訊!S570,刷條碼區!C:C,0),2),"")</f>
        <v/>
      </c>
      <c r="Z570" s="70" t="str">
        <f>IFERROR(INDEX(刷條碼區!D:G,MATCH(點上線資訊!S570,刷條碼區!F:F,0),1),"")</f>
        <v/>
      </c>
      <c r="AA570" s="71" t="str">
        <f>IFERROR(INDEX(刷條碼區!D:G,MATCH(點上線資訊!S570,刷條碼區!F:F,0),2),"")</f>
        <v/>
      </c>
      <c r="AB570" s="20" t="b">
        <f t="shared" si="50"/>
        <v>0</v>
      </c>
      <c r="AC570" s="20" t="b">
        <f t="shared" si="51"/>
        <v>0</v>
      </c>
      <c r="AD570" s="17" t="b">
        <f t="shared" si="52"/>
        <v>0</v>
      </c>
      <c r="AE570" s="17" t="b">
        <f t="shared" si="53"/>
        <v>0</v>
      </c>
    </row>
    <row r="571" spans="1:31" x14ac:dyDescent="0.2">
      <c r="A571" s="16">
        <v>5000499496</v>
      </c>
      <c r="B571" t="s">
        <v>6</v>
      </c>
      <c r="C571" t="s">
        <v>6</v>
      </c>
      <c r="D571" t="s">
        <v>1</v>
      </c>
      <c r="E571" t="s">
        <v>1064</v>
      </c>
      <c r="F571" t="s">
        <v>1065</v>
      </c>
      <c r="G571" s="2">
        <v>6</v>
      </c>
      <c r="H571" t="s">
        <v>461</v>
      </c>
      <c r="I571" t="s">
        <v>3</v>
      </c>
      <c r="J571" t="s">
        <v>19</v>
      </c>
      <c r="K571" t="s">
        <v>605</v>
      </c>
      <c r="L571" t="s">
        <v>608</v>
      </c>
      <c r="M571" t="s">
        <v>1063</v>
      </c>
      <c r="N571" t="s">
        <v>602</v>
      </c>
      <c r="O571" t="s">
        <v>603</v>
      </c>
      <c r="P571" t="s">
        <v>602</v>
      </c>
      <c r="Q571" s="17">
        <f>IFERROR(VLOOKUP(A571,已除帳印單!B:C,1,0),0)*1</f>
        <v>0</v>
      </c>
      <c r="R571" s="67" t="str">
        <f>IFERROR(VLOOKUP(J571,線別!A:B,2,1),"")</f>
        <v>FM_IA預組</v>
      </c>
      <c r="S571" s="17" t="str">
        <f>IFERROR(VLOOKUP(A571,已除帳印單!B:C,2,0),"")</f>
        <v/>
      </c>
      <c r="T571" s="68">
        <f t="shared" si="54"/>
        <v>43893</v>
      </c>
      <c r="U571" s="69">
        <f t="shared" si="55"/>
        <v>84.168784722222213</v>
      </c>
      <c r="V571" s="68" t="str">
        <f>IFERROR(VLOOKUP(A571,已除帳印單!B:D,3,0),"")</f>
        <v/>
      </c>
      <c r="W571" s="69" t="str">
        <f>IFERROR(VLOOKUP(A571,已除帳印單!B:E,4,0),"")</f>
        <v/>
      </c>
      <c r="X571" s="68" t="str">
        <f>IFERROR(INDEX(刷條碼區!A:C,MATCH(點上線資訊!S571,刷條碼區!C:C,0),1),"")</f>
        <v/>
      </c>
      <c r="Y571" s="69" t="str">
        <f>IFERROR(INDEX(刷條碼區!A:C,MATCH(點上線資訊!S571,刷條碼區!C:C,0),2),"")</f>
        <v/>
      </c>
      <c r="Z571" s="70" t="str">
        <f>IFERROR(INDEX(刷條碼區!D:G,MATCH(點上線資訊!S571,刷條碼區!F:F,0),1),"")</f>
        <v/>
      </c>
      <c r="AA571" s="71" t="str">
        <f>IFERROR(INDEX(刷條碼區!D:G,MATCH(點上線資訊!S571,刷條碼區!F:F,0),2),"")</f>
        <v/>
      </c>
      <c r="AB571" s="20" t="b">
        <f t="shared" si="50"/>
        <v>0</v>
      </c>
      <c r="AC571" s="20" t="b">
        <f t="shared" si="51"/>
        <v>0</v>
      </c>
      <c r="AD571" s="17" t="b">
        <f t="shared" si="52"/>
        <v>0</v>
      </c>
      <c r="AE571" s="17" t="b">
        <f t="shared" si="53"/>
        <v>0</v>
      </c>
    </row>
    <row r="572" spans="1:31" x14ac:dyDescent="0.2">
      <c r="A572" s="16">
        <v>5000499497</v>
      </c>
      <c r="B572" t="s">
        <v>6</v>
      </c>
      <c r="C572" t="s">
        <v>6</v>
      </c>
      <c r="D572" t="s">
        <v>1</v>
      </c>
      <c r="E572" t="s">
        <v>1066</v>
      </c>
      <c r="F572" t="s">
        <v>1062</v>
      </c>
      <c r="G572" s="2">
        <v>7</v>
      </c>
      <c r="H572" t="s">
        <v>461</v>
      </c>
      <c r="I572" t="s">
        <v>3</v>
      </c>
      <c r="J572" t="s">
        <v>19</v>
      </c>
      <c r="K572" t="s">
        <v>605</v>
      </c>
      <c r="L572" t="s">
        <v>608</v>
      </c>
      <c r="M572" t="s">
        <v>1063</v>
      </c>
      <c r="N572" t="s">
        <v>602</v>
      </c>
      <c r="O572" t="s">
        <v>603</v>
      </c>
      <c r="P572" t="s">
        <v>602</v>
      </c>
      <c r="Q572" s="17">
        <f>IFERROR(VLOOKUP(A572,已除帳印單!B:C,1,0),0)*1</f>
        <v>0</v>
      </c>
      <c r="R572" s="67" t="str">
        <f>IFERROR(VLOOKUP(J572,線別!A:B,2,1),"")</f>
        <v>FM_IA預組</v>
      </c>
      <c r="S572" s="17" t="str">
        <f>IFERROR(VLOOKUP(A572,已除帳印單!B:C,2,0),"")</f>
        <v/>
      </c>
      <c r="T572" s="68">
        <f t="shared" si="54"/>
        <v>43893</v>
      </c>
      <c r="U572" s="69">
        <f t="shared" si="55"/>
        <v>84.168784722222213</v>
      </c>
      <c r="V572" s="68" t="str">
        <f>IFERROR(VLOOKUP(A572,已除帳印單!B:D,3,0),"")</f>
        <v/>
      </c>
      <c r="W572" s="69" t="str">
        <f>IFERROR(VLOOKUP(A572,已除帳印單!B:E,4,0),"")</f>
        <v/>
      </c>
      <c r="X572" s="68" t="str">
        <f>IFERROR(INDEX(刷條碼區!A:C,MATCH(點上線資訊!S572,刷條碼區!C:C,0),1),"")</f>
        <v/>
      </c>
      <c r="Y572" s="69" t="str">
        <f>IFERROR(INDEX(刷條碼區!A:C,MATCH(點上線資訊!S572,刷條碼區!C:C,0),2),"")</f>
        <v/>
      </c>
      <c r="Z572" s="70" t="str">
        <f>IFERROR(INDEX(刷條碼區!D:G,MATCH(點上線資訊!S572,刷條碼區!F:F,0),1),"")</f>
        <v/>
      </c>
      <c r="AA572" s="71" t="str">
        <f>IFERROR(INDEX(刷條碼區!D:G,MATCH(點上線資訊!S572,刷條碼區!F:F,0),2),"")</f>
        <v/>
      </c>
      <c r="AB572" s="20" t="b">
        <f t="shared" si="50"/>
        <v>0</v>
      </c>
      <c r="AC572" s="20" t="b">
        <f t="shared" si="51"/>
        <v>0</v>
      </c>
      <c r="AD572" s="17" t="b">
        <f t="shared" si="52"/>
        <v>0</v>
      </c>
      <c r="AE572" s="17" t="b">
        <f t="shared" si="53"/>
        <v>0</v>
      </c>
    </row>
    <row r="573" spans="1:31" x14ac:dyDescent="0.2">
      <c r="A573" s="16">
        <v>5000499498</v>
      </c>
      <c r="B573" t="s">
        <v>301</v>
      </c>
      <c r="C573" t="s">
        <v>301</v>
      </c>
      <c r="D573" t="s">
        <v>1</v>
      </c>
      <c r="E573" t="s">
        <v>1067</v>
      </c>
      <c r="F573" t="s">
        <v>1068</v>
      </c>
      <c r="G573" s="2">
        <v>1</v>
      </c>
      <c r="H573" t="s">
        <v>461</v>
      </c>
      <c r="I573" t="s">
        <v>3</v>
      </c>
      <c r="J573" t="s">
        <v>339</v>
      </c>
      <c r="K573" t="s">
        <v>605</v>
      </c>
      <c r="L573" t="s">
        <v>608</v>
      </c>
      <c r="M573" t="s">
        <v>426</v>
      </c>
      <c r="N573" t="s">
        <v>602</v>
      </c>
      <c r="O573" t="s">
        <v>603</v>
      </c>
      <c r="P573" t="s">
        <v>602</v>
      </c>
      <c r="Q573" s="17">
        <f>IFERROR(VLOOKUP(A573,已除帳印單!B:C,1,0),0)*1</f>
        <v>0</v>
      </c>
      <c r="R573" s="67" t="str">
        <f>IFERROR(VLOOKUP(J573,線別!A:B,2,1),"")</f>
        <v>A+線</v>
      </c>
      <c r="S573" s="17" t="str">
        <f>IFERROR(VLOOKUP(A573,已除帳印單!B:C,2,0),"")</f>
        <v/>
      </c>
      <c r="T573" s="68">
        <f t="shared" si="54"/>
        <v>43894</v>
      </c>
      <c r="U573" s="69">
        <f t="shared" si="55"/>
        <v>84.168796296296293</v>
      </c>
      <c r="V573" s="68" t="str">
        <f>IFERROR(VLOOKUP(A573,已除帳印單!B:D,3,0),"")</f>
        <v/>
      </c>
      <c r="W573" s="69" t="str">
        <f>IFERROR(VLOOKUP(A573,已除帳印單!B:E,4,0),"")</f>
        <v/>
      </c>
      <c r="X573" s="68" t="str">
        <f>IFERROR(INDEX(刷條碼區!A:C,MATCH(點上線資訊!S573,刷條碼區!C:C,0),1),"")</f>
        <v/>
      </c>
      <c r="Y573" s="69" t="str">
        <f>IFERROR(INDEX(刷條碼區!A:C,MATCH(點上線資訊!S573,刷條碼區!C:C,0),2),"")</f>
        <v/>
      </c>
      <c r="Z573" s="70" t="str">
        <f>IFERROR(INDEX(刷條碼區!D:G,MATCH(點上線資訊!S573,刷條碼區!F:F,0),1),"")</f>
        <v/>
      </c>
      <c r="AA573" s="71" t="str">
        <f>IFERROR(INDEX(刷條碼區!D:G,MATCH(點上線資訊!S573,刷條碼區!F:F,0),2),"")</f>
        <v/>
      </c>
      <c r="AB573" s="20" t="b">
        <f t="shared" si="50"/>
        <v>0</v>
      </c>
      <c r="AC573" s="20" t="b">
        <f t="shared" si="51"/>
        <v>0</v>
      </c>
      <c r="AD573" s="17" t="b">
        <f t="shared" si="52"/>
        <v>0</v>
      </c>
      <c r="AE573" s="17" t="b">
        <f t="shared" si="53"/>
        <v>0</v>
      </c>
    </row>
    <row r="574" spans="1:31" x14ac:dyDescent="0.2">
      <c r="A574" s="16">
        <v>5000499505</v>
      </c>
      <c r="B574" t="s">
        <v>6</v>
      </c>
      <c r="C574" t="s">
        <v>6</v>
      </c>
      <c r="D574" t="s">
        <v>1</v>
      </c>
      <c r="E574" t="s">
        <v>1069</v>
      </c>
      <c r="F574" t="s">
        <v>1070</v>
      </c>
      <c r="G574" s="2">
        <v>9</v>
      </c>
      <c r="H574" t="s">
        <v>461</v>
      </c>
      <c r="I574" t="s">
        <v>3</v>
      </c>
      <c r="J574" t="s">
        <v>19</v>
      </c>
      <c r="K574" t="s">
        <v>605</v>
      </c>
      <c r="L574" t="s">
        <v>608</v>
      </c>
      <c r="M574" t="s">
        <v>1071</v>
      </c>
      <c r="N574" t="s">
        <v>602</v>
      </c>
      <c r="O574" t="s">
        <v>603</v>
      </c>
      <c r="P574" t="s">
        <v>602</v>
      </c>
      <c r="Q574" s="17">
        <f>IFERROR(VLOOKUP(A574,已除帳印單!B:C,1,0),0)*1</f>
        <v>0</v>
      </c>
      <c r="R574" s="67" t="str">
        <f>IFERROR(VLOOKUP(J574,線別!A:B,2,1),"")</f>
        <v>FM_IA預組</v>
      </c>
      <c r="S574" s="17" t="str">
        <f>IFERROR(VLOOKUP(A574,已除帳印單!B:C,2,0),"")</f>
        <v/>
      </c>
      <c r="T574" s="68">
        <f t="shared" si="54"/>
        <v>43893</v>
      </c>
      <c r="U574" s="69">
        <f t="shared" si="55"/>
        <v>84.168784722222213</v>
      </c>
      <c r="V574" s="68" t="str">
        <f>IFERROR(VLOOKUP(A574,已除帳印單!B:D,3,0),"")</f>
        <v/>
      </c>
      <c r="W574" s="69" t="str">
        <f>IFERROR(VLOOKUP(A574,已除帳印單!B:E,4,0),"")</f>
        <v/>
      </c>
      <c r="X574" s="68" t="str">
        <f>IFERROR(INDEX(刷條碼區!A:C,MATCH(點上線資訊!S574,刷條碼區!C:C,0),1),"")</f>
        <v/>
      </c>
      <c r="Y574" s="69" t="str">
        <f>IFERROR(INDEX(刷條碼區!A:C,MATCH(點上線資訊!S574,刷條碼區!C:C,0),2),"")</f>
        <v/>
      </c>
      <c r="Z574" s="70" t="str">
        <f>IFERROR(INDEX(刷條碼區!D:G,MATCH(點上線資訊!S574,刷條碼區!F:F,0),1),"")</f>
        <v/>
      </c>
      <c r="AA574" s="71" t="str">
        <f>IFERROR(INDEX(刷條碼區!D:G,MATCH(點上線資訊!S574,刷條碼區!F:F,0),2),"")</f>
        <v/>
      </c>
      <c r="AB574" s="20" t="b">
        <f t="shared" si="50"/>
        <v>0</v>
      </c>
      <c r="AC574" s="20" t="b">
        <f t="shared" si="51"/>
        <v>0</v>
      </c>
      <c r="AD574" s="17" t="b">
        <f t="shared" si="52"/>
        <v>0</v>
      </c>
      <c r="AE574" s="17" t="b">
        <f t="shared" si="53"/>
        <v>0</v>
      </c>
    </row>
    <row r="575" spans="1:31" x14ac:dyDescent="0.2">
      <c r="A575" s="16">
        <v>5000499506</v>
      </c>
      <c r="B575" t="s">
        <v>6</v>
      </c>
      <c r="C575" t="s">
        <v>6</v>
      </c>
      <c r="D575" t="s">
        <v>1</v>
      </c>
      <c r="E575" t="s">
        <v>368</v>
      </c>
      <c r="F575" t="s">
        <v>369</v>
      </c>
      <c r="G575" s="2">
        <v>10</v>
      </c>
      <c r="H575" t="s">
        <v>461</v>
      </c>
      <c r="I575" t="s">
        <v>3</v>
      </c>
      <c r="J575" t="s">
        <v>19</v>
      </c>
      <c r="K575" t="s">
        <v>605</v>
      </c>
      <c r="L575" t="s">
        <v>608</v>
      </c>
      <c r="M575" t="s">
        <v>1071</v>
      </c>
      <c r="N575" t="s">
        <v>602</v>
      </c>
      <c r="O575" t="s">
        <v>603</v>
      </c>
      <c r="P575" t="s">
        <v>602</v>
      </c>
      <c r="Q575" s="17">
        <f>IFERROR(VLOOKUP(A575,已除帳印單!B:C,1,0),0)*1</f>
        <v>0</v>
      </c>
      <c r="R575" s="67" t="str">
        <f>IFERROR(VLOOKUP(J575,線別!A:B,2,1),"")</f>
        <v>FM_IA預組</v>
      </c>
      <c r="S575" s="17" t="str">
        <f>IFERROR(VLOOKUP(A575,已除帳印單!B:C,2,0),"")</f>
        <v/>
      </c>
      <c r="T575" s="68">
        <f t="shared" si="54"/>
        <v>43893</v>
      </c>
      <c r="U575" s="69">
        <f t="shared" si="55"/>
        <v>84.168784722222213</v>
      </c>
      <c r="V575" s="68" t="str">
        <f>IFERROR(VLOOKUP(A575,已除帳印單!B:D,3,0),"")</f>
        <v/>
      </c>
      <c r="W575" s="69" t="str">
        <f>IFERROR(VLOOKUP(A575,已除帳印單!B:E,4,0),"")</f>
        <v/>
      </c>
      <c r="X575" s="68" t="str">
        <f>IFERROR(INDEX(刷條碼區!A:C,MATCH(點上線資訊!S575,刷條碼區!C:C,0),1),"")</f>
        <v/>
      </c>
      <c r="Y575" s="69" t="str">
        <f>IFERROR(INDEX(刷條碼區!A:C,MATCH(點上線資訊!S575,刷條碼區!C:C,0),2),"")</f>
        <v/>
      </c>
      <c r="Z575" s="70" t="str">
        <f>IFERROR(INDEX(刷條碼區!D:G,MATCH(點上線資訊!S575,刷條碼區!F:F,0),1),"")</f>
        <v/>
      </c>
      <c r="AA575" s="71" t="str">
        <f>IFERROR(INDEX(刷條碼區!D:G,MATCH(點上線資訊!S575,刷條碼區!F:F,0),2),"")</f>
        <v/>
      </c>
      <c r="AB575" s="20" t="b">
        <f t="shared" si="50"/>
        <v>0</v>
      </c>
      <c r="AC575" s="20" t="b">
        <f t="shared" si="51"/>
        <v>0</v>
      </c>
      <c r="AD575" s="17" t="b">
        <f t="shared" si="52"/>
        <v>0</v>
      </c>
      <c r="AE575" s="17" t="b">
        <f t="shared" si="53"/>
        <v>0</v>
      </c>
    </row>
    <row r="576" spans="1:31" x14ac:dyDescent="0.2">
      <c r="A576" s="16">
        <v>5000499507</v>
      </c>
      <c r="B576" t="s">
        <v>6</v>
      </c>
      <c r="C576" t="s">
        <v>6</v>
      </c>
      <c r="D576" t="s">
        <v>1</v>
      </c>
      <c r="E576" t="s">
        <v>1072</v>
      </c>
      <c r="F576" t="s">
        <v>1073</v>
      </c>
      <c r="G576" s="2">
        <v>1</v>
      </c>
      <c r="H576" t="s">
        <v>461</v>
      </c>
      <c r="I576" t="s">
        <v>3</v>
      </c>
      <c r="J576" t="s">
        <v>19</v>
      </c>
      <c r="K576" t="s">
        <v>605</v>
      </c>
      <c r="L576" t="s">
        <v>608</v>
      </c>
      <c r="M576" t="s">
        <v>1071</v>
      </c>
      <c r="N576" t="s">
        <v>602</v>
      </c>
      <c r="O576" t="s">
        <v>603</v>
      </c>
      <c r="P576" t="s">
        <v>602</v>
      </c>
      <c r="Q576" s="17">
        <f>IFERROR(VLOOKUP(A576,已除帳印單!B:C,1,0),0)*1</f>
        <v>0</v>
      </c>
      <c r="R576" s="67" t="str">
        <f>IFERROR(VLOOKUP(J576,線別!A:B,2,1),"")</f>
        <v>FM_IA預組</v>
      </c>
      <c r="S576" s="17" t="str">
        <f>IFERROR(VLOOKUP(A576,已除帳印單!B:C,2,0),"")</f>
        <v/>
      </c>
      <c r="T576" s="68">
        <f t="shared" si="54"/>
        <v>43893</v>
      </c>
      <c r="U576" s="69">
        <f t="shared" si="55"/>
        <v>84.168784722222213</v>
      </c>
      <c r="V576" s="68" t="str">
        <f>IFERROR(VLOOKUP(A576,已除帳印單!B:D,3,0),"")</f>
        <v/>
      </c>
      <c r="W576" s="69" t="str">
        <f>IFERROR(VLOOKUP(A576,已除帳印單!B:E,4,0),"")</f>
        <v/>
      </c>
      <c r="X576" s="68" t="str">
        <f>IFERROR(INDEX(刷條碼區!A:C,MATCH(點上線資訊!S576,刷條碼區!C:C,0),1),"")</f>
        <v/>
      </c>
      <c r="Y576" s="69" t="str">
        <f>IFERROR(INDEX(刷條碼區!A:C,MATCH(點上線資訊!S576,刷條碼區!C:C,0),2),"")</f>
        <v/>
      </c>
      <c r="Z576" s="70" t="str">
        <f>IFERROR(INDEX(刷條碼區!D:G,MATCH(點上線資訊!S576,刷條碼區!F:F,0),1),"")</f>
        <v/>
      </c>
      <c r="AA576" s="71" t="str">
        <f>IFERROR(INDEX(刷條碼區!D:G,MATCH(點上線資訊!S576,刷條碼區!F:F,0),2),"")</f>
        <v/>
      </c>
      <c r="AB576" s="20" t="b">
        <f t="shared" si="50"/>
        <v>0</v>
      </c>
      <c r="AC576" s="20" t="b">
        <f t="shared" si="51"/>
        <v>0</v>
      </c>
      <c r="AD576" s="17" t="b">
        <f t="shared" si="52"/>
        <v>0</v>
      </c>
      <c r="AE576" s="17" t="b">
        <f t="shared" si="53"/>
        <v>0</v>
      </c>
    </row>
    <row r="577" spans="1:31" x14ac:dyDescent="0.2">
      <c r="A577" s="16">
        <v>5000499508</v>
      </c>
      <c r="B577" t="s">
        <v>6</v>
      </c>
      <c r="C577" t="s">
        <v>6</v>
      </c>
      <c r="D577" t="s">
        <v>1</v>
      </c>
      <c r="E577" t="s">
        <v>1074</v>
      </c>
      <c r="F577" t="s">
        <v>1075</v>
      </c>
      <c r="G577" s="2">
        <v>10</v>
      </c>
      <c r="H577" t="s">
        <v>461</v>
      </c>
      <c r="I577" t="s">
        <v>3</v>
      </c>
      <c r="J577" t="s">
        <v>19</v>
      </c>
      <c r="K577" t="s">
        <v>605</v>
      </c>
      <c r="L577" t="s">
        <v>608</v>
      </c>
      <c r="M577" t="s">
        <v>1076</v>
      </c>
      <c r="N577" t="s">
        <v>602</v>
      </c>
      <c r="O577" t="s">
        <v>603</v>
      </c>
      <c r="P577" t="s">
        <v>602</v>
      </c>
      <c r="Q577" s="17">
        <f>IFERROR(VLOOKUP(A577,已除帳印單!B:C,1,0),0)*1</f>
        <v>0</v>
      </c>
      <c r="R577" s="67" t="str">
        <f>IFERROR(VLOOKUP(J577,線別!A:B,2,1),"")</f>
        <v>FM_IA預組</v>
      </c>
      <c r="S577" s="17" t="str">
        <f>IFERROR(VLOOKUP(A577,已除帳印單!B:C,2,0),"")</f>
        <v/>
      </c>
      <c r="T577" s="68">
        <f t="shared" si="54"/>
        <v>43893</v>
      </c>
      <c r="U577" s="69">
        <f t="shared" si="55"/>
        <v>84.168784722222213</v>
      </c>
      <c r="V577" s="68" t="str">
        <f>IFERROR(VLOOKUP(A577,已除帳印單!B:D,3,0),"")</f>
        <v/>
      </c>
      <c r="W577" s="69" t="str">
        <f>IFERROR(VLOOKUP(A577,已除帳印單!B:E,4,0),"")</f>
        <v/>
      </c>
      <c r="X577" s="68" t="str">
        <f>IFERROR(INDEX(刷條碼區!A:C,MATCH(點上線資訊!S577,刷條碼區!C:C,0),1),"")</f>
        <v/>
      </c>
      <c r="Y577" s="69" t="str">
        <f>IFERROR(INDEX(刷條碼區!A:C,MATCH(點上線資訊!S577,刷條碼區!C:C,0),2),"")</f>
        <v/>
      </c>
      <c r="Z577" s="70" t="str">
        <f>IFERROR(INDEX(刷條碼區!D:G,MATCH(點上線資訊!S577,刷條碼區!F:F,0),1),"")</f>
        <v/>
      </c>
      <c r="AA577" s="71" t="str">
        <f>IFERROR(INDEX(刷條碼區!D:G,MATCH(點上線資訊!S577,刷條碼區!F:F,0),2),"")</f>
        <v/>
      </c>
      <c r="AB577" s="20" t="b">
        <f t="shared" si="50"/>
        <v>0</v>
      </c>
      <c r="AC577" s="20" t="b">
        <f t="shared" si="51"/>
        <v>0</v>
      </c>
      <c r="AD577" s="17" t="b">
        <f t="shared" si="52"/>
        <v>0</v>
      </c>
      <c r="AE577" s="17" t="b">
        <f t="shared" si="53"/>
        <v>0</v>
      </c>
    </row>
    <row r="578" spans="1:31" x14ac:dyDescent="0.2">
      <c r="A578" s="16">
        <v>5000499509</v>
      </c>
      <c r="B578" t="s">
        <v>6</v>
      </c>
      <c r="C578" t="s">
        <v>6</v>
      </c>
      <c r="D578" t="s">
        <v>1</v>
      </c>
      <c r="E578" t="s">
        <v>1077</v>
      </c>
      <c r="F578" t="s">
        <v>1078</v>
      </c>
      <c r="G578" s="2">
        <v>10</v>
      </c>
      <c r="H578" t="s">
        <v>461</v>
      </c>
      <c r="I578" t="s">
        <v>3</v>
      </c>
      <c r="J578" t="s">
        <v>19</v>
      </c>
      <c r="K578" t="s">
        <v>605</v>
      </c>
      <c r="L578" t="s">
        <v>608</v>
      </c>
      <c r="M578" t="s">
        <v>1076</v>
      </c>
      <c r="N578" t="s">
        <v>602</v>
      </c>
      <c r="O578" t="s">
        <v>603</v>
      </c>
      <c r="P578" t="s">
        <v>602</v>
      </c>
      <c r="Q578" s="17">
        <f>IFERROR(VLOOKUP(A578,已除帳印單!B:C,1,0),0)*1</f>
        <v>0</v>
      </c>
      <c r="R578" s="67" t="str">
        <f>IFERROR(VLOOKUP(J578,線別!A:B,2,1),"")</f>
        <v>FM_IA預組</v>
      </c>
      <c r="S578" s="17" t="str">
        <f>IFERROR(VLOOKUP(A578,已除帳印單!B:C,2,0),"")</f>
        <v/>
      </c>
      <c r="T578" s="68">
        <f t="shared" si="54"/>
        <v>43893</v>
      </c>
      <c r="U578" s="69">
        <f t="shared" si="55"/>
        <v>84.168784722222213</v>
      </c>
      <c r="V578" s="68" t="str">
        <f>IFERROR(VLOOKUP(A578,已除帳印單!B:D,3,0),"")</f>
        <v/>
      </c>
      <c r="W578" s="69" t="str">
        <f>IFERROR(VLOOKUP(A578,已除帳印單!B:E,4,0),"")</f>
        <v/>
      </c>
      <c r="X578" s="68" t="str">
        <f>IFERROR(INDEX(刷條碼區!A:C,MATCH(點上線資訊!S578,刷條碼區!C:C,0),1),"")</f>
        <v/>
      </c>
      <c r="Y578" s="69" t="str">
        <f>IFERROR(INDEX(刷條碼區!A:C,MATCH(點上線資訊!S578,刷條碼區!C:C,0),2),"")</f>
        <v/>
      </c>
      <c r="Z578" s="70" t="str">
        <f>IFERROR(INDEX(刷條碼區!D:G,MATCH(點上線資訊!S578,刷條碼區!F:F,0),1),"")</f>
        <v/>
      </c>
      <c r="AA578" s="71" t="str">
        <f>IFERROR(INDEX(刷條碼區!D:G,MATCH(點上線資訊!S578,刷條碼區!F:F,0),2),"")</f>
        <v/>
      </c>
      <c r="AB578" s="20" t="b">
        <f t="shared" si="50"/>
        <v>0</v>
      </c>
      <c r="AC578" s="20" t="b">
        <f t="shared" si="51"/>
        <v>0</v>
      </c>
      <c r="AD578" s="17" t="b">
        <f t="shared" si="52"/>
        <v>0</v>
      </c>
      <c r="AE578" s="17" t="b">
        <f t="shared" si="53"/>
        <v>0</v>
      </c>
    </row>
    <row r="579" spans="1:31" x14ac:dyDescent="0.2">
      <c r="A579" s="16">
        <v>5000499510</v>
      </c>
      <c r="B579" t="s">
        <v>0</v>
      </c>
      <c r="C579" t="s">
        <v>0</v>
      </c>
      <c r="D579" t="s">
        <v>1</v>
      </c>
      <c r="E579" t="s">
        <v>986</v>
      </c>
      <c r="F579" t="s">
        <v>987</v>
      </c>
      <c r="G579" s="2">
        <v>7</v>
      </c>
      <c r="H579" t="s">
        <v>461</v>
      </c>
      <c r="I579" t="s">
        <v>3</v>
      </c>
      <c r="J579" t="s">
        <v>5</v>
      </c>
      <c r="K579" t="s">
        <v>605</v>
      </c>
      <c r="L579" t="s">
        <v>608</v>
      </c>
      <c r="M579" t="s">
        <v>985</v>
      </c>
      <c r="N579" t="s">
        <v>602</v>
      </c>
      <c r="O579" t="s">
        <v>603</v>
      </c>
      <c r="P579" t="s">
        <v>602</v>
      </c>
      <c r="Q579" s="17">
        <f>IFERROR(VLOOKUP(A579,已除帳印單!B:C,1,0),0)*1</f>
        <v>0</v>
      </c>
      <c r="R579" s="67" t="str">
        <f>IFERROR(VLOOKUP(J579,線別!A:B,2,1),"")</f>
        <v>FM線</v>
      </c>
      <c r="S579" s="17" t="str">
        <f>IFERROR(VLOOKUP(A579,已除帳印單!B:C,2,0),"")</f>
        <v/>
      </c>
      <c r="T579" s="68">
        <f t="shared" si="54"/>
        <v>43892</v>
      </c>
      <c r="U579" s="69">
        <f t="shared" si="55"/>
        <v>84.168773148148148</v>
      </c>
      <c r="V579" s="68" t="str">
        <f>IFERROR(VLOOKUP(A579,已除帳印單!B:D,3,0),"")</f>
        <v/>
      </c>
      <c r="W579" s="69" t="str">
        <f>IFERROR(VLOOKUP(A579,已除帳印單!B:E,4,0),"")</f>
        <v/>
      </c>
      <c r="X579" s="68" t="str">
        <f>IFERROR(INDEX(刷條碼區!A:C,MATCH(點上線資訊!S579,刷條碼區!C:C,0),1),"")</f>
        <v/>
      </c>
      <c r="Y579" s="69" t="str">
        <f>IFERROR(INDEX(刷條碼區!A:C,MATCH(點上線資訊!S579,刷條碼區!C:C,0),2),"")</f>
        <v/>
      </c>
      <c r="Z579" s="70" t="str">
        <f>IFERROR(INDEX(刷條碼區!D:G,MATCH(點上線資訊!S579,刷條碼區!F:F,0),1),"")</f>
        <v/>
      </c>
      <c r="AA579" s="71" t="str">
        <f>IFERROR(INDEX(刷條碼區!D:G,MATCH(點上線資訊!S579,刷條碼區!F:F,0),2),"")</f>
        <v/>
      </c>
      <c r="AB579" s="20" t="b">
        <f t="shared" ref="AB579:AB642" si="56">IF(K579&amp;N579="",G579)</f>
        <v>0</v>
      </c>
      <c r="AC579" s="20" t="b">
        <f t="shared" ref="AC579:AC642" si="57">IF(S579&lt;&gt;"",G579)</f>
        <v>0</v>
      </c>
      <c r="AD579" s="17" t="b">
        <f t="shared" ref="AD579:AD642" si="58">IF(X579&lt;&gt;"",G579)</f>
        <v>0</v>
      </c>
      <c r="AE579" s="17" t="b">
        <f t="shared" ref="AE579:AE642" si="59">IF(Z579&lt;&gt;"",G579)</f>
        <v>0</v>
      </c>
    </row>
    <row r="580" spans="1:31" x14ac:dyDescent="0.2">
      <c r="A580" s="16">
        <v>5000499511</v>
      </c>
      <c r="B580" t="s">
        <v>0</v>
      </c>
      <c r="C580" t="s">
        <v>0</v>
      </c>
      <c r="D580" t="s">
        <v>1</v>
      </c>
      <c r="E580" t="s">
        <v>986</v>
      </c>
      <c r="F580" t="s">
        <v>987</v>
      </c>
      <c r="G580" s="2">
        <v>7</v>
      </c>
      <c r="H580" t="s">
        <v>461</v>
      </c>
      <c r="I580" t="s">
        <v>3</v>
      </c>
      <c r="J580" t="s">
        <v>5</v>
      </c>
      <c r="K580" t="s">
        <v>605</v>
      </c>
      <c r="L580" t="s">
        <v>608</v>
      </c>
      <c r="M580" t="s">
        <v>985</v>
      </c>
      <c r="N580" t="s">
        <v>602</v>
      </c>
      <c r="O580" t="s">
        <v>603</v>
      </c>
      <c r="P580" t="s">
        <v>602</v>
      </c>
      <c r="Q580" s="17">
        <f>IFERROR(VLOOKUP(A580,已除帳印單!B:C,1,0),0)*1</f>
        <v>0</v>
      </c>
      <c r="R580" s="67" t="str">
        <f>IFERROR(VLOOKUP(J580,線別!A:B,2,1),"")</f>
        <v>FM線</v>
      </c>
      <c r="S580" s="17" t="str">
        <f>IFERROR(VLOOKUP(A580,已除帳印單!B:C,2,0),"")</f>
        <v/>
      </c>
      <c r="T580" s="68">
        <f t="shared" si="54"/>
        <v>43892</v>
      </c>
      <c r="U580" s="69">
        <f t="shared" si="55"/>
        <v>84.168773148148148</v>
      </c>
      <c r="V580" s="68" t="str">
        <f>IFERROR(VLOOKUP(A580,已除帳印單!B:D,3,0),"")</f>
        <v/>
      </c>
      <c r="W580" s="69" t="str">
        <f>IFERROR(VLOOKUP(A580,已除帳印單!B:E,4,0),"")</f>
        <v/>
      </c>
      <c r="X580" s="68" t="str">
        <f>IFERROR(INDEX(刷條碼區!A:C,MATCH(點上線資訊!S580,刷條碼區!C:C,0),1),"")</f>
        <v/>
      </c>
      <c r="Y580" s="69" t="str">
        <f>IFERROR(INDEX(刷條碼區!A:C,MATCH(點上線資訊!S580,刷條碼區!C:C,0),2),"")</f>
        <v/>
      </c>
      <c r="Z580" s="70" t="str">
        <f>IFERROR(INDEX(刷條碼區!D:G,MATCH(點上線資訊!S580,刷條碼區!F:F,0),1),"")</f>
        <v/>
      </c>
      <c r="AA580" s="71" t="str">
        <f>IFERROR(INDEX(刷條碼區!D:G,MATCH(點上線資訊!S580,刷條碼區!F:F,0),2),"")</f>
        <v/>
      </c>
      <c r="AB580" s="20" t="b">
        <f t="shared" si="56"/>
        <v>0</v>
      </c>
      <c r="AC580" s="20" t="b">
        <f t="shared" si="57"/>
        <v>0</v>
      </c>
      <c r="AD580" s="17" t="b">
        <f t="shared" si="58"/>
        <v>0</v>
      </c>
      <c r="AE580" s="17" t="b">
        <f t="shared" si="59"/>
        <v>0</v>
      </c>
    </row>
    <row r="581" spans="1:31" x14ac:dyDescent="0.2">
      <c r="A581" s="16">
        <v>5000499512</v>
      </c>
      <c r="B581" t="s">
        <v>0</v>
      </c>
      <c r="C581" t="s">
        <v>0</v>
      </c>
      <c r="D581" t="s">
        <v>1</v>
      </c>
      <c r="E581" t="s">
        <v>986</v>
      </c>
      <c r="F581" t="s">
        <v>987</v>
      </c>
      <c r="G581" s="2">
        <v>7</v>
      </c>
      <c r="H581" t="s">
        <v>461</v>
      </c>
      <c r="I581" t="s">
        <v>3</v>
      </c>
      <c r="J581" t="s">
        <v>5</v>
      </c>
      <c r="K581" t="s">
        <v>605</v>
      </c>
      <c r="L581" t="s">
        <v>608</v>
      </c>
      <c r="M581" t="s">
        <v>985</v>
      </c>
      <c r="N581" t="s">
        <v>602</v>
      </c>
      <c r="O581" t="s">
        <v>603</v>
      </c>
      <c r="P581" t="s">
        <v>602</v>
      </c>
      <c r="Q581" s="17">
        <f>IFERROR(VLOOKUP(A581,已除帳印單!B:C,1,0),0)*1</f>
        <v>0</v>
      </c>
      <c r="R581" s="67" t="str">
        <f>IFERROR(VLOOKUP(J581,線別!A:B,2,1),"")</f>
        <v>FM線</v>
      </c>
      <c r="S581" s="17" t="str">
        <f>IFERROR(VLOOKUP(A581,已除帳印單!B:C,2,0),"")</f>
        <v/>
      </c>
      <c r="T581" s="68">
        <f t="shared" si="54"/>
        <v>43892</v>
      </c>
      <c r="U581" s="69">
        <f t="shared" si="55"/>
        <v>84.168773148148148</v>
      </c>
      <c r="V581" s="68" t="str">
        <f>IFERROR(VLOOKUP(A581,已除帳印單!B:D,3,0),"")</f>
        <v/>
      </c>
      <c r="W581" s="69" t="str">
        <f>IFERROR(VLOOKUP(A581,已除帳印單!B:E,4,0),"")</f>
        <v/>
      </c>
      <c r="X581" s="68" t="str">
        <f>IFERROR(INDEX(刷條碼區!A:C,MATCH(點上線資訊!S581,刷條碼區!C:C,0),1),"")</f>
        <v/>
      </c>
      <c r="Y581" s="69" t="str">
        <f>IFERROR(INDEX(刷條碼區!A:C,MATCH(點上線資訊!S581,刷條碼區!C:C,0),2),"")</f>
        <v/>
      </c>
      <c r="Z581" s="70" t="str">
        <f>IFERROR(INDEX(刷條碼區!D:G,MATCH(點上線資訊!S581,刷條碼區!F:F,0),1),"")</f>
        <v/>
      </c>
      <c r="AA581" s="71" t="str">
        <f>IFERROR(INDEX(刷條碼區!D:G,MATCH(點上線資訊!S581,刷條碼區!F:F,0),2),"")</f>
        <v/>
      </c>
      <c r="AB581" s="20" t="b">
        <f t="shared" si="56"/>
        <v>0</v>
      </c>
      <c r="AC581" s="20" t="b">
        <f t="shared" si="57"/>
        <v>0</v>
      </c>
      <c r="AD581" s="17" t="b">
        <f t="shared" si="58"/>
        <v>0</v>
      </c>
      <c r="AE581" s="17" t="b">
        <f t="shared" si="59"/>
        <v>0</v>
      </c>
    </row>
    <row r="582" spans="1:31" x14ac:dyDescent="0.2">
      <c r="A582" s="16">
        <v>5000499513</v>
      </c>
      <c r="B582" t="s">
        <v>0</v>
      </c>
      <c r="C582" t="s">
        <v>0</v>
      </c>
      <c r="D582" t="s">
        <v>1</v>
      </c>
      <c r="E582" t="s">
        <v>986</v>
      </c>
      <c r="F582" t="s">
        <v>987</v>
      </c>
      <c r="G582" s="2">
        <v>7</v>
      </c>
      <c r="H582" t="s">
        <v>461</v>
      </c>
      <c r="I582" t="s">
        <v>3</v>
      </c>
      <c r="J582" t="s">
        <v>5</v>
      </c>
      <c r="K582" t="s">
        <v>605</v>
      </c>
      <c r="L582" t="s">
        <v>608</v>
      </c>
      <c r="M582" t="s">
        <v>985</v>
      </c>
      <c r="N582" t="s">
        <v>602</v>
      </c>
      <c r="O582" t="s">
        <v>603</v>
      </c>
      <c r="P582" t="s">
        <v>602</v>
      </c>
      <c r="Q582" s="17">
        <f>IFERROR(VLOOKUP(A582,已除帳印單!B:C,1,0),0)*1</f>
        <v>0</v>
      </c>
      <c r="R582" s="67" t="str">
        <f>IFERROR(VLOOKUP(J582,線別!A:B,2,1),"")</f>
        <v>FM線</v>
      </c>
      <c r="S582" s="17" t="str">
        <f>IFERROR(VLOOKUP(A582,已除帳印單!B:C,2,0),"")</f>
        <v/>
      </c>
      <c r="T582" s="68">
        <f t="shared" si="54"/>
        <v>43892</v>
      </c>
      <c r="U582" s="69">
        <f t="shared" si="55"/>
        <v>84.168773148148148</v>
      </c>
      <c r="V582" s="68" t="str">
        <f>IFERROR(VLOOKUP(A582,已除帳印單!B:D,3,0),"")</f>
        <v/>
      </c>
      <c r="W582" s="69" t="str">
        <f>IFERROR(VLOOKUP(A582,已除帳印單!B:E,4,0),"")</f>
        <v/>
      </c>
      <c r="X582" s="68" t="str">
        <f>IFERROR(INDEX(刷條碼區!A:C,MATCH(點上線資訊!S582,刷條碼區!C:C,0),1),"")</f>
        <v/>
      </c>
      <c r="Y582" s="69" t="str">
        <f>IFERROR(INDEX(刷條碼區!A:C,MATCH(點上線資訊!S582,刷條碼區!C:C,0),2),"")</f>
        <v/>
      </c>
      <c r="Z582" s="70" t="str">
        <f>IFERROR(INDEX(刷條碼區!D:G,MATCH(點上線資訊!S582,刷條碼區!F:F,0),1),"")</f>
        <v/>
      </c>
      <c r="AA582" s="71" t="str">
        <f>IFERROR(INDEX(刷條碼區!D:G,MATCH(點上線資訊!S582,刷條碼區!F:F,0),2),"")</f>
        <v/>
      </c>
      <c r="AB582" s="20" t="b">
        <f t="shared" si="56"/>
        <v>0</v>
      </c>
      <c r="AC582" s="20" t="b">
        <f t="shared" si="57"/>
        <v>0</v>
      </c>
      <c r="AD582" s="17" t="b">
        <f t="shared" si="58"/>
        <v>0</v>
      </c>
      <c r="AE582" s="17" t="b">
        <f t="shared" si="59"/>
        <v>0</v>
      </c>
    </row>
    <row r="583" spans="1:31" x14ac:dyDescent="0.2">
      <c r="A583" s="16">
        <v>5000499514</v>
      </c>
      <c r="B583" t="s">
        <v>0</v>
      </c>
      <c r="C583" t="s">
        <v>0</v>
      </c>
      <c r="D583" t="s">
        <v>1</v>
      </c>
      <c r="E583" t="s">
        <v>986</v>
      </c>
      <c r="F583" t="s">
        <v>987</v>
      </c>
      <c r="G583" s="2">
        <v>7</v>
      </c>
      <c r="H583" t="s">
        <v>461</v>
      </c>
      <c r="I583" t="s">
        <v>3</v>
      </c>
      <c r="J583" t="s">
        <v>5</v>
      </c>
      <c r="K583" t="s">
        <v>605</v>
      </c>
      <c r="L583" t="s">
        <v>608</v>
      </c>
      <c r="M583" t="s">
        <v>985</v>
      </c>
      <c r="N583" t="s">
        <v>602</v>
      </c>
      <c r="O583" t="s">
        <v>603</v>
      </c>
      <c r="P583" t="s">
        <v>602</v>
      </c>
      <c r="Q583" s="17">
        <f>IFERROR(VLOOKUP(A583,已除帳印單!B:C,1,0),0)*1</f>
        <v>0</v>
      </c>
      <c r="R583" s="67" t="str">
        <f>IFERROR(VLOOKUP(J583,線別!A:B,2,1),"")</f>
        <v>FM線</v>
      </c>
      <c r="S583" s="17" t="str">
        <f>IFERROR(VLOOKUP(A583,已除帳印單!B:C,2,0),"")</f>
        <v/>
      </c>
      <c r="T583" s="68">
        <f t="shared" si="54"/>
        <v>43892</v>
      </c>
      <c r="U583" s="69">
        <f t="shared" si="55"/>
        <v>84.168773148148148</v>
      </c>
      <c r="V583" s="68" t="str">
        <f>IFERROR(VLOOKUP(A583,已除帳印單!B:D,3,0),"")</f>
        <v/>
      </c>
      <c r="W583" s="69" t="str">
        <f>IFERROR(VLOOKUP(A583,已除帳印單!B:E,4,0),"")</f>
        <v/>
      </c>
      <c r="X583" s="68" t="str">
        <f>IFERROR(INDEX(刷條碼區!A:C,MATCH(點上線資訊!S583,刷條碼區!C:C,0),1),"")</f>
        <v/>
      </c>
      <c r="Y583" s="69" t="str">
        <f>IFERROR(INDEX(刷條碼區!A:C,MATCH(點上線資訊!S583,刷條碼區!C:C,0),2),"")</f>
        <v/>
      </c>
      <c r="Z583" s="70" t="str">
        <f>IFERROR(INDEX(刷條碼區!D:G,MATCH(點上線資訊!S583,刷條碼區!F:F,0),1),"")</f>
        <v/>
      </c>
      <c r="AA583" s="71" t="str">
        <f>IFERROR(INDEX(刷條碼區!D:G,MATCH(點上線資訊!S583,刷條碼區!F:F,0),2),"")</f>
        <v/>
      </c>
      <c r="AB583" s="20" t="b">
        <f t="shared" si="56"/>
        <v>0</v>
      </c>
      <c r="AC583" s="20" t="b">
        <f t="shared" si="57"/>
        <v>0</v>
      </c>
      <c r="AD583" s="17" t="b">
        <f t="shared" si="58"/>
        <v>0</v>
      </c>
      <c r="AE583" s="17" t="b">
        <f t="shared" si="59"/>
        <v>0</v>
      </c>
    </row>
    <row r="584" spans="1:31" x14ac:dyDescent="0.2">
      <c r="A584" s="16">
        <v>5000499515</v>
      </c>
      <c r="B584" t="s">
        <v>0</v>
      </c>
      <c r="C584" t="s">
        <v>0</v>
      </c>
      <c r="D584" t="s">
        <v>1</v>
      </c>
      <c r="E584" t="s">
        <v>986</v>
      </c>
      <c r="F584" t="s">
        <v>987</v>
      </c>
      <c r="G584" s="2">
        <v>7</v>
      </c>
      <c r="H584" t="s">
        <v>461</v>
      </c>
      <c r="I584" t="s">
        <v>3</v>
      </c>
      <c r="J584" t="s">
        <v>5</v>
      </c>
      <c r="K584" t="s">
        <v>605</v>
      </c>
      <c r="L584" t="s">
        <v>608</v>
      </c>
      <c r="M584" t="s">
        <v>985</v>
      </c>
      <c r="N584" t="s">
        <v>602</v>
      </c>
      <c r="O584" t="s">
        <v>603</v>
      </c>
      <c r="P584" t="s">
        <v>602</v>
      </c>
      <c r="Q584" s="17">
        <f>IFERROR(VLOOKUP(A584,已除帳印單!B:C,1,0),0)*1</f>
        <v>0</v>
      </c>
      <c r="R584" s="67" t="str">
        <f>IFERROR(VLOOKUP(J584,線別!A:B,2,1),"")</f>
        <v>FM線</v>
      </c>
      <c r="S584" s="17" t="str">
        <f>IFERROR(VLOOKUP(A584,已除帳印單!B:C,2,0),"")</f>
        <v/>
      </c>
      <c r="T584" s="68">
        <f t="shared" si="54"/>
        <v>43892</v>
      </c>
      <c r="U584" s="69">
        <f t="shared" si="55"/>
        <v>84.168773148148148</v>
      </c>
      <c r="V584" s="68" t="str">
        <f>IFERROR(VLOOKUP(A584,已除帳印單!B:D,3,0),"")</f>
        <v/>
      </c>
      <c r="W584" s="69" t="str">
        <f>IFERROR(VLOOKUP(A584,已除帳印單!B:E,4,0),"")</f>
        <v/>
      </c>
      <c r="X584" s="68" t="str">
        <f>IFERROR(INDEX(刷條碼區!A:C,MATCH(點上線資訊!S584,刷條碼區!C:C,0),1),"")</f>
        <v/>
      </c>
      <c r="Y584" s="69" t="str">
        <f>IFERROR(INDEX(刷條碼區!A:C,MATCH(點上線資訊!S584,刷條碼區!C:C,0),2),"")</f>
        <v/>
      </c>
      <c r="Z584" s="70" t="str">
        <f>IFERROR(INDEX(刷條碼區!D:G,MATCH(點上線資訊!S584,刷條碼區!F:F,0),1),"")</f>
        <v/>
      </c>
      <c r="AA584" s="71" t="str">
        <f>IFERROR(INDEX(刷條碼區!D:G,MATCH(點上線資訊!S584,刷條碼區!F:F,0),2),"")</f>
        <v/>
      </c>
      <c r="AB584" s="20" t="b">
        <f t="shared" si="56"/>
        <v>0</v>
      </c>
      <c r="AC584" s="20" t="b">
        <f t="shared" si="57"/>
        <v>0</v>
      </c>
      <c r="AD584" s="17" t="b">
        <f t="shared" si="58"/>
        <v>0</v>
      </c>
      <c r="AE584" s="17" t="b">
        <f t="shared" si="59"/>
        <v>0</v>
      </c>
    </row>
    <row r="585" spans="1:31" x14ac:dyDescent="0.2">
      <c r="A585" s="16">
        <v>5000499516</v>
      </c>
      <c r="B585" t="s">
        <v>0</v>
      </c>
      <c r="C585" t="s">
        <v>0</v>
      </c>
      <c r="D585" t="s">
        <v>1</v>
      </c>
      <c r="E585" t="s">
        <v>986</v>
      </c>
      <c r="F585" t="s">
        <v>987</v>
      </c>
      <c r="G585" s="2">
        <v>7</v>
      </c>
      <c r="H585" t="s">
        <v>461</v>
      </c>
      <c r="I585" t="s">
        <v>3</v>
      </c>
      <c r="J585" t="s">
        <v>5</v>
      </c>
      <c r="K585" t="s">
        <v>605</v>
      </c>
      <c r="L585" t="s">
        <v>608</v>
      </c>
      <c r="M585" t="s">
        <v>985</v>
      </c>
      <c r="N585" t="s">
        <v>602</v>
      </c>
      <c r="O585" t="s">
        <v>603</v>
      </c>
      <c r="P585" t="s">
        <v>602</v>
      </c>
      <c r="Q585" s="17">
        <f>IFERROR(VLOOKUP(A585,已除帳印單!B:C,1,0),0)*1</f>
        <v>0</v>
      </c>
      <c r="R585" s="67" t="str">
        <f>IFERROR(VLOOKUP(J585,線別!A:B,2,1),"")</f>
        <v>FM線</v>
      </c>
      <c r="S585" s="17" t="str">
        <f>IFERROR(VLOOKUP(A585,已除帳印單!B:C,2,0),"")</f>
        <v/>
      </c>
      <c r="T585" s="68">
        <f t="shared" si="54"/>
        <v>43892</v>
      </c>
      <c r="U585" s="69">
        <f t="shared" si="55"/>
        <v>84.168773148148148</v>
      </c>
      <c r="V585" s="68" t="str">
        <f>IFERROR(VLOOKUP(A585,已除帳印單!B:D,3,0),"")</f>
        <v/>
      </c>
      <c r="W585" s="69" t="str">
        <f>IFERROR(VLOOKUP(A585,已除帳印單!B:E,4,0),"")</f>
        <v/>
      </c>
      <c r="X585" s="68" t="str">
        <f>IFERROR(INDEX(刷條碼區!A:C,MATCH(點上線資訊!S585,刷條碼區!C:C,0),1),"")</f>
        <v/>
      </c>
      <c r="Y585" s="69" t="str">
        <f>IFERROR(INDEX(刷條碼區!A:C,MATCH(點上線資訊!S585,刷條碼區!C:C,0),2),"")</f>
        <v/>
      </c>
      <c r="Z585" s="70" t="str">
        <f>IFERROR(INDEX(刷條碼區!D:G,MATCH(點上線資訊!S585,刷條碼區!F:F,0),1),"")</f>
        <v/>
      </c>
      <c r="AA585" s="71" t="str">
        <f>IFERROR(INDEX(刷條碼區!D:G,MATCH(點上線資訊!S585,刷條碼區!F:F,0),2),"")</f>
        <v/>
      </c>
      <c r="AB585" s="20" t="b">
        <f t="shared" si="56"/>
        <v>0</v>
      </c>
      <c r="AC585" s="20" t="b">
        <f t="shared" si="57"/>
        <v>0</v>
      </c>
      <c r="AD585" s="17" t="b">
        <f t="shared" si="58"/>
        <v>0</v>
      </c>
      <c r="AE585" s="17" t="b">
        <f t="shared" si="59"/>
        <v>0</v>
      </c>
    </row>
    <row r="586" spans="1:31" x14ac:dyDescent="0.2">
      <c r="A586" s="16">
        <v>5000499518</v>
      </c>
      <c r="B586" t="s">
        <v>301</v>
      </c>
      <c r="C586" t="s">
        <v>301</v>
      </c>
      <c r="D586" t="s">
        <v>1</v>
      </c>
      <c r="E586" t="s">
        <v>1079</v>
      </c>
      <c r="F586" t="s">
        <v>1080</v>
      </c>
      <c r="G586" s="2">
        <v>3</v>
      </c>
      <c r="H586" t="s">
        <v>461</v>
      </c>
      <c r="I586" t="s">
        <v>3</v>
      </c>
      <c r="J586" t="s">
        <v>1081</v>
      </c>
      <c r="K586" t="s">
        <v>605</v>
      </c>
      <c r="L586" t="s">
        <v>608</v>
      </c>
      <c r="M586" t="s">
        <v>427</v>
      </c>
      <c r="N586" t="s">
        <v>602</v>
      </c>
      <c r="O586" t="s">
        <v>603</v>
      </c>
      <c r="P586" t="s">
        <v>602</v>
      </c>
      <c r="Q586" s="17">
        <f>IFERROR(VLOOKUP(A586,已除帳印單!B:C,1,0),0)*1</f>
        <v>0</v>
      </c>
      <c r="R586" s="67" t="str">
        <f>IFERROR(VLOOKUP(J586,線別!A:B,2,1),"")</f>
        <v>A+線</v>
      </c>
      <c r="S586" s="17" t="str">
        <f>IFERROR(VLOOKUP(A586,已除帳印單!B:C,2,0),"")</f>
        <v/>
      </c>
      <c r="T586" s="68">
        <f t="shared" ref="T586:T649" si="60">--TEXT(B586,"0000-00-00")</f>
        <v>43894</v>
      </c>
      <c r="U586" s="69">
        <f t="shared" ref="U586:U649" si="61">--TEXT(C586,"00\:00\:00")</f>
        <v>84.168796296296293</v>
      </c>
      <c r="V586" s="68" t="str">
        <f>IFERROR(VLOOKUP(A586,已除帳印單!B:D,3,0),"")</f>
        <v/>
      </c>
      <c r="W586" s="69" t="str">
        <f>IFERROR(VLOOKUP(A586,已除帳印單!B:E,4,0),"")</f>
        <v/>
      </c>
      <c r="X586" s="68" t="str">
        <f>IFERROR(INDEX(刷條碼區!A:C,MATCH(點上線資訊!S586,刷條碼區!C:C,0),1),"")</f>
        <v/>
      </c>
      <c r="Y586" s="69" t="str">
        <f>IFERROR(INDEX(刷條碼區!A:C,MATCH(點上線資訊!S586,刷條碼區!C:C,0),2),"")</f>
        <v/>
      </c>
      <c r="Z586" s="70" t="str">
        <f>IFERROR(INDEX(刷條碼區!D:G,MATCH(點上線資訊!S586,刷條碼區!F:F,0),1),"")</f>
        <v/>
      </c>
      <c r="AA586" s="71" t="str">
        <f>IFERROR(INDEX(刷條碼區!D:G,MATCH(點上線資訊!S586,刷條碼區!F:F,0),2),"")</f>
        <v/>
      </c>
      <c r="AB586" s="20" t="b">
        <f t="shared" si="56"/>
        <v>0</v>
      </c>
      <c r="AC586" s="20" t="b">
        <f t="shared" si="57"/>
        <v>0</v>
      </c>
      <c r="AD586" s="17" t="b">
        <f t="shared" si="58"/>
        <v>0</v>
      </c>
      <c r="AE586" s="17" t="b">
        <f t="shared" si="59"/>
        <v>0</v>
      </c>
    </row>
    <row r="587" spans="1:31" x14ac:dyDescent="0.2">
      <c r="A587" s="16">
        <v>5000499519</v>
      </c>
      <c r="B587" t="s">
        <v>0</v>
      </c>
      <c r="C587" t="s">
        <v>0</v>
      </c>
      <c r="D587" t="s">
        <v>1</v>
      </c>
      <c r="E587" t="s">
        <v>117</v>
      </c>
      <c r="F587" t="s">
        <v>118</v>
      </c>
      <c r="G587" s="2">
        <v>10</v>
      </c>
      <c r="H587" t="s">
        <v>461</v>
      </c>
      <c r="I587" t="s">
        <v>3</v>
      </c>
      <c r="J587" t="s">
        <v>107</v>
      </c>
      <c r="K587" t="s">
        <v>605</v>
      </c>
      <c r="L587" t="s">
        <v>608</v>
      </c>
      <c r="M587" t="s">
        <v>454</v>
      </c>
      <c r="N587" t="s">
        <v>602</v>
      </c>
      <c r="O587" t="s">
        <v>603</v>
      </c>
      <c r="P587" t="s">
        <v>602</v>
      </c>
      <c r="Q587" s="17">
        <f>IFERROR(VLOOKUP(A587,已除帳印單!B:C,1,0),0)*1</f>
        <v>0</v>
      </c>
      <c r="R587" s="67" t="str">
        <f>IFERROR(VLOOKUP(J587,線別!A:B,2,1),"")</f>
        <v>IA線</v>
      </c>
      <c r="S587" s="17" t="str">
        <f>IFERROR(VLOOKUP(A587,已除帳印單!B:C,2,0),"")</f>
        <v/>
      </c>
      <c r="T587" s="68">
        <f t="shared" si="60"/>
        <v>43892</v>
      </c>
      <c r="U587" s="69">
        <f t="shared" si="61"/>
        <v>84.168773148148148</v>
      </c>
      <c r="V587" s="68" t="str">
        <f>IFERROR(VLOOKUP(A587,已除帳印單!B:D,3,0),"")</f>
        <v/>
      </c>
      <c r="W587" s="69" t="str">
        <f>IFERROR(VLOOKUP(A587,已除帳印單!B:E,4,0),"")</f>
        <v/>
      </c>
      <c r="X587" s="68" t="str">
        <f>IFERROR(INDEX(刷條碼區!A:C,MATCH(點上線資訊!S587,刷條碼區!C:C,0),1),"")</f>
        <v/>
      </c>
      <c r="Y587" s="69" t="str">
        <f>IFERROR(INDEX(刷條碼區!A:C,MATCH(點上線資訊!S587,刷條碼區!C:C,0),2),"")</f>
        <v/>
      </c>
      <c r="Z587" s="70" t="str">
        <f>IFERROR(INDEX(刷條碼區!D:G,MATCH(點上線資訊!S587,刷條碼區!F:F,0),1),"")</f>
        <v/>
      </c>
      <c r="AA587" s="71" t="str">
        <f>IFERROR(INDEX(刷條碼區!D:G,MATCH(點上線資訊!S587,刷條碼區!F:F,0),2),"")</f>
        <v/>
      </c>
      <c r="AB587" s="20" t="b">
        <f t="shared" si="56"/>
        <v>0</v>
      </c>
      <c r="AC587" s="20" t="b">
        <f t="shared" si="57"/>
        <v>0</v>
      </c>
      <c r="AD587" s="17" t="b">
        <f t="shared" si="58"/>
        <v>0</v>
      </c>
      <c r="AE587" s="17" t="b">
        <f t="shared" si="59"/>
        <v>0</v>
      </c>
    </row>
    <row r="588" spans="1:31" x14ac:dyDescent="0.2">
      <c r="A588" s="16">
        <v>5000499777</v>
      </c>
      <c r="B588" t="s">
        <v>6</v>
      </c>
      <c r="C588" t="s">
        <v>6</v>
      </c>
      <c r="D588" t="s">
        <v>1</v>
      </c>
      <c r="E588" t="s">
        <v>277</v>
      </c>
      <c r="F588" t="s">
        <v>558</v>
      </c>
      <c r="G588" s="2">
        <v>5</v>
      </c>
      <c r="H588" t="s">
        <v>461</v>
      </c>
      <c r="I588" t="s">
        <v>3</v>
      </c>
      <c r="J588" t="s">
        <v>53</v>
      </c>
      <c r="K588" t="s">
        <v>602</v>
      </c>
      <c r="L588" t="s">
        <v>603</v>
      </c>
      <c r="M588" t="s">
        <v>602</v>
      </c>
      <c r="N588" t="s">
        <v>602</v>
      </c>
      <c r="O588" t="s">
        <v>603</v>
      </c>
      <c r="P588" t="s">
        <v>602</v>
      </c>
      <c r="Q588" s="17">
        <f>IFERROR(VLOOKUP(A588,已除帳印單!B:C,1,0),0)*1</f>
        <v>0</v>
      </c>
      <c r="R588" s="67" t="str">
        <f>IFERROR(VLOOKUP(J588,線別!A:B,2,1),"")</f>
        <v>裝二線</v>
      </c>
      <c r="S588" s="17" t="str">
        <f>IFERROR(VLOOKUP(A588,已除帳印單!B:C,2,0),"")</f>
        <v/>
      </c>
      <c r="T588" s="68">
        <f t="shared" si="60"/>
        <v>43893</v>
      </c>
      <c r="U588" s="69">
        <f t="shared" si="61"/>
        <v>84.168784722222213</v>
      </c>
      <c r="V588" s="68" t="str">
        <f>IFERROR(VLOOKUP(A588,已除帳印單!B:D,3,0),"")</f>
        <v/>
      </c>
      <c r="W588" s="69" t="str">
        <f>IFERROR(VLOOKUP(A588,已除帳印單!B:E,4,0),"")</f>
        <v/>
      </c>
      <c r="X588" s="68" t="str">
        <f>IFERROR(INDEX(刷條碼區!A:C,MATCH(點上線資訊!S588,刷條碼區!C:C,0),1),"")</f>
        <v/>
      </c>
      <c r="Y588" s="69" t="str">
        <f>IFERROR(INDEX(刷條碼區!A:C,MATCH(點上線資訊!S588,刷條碼區!C:C,0),2),"")</f>
        <v/>
      </c>
      <c r="Z588" s="70" t="str">
        <f>IFERROR(INDEX(刷條碼區!D:G,MATCH(點上線資訊!S588,刷條碼區!F:F,0),1),"")</f>
        <v/>
      </c>
      <c r="AA588" s="71" t="str">
        <f>IFERROR(INDEX(刷條碼區!D:G,MATCH(點上線資訊!S588,刷條碼區!F:F,0),2),"")</f>
        <v/>
      </c>
      <c r="AB588" s="20">
        <f t="shared" si="56"/>
        <v>5</v>
      </c>
      <c r="AC588" s="20" t="b">
        <f t="shared" si="57"/>
        <v>0</v>
      </c>
      <c r="AD588" s="17" t="b">
        <f t="shared" si="58"/>
        <v>0</v>
      </c>
      <c r="AE588" s="17" t="b">
        <f t="shared" si="59"/>
        <v>0</v>
      </c>
    </row>
    <row r="589" spans="1:31" x14ac:dyDescent="0.2">
      <c r="A589" s="16">
        <v>5000499779</v>
      </c>
      <c r="B589" t="s">
        <v>6</v>
      </c>
      <c r="C589" t="s">
        <v>6</v>
      </c>
      <c r="D589" t="s">
        <v>1</v>
      </c>
      <c r="E589" t="s">
        <v>275</v>
      </c>
      <c r="F589" t="s">
        <v>559</v>
      </c>
      <c r="G589" s="2">
        <v>20</v>
      </c>
      <c r="H589" t="s">
        <v>461</v>
      </c>
      <c r="I589" t="s">
        <v>3</v>
      </c>
      <c r="J589" t="s">
        <v>53</v>
      </c>
      <c r="K589" t="s">
        <v>602</v>
      </c>
      <c r="L589" t="s">
        <v>603</v>
      </c>
      <c r="M589" t="s">
        <v>602</v>
      </c>
      <c r="N589" t="s">
        <v>602</v>
      </c>
      <c r="O589" t="s">
        <v>603</v>
      </c>
      <c r="P589" t="s">
        <v>602</v>
      </c>
      <c r="Q589" s="17">
        <f>IFERROR(VLOOKUP(A589,已除帳印單!B:C,1,0),0)*1</f>
        <v>0</v>
      </c>
      <c r="R589" s="67" t="str">
        <f>IFERROR(VLOOKUP(J589,線別!A:B,2,1),"")</f>
        <v>裝二線</v>
      </c>
      <c r="S589" s="17" t="str">
        <f>IFERROR(VLOOKUP(A589,已除帳印單!B:C,2,0),"")</f>
        <v/>
      </c>
      <c r="T589" s="68">
        <f t="shared" si="60"/>
        <v>43893</v>
      </c>
      <c r="U589" s="69">
        <f t="shared" si="61"/>
        <v>84.168784722222213</v>
      </c>
      <c r="V589" s="68" t="str">
        <f>IFERROR(VLOOKUP(A589,已除帳印單!B:D,3,0),"")</f>
        <v/>
      </c>
      <c r="W589" s="69" t="str">
        <f>IFERROR(VLOOKUP(A589,已除帳印單!B:E,4,0),"")</f>
        <v/>
      </c>
      <c r="X589" s="68" t="str">
        <f>IFERROR(INDEX(刷條碼區!A:C,MATCH(點上線資訊!S589,刷條碼區!C:C,0),1),"")</f>
        <v/>
      </c>
      <c r="Y589" s="69" t="str">
        <f>IFERROR(INDEX(刷條碼區!A:C,MATCH(點上線資訊!S589,刷條碼區!C:C,0),2),"")</f>
        <v/>
      </c>
      <c r="Z589" s="70" t="str">
        <f>IFERROR(INDEX(刷條碼區!D:G,MATCH(點上線資訊!S589,刷條碼區!F:F,0),1),"")</f>
        <v/>
      </c>
      <c r="AA589" s="71" t="str">
        <f>IFERROR(INDEX(刷條碼區!D:G,MATCH(點上線資訊!S589,刷條碼區!F:F,0),2),"")</f>
        <v/>
      </c>
      <c r="AB589" s="20">
        <f t="shared" si="56"/>
        <v>20</v>
      </c>
      <c r="AC589" s="20" t="b">
        <f t="shared" si="57"/>
        <v>0</v>
      </c>
      <c r="AD589" s="17" t="b">
        <f t="shared" si="58"/>
        <v>0</v>
      </c>
      <c r="AE589" s="17" t="b">
        <f t="shared" si="59"/>
        <v>0</v>
      </c>
    </row>
    <row r="590" spans="1:31" x14ac:dyDescent="0.2">
      <c r="A590" s="16">
        <v>5000499782</v>
      </c>
      <c r="B590" t="s">
        <v>6</v>
      </c>
      <c r="C590" t="s">
        <v>6</v>
      </c>
      <c r="D590" t="s">
        <v>1</v>
      </c>
      <c r="E590" t="s">
        <v>274</v>
      </c>
      <c r="F590" t="s">
        <v>560</v>
      </c>
      <c r="G590" s="2">
        <v>13</v>
      </c>
      <c r="H590" t="s">
        <v>461</v>
      </c>
      <c r="I590" t="s">
        <v>3</v>
      </c>
      <c r="J590" t="s">
        <v>53</v>
      </c>
      <c r="K590" t="s">
        <v>602</v>
      </c>
      <c r="L590" t="s">
        <v>603</v>
      </c>
      <c r="M590" t="s">
        <v>602</v>
      </c>
      <c r="N590" t="s">
        <v>602</v>
      </c>
      <c r="O590" t="s">
        <v>603</v>
      </c>
      <c r="P590" t="s">
        <v>602</v>
      </c>
      <c r="Q590" s="17">
        <f>IFERROR(VLOOKUP(A590,已除帳印單!B:C,1,0),0)*1</f>
        <v>0</v>
      </c>
      <c r="R590" s="67" t="str">
        <f>IFERROR(VLOOKUP(J590,線別!A:B,2,1),"")</f>
        <v>裝二線</v>
      </c>
      <c r="S590" s="17" t="str">
        <f>IFERROR(VLOOKUP(A590,已除帳印單!B:C,2,0),"")</f>
        <v/>
      </c>
      <c r="T590" s="68">
        <f t="shared" si="60"/>
        <v>43893</v>
      </c>
      <c r="U590" s="69">
        <f t="shared" si="61"/>
        <v>84.168784722222213</v>
      </c>
      <c r="V590" s="68" t="str">
        <f>IFERROR(VLOOKUP(A590,已除帳印單!B:D,3,0),"")</f>
        <v/>
      </c>
      <c r="W590" s="69" t="str">
        <f>IFERROR(VLOOKUP(A590,已除帳印單!B:E,4,0),"")</f>
        <v/>
      </c>
      <c r="X590" s="68" t="str">
        <f>IFERROR(INDEX(刷條碼區!A:C,MATCH(點上線資訊!S590,刷條碼區!C:C,0),1),"")</f>
        <v/>
      </c>
      <c r="Y590" s="69" t="str">
        <f>IFERROR(INDEX(刷條碼區!A:C,MATCH(點上線資訊!S590,刷條碼區!C:C,0),2),"")</f>
        <v/>
      </c>
      <c r="Z590" s="70" t="str">
        <f>IFERROR(INDEX(刷條碼區!D:G,MATCH(點上線資訊!S590,刷條碼區!F:F,0),1),"")</f>
        <v/>
      </c>
      <c r="AA590" s="71" t="str">
        <f>IFERROR(INDEX(刷條碼區!D:G,MATCH(點上線資訊!S590,刷條碼區!F:F,0),2),"")</f>
        <v/>
      </c>
      <c r="AB590" s="20">
        <f t="shared" si="56"/>
        <v>13</v>
      </c>
      <c r="AC590" s="20" t="b">
        <f t="shared" si="57"/>
        <v>0</v>
      </c>
      <c r="AD590" s="17" t="b">
        <f t="shared" si="58"/>
        <v>0</v>
      </c>
      <c r="AE590" s="17" t="b">
        <f t="shared" si="59"/>
        <v>0</v>
      </c>
    </row>
    <row r="591" spans="1:31" x14ac:dyDescent="0.2">
      <c r="A591" s="16">
        <v>5000499783</v>
      </c>
      <c r="B591" t="s">
        <v>301</v>
      </c>
      <c r="C591" t="s">
        <v>301</v>
      </c>
      <c r="D591" t="s">
        <v>1</v>
      </c>
      <c r="E591" t="s">
        <v>343</v>
      </c>
      <c r="F591" t="s">
        <v>1082</v>
      </c>
      <c r="G591" s="2">
        <v>20</v>
      </c>
      <c r="H591" t="s">
        <v>461</v>
      </c>
      <c r="I591" t="s">
        <v>3</v>
      </c>
      <c r="J591" t="s">
        <v>339</v>
      </c>
      <c r="K591" t="s">
        <v>605</v>
      </c>
      <c r="L591" t="s">
        <v>608</v>
      </c>
      <c r="M591" t="s">
        <v>1083</v>
      </c>
      <c r="N591" t="s">
        <v>602</v>
      </c>
      <c r="O591" t="s">
        <v>603</v>
      </c>
      <c r="P591" t="s">
        <v>602</v>
      </c>
      <c r="Q591" s="17">
        <f>IFERROR(VLOOKUP(A591,已除帳印單!B:C,1,0),0)*1</f>
        <v>0</v>
      </c>
      <c r="R591" s="67" t="str">
        <f>IFERROR(VLOOKUP(J591,線別!A:B,2,1),"")</f>
        <v>A+線</v>
      </c>
      <c r="S591" s="17" t="str">
        <f>IFERROR(VLOOKUP(A591,已除帳印單!B:C,2,0),"")</f>
        <v/>
      </c>
      <c r="T591" s="68">
        <f t="shared" si="60"/>
        <v>43894</v>
      </c>
      <c r="U591" s="69">
        <f t="shared" si="61"/>
        <v>84.168796296296293</v>
      </c>
      <c r="V591" s="68" t="str">
        <f>IFERROR(VLOOKUP(A591,已除帳印單!B:D,3,0),"")</f>
        <v/>
      </c>
      <c r="W591" s="69" t="str">
        <f>IFERROR(VLOOKUP(A591,已除帳印單!B:E,4,0),"")</f>
        <v/>
      </c>
      <c r="X591" s="68" t="str">
        <f>IFERROR(INDEX(刷條碼區!A:C,MATCH(點上線資訊!S591,刷條碼區!C:C,0),1),"")</f>
        <v/>
      </c>
      <c r="Y591" s="69" t="str">
        <f>IFERROR(INDEX(刷條碼區!A:C,MATCH(點上線資訊!S591,刷條碼區!C:C,0),2),"")</f>
        <v/>
      </c>
      <c r="Z591" s="70" t="str">
        <f>IFERROR(INDEX(刷條碼區!D:G,MATCH(點上線資訊!S591,刷條碼區!F:F,0),1),"")</f>
        <v/>
      </c>
      <c r="AA591" s="71" t="str">
        <f>IFERROR(INDEX(刷條碼區!D:G,MATCH(點上線資訊!S591,刷條碼區!F:F,0),2),"")</f>
        <v/>
      </c>
      <c r="AB591" s="20" t="b">
        <f t="shared" si="56"/>
        <v>0</v>
      </c>
      <c r="AC591" s="20" t="b">
        <f t="shared" si="57"/>
        <v>0</v>
      </c>
      <c r="AD591" s="17" t="b">
        <f t="shared" si="58"/>
        <v>0</v>
      </c>
      <c r="AE591" s="17" t="b">
        <f t="shared" si="59"/>
        <v>0</v>
      </c>
    </row>
    <row r="592" spans="1:31" x14ac:dyDescent="0.2">
      <c r="A592" s="16">
        <v>5000499786</v>
      </c>
      <c r="B592" t="s">
        <v>6</v>
      </c>
      <c r="C592" t="s">
        <v>6</v>
      </c>
      <c r="D592" t="s">
        <v>1</v>
      </c>
      <c r="E592" t="s">
        <v>79</v>
      </c>
      <c r="F592" t="s">
        <v>561</v>
      </c>
      <c r="G592" s="2">
        <v>20</v>
      </c>
      <c r="H592" t="s">
        <v>461</v>
      </c>
      <c r="I592" t="s">
        <v>3</v>
      </c>
      <c r="J592" t="s">
        <v>53</v>
      </c>
      <c r="K592" t="s">
        <v>602</v>
      </c>
      <c r="L592" t="s">
        <v>603</v>
      </c>
      <c r="M592" t="s">
        <v>602</v>
      </c>
      <c r="N592" t="s">
        <v>602</v>
      </c>
      <c r="O592" t="s">
        <v>603</v>
      </c>
      <c r="P592" t="s">
        <v>602</v>
      </c>
      <c r="Q592" s="17">
        <f>IFERROR(VLOOKUP(A592,已除帳印單!B:C,1,0),0)*1</f>
        <v>0</v>
      </c>
      <c r="R592" s="67" t="str">
        <f>IFERROR(VLOOKUP(J592,線別!A:B,2,1),"")</f>
        <v>裝二線</v>
      </c>
      <c r="S592" s="17" t="str">
        <f>IFERROR(VLOOKUP(A592,已除帳印單!B:C,2,0),"")</f>
        <v/>
      </c>
      <c r="T592" s="68">
        <f t="shared" si="60"/>
        <v>43893</v>
      </c>
      <c r="U592" s="69">
        <f t="shared" si="61"/>
        <v>84.168784722222213</v>
      </c>
      <c r="V592" s="68" t="str">
        <f>IFERROR(VLOOKUP(A592,已除帳印單!B:D,3,0),"")</f>
        <v/>
      </c>
      <c r="W592" s="69" t="str">
        <f>IFERROR(VLOOKUP(A592,已除帳印單!B:E,4,0),"")</f>
        <v/>
      </c>
      <c r="X592" s="68" t="str">
        <f>IFERROR(INDEX(刷條碼區!A:C,MATCH(點上線資訊!S592,刷條碼區!C:C,0),1),"")</f>
        <v/>
      </c>
      <c r="Y592" s="69" t="str">
        <f>IFERROR(INDEX(刷條碼區!A:C,MATCH(點上線資訊!S592,刷條碼區!C:C,0),2),"")</f>
        <v/>
      </c>
      <c r="Z592" s="70" t="str">
        <f>IFERROR(INDEX(刷條碼區!D:G,MATCH(點上線資訊!S592,刷條碼區!F:F,0),1),"")</f>
        <v/>
      </c>
      <c r="AA592" s="71" t="str">
        <f>IFERROR(INDEX(刷條碼區!D:G,MATCH(點上線資訊!S592,刷條碼區!F:F,0),2),"")</f>
        <v/>
      </c>
      <c r="AB592" s="20">
        <f t="shared" si="56"/>
        <v>20</v>
      </c>
      <c r="AC592" s="20" t="b">
        <f t="shared" si="57"/>
        <v>0</v>
      </c>
      <c r="AD592" s="17" t="b">
        <f t="shared" si="58"/>
        <v>0</v>
      </c>
      <c r="AE592" s="17" t="b">
        <f t="shared" si="59"/>
        <v>0</v>
      </c>
    </row>
    <row r="593" spans="1:31" x14ac:dyDescent="0.2">
      <c r="A593" s="16">
        <v>5000499787</v>
      </c>
      <c r="B593" t="s">
        <v>6</v>
      </c>
      <c r="C593" t="s">
        <v>6</v>
      </c>
      <c r="D593" t="s">
        <v>1</v>
      </c>
      <c r="E593" t="s">
        <v>81</v>
      </c>
      <c r="F593" t="s">
        <v>535</v>
      </c>
      <c r="G593" s="2">
        <v>20</v>
      </c>
      <c r="H593" t="s">
        <v>461</v>
      </c>
      <c r="I593" t="s">
        <v>3</v>
      </c>
      <c r="J593" t="s">
        <v>53</v>
      </c>
      <c r="K593" t="s">
        <v>602</v>
      </c>
      <c r="L593" t="s">
        <v>603</v>
      </c>
      <c r="M593" t="s">
        <v>602</v>
      </c>
      <c r="N593" t="s">
        <v>602</v>
      </c>
      <c r="O593" t="s">
        <v>603</v>
      </c>
      <c r="P593" t="s">
        <v>602</v>
      </c>
      <c r="Q593" s="17">
        <f>IFERROR(VLOOKUP(A593,已除帳印單!B:C,1,0),0)*1</f>
        <v>0</v>
      </c>
      <c r="R593" s="67" t="str">
        <f>IFERROR(VLOOKUP(J593,線別!A:B,2,1),"")</f>
        <v>裝二線</v>
      </c>
      <c r="S593" s="17" t="str">
        <f>IFERROR(VLOOKUP(A593,已除帳印單!B:C,2,0),"")</f>
        <v/>
      </c>
      <c r="T593" s="68">
        <f t="shared" si="60"/>
        <v>43893</v>
      </c>
      <c r="U593" s="69">
        <f t="shared" si="61"/>
        <v>84.168784722222213</v>
      </c>
      <c r="V593" s="68" t="str">
        <f>IFERROR(VLOOKUP(A593,已除帳印單!B:D,3,0),"")</f>
        <v/>
      </c>
      <c r="W593" s="69" t="str">
        <f>IFERROR(VLOOKUP(A593,已除帳印單!B:E,4,0),"")</f>
        <v/>
      </c>
      <c r="X593" s="68" t="str">
        <f>IFERROR(INDEX(刷條碼區!A:C,MATCH(點上線資訊!S593,刷條碼區!C:C,0),1),"")</f>
        <v/>
      </c>
      <c r="Y593" s="69" t="str">
        <f>IFERROR(INDEX(刷條碼區!A:C,MATCH(點上線資訊!S593,刷條碼區!C:C,0),2),"")</f>
        <v/>
      </c>
      <c r="Z593" s="70" t="str">
        <f>IFERROR(INDEX(刷條碼區!D:G,MATCH(點上線資訊!S593,刷條碼區!F:F,0),1),"")</f>
        <v/>
      </c>
      <c r="AA593" s="71" t="str">
        <f>IFERROR(INDEX(刷條碼區!D:G,MATCH(點上線資訊!S593,刷條碼區!F:F,0),2),"")</f>
        <v/>
      </c>
      <c r="AB593" s="20">
        <f t="shared" si="56"/>
        <v>20</v>
      </c>
      <c r="AC593" s="20" t="b">
        <f t="shared" si="57"/>
        <v>0</v>
      </c>
      <c r="AD593" s="17" t="b">
        <f t="shared" si="58"/>
        <v>0</v>
      </c>
      <c r="AE593" s="17" t="b">
        <f t="shared" si="59"/>
        <v>0</v>
      </c>
    </row>
    <row r="594" spans="1:31" x14ac:dyDescent="0.2">
      <c r="A594" s="16">
        <v>5000499788</v>
      </c>
      <c r="B594" t="s">
        <v>6</v>
      </c>
      <c r="C594" t="s">
        <v>6</v>
      </c>
      <c r="D594" t="s">
        <v>1</v>
      </c>
      <c r="E594" t="s">
        <v>81</v>
      </c>
      <c r="F594" t="s">
        <v>535</v>
      </c>
      <c r="G594" s="2">
        <v>20</v>
      </c>
      <c r="H594" t="s">
        <v>461</v>
      </c>
      <c r="I594" t="s">
        <v>3</v>
      </c>
      <c r="J594" t="s">
        <v>53</v>
      </c>
      <c r="K594" t="s">
        <v>602</v>
      </c>
      <c r="L594" t="s">
        <v>603</v>
      </c>
      <c r="M594" t="s">
        <v>602</v>
      </c>
      <c r="N594" t="s">
        <v>602</v>
      </c>
      <c r="O594" t="s">
        <v>603</v>
      </c>
      <c r="P594" t="s">
        <v>602</v>
      </c>
      <c r="Q594" s="17">
        <f>IFERROR(VLOOKUP(A594,已除帳印單!B:C,1,0),0)*1</f>
        <v>0</v>
      </c>
      <c r="R594" s="67" t="str">
        <f>IFERROR(VLOOKUP(J594,線別!A:B,2,1),"")</f>
        <v>裝二線</v>
      </c>
      <c r="S594" s="17" t="str">
        <f>IFERROR(VLOOKUP(A594,已除帳印單!B:C,2,0),"")</f>
        <v/>
      </c>
      <c r="T594" s="68">
        <f t="shared" si="60"/>
        <v>43893</v>
      </c>
      <c r="U594" s="69">
        <f t="shared" si="61"/>
        <v>84.168784722222213</v>
      </c>
      <c r="V594" s="68" t="str">
        <f>IFERROR(VLOOKUP(A594,已除帳印單!B:D,3,0),"")</f>
        <v/>
      </c>
      <c r="W594" s="69" t="str">
        <f>IFERROR(VLOOKUP(A594,已除帳印單!B:E,4,0),"")</f>
        <v/>
      </c>
      <c r="X594" s="68" t="str">
        <f>IFERROR(INDEX(刷條碼區!A:C,MATCH(點上線資訊!S594,刷條碼區!C:C,0),1),"")</f>
        <v/>
      </c>
      <c r="Y594" s="69" t="str">
        <f>IFERROR(INDEX(刷條碼區!A:C,MATCH(點上線資訊!S594,刷條碼區!C:C,0),2),"")</f>
        <v/>
      </c>
      <c r="Z594" s="70" t="str">
        <f>IFERROR(INDEX(刷條碼區!D:G,MATCH(點上線資訊!S594,刷條碼區!F:F,0),1),"")</f>
        <v/>
      </c>
      <c r="AA594" s="71" t="str">
        <f>IFERROR(INDEX(刷條碼區!D:G,MATCH(點上線資訊!S594,刷條碼區!F:F,0),2),"")</f>
        <v/>
      </c>
      <c r="AB594" s="20">
        <f t="shared" si="56"/>
        <v>20</v>
      </c>
      <c r="AC594" s="20" t="b">
        <f t="shared" si="57"/>
        <v>0</v>
      </c>
      <c r="AD594" s="17" t="b">
        <f t="shared" si="58"/>
        <v>0</v>
      </c>
      <c r="AE594" s="17" t="b">
        <f t="shared" si="59"/>
        <v>0</v>
      </c>
    </row>
    <row r="595" spans="1:31" x14ac:dyDescent="0.2">
      <c r="A595" s="16">
        <v>5000499789</v>
      </c>
      <c r="B595" t="s">
        <v>6</v>
      </c>
      <c r="C595" t="s">
        <v>6</v>
      </c>
      <c r="D595" t="s">
        <v>1</v>
      </c>
      <c r="E595" t="s">
        <v>80</v>
      </c>
      <c r="F595" t="s">
        <v>562</v>
      </c>
      <c r="G595" s="2">
        <v>20</v>
      </c>
      <c r="H595" t="s">
        <v>461</v>
      </c>
      <c r="I595" t="s">
        <v>3</v>
      </c>
      <c r="J595" t="s">
        <v>53</v>
      </c>
      <c r="K595" t="s">
        <v>602</v>
      </c>
      <c r="L595" t="s">
        <v>603</v>
      </c>
      <c r="M595" t="s">
        <v>602</v>
      </c>
      <c r="N595" t="s">
        <v>602</v>
      </c>
      <c r="O595" t="s">
        <v>603</v>
      </c>
      <c r="P595" t="s">
        <v>602</v>
      </c>
      <c r="Q595" s="17">
        <f>IFERROR(VLOOKUP(A595,已除帳印單!B:C,1,0),0)*1</f>
        <v>0</v>
      </c>
      <c r="R595" s="67" t="str">
        <f>IFERROR(VLOOKUP(J595,線別!A:B,2,1),"")</f>
        <v>裝二線</v>
      </c>
      <c r="S595" s="17" t="str">
        <f>IFERROR(VLOOKUP(A595,已除帳印單!B:C,2,0),"")</f>
        <v/>
      </c>
      <c r="T595" s="68">
        <f t="shared" si="60"/>
        <v>43893</v>
      </c>
      <c r="U595" s="69">
        <f t="shared" si="61"/>
        <v>84.168784722222213</v>
      </c>
      <c r="V595" s="68" t="str">
        <f>IFERROR(VLOOKUP(A595,已除帳印單!B:D,3,0),"")</f>
        <v/>
      </c>
      <c r="W595" s="69" t="str">
        <f>IFERROR(VLOOKUP(A595,已除帳印單!B:E,4,0),"")</f>
        <v/>
      </c>
      <c r="X595" s="68" t="str">
        <f>IFERROR(INDEX(刷條碼區!A:C,MATCH(點上線資訊!S595,刷條碼區!C:C,0),1),"")</f>
        <v/>
      </c>
      <c r="Y595" s="69" t="str">
        <f>IFERROR(INDEX(刷條碼區!A:C,MATCH(點上線資訊!S595,刷條碼區!C:C,0),2),"")</f>
        <v/>
      </c>
      <c r="Z595" s="70" t="str">
        <f>IFERROR(INDEX(刷條碼區!D:G,MATCH(點上線資訊!S595,刷條碼區!F:F,0),1),"")</f>
        <v/>
      </c>
      <c r="AA595" s="71" t="str">
        <f>IFERROR(INDEX(刷條碼區!D:G,MATCH(點上線資訊!S595,刷條碼區!F:F,0),2),"")</f>
        <v/>
      </c>
      <c r="AB595" s="20">
        <f t="shared" si="56"/>
        <v>20</v>
      </c>
      <c r="AC595" s="20" t="b">
        <f t="shared" si="57"/>
        <v>0</v>
      </c>
      <c r="AD595" s="17" t="b">
        <f t="shared" si="58"/>
        <v>0</v>
      </c>
      <c r="AE595" s="17" t="b">
        <f t="shared" si="59"/>
        <v>0</v>
      </c>
    </row>
    <row r="596" spans="1:31" x14ac:dyDescent="0.2">
      <c r="A596" s="16">
        <v>5000499790</v>
      </c>
      <c r="B596" t="s">
        <v>6</v>
      </c>
      <c r="C596" t="s">
        <v>6</v>
      </c>
      <c r="D596" t="s">
        <v>1</v>
      </c>
      <c r="E596" t="s">
        <v>276</v>
      </c>
      <c r="F596" t="s">
        <v>558</v>
      </c>
      <c r="G596" s="2">
        <v>6</v>
      </c>
      <c r="H596" t="s">
        <v>461</v>
      </c>
      <c r="I596" t="s">
        <v>3</v>
      </c>
      <c r="J596" t="s">
        <v>53</v>
      </c>
      <c r="K596" t="s">
        <v>602</v>
      </c>
      <c r="L596" t="s">
        <v>603</v>
      </c>
      <c r="M596" t="s">
        <v>602</v>
      </c>
      <c r="N596" t="s">
        <v>602</v>
      </c>
      <c r="O596" t="s">
        <v>603</v>
      </c>
      <c r="P596" t="s">
        <v>602</v>
      </c>
      <c r="Q596" s="17">
        <f>IFERROR(VLOOKUP(A596,已除帳印單!B:C,1,0),0)*1</f>
        <v>0</v>
      </c>
      <c r="R596" s="67" t="str">
        <f>IFERROR(VLOOKUP(J596,線別!A:B,2,1),"")</f>
        <v>裝二線</v>
      </c>
      <c r="S596" s="17" t="str">
        <f>IFERROR(VLOOKUP(A596,已除帳印單!B:C,2,0),"")</f>
        <v/>
      </c>
      <c r="T596" s="68">
        <f t="shared" si="60"/>
        <v>43893</v>
      </c>
      <c r="U596" s="69">
        <f t="shared" si="61"/>
        <v>84.168784722222213</v>
      </c>
      <c r="V596" s="68" t="str">
        <f>IFERROR(VLOOKUP(A596,已除帳印單!B:D,3,0),"")</f>
        <v/>
      </c>
      <c r="W596" s="69" t="str">
        <f>IFERROR(VLOOKUP(A596,已除帳印單!B:E,4,0),"")</f>
        <v/>
      </c>
      <c r="X596" s="68" t="str">
        <f>IFERROR(INDEX(刷條碼區!A:C,MATCH(點上線資訊!S596,刷條碼區!C:C,0),1),"")</f>
        <v/>
      </c>
      <c r="Y596" s="69" t="str">
        <f>IFERROR(INDEX(刷條碼區!A:C,MATCH(點上線資訊!S596,刷條碼區!C:C,0),2),"")</f>
        <v/>
      </c>
      <c r="Z596" s="70" t="str">
        <f>IFERROR(INDEX(刷條碼區!D:G,MATCH(點上線資訊!S596,刷條碼區!F:F,0),1),"")</f>
        <v/>
      </c>
      <c r="AA596" s="71" t="str">
        <f>IFERROR(INDEX(刷條碼區!D:G,MATCH(點上線資訊!S596,刷條碼區!F:F,0),2),"")</f>
        <v/>
      </c>
      <c r="AB596" s="20">
        <f t="shared" si="56"/>
        <v>6</v>
      </c>
      <c r="AC596" s="20" t="b">
        <f t="shared" si="57"/>
        <v>0</v>
      </c>
      <c r="AD596" s="17" t="b">
        <f t="shared" si="58"/>
        <v>0</v>
      </c>
      <c r="AE596" s="17" t="b">
        <f t="shared" si="59"/>
        <v>0</v>
      </c>
    </row>
    <row r="597" spans="1:31" x14ac:dyDescent="0.2">
      <c r="A597" s="16">
        <v>5000499860</v>
      </c>
      <c r="B597" t="s">
        <v>6</v>
      </c>
      <c r="C597" t="s">
        <v>6</v>
      </c>
      <c r="D597" t="s">
        <v>1</v>
      </c>
      <c r="E597" t="s">
        <v>1084</v>
      </c>
      <c r="F597" t="s">
        <v>1085</v>
      </c>
      <c r="G597" s="2">
        <v>7</v>
      </c>
      <c r="H597" t="s">
        <v>461</v>
      </c>
      <c r="I597" t="s">
        <v>3</v>
      </c>
      <c r="J597" t="s">
        <v>19</v>
      </c>
      <c r="K597" t="s">
        <v>605</v>
      </c>
      <c r="L597" t="s">
        <v>608</v>
      </c>
      <c r="M597" t="s">
        <v>428</v>
      </c>
      <c r="N597" t="s">
        <v>602</v>
      </c>
      <c r="O597" t="s">
        <v>603</v>
      </c>
      <c r="P597" t="s">
        <v>602</v>
      </c>
      <c r="Q597" s="17">
        <f>IFERROR(VLOOKUP(A597,已除帳印單!B:C,1,0),0)*1</f>
        <v>0</v>
      </c>
      <c r="R597" s="67" t="str">
        <f>IFERROR(VLOOKUP(J597,線別!A:B,2,1),"")</f>
        <v>FM_IA預組</v>
      </c>
      <c r="S597" s="17" t="str">
        <f>IFERROR(VLOOKUP(A597,已除帳印單!B:C,2,0),"")</f>
        <v/>
      </c>
      <c r="T597" s="68">
        <f t="shared" si="60"/>
        <v>43893</v>
      </c>
      <c r="U597" s="69">
        <f t="shared" si="61"/>
        <v>84.168784722222213</v>
      </c>
      <c r="V597" s="68" t="str">
        <f>IFERROR(VLOOKUP(A597,已除帳印單!B:D,3,0),"")</f>
        <v/>
      </c>
      <c r="W597" s="69" t="str">
        <f>IFERROR(VLOOKUP(A597,已除帳印單!B:E,4,0),"")</f>
        <v/>
      </c>
      <c r="X597" s="68" t="str">
        <f>IFERROR(INDEX(刷條碼區!A:C,MATCH(點上線資訊!S597,刷條碼區!C:C,0),1),"")</f>
        <v/>
      </c>
      <c r="Y597" s="69" t="str">
        <f>IFERROR(INDEX(刷條碼區!A:C,MATCH(點上線資訊!S597,刷條碼區!C:C,0),2),"")</f>
        <v/>
      </c>
      <c r="Z597" s="70" t="str">
        <f>IFERROR(INDEX(刷條碼區!D:G,MATCH(點上線資訊!S597,刷條碼區!F:F,0),1),"")</f>
        <v/>
      </c>
      <c r="AA597" s="71" t="str">
        <f>IFERROR(INDEX(刷條碼區!D:G,MATCH(點上線資訊!S597,刷條碼區!F:F,0),2),"")</f>
        <v/>
      </c>
      <c r="AB597" s="20" t="b">
        <f t="shared" si="56"/>
        <v>0</v>
      </c>
      <c r="AC597" s="20" t="b">
        <f t="shared" si="57"/>
        <v>0</v>
      </c>
      <c r="AD597" s="17" t="b">
        <f t="shared" si="58"/>
        <v>0</v>
      </c>
      <c r="AE597" s="17" t="b">
        <f t="shared" si="59"/>
        <v>0</v>
      </c>
    </row>
    <row r="598" spans="1:31" x14ac:dyDescent="0.2">
      <c r="A598" s="16">
        <v>5000499861</v>
      </c>
      <c r="B598" t="s">
        <v>0</v>
      </c>
      <c r="C598" t="s">
        <v>0</v>
      </c>
      <c r="D598" t="s">
        <v>1</v>
      </c>
      <c r="E598" t="s">
        <v>1086</v>
      </c>
      <c r="F598" t="s">
        <v>1087</v>
      </c>
      <c r="G598" s="2">
        <v>20</v>
      </c>
      <c r="H598" t="s">
        <v>461</v>
      </c>
      <c r="I598" t="s">
        <v>3</v>
      </c>
      <c r="J598" t="s">
        <v>19</v>
      </c>
      <c r="K598" t="s">
        <v>605</v>
      </c>
      <c r="L598" t="s">
        <v>608</v>
      </c>
      <c r="M598" t="s">
        <v>1088</v>
      </c>
      <c r="N598" t="s">
        <v>602</v>
      </c>
      <c r="O598" t="s">
        <v>603</v>
      </c>
      <c r="P598" t="s">
        <v>602</v>
      </c>
      <c r="Q598" s="17">
        <f>IFERROR(VLOOKUP(A598,已除帳印單!B:C,1,0),0)*1</f>
        <v>0</v>
      </c>
      <c r="R598" s="67" t="str">
        <f>IFERROR(VLOOKUP(J598,線別!A:B,2,1),"")</f>
        <v>FM_IA預組</v>
      </c>
      <c r="S598" s="17" t="str">
        <f>IFERROR(VLOOKUP(A598,已除帳印單!B:C,2,0),"")</f>
        <v/>
      </c>
      <c r="T598" s="68">
        <f t="shared" si="60"/>
        <v>43892</v>
      </c>
      <c r="U598" s="69">
        <f t="shared" si="61"/>
        <v>84.168773148148148</v>
      </c>
      <c r="V598" s="68" t="str">
        <f>IFERROR(VLOOKUP(A598,已除帳印單!B:D,3,0),"")</f>
        <v/>
      </c>
      <c r="W598" s="69" t="str">
        <f>IFERROR(VLOOKUP(A598,已除帳印單!B:E,4,0),"")</f>
        <v/>
      </c>
      <c r="X598" s="68" t="str">
        <f>IFERROR(INDEX(刷條碼區!A:C,MATCH(點上線資訊!S598,刷條碼區!C:C,0),1),"")</f>
        <v/>
      </c>
      <c r="Y598" s="69" t="str">
        <f>IFERROR(INDEX(刷條碼區!A:C,MATCH(點上線資訊!S598,刷條碼區!C:C,0),2),"")</f>
        <v/>
      </c>
      <c r="Z598" s="70" t="str">
        <f>IFERROR(INDEX(刷條碼區!D:G,MATCH(點上線資訊!S598,刷條碼區!F:F,0),1),"")</f>
        <v/>
      </c>
      <c r="AA598" s="71" t="str">
        <f>IFERROR(INDEX(刷條碼區!D:G,MATCH(點上線資訊!S598,刷條碼區!F:F,0),2),"")</f>
        <v/>
      </c>
      <c r="AB598" s="20" t="b">
        <f t="shared" si="56"/>
        <v>0</v>
      </c>
      <c r="AC598" s="20" t="b">
        <f t="shared" si="57"/>
        <v>0</v>
      </c>
      <c r="AD598" s="17" t="b">
        <f t="shared" si="58"/>
        <v>0</v>
      </c>
      <c r="AE598" s="17" t="b">
        <f t="shared" si="59"/>
        <v>0</v>
      </c>
    </row>
    <row r="599" spans="1:31" x14ac:dyDescent="0.2">
      <c r="A599" s="16">
        <v>5000499862</v>
      </c>
      <c r="B599" t="s">
        <v>0</v>
      </c>
      <c r="C599" t="s">
        <v>0</v>
      </c>
      <c r="D599" t="s">
        <v>1</v>
      </c>
      <c r="E599" t="s">
        <v>1089</v>
      </c>
      <c r="F599" t="s">
        <v>1090</v>
      </c>
      <c r="G599" s="2">
        <v>20</v>
      </c>
      <c r="H599" t="s">
        <v>461</v>
      </c>
      <c r="I599" t="s">
        <v>3</v>
      </c>
      <c r="J599" t="s">
        <v>19</v>
      </c>
      <c r="K599" t="s">
        <v>605</v>
      </c>
      <c r="L599" t="s">
        <v>608</v>
      </c>
      <c r="M599" t="s">
        <v>1088</v>
      </c>
      <c r="N599" t="s">
        <v>602</v>
      </c>
      <c r="O599" t="s">
        <v>603</v>
      </c>
      <c r="P599" t="s">
        <v>602</v>
      </c>
      <c r="Q599" s="17">
        <f>IFERROR(VLOOKUP(A599,已除帳印單!B:C,1,0),0)*1</f>
        <v>0</v>
      </c>
      <c r="R599" s="67" t="str">
        <f>IFERROR(VLOOKUP(J599,線別!A:B,2,1),"")</f>
        <v>FM_IA預組</v>
      </c>
      <c r="S599" s="17" t="str">
        <f>IFERROR(VLOOKUP(A599,已除帳印單!B:C,2,0),"")</f>
        <v/>
      </c>
      <c r="T599" s="68">
        <f t="shared" si="60"/>
        <v>43892</v>
      </c>
      <c r="U599" s="69">
        <f t="shared" si="61"/>
        <v>84.168773148148148</v>
      </c>
      <c r="V599" s="68" t="str">
        <f>IFERROR(VLOOKUP(A599,已除帳印單!B:D,3,0),"")</f>
        <v/>
      </c>
      <c r="W599" s="69" t="str">
        <f>IFERROR(VLOOKUP(A599,已除帳印單!B:E,4,0),"")</f>
        <v/>
      </c>
      <c r="X599" s="68" t="str">
        <f>IFERROR(INDEX(刷條碼區!A:C,MATCH(點上線資訊!S599,刷條碼區!C:C,0),1),"")</f>
        <v/>
      </c>
      <c r="Y599" s="69" t="str">
        <f>IFERROR(INDEX(刷條碼區!A:C,MATCH(點上線資訊!S599,刷條碼區!C:C,0),2),"")</f>
        <v/>
      </c>
      <c r="Z599" s="70" t="str">
        <f>IFERROR(INDEX(刷條碼區!D:G,MATCH(點上線資訊!S599,刷條碼區!F:F,0),1),"")</f>
        <v/>
      </c>
      <c r="AA599" s="71" t="str">
        <f>IFERROR(INDEX(刷條碼區!D:G,MATCH(點上線資訊!S599,刷條碼區!F:F,0),2),"")</f>
        <v/>
      </c>
      <c r="AB599" s="20" t="b">
        <f t="shared" si="56"/>
        <v>0</v>
      </c>
      <c r="AC599" s="20" t="b">
        <f t="shared" si="57"/>
        <v>0</v>
      </c>
      <c r="AD599" s="17" t="b">
        <f t="shared" si="58"/>
        <v>0</v>
      </c>
      <c r="AE599" s="17" t="b">
        <f t="shared" si="59"/>
        <v>0</v>
      </c>
    </row>
    <row r="600" spans="1:31" x14ac:dyDescent="0.2">
      <c r="A600" s="16">
        <v>5000499863</v>
      </c>
      <c r="B600" t="s">
        <v>0</v>
      </c>
      <c r="C600" t="s">
        <v>0</v>
      </c>
      <c r="D600" t="s">
        <v>1</v>
      </c>
      <c r="E600" t="s">
        <v>1086</v>
      </c>
      <c r="F600" t="s">
        <v>1087</v>
      </c>
      <c r="G600" s="2">
        <v>9</v>
      </c>
      <c r="H600" t="s">
        <v>461</v>
      </c>
      <c r="I600" t="s">
        <v>3</v>
      </c>
      <c r="J600" t="s">
        <v>19</v>
      </c>
      <c r="K600" t="s">
        <v>605</v>
      </c>
      <c r="L600" t="s">
        <v>608</v>
      </c>
      <c r="M600" t="s">
        <v>1088</v>
      </c>
      <c r="N600" t="s">
        <v>602</v>
      </c>
      <c r="O600" t="s">
        <v>603</v>
      </c>
      <c r="P600" t="s">
        <v>602</v>
      </c>
      <c r="Q600" s="17">
        <f>IFERROR(VLOOKUP(A600,已除帳印單!B:C,1,0),0)*1</f>
        <v>0</v>
      </c>
      <c r="R600" s="67" t="str">
        <f>IFERROR(VLOOKUP(J600,線別!A:B,2,1),"")</f>
        <v>FM_IA預組</v>
      </c>
      <c r="S600" s="17" t="str">
        <f>IFERROR(VLOOKUP(A600,已除帳印單!B:C,2,0),"")</f>
        <v/>
      </c>
      <c r="T600" s="68">
        <f t="shared" si="60"/>
        <v>43892</v>
      </c>
      <c r="U600" s="69">
        <f t="shared" si="61"/>
        <v>84.168773148148148</v>
      </c>
      <c r="V600" s="68" t="str">
        <f>IFERROR(VLOOKUP(A600,已除帳印單!B:D,3,0),"")</f>
        <v/>
      </c>
      <c r="W600" s="69" t="str">
        <f>IFERROR(VLOOKUP(A600,已除帳印單!B:E,4,0),"")</f>
        <v/>
      </c>
      <c r="X600" s="68" t="str">
        <f>IFERROR(INDEX(刷條碼區!A:C,MATCH(點上線資訊!S600,刷條碼區!C:C,0),1),"")</f>
        <v/>
      </c>
      <c r="Y600" s="69" t="str">
        <f>IFERROR(INDEX(刷條碼區!A:C,MATCH(點上線資訊!S600,刷條碼區!C:C,0),2),"")</f>
        <v/>
      </c>
      <c r="Z600" s="70" t="str">
        <f>IFERROR(INDEX(刷條碼區!D:G,MATCH(點上線資訊!S600,刷條碼區!F:F,0),1),"")</f>
        <v/>
      </c>
      <c r="AA600" s="71" t="str">
        <f>IFERROR(INDEX(刷條碼區!D:G,MATCH(點上線資訊!S600,刷條碼區!F:F,0),2),"")</f>
        <v/>
      </c>
      <c r="AB600" s="20" t="b">
        <f t="shared" si="56"/>
        <v>0</v>
      </c>
      <c r="AC600" s="20" t="b">
        <f t="shared" si="57"/>
        <v>0</v>
      </c>
      <c r="AD600" s="17" t="b">
        <f t="shared" si="58"/>
        <v>0</v>
      </c>
      <c r="AE600" s="17" t="b">
        <f t="shared" si="59"/>
        <v>0</v>
      </c>
    </row>
    <row r="601" spans="1:31" x14ac:dyDescent="0.2">
      <c r="A601" s="16">
        <v>5000499885</v>
      </c>
      <c r="B601" t="s">
        <v>6</v>
      </c>
      <c r="C601" t="s">
        <v>6</v>
      </c>
      <c r="D601" t="s">
        <v>1</v>
      </c>
      <c r="E601" t="s">
        <v>263</v>
      </c>
      <c r="F601" t="s">
        <v>563</v>
      </c>
      <c r="G601" s="2">
        <v>2</v>
      </c>
      <c r="H601" t="s">
        <v>461</v>
      </c>
      <c r="I601" t="s">
        <v>3</v>
      </c>
      <c r="J601" t="s">
        <v>136</v>
      </c>
      <c r="K601" t="s">
        <v>602</v>
      </c>
      <c r="L601" t="s">
        <v>603</v>
      </c>
      <c r="M601" t="s">
        <v>602</v>
      </c>
      <c r="N601" t="s">
        <v>602</v>
      </c>
      <c r="O601" t="s">
        <v>603</v>
      </c>
      <c r="P601" t="s">
        <v>602</v>
      </c>
      <c r="Q601" s="17">
        <f>IFERROR(VLOOKUP(A601,已除帳印單!B:C,1,0),0)*1</f>
        <v>0</v>
      </c>
      <c r="R601" s="67" t="str">
        <f>IFERROR(VLOOKUP(J601,線別!A:B,2,1),"")</f>
        <v>SCB線</v>
      </c>
      <c r="S601" s="17" t="str">
        <f>IFERROR(VLOOKUP(A601,已除帳印單!B:C,2,0),"")</f>
        <v/>
      </c>
      <c r="T601" s="68">
        <f t="shared" si="60"/>
        <v>43893</v>
      </c>
      <c r="U601" s="69">
        <f t="shared" si="61"/>
        <v>84.168784722222213</v>
      </c>
      <c r="V601" s="68" t="str">
        <f>IFERROR(VLOOKUP(A601,已除帳印單!B:D,3,0),"")</f>
        <v/>
      </c>
      <c r="W601" s="69" t="str">
        <f>IFERROR(VLOOKUP(A601,已除帳印單!B:E,4,0),"")</f>
        <v/>
      </c>
      <c r="X601" s="68" t="str">
        <f>IFERROR(INDEX(刷條碼區!A:C,MATCH(點上線資訊!S601,刷條碼區!C:C,0),1),"")</f>
        <v/>
      </c>
      <c r="Y601" s="69" t="str">
        <f>IFERROR(INDEX(刷條碼區!A:C,MATCH(點上線資訊!S601,刷條碼區!C:C,0),2),"")</f>
        <v/>
      </c>
      <c r="Z601" s="70" t="str">
        <f>IFERROR(INDEX(刷條碼區!D:G,MATCH(點上線資訊!S601,刷條碼區!F:F,0),1),"")</f>
        <v/>
      </c>
      <c r="AA601" s="71" t="str">
        <f>IFERROR(INDEX(刷條碼區!D:G,MATCH(點上線資訊!S601,刷條碼區!F:F,0),2),"")</f>
        <v/>
      </c>
      <c r="AB601" s="20">
        <f t="shared" si="56"/>
        <v>2</v>
      </c>
      <c r="AC601" s="20" t="b">
        <f t="shared" si="57"/>
        <v>0</v>
      </c>
      <c r="AD601" s="17" t="b">
        <f t="shared" si="58"/>
        <v>0</v>
      </c>
      <c r="AE601" s="17" t="b">
        <f t="shared" si="59"/>
        <v>0</v>
      </c>
    </row>
    <row r="602" spans="1:31" x14ac:dyDescent="0.2">
      <c r="A602" s="16">
        <v>5000499886</v>
      </c>
      <c r="B602" t="s">
        <v>6</v>
      </c>
      <c r="C602" t="s">
        <v>6</v>
      </c>
      <c r="D602" t="s">
        <v>1</v>
      </c>
      <c r="E602" t="s">
        <v>299</v>
      </c>
      <c r="F602" t="s">
        <v>1091</v>
      </c>
      <c r="G602" s="2">
        <v>5</v>
      </c>
      <c r="H602" t="s">
        <v>461</v>
      </c>
      <c r="I602" t="s">
        <v>3</v>
      </c>
      <c r="J602" t="s">
        <v>8</v>
      </c>
      <c r="K602" t="s">
        <v>605</v>
      </c>
      <c r="L602" t="s">
        <v>608</v>
      </c>
      <c r="M602" t="s">
        <v>1092</v>
      </c>
      <c r="N602" t="s">
        <v>602</v>
      </c>
      <c r="O602" t="s">
        <v>603</v>
      </c>
      <c r="P602" t="s">
        <v>602</v>
      </c>
      <c r="Q602" s="17">
        <f>IFERROR(VLOOKUP(A602,已除帳印單!B:C,1,0),0)*1</f>
        <v>0</v>
      </c>
      <c r="R602" s="67" t="str">
        <f>IFERROR(VLOOKUP(J602,線別!A:B,2,1),"")</f>
        <v>裝一線</v>
      </c>
      <c r="S602" s="17" t="str">
        <f>IFERROR(VLOOKUP(A602,已除帳印單!B:C,2,0),"")</f>
        <v/>
      </c>
      <c r="T602" s="68">
        <f t="shared" si="60"/>
        <v>43893</v>
      </c>
      <c r="U602" s="69">
        <f t="shared" si="61"/>
        <v>84.168784722222213</v>
      </c>
      <c r="V602" s="68" t="str">
        <f>IFERROR(VLOOKUP(A602,已除帳印單!B:D,3,0),"")</f>
        <v/>
      </c>
      <c r="W602" s="69" t="str">
        <f>IFERROR(VLOOKUP(A602,已除帳印單!B:E,4,0),"")</f>
        <v/>
      </c>
      <c r="X602" s="68" t="str">
        <f>IFERROR(INDEX(刷條碼區!A:C,MATCH(點上線資訊!S602,刷條碼區!C:C,0),1),"")</f>
        <v/>
      </c>
      <c r="Y602" s="69" t="str">
        <f>IFERROR(INDEX(刷條碼區!A:C,MATCH(點上線資訊!S602,刷條碼區!C:C,0),2),"")</f>
        <v/>
      </c>
      <c r="Z602" s="70" t="str">
        <f>IFERROR(INDEX(刷條碼區!D:G,MATCH(點上線資訊!S602,刷條碼區!F:F,0),1),"")</f>
        <v/>
      </c>
      <c r="AA602" s="71" t="str">
        <f>IFERROR(INDEX(刷條碼區!D:G,MATCH(點上線資訊!S602,刷條碼區!F:F,0),2),"")</f>
        <v/>
      </c>
      <c r="AB602" s="20" t="b">
        <f t="shared" si="56"/>
        <v>0</v>
      </c>
      <c r="AC602" s="20" t="b">
        <f t="shared" si="57"/>
        <v>0</v>
      </c>
      <c r="AD602" s="17" t="b">
        <f t="shared" si="58"/>
        <v>0</v>
      </c>
      <c r="AE602" s="17" t="b">
        <f t="shared" si="59"/>
        <v>0</v>
      </c>
    </row>
    <row r="603" spans="1:31" x14ac:dyDescent="0.2">
      <c r="A603" s="16">
        <v>5000499887</v>
      </c>
      <c r="B603" t="s">
        <v>6</v>
      </c>
      <c r="C603" t="s">
        <v>6</v>
      </c>
      <c r="D603" t="s">
        <v>1</v>
      </c>
      <c r="E603" t="s">
        <v>1093</v>
      </c>
      <c r="F603" t="s">
        <v>1094</v>
      </c>
      <c r="G603" s="2">
        <v>20</v>
      </c>
      <c r="H603" t="s">
        <v>461</v>
      </c>
      <c r="I603" t="s">
        <v>3</v>
      </c>
      <c r="J603" t="s">
        <v>8</v>
      </c>
      <c r="K603" t="s">
        <v>605</v>
      </c>
      <c r="L603" t="s">
        <v>608</v>
      </c>
      <c r="M603" t="s">
        <v>429</v>
      </c>
      <c r="N603" t="s">
        <v>602</v>
      </c>
      <c r="O603" t="s">
        <v>603</v>
      </c>
      <c r="P603" t="s">
        <v>602</v>
      </c>
      <c r="Q603" s="17">
        <f>IFERROR(VLOOKUP(A603,已除帳印單!B:C,1,0),0)*1</f>
        <v>0</v>
      </c>
      <c r="R603" s="67" t="str">
        <f>IFERROR(VLOOKUP(J603,線別!A:B,2,1),"")</f>
        <v>裝一線</v>
      </c>
      <c r="S603" s="17" t="str">
        <f>IFERROR(VLOOKUP(A603,已除帳印單!B:C,2,0),"")</f>
        <v/>
      </c>
      <c r="T603" s="68">
        <f t="shared" si="60"/>
        <v>43893</v>
      </c>
      <c r="U603" s="69">
        <f t="shared" si="61"/>
        <v>84.168784722222213</v>
      </c>
      <c r="V603" s="68" t="str">
        <f>IFERROR(VLOOKUP(A603,已除帳印單!B:D,3,0),"")</f>
        <v/>
      </c>
      <c r="W603" s="69" t="str">
        <f>IFERROR(VLOOKUP(A603,已除帳印單!B:E,4,0),"")</f>
        <v/>
      </c>
      <c r="X603" s="68" t="str">
        <f>IFERROR(INDEX(刷條碼區!A:C,MATCH(點上線資訊!S603,刷條碼區!C:C,0),1),"")</f>
        <v/>
      </c>
      <c r="Y603" s="69" t="str">
        <f>IFERROR(INDEX(刷條碼區!A:C,MATCH(點上線資訊!S603,刷條碼區!C:C,0),2),"")</f>
        <v/>
      </c>
      <c r="Z603" s="70" t="str">
        <f>IFERROR(INDEX(刷條碼區!D:G,MATCH(點上線資訊!S603,刷條碼區!F:F,0),1),"")</f>
        <v/>
      </c>
      <c r="AA603" s="71" t="str">
        <f>IFERROR(INDEX(刷條碼區!D:G,MATCH(點上線資訊!S603,刷條碼區!F:F,0),2),"")</f>
        <v/>
      </c>
      <c r="AB603" s="20" t="b">
        <f t="shared" si="56"/>
        <v>0</v>
      </c>
      <c r="AC603" s="20" t="b">
        <f t="shared" si="57"/>
        <v>0</v>
      </c>
      <c r="AD603" s="17" t="b">
        <f t="shared" si="58"/>
        <v>0</v>
      </c>
      <c r="AE603" s="17" t="b">
        <f t="shared" si="59"/>
        <v>0</v>
      </c>
    </row>
    <row r="604" spans="1:31" x14ac:dyDescent="0.2">
      <c r="A604" s="16">
        <v>5000499888</v>
      </c>
      <c r="B604" t="s">
        <v>6</v>
      </c>
      <c r="C604" t="s">
        <v>6</v>
      </c>
      <c r="D604" t="s">
        <v>1</v>
      </c>
      <c r="E604" t="s">
        <v>1095</v>
      </c>
      <c r="F604" t="s">
        <v>1096</v>
      </c>
      <c r="G604" s="2">
        <v>15</v>
      </c>
      <c r="H604" t="s">
        <v>461</v>
      </c>
      <c r="I604" t="s">
        <v>3</v>
      </c>
      <c r="J604" t="s">
        <v>8</v>
      </c>
      <c r="K604" t="s">
        <v>605</v>
      </c>
      <c r="L604" t="s">
        <v>608</v>
      </c>
      <c r="M604" t="s">
        <v>429</v>
      </c>
      <c r="N604" t="s">
        <v>602</v>
      </c>
      <c r="O604" t="s">
        <v>603</v>
      </c>
      <c r="P604" t="s">
        <v>602</v>
      </c>
      <c r="Q604" s="17">
        <f>IFERROR(VLOOKUP(A604,已除帳印單!B:C,1,0),0)*1</f>
        <v>0</v>
      </c>
      <c r="R604" s="67" t="str">
        <f>IFERROR(VLOOKUP(J604,線別!A:B,2,1),"")</f>
        <v>裝一線</v>
      </c>
      <c r="S604" s="17" t="str">
        <f>IFERROR(VLOOKUP(A604,已除帳印單!B:C,2,0),"")</f>
        <v/>
      </c>
      <c r="T604" s="68">
        <f t="shared" si="60"/>
        <v>43893</v>
      </c>
      <c r="U604" s="69">
        <f t="shared" si="61"/>
        <v>84.168784722222213</v>
      </c>
      <c r="V604" s="68" t="str">
        <f>IFERROR(VLOOKUP(A604,已除帳印單!B:D,3,0),"")</f>
        <v/>
      </c>
      <c r="W604" s="69" t="str">
        <f>IFERROR(VLOOKUP(A604,已除帳印單!B:E,4,0),"")</f>
        <v/>
      </c>
      <c r="X604" s="68" t="str">
        <f>IFERROR(INDEX(刷條碼區!A:C,MATCH(點上線資訊!S604,刷條碼區!C:C,0),1),"")</f>
        <v/>
      </c>
      <c r="Y604" s="69" t="str">
        <f>IFERROR(INDEX(刷條碼區!A:C,MATCH(點上線資訊!S604,刷條碼區!C:C,0),2),"")</f>
        <v/>
      </c>
      <c r="Z604" s="70" t="str">
        <f>IFERROR(INDEX(刷條碼區!D:G,MATCH(點上線資訊!S604,刷條碼區!F:F,0),1),"")</f>
        <v/>
      </c>
      <c r="AA604" s="71" t="str">
        <f>IFERROR(INDEX(刷條碼區!D:G,MATCH(點上線資訊!S604,刷條碼區!F:F,0),2),"")</f>
        <v/>
      </c>
      <c r="AB604" s="20" t="b">
        <f t="shared" si="56"/>
        <v>0</v>
      </c>
      <c r="AC604" s="20" t="b">
        <f t="shared" si="57"/>
        <v>0</v>
      </c>
      <c r="AD604" s="17" t="b">
        <f t="shared" si="58"/>
        <v>0</v>
      </c>
      <c r="AE604" s="17" t="b">
        <f t="shared" si="59"/>
        <v>0</v>
      </c>
    </row>
    <row r="605" spans="1:31" x14ac:dyDescent="0.2">
      <c r="A605" s="16">
        <v>5000499889</v>
      </c>
      <c r="B605" t="s">
        <v>6</v>
      </c>
      <c r="C605" t="s">
        <v>6</v>
      </c>
      <c r="D605" t="s">
        <v>1</v>
      </c>
      <c r="E605" t="s">
        <v>300</v>
      </c>
      <c r="F605" t="s">
        <v>1097</v>
      </c>
      <c r="G605" s="2">
        <v>12</v>
      </c>
      <c r="H605" t="s">
        <v>461</v>
      </c>
      <c r="I605" t="s">
        <v>3</v>
      </c>
      <c r="J605" t="s">
        <v>8</v>
      </c>
      <c r="K605" t="s">
        <v>605</v>
      </c>
      <c r="L605" t="s">
        <v>608</v>
      </c>
      <c r="M605" t="s">
        <v>1092</v>
      </c>
      <c r="N605" t="s">
        <v>602</v>
      </c>
      <c r="O605" t="s">
        <v>603</v>
      </c>
      <c r="P605" t="s">
        <v>602</v>
      </c>
      <c r="Q605" s="17">
        <f>IFERROR(VLOOKUP(A605,已除帳印單!B:C,1,0),0)*1</f>
        <v>0</v>
      </c>
      <c r="R605" s="67" t="str">
        <f>IFERROR(VLOOKUP(J605,線別!A:B,2,1),"")</f>
        <v>裝一線</v>
      </c>
      <c r="S605" s="17" t="str">
        <f>IFERROR(VLOOKUP(A605,已除帳印單!B:C,2,0),"")</f>
        <v/>
      </c>
      <c r="T605" s="68">
        <f t="shared" si="60"/>
        <v>43893</v>
      </c>
      <c r="U605" s="69">
        <f t="shared" si="61"/>
        <v>84.168784722222213</v>
      </c>
      <c r="V605" s="68" t="str">
        <f>IFERROR(VLOOKUP(A605,已除帳印單!B:D,3,0),"")</f>
        <v/>
      </c>
      <c r="W605" s="69" t="str">
        <f>IFERROR(VLOOKUP(A605,已除帳印單!B:E,4,0),"")</f>
        <v/>
      </c>
      <c r="X605" s="68" t="str">
        <f>IFERROR(INDEX(刷條碼區!A:C,MATCH(點上線資訊!S605,刷條碼區!C:C,0),1),"")</f>
        <v/>
      </c>
      <c r="Y605" s="69" t="str">
        <f>IFERROR(INDEX(刷條碼區!A:C,MATCH(點上線資訊!S605,刷條碼區!C:C,0),2),"")</f>
        <v/>
      </c>
      <c r="Z605" s="70" t="str">
        <f>IFERROR(INDEX(刷條碼區!D:G,MATCH(點上線資訊!S605,刷條碼區!F:F,0),1),"")</f>
        <v/>
      </c>
      <c r="AA605" s="71" t="str">
        <f>IFERROR(INDEX(刷條碼區!D:G,MATCH(點上線資訊!S605,刷條碼區!F:F,0),2),"")</f>
        <v/>
      </c>
      <c r="AB605" s="20" t="b">
        <f t="shared" si="56"/>
        <v>0</v>
      </c>
      <c r="AC605" s="20" t="b">
        <f t="shared" si="57"/>
        <v>0</v>
      </c>
      <c r="AD605" s="17" t="b">
        <f t="shared" si="58"/>
        <v>0</v>
      </c>
      <c r="AE605" s="17" t="b">
        <f t="shared" si="59"/>
        <v>0</v>
      </c>
    </row>
    <row r="606" spans="1:31" x14ac:dyDescent="0.2">
      <c r="A606" s="16">
        <v>5000499890</v>
      </c>
      <c r="B606" t="s">
        <v>6</v>
      </c>
      <c r="C606" t="s">
        <v>6</v>
      </c>
      <c r="D606" t="s">
        <v>1</v>
      </c>
      <c r="E606" t="s">
        <v>264</v>
      </c>
      <c r="F606" t="s">
        <v>563</v>
      </c>
      <c r="G606" s="2">
        <v>5</v>
      </c>
      <c r="H606" t="s">
        <v>461</v>
      </c>
      <c r="I606" t="s">
        <v>3</v>
      </c>
      <c r="J606" t="s">
        <v>136</v>
      </c>
      <c r="K606" t="s">
        <v>602</v>
      </c>
      <c r="L606" t="s">
        <v>603</v>
      </c>
      <c r="M606" t="s">
        <v>602</v>
      </c>
      <c r="N606" t="s">
        <v>602</v>
      </c>
      <c r="O606" t="s">
        <v>603</v>
      </c>
      <c r="P606" t="s">
        <v>602</v>
      </c>
      <c r="Q606" s="17">
        <f>IFERROR(VLOOKUP(A606,已除帳印單!B:C,1,0),0)*1</f>
        <v>0</v>
      </c>
      <c r="R606" s="67" t="str">
        <f>IFERROR(VLOOKUP(J606,線別!A:B,2,1),"")</f>
        <v>SCB線</v>
      </c>
      <c r="S606" s="17" t="str">
        <f>IFERROR(VLOOKUP(A606,已除帳印單!B:C,2,0),"")</f>
        <v/>
      </c>
      <c r="T606" s="68">
        <f t="shared" si="60"/>
        <v>43893</v>
      </c>
      <c r="U606" s="69">
        <f t="shared" si="61"/>
        <v>84.168784722222213</v>
      </c>
      <c r="V606" s="68" t="str">
        <f>IFERROR(VLOOKUP(A606,已除帳印單!B:D,3,0),"")</f>
        <v/>
      </c>
      <c r="W606" s="69" t="str">
        <f>IFERROR(VLOOKUP(A606,已除帳印單!B:E,4,0),"")</f>
        <v/>
      </c>
      <c r="X606" s="68" t="str">
        <f>IFERROR(INDEX(刷條碼區!A:C,MATCH(點上線資訊!S606,刷條碼區!C:C,0),1),"")</f>
        <v/>
      </c>
      <c r="Y606" s="69" t="str">
        <f>IFERROR(INDEX(刷條碼區!A:C,MATCH(點上線資訊!S606,刷條碼區!C:C,0),2),"")</f>
        <v/>
      </c>
      <c r="Z606" s="70" t="str">
        <f>IFERROR(INDEX(刷條碼區!D:G,MATCH(點上線資訊!S606,刷條碼區!F:F,0),1),"")</f>
        <v/>
      </c>
      <c r="AA606" s="71" t="str">
        <f>IFERROR(INDEX(刷條碼區!D:G,MATCH(點上線資訊!S606,刷條碼區!F:F,0),2),"")</f>
        <v/>
      </c>
      <c r="AB606" s="20">
        <f t="shared" si="56"/>
        <v>5</v>
      </c>
      <c r="AC606" s="20" t="b">
        <f t="shared" si="57"/>
        <v>0</v>
      </c>
      <c r="AD606" s="17" t="b">
        <f t="shared" si="58"/>
        <v>0</v>
      </c>
      <c r="AE606" s="17" t="b">
        <f t="shared" si="59"/>
        <v>0</v>
      </c>
    </row>
    <row r="607" spans="1:31" x14ac:dyDescent="0.2">
      <c r="A607" s="16">
        <v>5000499891</v>
      </c>
      <c r="B607" t="s">
        <v>6</v>
      </c>
      <c r="C607" t="s">
        <v>6</v>
      </c>
      <c r="D607" t="s">
        <v>1</v>
      </c>
      <c r="E607" t="s">
        <v>262</v>
      </c>
      <c r="F607" t="s">
        <v>506</v>
      </c>
      <c r="G607" s="2">
        <v>7</v>
      </c>
      <c r="H607" t="s">
        <v>461</v>
      </c>
      <c r="I607" t="s">
        <v>3</v>
      </c>
      <c r="J607" t="s">
        <v>136</v>
      </c>
      <c r="K607" t="s">
        <v>602</v>
      </c>
      <c r="L607" t="s">
        <v>603</v>
      </c>
      <c r="M607" t="s">
        <v>602</v>
      </c>
      <c r="N607" t="s">
        <v>602</v>
      </c>
      <c r="O607" t="s">
        <v>603</v>
      </c>
      <c r="P607" t="s">
        <v>602</v>
      </c>
      <c r="Q607" s="17">
        <f>IFERROR(VLOOKUP(A607,已除帳印單!B:C,1,0),0)*1</f>
        <v>0</v>
      </c>
      <c r="R607" s="67" t="str">
        <f>IFERROR(VLOOKUP(J607,線別!A:B,2,1),"")</f>
        <v>SCB線</v>
      </c>
      <c r="S607" s="17" t="str">
        <f>IFERROR(VLOOKUP(A607,已除帳印單!B:C,2,0),"")</f>
        <v/>
      </c>
      <c r="T607" s="68">
        <f t="shared" si="60"/>
        <v>43893</v>
      </c>
      <c r="U607" s="69">
        <f t="shared" si="61"/>
        <v>84.168784722222213</v>
      </c>
      <c r="V607" s="68" t="str">
        <f>IFERROR(VLOOKUP(A607,已除帳印單!B:D,3,0),"")</f>
        <v/>
      </c>
      <c r="W607" s="69" t="str">
        <f>IFERROR(VLOOKUP(A607,已除帳印單!B:E,4,0),"")</f>
        <v/>
      </c>
      <c r="X607" s="68" t="str">
        <f>IFERROR(INDEX(刷條碼區!A:C,MATCH(點上線資訊!S607,刷條碼區!C:C,0),1),"")</f>
        <v/>
      </c>
      <c r="Y607" s="69" t="str">
        <f>IFERROR(INDEX(刷條碼區!A:C,MATCH(點上線資訊!S607,刷條碼區!C:C,0),2),"")</f>
        <v/>
      </c>
      <c r="Z607" s="70" t="str">
        <f>IFERROR(INDEX(刷條碼區!D:G,MATCH(點上線資訊!S607,刷條碼區!F:F,0),1),"")</f>
        <v/>
      </c>
      <c r="AA607" s="71" t="str">
        <f>IFERROR(INDEX(刷條碼區!D:G,MATCH(點上線資訊!S607,刷條碼區!F:F,0),2),"")</f>
        <v/>
      </c>
      <c r="AB607" s="20">
        <f t="shared" si="56"/>
        <v>7</v>
      </c>
      <c r="AC607" s="20" t="b">
        <f t="shared" si="57"/>
        <v>0</v>
      </c>
      <c r="AD607" s="17" t="b">
        <f t="shared" si="58"/>
        <v>0</v>
      </c>
      <c r="AE607" s="17" t="b">
        <f t="shared" si="59"/>
        <v>0</v>
      </c>
    </row>
    <row r="608" spans="1:31" x14ac:dyDescent="0.2">
      <c r="A608" s="16">
        <v>5000499892</v>
      </c>
      <c r="B608" t="s">
        <v>6</v>
      </c>
      <c r="C608" t="s">
        <v>6</v>
      </c>
      <c r="D608" t="s">
        <v>1</v>
      </c>
      <c r="E608" t="s">
        <v>966</v>
      </c>
      <c r="F608" t="s">
        <v>967</v>
      </c>
      <c r="G608" s="2">
        <v>20</v>
      </c>
      <c r="H608" t="s">
        <v>461</v>
      </c>
      <c r="I608" t="s">
        <v>3</v>
      </c>
      <c r="J608" t="s">
        <v>8</v>
      </c>
      <c r="K608" t="s">
        <v>605</v>
      </c>
      <c r="L608" t="s">
        <v>608</v>
      </c>
      <c r="M608" t="s">
        <v>429</v>
      </c>
      <c r="N608" t="s">
        <v>602</v>
      </c>
      <c r="O608" t="s">
        <v>603</v>
      </c>
      <c r="P608" t="s">
        <v>602</v>
      </c>
      <c r="Q608" s="17">
        <f>IFERROR(VLOOKUP(A608,已除帳印單!B:C,1,0),0)*1</f>
        <v>0</v>
      </c>
      <c r="R608" s="67" t="str">
        <f>IFERROR(VLOOKUP(J608,線別!A:B,2,1),"")</f>
        <v>裝一線</v>
      </c>
      <c r="S608" s="17" t="str">
        <f>IFERROR(VLOOKUP(A608,已除帳印單!B:C,2,0),"")</f>
        <v/>
      </c>
      <c r="T608" s="68">
        <f t="shared" si="60"/>
        <v>43893</v>
      </c>
      <c r="U608" s="69">
        <f t="shared" si="61"/>
        <v>84.168784722222213</v>
      </c>
      <c r="V608" s="68" t="str">
        <f>IFERROR(VLOOKUP(A608,已除帳印單!B:D,3,0),"")</f>
        <v/>
      </c>
      <c r="W608" s="69" t="str">
        <f>IFERROR(VLOOKUP(A608,已除帳印單!B:E,4,0),"")</f>
        <v/>
      </c>
      <c r="X608" s="68" t="str">
        <f>IFERROR(INDEX(刷條碼區!A:C,MATCH(點上線資訊!S608,刷條碼區!C:C,0),1),"")</f>
        <v/>
      </c>
      <c r="Y608" s="69" t="str">
        <f>IFERROR(INDEX(刷條碼區!A:C,MATCH(點上線資訊!S608,刷條碼區!C:C,0),2),"")</f>
        <v/>
      </c>
      <c r="Z608" s="70" t="str">
        <f>IFERROR(INDEX(刷條碼區!D:G,MATCH(點上線資訊!S608,刷條碼區!F:F,0),1),"")</f>
        <v/>
      </c>
      <c r="AA608" s="71" t="str">
        <f>IFERROR(INDEX(刷條碼區!D:G,MATCH(點上線資訊!S608,刷條碼區!F:F,0),2),"")</f>
        <v/>
      </c>
      <c r="AB608" s="20" t="b">
        <f t="shared" si="56"/>
        <v>0</v>
      </c>
      <c r="AC608" s="20" t="b">
        <f t="shared" si="57"/>
        <v>0</v>
      </c>
      <c r="AD608" s="17" t="b">
        <f t="shared" si="58"/>
        <v>0</v>
      </c>
      <c r="AE608" s="17" t="b">
        <f t="shared" si="59"/>
        <v>0</v>
      </c>
    </row>
    <row r="609" spans="1:31" x14ac:dyDescent="0.2">
      <c r="A609" s="16">
        <v>5000499893</v>
      </c>
      <c r="B609" t="s">
        <v>6</v>
      </c>
      <c r="C609" t="s">
        <v>6</v>
      </c>
      <c r="D609" t="s">
        <v>1</v>
      </c>
      <c r="E609" t="s">
        <v>966</v>
      </c>
      <c r="F609" t="s">
        <v>967</v>
      </c>
      <c r="G609" s="2">
        <v>20</v>
      </c>
      <c r="H609" t="s">
        <v>461</v>
      </c>
      <c r="I609" t="s">
        <v>3</v>
      </c>
      <c r="J609" t="s">
        <v>8</v>
      </c>
      <c r="K609" t="s">
        <v>605</v>
      </c>
      <c r="L609" t="s">
        <v>608</v>
      </c>
      <c r="M609" t="s">
        <v>429</v>
      </c>
      <c r="N609" t="s">
        <v>602</v>
      </c>
      <c r="O609" t="s">
        <v>603</v>
      </c>
      <c r="P609" t="s">
        <v>602</v>
      </c>
      <c r="Q609" s="17">
        <f>IFERROR(VLOOKUP(A609,已除帳印單!B:C,1,0),0)*1</f>
        <v>0</v>
      </c>
      <c r="R609" s="67" t="str">
        <f>IFERROR(VLOOKUP(J609,線別!A:B,2,1),"")</f>
        <v>裝一線</v>
      </c>
      <c r="S609" s="17" t="str">
        <f>IFERROR(VLOOKUP(A609,已除帳印單!B:C,2,0),"")</f>
        <v/>
      </c>
      <c r="T609" s="68">
        <f t="shared" si="60"/>
        <v>43893</v>
      </c>
      <c r="U609" s="69">
        <f t="shared" si="61"/>
        <v>84.168784722222213</v>
      </c>
      <c r="V609" s="68" t="str">
        <f>IFERROR(VLOOKUP(A609,已除帳印單!B:D,3,0),"")</f>
        <v/>
      </c>
      <c r="W609" s="69" t="str">
        <f>IFERROR(VLOOKUP(A609,已除帳印單!B:E,4,0),"")</f>
        <v/>
      </c>
      <c r="X609" s="68" t="str">
        <f>IFERROR(INDEX(刷條碼區!A:C,MATCH(點上線資訊!S609,刷條碼區!C:C,0),1),"")</f>
        <v/>
      </c>
      <c r="Y609" s="69" t="str">
        <f>IFERROR(INDEX(刷條碼區!A:C,MATCH(點上線資訊!S609,刷條碼區!C:C,0),2),"")</f>
        <v/>
      </c>
      <c r="Z609" s="70" t="str">
        <f>IFERROR(INDEX(刷條碼區!D:G,MATCH(點上線資訊!S609,刷條碼區!F:F,0),1),"")</f>
        <v/>
      </c>
      <c r="AA609" s="71" t="str">
        <f>IFERROR(INDEX(刷條碼區!D:G,MATCH(點上線資訊!S609,刷條碼區!F:F,0),2),"")</f>
        <v/>
      </c>
      <c r="AB609" s="20" t="b">
        <f t="shared" si="56"/>
        <v>0</v>
      </c>
      <c r="AC609" s="20" t="b">
        <f t="shared" si="57"/>
        <v>0</v>
      </c>
      <c r="AD609" s="17" t="b">
        <f t="shared" si="58"/>
        <v>0</v>
      </c>
      <c r="AE609" s="17" t="b">
        <f t="shared" si="59"/>
        <v>0</v>
      </c>
    </row>
    <row r="610" spans="1:31" x14ac:dyDescent="0.2">
      <c r="A610" s="16">
        <v>5000499894</v>
      </c>
      <c r="B610" t="s">
        <v>6</v>
      </c>
      <c r="C610" t="s">
        <v>6</v>
      </c>
      <c r="D610" t="s">
        <v>1</v>
      </c>
      <c r="E610" t="s">
        <v>964</v>
      </c>
      <c r="F610" t="s">
        <v>965</v>
      </c>
      <c r="G610" s="2">
        <v>3</v>
      </c>
      <c r="H610" t="s">
        <v>461</v>
      </c>
      <c r="I610" t="s">
        <v>3</v>
      </c>
      <c r="J610" t="s">
        <v>136</v>
      </c>
      <c r="K610" t="s">
        <v>605</v>
      </c>
      <c r="L610" t="s">
        <v>608</v>
      </c>
      <c r="M610" t="s">
        <v>419</v>
      </c>
      <c r="N610" t="s">
        <v>602</v>
      </c>
      <c r="O610" t="s">
        <v>603</v>
      </c>
      <c r="P610" t="s">
        <v>602</v>
      </c>
      <c r="Q610" s="17">
        <f>IFERROR(VLOOKUP(A610,已除帳印單!B:C,1,0),0)*1</f>
        <v>0</v>
      </c>
      <c r="R610" s="67" t="str">
        <f>IFERROR(VLOOKUP(J610,線別!A:B,2,1),"")</f>
        <v>SCB線</v>
      </c>
      <c r="S610" s="17" t="str">
        <f>IFERROR(VLOOKUP(A610,已除帳印單!B:C,2,0),"")</f>
        <v/>
      </c>
      <c r="T610" s="68">
        <f t="shared" si="60"/>
        <v>43893</v>
      </c>
      <c r="U610" s="69">
        <f t="shared" si="61"/>
        <v>84.168784722222213</v>
      </c>
      <c r="V610" s="68" t="str">
        <f>IFERROR(VLOOKUP(A610,已除帳印單!B:D,3,0),"")</f>
        <v/>
      </c>
      <c r="W610" s="69" t="str">
        <f>IFERROR(VLOOKUP(A610,已除帳印單!B:E,4,0),"")</f>
        <v/>
      </c>
      <c r="X610" s="68" t="str">
        <f>IFERROR(INDEX(刷條碼區!A:C,MATCH(點上線資訊!S610,刷條碼區!C:C,0),1),"")</f>
        <v/>
      </c>
      <c r="Y610" s="69" t="str">
        <f>IFERROR(INDEX(刷條碼區!A:C,MATCH(點上線資訊!S610,刷條碼區!C:C,0),2),"")</f>
        <v/>
      </c>
      <c r="Z610" s="70" t="str">
        <f>IFERROR(INDEX(刷條碼區!D:G,MATCH(點上線資訊!S610,刷條碼區!F:F,0),1),"")</f>
        <v/>
      </c>
      <c r="AA610" s="71" t="str">
        <f>IFERROR(INDEX(刷條碼區!D:G,MATCH(點上線資訊!S610,刷條碼區!F:F,0),2),"")</f>
        <v/>
      </c>
      <c r="AB610" s="20" t="b">
        <f t="shared" si="56"/>
        <v>0</v>
      </c>
      <c r="AC610" s="20" t="b">
        <f t="shared" si="57"/>
        <v>0</v>
      </c>
      <c r="AD610" s="17" t="b">
        <f t="shared" si="58"/>
        <v>0</v>
      </c>
      <c r="AE610" s="17" t="b">
        <f t="shared" si="59"/>
        <v>0</v>
      </c>
    </row>
    <row r="611" spans="1:31" x14ac:dyDescent="0.2">
      <c r="A611" s="16">
        <v>5000499897</v>
      </c>
      <c r="B611" t="s">
        <v>6</v>
      </c>
      <c r="C611" t="s">
        <v>6</v>
      </c>
      <c r="D611" t="s">
        <v>1</v>
      </c>
      <c r="E611" t="s">
        <v>1095</v>
      </c>
      <c r="F611" t="s">
        <v>1096</v>
      </c>
      <c r="G611" s="2">
        <v>20</v>
      </c>
      <c r="H611" t="s">
        <v>461</v>
      </c>
      <c r="I611" t="s">
        <v>3</v>
      </c>
      <c r="J611" t="s">
        <v>8</v>
      </c>
      <c r="K611" t="s">
        <v>605</v>
      </c>
      <c r="L611" t="s">
        <v>608</v>
      </c>
      <c r="M611" t="s">
        <v>429</v>
      </c>
      <c r="N611" t="s">
        <v>602</v>
      </c>
      <c r="O611" t="s">
        <v>603</v>
      </c>
      <c r="P611" t="s">
        <v>602</v>
      </c>
      <c r="Q611" s="17">
        <f>IFERROR(VLOOKUP(A611,已除帳印單!B:C,1,0),0)*1</f>
        <v>0</v>
      </c>
      <c r="R611" s="67" t="str">
        <f>IFERROR(VLOOKUP(J611,線別!A:B,2,1),"")</f>
        <v>裝一線</v>
      </c>
      <c r="S611" s="17" t="str">
        <f>IFERROR(VLOOKUP(A611,已除帳印單!B:C,2,0),"")</f>
        <v/>
      </c>
      <c r="T611" s="68">
        <f t="shared" si="60"/>
        <v>43893</v>
      </c>
      <c r="U611" s="69">
        <f t="shared" si="61"/>
        <v>84.168784722222213</v>
      </c>
      <c r="V611" s="68" t="str">
        <f>IFERROR(VLOOKUP(A611,已除帳印單!B:D,3,0),"")</f>
        <v/>
      </c>
      <c r="W611" s="69" t="str">
        <f>IFERROR(VLOOKUP(A611,已除帳印單!B:E,4,0),"")</f>
        <v/>
      </c>
      <c r="X611" s="68" t="str">
        <f>IFERROR(INDEX(刷條碼區!A:C,MATCH(點上線資訊!S611,刷條碼區!C:C,0),1),"")</f>
        <v/>
      </c>
      <c r="Y611" s="69" t="str">
        <f>IFERROR(INDEX(刷條碼區!A:C,MATCH(點上線資訊!S611,刷條碼區!C:C,0),2),"")</f>
        <v/>
      </c>
      <c r="Z611" s="70" t="str">
        <f>IFERROR(INDEX(刷條碼區!D:G,MATCH(點上線資訊!S611,刷條碼區!F:F,0),1),"")</f>
        <v/>
      </c>
      <c r="AA611" s="71" t="str">
        <f>IFERROR(INDEX(刷條碼區!D:G,MATCH(點上線資訊!S611,刷條碼區!F:F,0),2),"")</f>
        <v/>
      </c>
      <c r="AB611" s="20" t="b">
        <f t="shared" si="56"/>
        <v>0</v>
      </c>
      <c r="AC611" s="20" t="b">
        <f t="shared" si="57"/>
        <v>0</v>
      </c>
      <c r="AD611" s="17" t="b">
        <f t="shared" si="58"/>
        <v>0</v>
      </c>
      <c r="AE611" s="17" t="b">
        <f t="shared" si="59"/>
        <v>0</v>
      </c>
    </row>
    <row r="612" spans="1:31" x14ac:dyDescent="0.2">
      <c r="A612" s="16">
        <v>5000499898</v>
      </c>
      <c r="B612" t="s">
        <v>6</v>
      </c>
      <c r="C612" t="s">
        <v>6</v>
      </c>
      <c r="D612" t="s">
        <v>1</v>
      </c>
      <c r="E612" t="s">
        <v>1095</v>
      </c>
      <c r="F612" t="s">
        <v>1096</v>
      </c>
      <c r="G612" s="2">
        <v>20</v>
      </c>
      <c r="H612" t="s">
        <v>461</v>
      </c>
      <c r="I612" t="s">
        <v>3</v>
      </c>
      <c r="J612" t="s">
        <v>8</v>
      </c>
      <c r="K612" t="s">
        <v>605</v>
      </c>
      <c r="L612" t="s">
        <v>608</v>
      </c>
      <c r="M612" t="s">
        <v>429</v>
      </c>
      <c r="N612" t="s">
        <v>602</v>
      </c>
      <c r="O612" t="s">
        <v>603</v>
      </c>
      <c r="P612" t="s">
        <v>602</v>
      </c>
      <c r="Q612" s="17">
        <f>IFERROR(VLOOKUP(A612,已除帳印單!B:C,1,0),0)*1</f>
        <v>0</v>
      </c>
      <c r="R612" s="67" t="str">
        <f>IFERROR(VLOOKUP(J612,線別!A:B,2,1),"")</f>
        <v>裝一線</v>
      </c>
      <c r="S612" s="17" t="str">
        <f>IFERROR(VLOOKUP(A612,已除帳印單!B:C,2,0),"")</f>
        <v/>
      </c>
      <c r="T612" s="68">
        <f t="shared" si="60"/>
        <v>43893</v>
      </c>
      <c r="U612" s="69">
        <f t="shared" si="61"/>
        <v>84.168784722222213</v>
      </c>
      <c r="V612" s="68" t="str">
        <f>IFERROR(VLOOKUP(A612,已除帳印單!B:D,3,0),"")</f>
        <v/>
      </c>
      <c r="W612" s="69" t="str">
        <f>IFERROR(VLOOKUP(A612,已除帳印單!B:E,4,0),"")</f>
        <v/>
      </c>
      <c r="X612" s="68" t="str">
        <f>IFERROR(INDEX(刷條碼區!A:C,MATCH(點上線資訊!S612,刷條碼區!C:C,0),1),"")</f>
        <v/>
      </c>
      <c r="Y612" s="69" t="str">
        <f>IFERROR(INDEX(刷條碼區!A:C,MATCH(點上線資訊!S612,刷條碼區!C:C,0),2),"")</f>
        <v/>
      </c>
      <c r="Z612" s="70" t="str">
        <f>IFERROR(INDEX(刷條碼區!D:G,MATCH(點上線資訊!S612,刷條碼區!F:F,0),1),"")</f>
        <v/>
      </c>
      <c r="AA612" s="71" t="str">
        <f>IFERROR(INDEX(刷條碼區!D:G,MATCH(點上線資訊!S612,刷條碼區!F:F,0),2),"")</f>
        <v/>
      </c>
      <c r="AB612" s="20" t="b">
        <f t="shared" si="56"/>
        <v>0</v>
      </c>
      <c r="AC612" s="20" t="b">
        <f t="shared" si="57"/>
        <v>0</v>
      </c>
      <c r="AD612" s="17" t="b">
        <f t="shared" si="58"/>
        <v>0</v>
      </c>
      <c r="AE612" s="17" t="b">
        <f t="shared" si="59"/>
        <v>0</v>
      </c>
    </row>
    <row r="613" spans="1:31" x14ac:dyDescent="0.2">
      <c r="A613" s="16">
        <v>5000499905</v>
      </c>
      <c r="B613" t="s">
        <v>0</v>
      </c>
      <c r="C613" t="s">
        <v>0</v>
      </c>
      <c r="D613" t="s">
        <v>1</v>
      </c>
      <c r="E613" t="s">
        <v>1098</v>
      </c>
      <c r="F613" t="s">
        <v>1099</v>
      </c>
      <c r="G613" s="2">
        <v>6</v>
      </c>
      <c r="H613" t="s">
        <v>461</v>
      </c>
      <c r="I613" t="s">
        <v>3</v>
      </c>
      <c r="J613" t="s">
        <v>4</v>
      </c>
      <c r="K613" t="s">
        <v>605</v>
      </c>
      <c r="L613" t="s">
        <v>608</v>
      </c>
      <c r="M613" t="s">
        <v>1100</v>
      </c>
      <c r="N613" t="s">
        <v>602</v>
      </c>
      <c r="O613" t="s">
        <v>603</v>
      </c>
      <c r="P613" t="s">
        <v>602</v>
      </c>
      <c r="Q613" s="17">
        <f>IFERROR(VLOOKUP(A613,已除帳印單!B:C,1,0),0)*1</f>
        <v>0</v>
      </c>
      <c r="R613" s="67" t="str">
        <f>IFERROR(VLOOKUP(J613,線別!A:B,2,1),"")</f>
        <v>IA線</v>
      </c>
      <c r="S613" s="17" t="str">
        <f>IFERROR(VLOOKUP(A613,已除帳印單!B:C,2,0),"")</f>
        <v/>
      </c>
      <c r="T613" s="68">
        <f t="shared" si="60"/>
        <v>43892</v>
      </c>
      <c r="U613" s="69">
        <f t="shared" si="61"/>
        <v>84.168773148148148</v>
      </c>
      <c r="V613" s="68" t="str">
        <f>IFERROR(VLOOKUP(A613,已除帳印單!B:D,3,0),"")</f>
        <v/>
      </c>
      <c r="W613" s="69" t="str">
        <f>IFERROR(VLOOKUP(A613,已除帳印單!B:E,4,0),"")</f>
        <v/>
      </c>
      <c r="X613" s="68" t="str">
        <f>IFERROR(INDEX(刷條碼區!A:C,MATCH(點上線資訊!S613,刷條碼區!C:C,0),1),"")</f>
        <v/>
      </c>
      <c r="Y613" s="69" t="str">
        <f>IFERROR(INDEX(刷條碼區!A:C,MATCH(點上線資訊!S613,刷條碼區!C:C,0),2),"")</f>
        <v/>
      </c>
      <c r="Z613" s="70" t="str">
        <f>IFERROR(INDEX(刷條碼區!D:G,MATCH(點上線資訊!S613,刷條碼區!F:F,0),1),"")</f>
        <v/>
      </c>
      <c r="AA613" s="71" t="str">
        <f>IFERROR(INDEX(刷條碼區!D:G,MATCH(點上線資訊!S613,刷條碼區!F:F,0),2),"")</f>
        <v/>
      </c>
      <c r="AB613" s="20" t="b">
        <f t="shared" si="56"/>
        <v>0</v>
      </c>
      <c r="AC613" s="20" t="b">
        <f t="shared" si="57"/>
        <v>0</v>
      </c>
      <c r="AD613" s="17" t="b">
        <f t="shared" si="58"/>
        <v>0</v>
      </c>
      <c r="AE613" s="17" t="b">
        <f t="shared" si="59"/>
        <v>0</v>
      </c>
    </row>
    <row r="614" spans="1:31" x14ac:dyDescent="0.2">
      <c r="A614" s="16">
        <v>5000499908</v>
      </c>
      <c r="B614" t="s">
        <v>6</v>
      </c>
      <c r="C614" t="s">
        <v>6</v>
      </c>
      <c r="D614" t="s">
        <v>1</v>
      </c>
      <c r="E614" t="s">
        <v>290</v>
      </c>
      <c r="F614" t="s">
        <v>291</v>
      </c>
      <c r="G614" s="2">
        <v>14</v>
      </c>
      <c r="H614" t="s">
        <v>461</v>
      </c>
      <c r="I614" t="s">
        <v>3</v>
      </c>
      <c r="J614" t="s">
        <v>8</v>
      </c>
      <c r="K614" t="s">
        <v>605</v>
      </c>
      <c r="L614" t="s">
        <v>608</v>
      </c>
      <c r="M614" t="s">
        <v>729</v>
      </c>
      <c r="N614" t="s">
        <v>602</v>
      </c>
      <c r="O614" t="s">
        <v>603</v>
      </c>
      <c r="P614" t="s">
        <v>602</v>
      </c>
      <c r="Q614" s="17">
        <f>IFERROR(VLOOKUP(A614,已除帳印單!B:C,1,0),0)*1</f>
        <v>0</v>
      </c>
      <c r="R614" s="67" t="str">
        <f>IFERROR(VLOOKUP(J614,線別!A:B,2,1),"")</f>
        <v>裝一線</v>
      </c>
      <c r="S614" s="17" t="str">
        <f>IFERROR(VLOOKUP(A614,已除帳印單!B:C,2,0),"")</f>
        <v/>
      </c>
      <c r="T614" s="68">
        <f t="shared" si="60"/>
        <v>43893</v>
      </c>
      <c r="U614" s="69">
        <f t="shared" si="61"/>
        <v>84.168784722222213</v>
      </c>
      <c r="V614" s="68" t="str">
        <f>IFERROR(VLOOKUP(A614,已除帳印單!B:D,3,0),"")</f>
        <v/>
      </c>
      <c r="W614" s="69" t="str">
        <f>IFERROR(VLOOKUP(A614,已除帳印單!B:E,4,0),"")</f>
        <v/>
      </c>
      <c r="X614" s="68" t="str">
        <f>IFERROR(INDEX(刷條碼區!A:C,MATCH(點上線資訊!S614,刷條碼區!C:C,0),1),"")</f>
        <v/>
      </c>
      <c r="Y614" s="69" t="str">
        <f>IFERROR(INDEX(刷條碼區!A:C,MATCH(點上線資訊!S614,刷條碼區!C:C,0),2),"")</f>
        <v/>
      </c>
      <c r="Z614" s="70" t="str">
        <f>IFERROR(INDEX(刷條碼區!D:G,MATCH(點上線資訊!S614,刷條碼區!F:F,0),1),"")</f>
        <v/>
      </c>
      <c r="AA614" s="71" t="str">
        <f>IFERROR(INDEX(刷條碼區!D:G,MATCH(點上線資訊!S614,刷條碼區!F:F,0),2),"")</f>
        <v/>
      </c>
      <c r="AB614" s="20" t="b">
        <f t="shared" si="56"/>
        <v>0</v>
      </c>
      <c r="AC614" s="20" t="b">
        <f t="shared" si="57"/>
        <v>0</v>
      </c>
      <c r="AD614" s="17" t="b">
        <f t="shared" si="58"/>
        <v>0</v>
      </c>
      <c r="AE614" s="17" t="b">
        <f t="shared" si="59"/>
        <v>0</v>
      </c>
    </row>
    <row r="615" spans="1:31" x14ac:dyDescent="0.2">
      <c r="A615" s="16">
        <v>5000499910</v>
      </c>
      <c r="B615" t="s">
        <v>6</v>
      </c>
      <c r="C615" t="s">
        <v>6</v>
      </c>
      <c r="D615" t="s">
        <v>1</v>
      </c>
      <c r="E615" t="s">
        <v>292</v>
      </c>
      <c r="F615" t="s">
        <v>293</v>
      </c>
      <c r="G615" s="2">
        <v>1</v>
      </c>
      <c r="H615" t="s">
        <v>461</v>
      </c>
      <c r="I615" t="s">
        <v>3</v>
      </c>
      <c r="J615" t="s">
        <v>8</v>
      </c>
      <c r="K615" t="s">
        <v>605</v>
      </c>
      <c r="L615" t="s">
        <v>608</v>
      </c>
      <c r="M615" t="s">
        <v>1101</v>
      </c>
      <c r="N615" t="s">
        <v>602</v>
      </c>
      <c r="O615" t="s">
        <v>603</v>
      </c>
      <c r="P615" t="s">
        <v>602</v>
      </c>
      <c r="Q615" s="17">
        <f>IFERROR(VLOOKUP(A615,已除帳印單!B:C,1,0),0)*1</f>
        <v>0</v>
      </c>
      <c r="R615" s="67" t="str">
        <f>IFERROR(VLOOKUP(J615,線別!A:B,2,1),"")</f>
        <v>裝一線</v>
      </c>
      <c r="S615" s="17" t="str">
        <f>IFERROR(VLOOKUP(A615,已除帳印單!B:C,2,0),"")</f>
        <v/>
      </c>
      <c r="T615" s="68">
        <f t="shared" si="60"/>
        <v>43893</v>
      </c>
      <c r="U615" s="69">
        <f t="shared" si="61"/>
        <v>84.168784722222213</v>
      </c>
      <c r="V615" s="68" t="str">
        <f>IFERROR(VLOOKUP(A615,已除帳印單!B:D,3,0),"")</f>
        <v/>
      </c>
      <c r="W615" s="69" t="str">
        <f>IFERROR(VLOOKUP(A615,已除帳印單!B:E,4,0),"")</f>
        <v/>
      </c>
      <c r="X615" s="68" t="str">
        <f>IFERROR(INDEX(刷條碼區!A:C,MATCH(點上線資訊!S615,刷條碼區!C:C,0),1),"")</f>
        <v/>
      </c>
      <c r="Y615" s="69" t="str">
        <f>IFERROR(INDEX(刷條碼區!A:C,MATCH(點上線資訊!S615,刷條碼區!C:C,0),2),"")</f>
        <v/>
      </c>
      <c r="Z615" s="70" t="str">
        <f>IFERROR(INDEX(刷條碼區!D:G,MATCH(點上線資訊!S615,刷條碼區!F:F,0),1),"")</f>
        <v/>
      </c>
      <c r="AA615" s="71" t="str">
        <f>IFERROR(INDEX(刷條碼區!D:G,MATCH(點上線資訊!S615,刷條碼區!F:F,0),2),"")</f>
        <v/>
      </c>
      <c r="AB615" s="20" t="b">
        <f t="shared" si="56"/>
        <v>0</v>
      </c>
      <c r="AC615" s="20" t="b">
        <f t="shared" si="57"/>
        <v>0</v>
      </c>
      <c r="AD615" s="17" t="b">
        <f t="shared" si="58"/>
        <v>0</v>
      </c>
      <c r="AE615" s="17" t="b">
        <f t="shared" si="59"/>
        <v>0</v>
      </c>
    </row>
    <row r="616" spans="1:31" x14ac:dyDescent="0.2">
      <c r="A616" s="16">
        <v>5000499918</v>
      </c>
      <c r="B616" t="s">
        <v>301</v>
      </c>
      <c r="C616" t="s">
        <v>301</v>
      </c>
      <c r="D616" t="s">
        <v>1</v>
      </c>
      <c r="E616" t="s">
        <v>1102</v>
      </c>
      <c r="F616" t="s">
        <v>1103</v>
      </c>
      <c r="G616" s="2">
        <v>1</v>
      </c>
      <c r="H616" t="s">
        <v>461</v>
      </c>
      <c r="I616" t="s">
        <v>3</v>
      </c>
      <c r="J616" t="s">
        <v>339</v>
      </c>
      <c r="K616" t="s">
        <v>605</v>
      </c>
      <c r="L616" t="s">
        <v>608</v>
      </c>
      <c r="M616" t="s">
        <v>427</v>
      </c>
      <c r="N616" t="s">
        <v>602</v>
      </c>
      <c r="O616" t="s">
        <v>603</v>
      </c>
      <c r="P616" t="s">
        <v>602</v>
      </c>
      <c r="Q616" s="17">
        <f>IFERROR(VLOOKUP(A616,已除帳印單!B:C,1,0),0)*1</f>
        <v>0</v>
      </c>
      <c r="R616" s="67" t="str">
        <f>IFERROR(VLOOKUP(J616,線別!A:B,2,1),"")</f>
        <v>A+線</v>
      </c>
      <c r="S616" s="17" t="str">
        <f>IFERROR(VLOOKUP(A616,已除帳印單!B:C,2,0),"")</f>
        <v/>
      </c>
      <c r="T616" s="68">
        <f t="shared" si="60"/>
        <v>43894</v>
      </c>
      <c r="U616" s="69">
        <f t="shared" si="61"/>
        <v>84.168796296296293</v>
      </c>
      <c r="V616" s="68" t="str">
        <f>IFERROR(VLOOKUP(A616,已除帳印單!B:D,3,0),"")</f>
        <v/>
      </c>
      <c r="W616" s="69" t="str">
        <f>IFERROR(VLOOKUP(A616,已除帳印單!B:E,4,0),"")</f>
        <v/>
      </c>
      <c r="X616" s="68" t="str">
        <f>IFERROR(INDEX(刷條碼區!A:C,MATCH(點上線資訊!S616,刷條碼區!C:C,0),1),"")</f>
        <v/>
      </c>
      <c r="Y616" s="69" t="str">
        <f>IFERROR(INDEX(刷條碼區!A:C,MATCH(點上線資訊!S616,刷條碼區!C:C,0),2),"")</f>
        <v/>
      </c>
      <c r="Z616" s="70" t="str">
        <f>IFERROR(INDEX(刷條碼區!D:G,MATCH(點上線資訊!S616,刷條碼區!F:F,0),1),"")</f>
        <v/>
      </c>
      <c r="AA616" s="71" t="str">
        <f>IFERROR(INDEX(刷條碼區!D:G,MATCH(點上線資訊!S616,刷條碼區!F:F,0),2),"")</f>
        <v/>
      </c>
      <c r="AB616" s="20" t="b">
        <f t="shared" si="56"/>
        <v>0</v>
      </c>
      <c r="AC616" s="20" t="b">
        <f t="shared" si="57"/>
        <v>0</v>
      </c>
      <c r="AD616" s="17" t="b">
        <f t="shared" si="58"/>
        <v>0</v>
      </c>
      <c r="AE616" s="17" t="b">
        <f t="shared" si="59"/>
        <v>0</v>
      </c>
    </row>
    <row r="617" spans="1:31" x14ac:dyDescent="0.2">
      <c r="A617" s="16">
        <v>5000499919</v>
      </c>
      <c r="B617" t="s">
        <v>301</v>
      </c>
      <c r="C617" t="s">
        <v>301</v>
      </c>
      <c r="D617" t="s">
        <v>1</v>
      </c>
      <c r="E617" t="s">
        <v>1104</v>
      </c>
      <c r="F617" t="s">
        <v>755</v>
      </c>
      <c r="G617" s="2">
        <v>2</v>
      </c>
      <c r="H617" t="s">
        <v>461</v>
      </c>
      <c r="I617" t="s">
        <v>3</v>
      </c>
      <c r="J617" t="s">
        <v>339</v>
      </c>
      <c r="K617" t="s">
        <v>605</v>
      </c>
      <c r="L617" t="s">
        <v>608</v>
      </c>
      <c r="M617" t="s">
        <v>426</v>
      </c>
      <c r="N617" t="s">
        <v>602</v>
      </c>
      <c r="O617" t="s">
        <v>603</v>
      </c>
      <c r="P617" t="s">
        <v>602</v>
      </c>
      <c r="Q617" s="17">
        <f>IFERROR(VLOOKUP(A617,已除帳印單!B:C,1,0),0)*1</f>
        <v>0</v>
      </c>
      <c r="R617" s="67" t="str">
        <f>IFERROR(VLOOKUP(J617,線別!A:B,2,1),"")</f>
        <v>A+線</v>
      </c>
      <c r="S617" s="17" t="str">
        <f>IFERROR(VLOOKUP(A617,已除帳印單!B:C,2,0),"")</f>
        <v/>
      </c>
      <c r="T617" s="68">
        <f t="shared" si="60"/>
        <v>43894</v>
      </c>
      <c r="U617" s="69">
        <f t="shared" si="61"/>
        <v>84.168796296296293</v>
      </c>
      <c r="V617" s="68" t="str">
        <f>IFERROR(VLOOKUP(A617,已除帳印單!B:D,3,0),"")</f>
        <v/>
      </c>
      <c r="W617" s="69" t="str">
        <f>IFERROR(VLOOKUP(A617,已除帳印單!B:E,4,0),"")</f>
        <v/>
      </c>
      <c r="X617" s="68" t="str">
        <f>IFERROR(INDEX(刷條碼區!A:C,MATCH(點上線資訊!S617,刷條碼區!C:C,0),1),"")</f>
        <v/>
      </c>
      <c r="Y617" s="69" t="str">
        <f>IFERROR(INDEX(刷條碼區!A:C,MATCH(點上線資訊!S617,刷條碼區!C:C,0),2),"")</f>
        <v/>
      </c>
      <c r="Z617" s="70" t="str">
        <f>IFERROR(INDEX(刷條碼區!D:G,MATCH(點上線資訊!S617,刷條碼區!F:F,0),1),"")</f>
        <v/>
      </c>
      <c r="AA617" s="71" t="str">
        <f>IFERROR(INDEX(刷條碼區!D:G,MATCH(點上線資訊!S617,刷條碼區!F:F,0),2),"")</f>
        <v/>
      </c>
      <c r="AB617" s="20" t="b">
        <f t="shared" si="56"/>
        <v>0</v>
      </c>
      <c r="AC617" s="20" t="b">
        <f t="shared" si="57"/>
        <v>0</v>
      </c>
      <c r="AD617" s="17" t="b">
        <f t="shared" si="58"/>
        <v>0</v>
      </c>
      <c r="AE617" s="17" t="b">
        <f t="shared" si="59"/>
        <v>0</v>
      </c>
    </row>
    <row r="618" spans="1:31" x14ac:dyDescent="0.2">
      <c r="A618" s="16">
        <v>5000499920</v>
      </c>
      <c r="B618" t="s">
        <v>301</v>
      </c>
      <c r="C618" t="s">
        <v>301</v>
      </c>
      <c r="D618" t="s">
        <v>1</v>
      </c>
      <c r="E618" t="s">
        <v>1105</v>
      </c>
      <c r="F618" t="s">
        <v>849</v>
      </c>
      <c r="G618" s="2">
        <v>3</v>
      </c>
      <c r="H618" t="s">
        <v>461</v>
      </c>
      <c r="I618" t="s">
        <v>3</v>
      </c>
      <c r="J618" t="s">
        <v>339</v>
      </c>
      <c r="K618" t="s">
        <v>605</v>
      </c>
      <c r="L618" t="s">
        <v>608</v>
      </c>
      <c r="M618" t="s">
        <v>427</v>
      </c>
      <c r="N618" t="s">
        <v>602</v>
      </c>
      <c r="O618" t="s">
        <v>603</v>
      </c>
      <c r="P618" t="s">
        <v>602</v>
      </c>
      <c r="Q618" s="17">
        <f>IFERROR(VLOOKUP(A618,已除帳印單!B:C,1,0),0)*1</f>
        <v>0</v>
      </c>
      <c r="R618" s="67" t="str">
        <f>IFERROR(VLOOKUP(J618,線別!A:B,2,1),"")</f>
        <v>A+線</v>
      </c>
      <c r="S618" s="17" t="str">
        <f>IFERROR(VLOOKUP(A618,已除帳印單!B:C,2,0),"")</f>
        <v/>
      </c>
      <c r="T618" s="68">
        <f t="shared" si="60"/>
        <v>43894</v>
      </c>
      <c r="U618" s="69">
        <f t="shared" si="61"/>
        <v>84.168796296296293</v>
      </c>
      <c r="V618" s="68" t="str">
        <f>IFERROR(VLOOKUP(A618,已除帳印單!B:D,3,0),"")</f>
        <v/>
      </c>
      <c r="W618" s="69" t="str">
        <f>IFERROR(VLOOKUP(A618,已除帳印單!B:E,4,0),"")</f>
        <v/>
      </c>
      <c r="X618" s="68" t="str">
        <f>IFERROR(INDEX(刷條碼區!A:C,MATCH(點上線資訊!S618,刷條碼區!C:C,0),1),"")</f>
        <v/>
      </c>
      <c r="Y618" s="69" t="str">
        <f>IFERROR(INDEX(刷條碼區!A:C,MATCH(點上線資訊!S618,刷條碼區!C:C,0),2),"")</f>
        <v/>
      </c>
      <c r="Z618" s="70" t="str">
        <f>IFERROR(INDEX(刷條碼區!D:G,MATCH(點上線資訊!S618,刷條碼區!F:F,0),1),"")</f>
        <v/>
      </c>
      <c r="AA618" s="71" t="str">
        <f>IFERROR(INDEX(刷條碼區!D:G,MATCH(點上線資訊!S618,刷條碼區!F:F,0),2),"")</f>
        <v/>
      </c>
      <c r="AB618" s="20" t="b">
        <f t="shared" si="56"/>
        <v>0</v>
      </c>
      <c r="AC618" s="20" t="b">
        <f t="shared" si="57"/>
        <v>0</v>
      </c>
      <c r="AD618" s="17" t="b">
        <f t="shared" si="58"/>
        <v>0</v>
      </c>
      <c r="AE618" s="17" t="b">
        <f t="shared" si="59"/>
        <v>0</v>
      </c>
    </row>
    <row r="619" spans="1:31" x14ac:dyDescent="0.2">
      <c r="A619" s="16">
        <v>5000499921</v>
      </c>
      <c r="B619" t="s">
        <v>301</v>
      </c>
      <c r="C619" t="s">
        <v>301</v>
      </c>
      <c r="D619" t="s">
        <v>1</v>
      </c>
      <c r="E619" t="s">
        <v>1105</v>
      </c>
      <c r="F619" t="s">
        <v>849</v>
      </c>
      <c r="G619" s="2">
        <v>2</v>
      </c>
      <c r="H619" t="s">
        <v>461</v>
      </c>
      <c r="I619" t="s">
        <v>3</v>
      </c>
      <c r="J619" t="s">
        <v>339</v>
      </c>
      <c r="K619" t="s">
        <v>605</v>
      </c>
      <c r="L619" t="s">
        <v>608</v>
      </c>
      <c r="M619" t="s">
        <v>427</v>
      </c>
      <c r="N619" t="s">
        <v>602</v>
      </c>
      <c r="O619" t="s">
        <v>603</v>
      </c>
      <c r="P619" t="s">
        <v>602</v>
      </c>
      <c r="Q619" s="17">
        <f>IFERROR(VLOOKUP(A619,已除帳印單!B:C,1,0),0)*1</f>
        <v>0</v>
      </c>
      <c r="R619" s="67" t="str">
        <f>IFERROR(VLOOKUP(J619,線別!A:B,2,1),"")</f>
        <v>A+線</v>
      </c>
      <c r="S619" s="17" t="str">
        <f>IFERROR(VLOOKUP(A619,已除帳印單!B:C,2,0),"")</f>
        <v/>
      </c>
      <c r="T619" s="68">
        <f t="shared" si="60"/>
        <v>43894</v>
      </c>
      <c r="U619" s="69">
        <f t="shared" si="61"/>
        <v>84.168796296296293</v>
      </c>
      <c r="V619" s="68" t="str">
        <f>IFERROR(VLOOKUP(A619,已除帳印單!B:D,3,0),"")</f>
        <v/>
      </c>
      <c r="W619" s="69" t="str">
        <f>IFERROR(VLOOKUP(A619,已除帳印單!B:E,4,0),"")</f>
        <v/>
      </c>
      <c r="X619" s="68" t="str">
        <f>IFERROR(INDEX(刷條碼區!A:C,MATCH(點上線資訊!S619,刷條碼區!C:C,0),1),"")</f>
        <v/>
      </c>
      <c r="Y619" s="69" t="str">
        <f>IFERROR(INDEX(刷條碼區!A:C,MATCH(點上線資訊!S619,刷條碼區!C:C,0),2),"")</f>
        <v/>
      </c>
      <c r="Z619" s="70" t="str">
        <f>IFERROR(INDEX(刷條碼區!D:G,MATCH(點上線資訊!S619,刷條碼區!F:F,0),1),"")</f>
        <v/>
      </c>
      <c r="AA619" s="71" t="str">
        <f>IFERROR(INDEX(刷條碼區!D:G,MATCH(點上線資訊!S619,刷條碼區!F:F,0),2),"")</f>
        <v/>
      </c>
      <c r="AB619" s="20" t="b">
        <f t="shared" si="56"/>
        <v>0</v>
      </c>
      <c r="AC619" s="20" t="b">
        <f t="shared" si="57"/>
        <v>0</v>
      </c>
      <c r="AD619" s="17" t="b">
        <f t="shared" si="58"/>
        <v>0</v>
      </c>
      <c r="AE619" s="17" t="b">
        <f t="shared" si="59"/>
        <v>0</v>
      </c>
    </row>
    <row r="620" spans="1:31" x14ac:dyDescent="0.2">
      <c r="A620" s="16">
        <v>5000499922</v>
      </c>
      <c r="B620" t="s">
        <v>301</v>
      </c>
      <c r="C620" t="s">
        <v>301</v>
      </c>
      <c r="D620" t="s">
        <v>1</v>
      </c>
      <c r="E620" t="s">
        <v>1105</v>
      </c>
      <c r="F620" t="s">
        <v>849</v>
      </c>
      <c r="G620" s="2">
        <v>2</v>
      </c>
      <c r="H620" t="s">
        <v>461</v>
      </c>
      <c r="I620" t="s">
        <v>3</v>
      </c>
      <c r="J620" t="s">
        <v>339</v>
      </c>
      <c r="K620" t="s">
        <v>605</v>
      </c>
      <c r="L620" t="s">
        <v>608</v>
      </c>
      <c r="M620" t="s">
        <v>427</v>
      </c>
      <c r="N620" t="s">
        <v>602</v>
      </c>
      <c r="O620" t="s">
        <v>603</v>
      </c>
      <c r="P620" t="s">
        <v>602</v>
      </c>
      <c r="Q620" s="17">
        <f>IFERROR(VLOOKUP(A620,已除帳印單!B:C,1,0),0)*1</f>
        <v>0</v>
      </c>
      <c r="R620" s="67" t="str">
        <f>IFERROR(VLOOKUP(J620,線別!A:B,2,1),"")</f>
        <v>A+線</v>
      </c>
      <c r="S620" s="17" t="str">
        <f>IFERROR(VLOOKUP(A620,已除帳印單!B:C,2,0),"")</f>
        <v/>
      </c>
      <c r="T620" s="68">
        <f t="shared" si="60"/>
        <v>43894</v>
      </c>
      <c r="U620" s="69">
        <f t="shared" si="61"/>
        <v>84.168796296296293</v>
      </c>
      <c r="V620" s="68" t="str">
        <f>IFERROR(VLOOKUP(A620,已除帳印單!B:D,3,0),"")</f>
        <v/>
      </c>
      <c r="W620" s="69" t="str">
        <f>IFERROR(VLOOKUP(A620,已除帳印單!B:E,4,0),"")</f>
        <v/>
      </c>
      <c r="X620" s="68" t="str">
        <f>IFERROR(INDEX(刷條碼區!A:C,MATCH(點上線資訊!S620,刷條碼區!C:C,0),1),"")</f>
        <v/>
      </c>
      <c r="Y620" s="69" t="str">
        <f>IFERROR(INDEX(刷條碼區!A:C,MATCH(點上線資訊!S620,刷條碼區!C:C,0),2),"")</f>
        <v/>
      </c>
      <c r="Z620" s="70" t="str">
        <f>IFERROR(INDEX(刷條碼區!D:G,MATCH(點上線資訊!S620,刷條碼區!F:F,0),1),"")</f>
        <v/>
      </c>
      <c r="AA620" s="71" t="str">
        <f>IFERROR(INDEX(刷條碼區!D:G,MATCH(點上線資訊!S620,刷條碼區!F:F,0),2),"")</f>
        <v/>
      </c>
      <c r="AB620" s="20" t="b">
        <f t="shared" si="56"/>
        <v>0</v>
      </c>
      <c r="AC620" s="20" t="b">
        <f t="shared" si="57"/>
        <v>0</v>
      </c>
      <c r="AD620" s="17" t="b">
        <f t="shared" si="58"/>
        <v>0</v>
      </c>
      <c r="AE620" s="17" t="b">
        <f t="shared" si="59"/>
        <v>0</v>
      </c>
    </row>
    <row r="621" spans="1:31" x14ac:dyDescent="0.2">
      <c r="A621" s="16">
        <v>5000499929</v>
      </c>
      <c r="B621" t="s">
        <v>0</v>
      </c>
      <c r="C621" t="s">
        <v>0</v>
      </c>
      <c r="D621" t="s">
        <v>1</v>
      </c>
      <c r="E621" t="s">
        <v>1106</v>
      </c>
      <c r="F621" t="s">
        <v>1107</v>
      </c>
      <c r="G621" s="2">
        <v>2</v>
      </c>
      <c r="H621" t="s">
        <v>461</v>
      </c>
      <c r="I621" t="s">
        <v>3</v>
      </c>
      <c r="J621" t="s">
        <v>4</v>
      </c>
      <c r="K621" t="s">
        <v>605</v>
      </c>
      <c r="L621" t="s">
        <v>608</v>
      </c>
      <c r="M621" t="s">
        <v>1108</v>
      </c>
      <c r="N621" t="s">
        <v>602</v>
      </c>
      <c r="O621" t="s">
        <v>603</v>
      </c>
      <c r="P621" t="s">
        <v>602</v>
      </c>
      <c r="Q621" s="17">
        <f>IFERROR(VLOOKUP(A621,已除帳印單!B:C,1,0),0)*1</f>
        <v>0</v>
      </c>
      <c r="R621" s="67" t="str">
        <f>IFERROR(VLOOKUP(J621,線別!A:B,2,1),"")</f>
        <v>IA線</v>
      </c>
      <c r="S621" s="17" t="str">
        <f>IFERROR(VLOOKUP(A621,已除帳印單!B:C,2,0),"")</f>
        <v/>
      </c>
      <c r="T621" s="68">
        <f t="shared" si="60"/>
        <v>43892</v>
      </c>
      <c r="U621" s="69">
        <f t="shared" si="61"/>
        <v>84.168773148148148</v>
      </c>
      <c r="V621" s="68" t="str">
        <f>IFERROR(VLOOKUP(A621,已除帳印單!B:D,3,0),"")</f>
        <v/>
      </c>
      <c r="W621" s="69" t="str">
        <f>IFERROR(VLOOKUP(A621,已除帳印單!B:E,4,0),"")</f>
        <v/>
      </c>
      <c r="X621" s="68" t="str">
        <f>IFERROR(INDEX(刷條碼區!A:C,MATCH(點上線資訊!S621,刷條碼區!C:C,0),1),"")</f>
        <v/>
      </c>
      <c r="Y621" s="69" t="str">
        <f>IFERROR(INDEX(刷條碼區!A:C,MATCH(點上線資訊!S621,刷條碼區!C:C,0),2),"")</f>
        <v/>
      </c>
      <c r="Z621" s="70" t="str">
        <f>IFERROR(INDEX(刷條碼區!D:G,MATCH(點上線資訊!S621,刷條碼區!F:F,0),1),"")</f>
        <v/>
      </c>
      <c r="AA621" s="71" t="str">
        <f>IFERROR(INDEX(刷條碼區!D:G,MATCH(點上線資訊!S621,刷條碼區!F:F,0),2),"")</f>
        <v/>
      </c>
      <c r="AB621" s="20" t="b">
        <f t="shared" si="56"/>
        <v>0</v>
      </c>
      <c r="AC621" s="20" t="b">
        <f t="shared" si="57"/>
        <v>0</v>
      </c>
      <c r="AD621" s="17" t="b">
        <f t="shared" si="58"/>
        <v>0</v>
      </c>
      <c r="AE621" s="17" t="b">
        <f t="shared" si="59"/>
        <v>0</v>
      </c>
    </row>
    <row r="622" spans="1:31" x14ac:dyDescent="0.2">
      <c r="A622" s="16">
        <v>5000499934</v>
      </c>
      <c r="B622" t="s">
        <v>0</v>
      </c>
      <c r="C622" t="s">
        <v>0</v>
      </c>
      <c r="D622" t="s">
        <v>1</v>
      </c>
      <c r="E622" t="s">
        <v>20</v>
      </c>
      <c r="F622" t="s">
        <v>564</v>
      </c>
      <c r="G622" s="2">
        <v>5</v>
      </c>
      <c r="H622" t="s">
        <v>461</v>
      </c>
      <c r="I622" t="s">
        <v>3</v>
      </c>
      <c r="J622" t="s">
        <v>4</v>
      </c>
      <c r="K622" t="s">
        <v>602</v>
      </c>
      <c r="L622" t="s">
        <v>603</v>
      </c>
      <c r="M622" t="s">
        <v>602</v>
      </c>
      <c r="N622" t="s">
        <v>602</v>
      </c>
      <c r="O622" t="s">
        <v>603</v>
      </c>
      <c r="P622" t="s">
        <v>602</v>
      </c>
      <c r="Q622" s="17">
        <f>IFERROR(VLOOKUP(A622,已除帳印單!B:C,1,0),0)*1</f>
        <v>0</v>
      </c>
      <c r="R622" s="67" t="str">
        <f>IFERROR(VLOOKUP(J622,線別!A:B,2,1),"")</f>
        <v>IA線</v>
      </c>
      <c r="S622" s="17" t="str">
        <f>IFERROR(VLOOKUP(A622,已除帳印單!B:C,2,0),"")</f>
        <v/>
      </c>
      <c r="T622" s="68">
        <f t="shared" si="60"/>
        <v>43892</v>
      </c>
      <c r="U622" s="69">
        <f t="shared" si="61"/>
        <v>84.168773148148148</v>
      </c>
      <c r="V622" s="68" t="str">
        <f>IFERROR(VLOOKUP(A622,已除帳印單!B:D,3,0),"")</f>
        <v/>
      </c>
      <c r="W622" s="69" t="str">
        <f>IFERROR(VLOOKUP(A622,已除帳印單!B:E,4,0),"")</f>
        <v/>
      </c>
      <c r="X622" s="68" t="str">
        <f>IFERROR(INDEX(刷條碼區!A:C,MATCH(點上線資訊!S622,刷條碼區!C:C,0),1),"")</f>
        <v/>
      </c>
      <c r="Y622" s="69" t="str">
        <f>IFERROR(INDEX(刷條碼區!A:C,MATCH(點上線資訊!S622,刷條碼區!C:C,0),2),"")</f>
        <v/>
      </c>
      <c r="Z622" s="70" t="str">
        <f>IFERROR(INDEX(刷條碼區!D:G,MATCH(點上線資訊!S622,刷條碼區!F:F,0),1),"")</f>
        <v/>
      </c>
      <c r="AA622" s="71" t="str">
        <f>IFERROR(INDEX(刷條碼區!D:G,MATCH(點上線資訊!S622,刷條碼區!F:F,0),2),"")</f>
        <v/>
      </c>
      <c r="AB622" s="20">
        <f t="shared" si="56"/>
        <v>5</v>
      </c>
      <c r="AC622" s="20" t="b">
        <f t="shared" si="57"/>
        <v>0</v>
      </c>
      <c r="AD622" s="17" t="b">
        <f t="shared" si="58"/>
        <v>0</v>
      </c>
      <c r="AE622" s="17" t="b">
        <f t="shared" si="59"/>
        <v>0</v>
      </c>
    </row>
    <row r="623" spans="1:31" x14ac:dyDescent="0.2">
      <c r="A623" s="16">
        <v>5000499935</v>
      </c>
      <c r="B623" t="s">
        <v>0</v>
      </c>
      <c r="C623" t="s">
        <v>0</v>
      </c>
      <c r="D623" t="s">
        <v>1</v>
      </c>
      <c r="E623" t="s">
        <v>28</v>
      </c>
      <c r="F623" t="s">
        <v>27</v>
      </c>
      <c r="G623" s="2">
        <v>10</v>
      </c>
      <c r="H623" t="s">
        <v>461</v>
      </c>
      <c r="I623" t="s">
        <v>3</v>
      </c>
      <c r="J623" t="s">
        <v>4</v>
      </c>
      <c r="K623" t="s">
        <v>602</v>
      </c>
      <c r="L623" t="s">
        <v>603</v>
      </c>
      <c r="M623" t="s">
        <v>602</v>
      </c>
      <c r="N623" t="s">
        <v>602</v>
      </c>
      <c r="O623" t="s">
        <v>603</v>
      </c>
      <c r="P623" t="s">
        <v>602</v>
      </c>
      <c r="Q623" s="17">
        <f>IFERROR(VLOOKUP(A623,已除帳印單!B:C,1,0),0)*1</f>
        <v>0</v>
      </c>
      <c r="R623" s="67" t="str">
        <f>IFERROR(VLOOKUP(J623,線別!A:B,2,1),"")</f>
        <v>IA線</v>
      </c>
      <c r="S623" s="17" t="str">
        <f>IFERROR(VLOOKUP(A623,已除帳印單!B:C,2,0),"")</f>
        <v/>
      </c>
      <c r="T623" s="68">
        <f t="shared" si="60"/>
        <v>43892</v>
      </c>
      <c r="U623" s="69">
        <f t="shared" si="61"/>
        <v>84.168773148148148</v>
      </c>
      <c r="V623" s="68" t="str">
        <f>IFERROR(VLOOKUP(A623,已除帳印單!B:D,3,0),"")</f>
        <v/>
      </c>
      <c r="W623" s="69" t="str">
        <f>IFERROR(VLOOKUP(A623,已除帳印單!B:E,4,0),"")</f>
        <v/>
      </c>
      <c r="X623" s="68" t="str">
        <f>IFERROR(INDEX(刷條碼區!A:C,MATCH(點上線資訊!S623,刷條碼區!C:C,0),1),"")</f>
        <v/>
      </c>
      <c r="Y623" s="69" t="str">
        <f>IFERROR(INDEX(刷條碼區!A:C,MATCH(點上線資訊!S623,刷條碼區!C:C,0),2),"")</f>
        <v/>
      </c>
      <c r="Z623" s="70" t="str">
        <f>IFERROR(INDEX(刷條碼區!D:G,MATCH(點上線資訊!S623,刷條碼區!F:F,0),1),"")</f>
        <v/>
      </c>
      <c r="AA623" s="71" t="str">
        <f>IFERROR(INDEX(刷條碼區!D:G,MATCH(點上線資訊!S623,刷條碼區!F:F,0),2),"")</f>
        <v/>
      </c>
      <c r="AB623" s="20">
        <f t="shared" si="56"/>
        <v>10</v>
      </c>
      <c r="AC623" s="20" t="b">
        <f t="shared" si="57"/>
        <v>0</v>
      </c>
      <c r="AD623" s="17" t="b">
        <f t="shared" si="58"/>
        <v>0</v>
      </c>
      <c r="AE623" s="17" t="b">
        <f t="shared" si="59"/>
        <v>0</v>
      </c>
    </row>
    <row r="624" spans="1:31" x14ac:dyDescent="0.2">
      <c r="A624" s="16">
        <v>5000499936</v>
      </c>
      <c r="B624" t="s">
        <v>0</v>
      </c>
      <c r="C624" t="s">
        <v>0</v>
      </c>
      <c r="D624" t="s">
        <v>1</v>
      </c>
      <c r="E624" t="s">
        <v>28</v>
      </c>
      <c r="F624" t="s">
        <v>27</v>
      </c>
      <c r="G624" s="2">
        <v>10</v>
      </c>
      <c r="H624" t="s">
        <v>461</v>
      </c>
      <c r="I624" t="s">
        <v>3</v>
      </c>
      <c r="J624" t="s">
        <v>4</v>
      </c>
      <c r="K624" t="s">
        <v>602</v>
      </c>
      <c r="L624" t="s">
        <v>603</v>
      </c>
      <c r="M624" t="s">
        <v>602</v>
      </c>
      <c r="N624" t="s">
        <v>602</v>
      </c>
      <c r="O624" t="s">
        <v>603</v>
      </c>
      <c r="P624" t="s">
        <v>602</v>
      </c>
      <c r="Q624" s="17">
        <f>IFERROR(VLOOKUP(A624,已除帳印單!B:C,1,0),0)*1</f>
        <v>0</v>
      </c>
      <c r="R624" s="67" t="str">
        <f>IFERROR(VLOOKUP(J624,線別!A:B,2,1),"")</f>
        <v>IA線</v>
      </c>
      <c r="S624" s="17" t="str">
        <f>IFERROR(VLOOKUP(A624,已除帳印單!B:C,2,0),"")</f>
        <v/>
      </c>
      <c r="T624" s="68">
        <f t="shared" si="60"/>
        <v>43892</v>
      </c>
      <c r="U624" s="69">
        <f t="shared" si="61"/>
        <v>84.168773148148148</v>
      </c>
      <c r="V624" s="68" t="str">
        <f>IFERROR(VLOOKUP(A624,已除帳印單!B:D,3,0),"")</f>
        <v/>
      </c>
      <c r="W624" s="69" t="str">
        <f>IFERROR(VLOOKUP(A624,已除帳印單!B:E,4,0),"")</f>
        <v/>
      </c>
      <c r="X624" s="68" t="str">
        <f>IFERROR(INDEX(刷條碼區!A:C,MATCH(點上線資訊!S624,刷條碼區!C:C,0),1),"")</f>
        <v/>
      </c>
      <c r="Y624" s="69" t="str">
        <f>IFERROR(INDEX(刷條碼區!A:C,MATCH(點上線資訊!S624,刷條碼區!C:C,0),2),"")</f>
        <v/>
      </c>
      <c r="Z624" s="70" t="str">
        <f>IFERROR(INDEX(刷條碼區!D:G,MATCH(點上線資訊!S624,刷條碼區!F:F,0),1),"")</f>
        <v/>
      </c>
      <c r="AA624" s="71" t="str">
        <f>IFERROR(INDEX(刷條碼區!D:G,MATCH(點上線資訊!S624,刷條碼區!F:F,0),2),"")</f>
        <v/>
      </c>
      <c r="AB624" s="20">
        <f t="shared" si="56"/>
        <v>10</v>
      </c>
      <c r="AC624" s="20" t="b">
        <f t="shared" si="57"/>
        <v>0</v>
      </c>
      <c r="AD624" s="17" t="b">
        <f t="shared" si="58"/>
        <v>0</v>
      </c>
      <c r="AE624" s="17" t="b">
        <f t="shared" si="59"/>
        <v>0</v>
      </c>
    </row>
    <row r="625" spans="1:31" x14ac:dyDescent="0.2">
      <c r="A625" s="16">
        <v>5000499937</v>
      </c>
      <c r="B625" t="s">
        <v>0</v>
      </c>
      <c r="C625" t="s">
        <v>0</v>
      </c>
      <c r="D625" t="s">
        <v>1</v>
      </c>
      <c r="E625" t="s">
        <v>1109</v>
      </c>
      <c r="F625" t="s">
        <v>23</v>
      </c>
      <c r="G625" s="2">
        <v>10</v>
      </c>
      <c r="H625" t="s">
        <v>461</v>
      </c>
      <c r="I625" t="s">
        <v>3</v>
      </c>
      <c r="J625" t="s">
        <v>8</v>
      </c>
      <c r="K625" t="s">
        <v>605</v>
      </c>
      <c r="L625" t="s">
        <v>608</v>
      </c>
      <c r="M625" t="s">
        <v>250</v>
      </c>
      <c r="N625" t="s">
        <v>602</v>
      </c>
      <c r="O625" t="s">
        <v>603</v>
      </c>
      <c r="P625" t="s">
        <v>602</v>
      </c>
      <c r="Q625" s="17">
        <f>IFERROR(VLOOKUP(A625,已除帳印單!B:C,1,0),0)*1</f>
        <v>0</v>
      </c>
      <c r="R625" s="67" t="str">
        <f>IFERROR(VLOOKUP(J625,線別!A:B,2,1),"")</f>
        <v>裝一線</v>
      </c>
      <c r="S625" s="17" t="str">
        <f>IFERROR(VLOOKUP(A625,已除帳印單!B:C,2,0),"")</f>
        <v/>
      </c>
      <c r="T625" s="68">
        <f t="shared" si="60"/>
        <v>43892</v>
      </c>
      <c r="U625" s="69">
        <f t="shared" si="61"/>
        <v>84.168773148148148</v>
      </c>
      <c r="V625" s="68" t="str">
        <f>IFERROR(VLOOKUP(A625,已除帳印單!B:D,3,0),"")</f>
        <v/>
      </c>
      <c r="W625" s="69" t="str">
        <f>IFERROR(VLOOKUP(A625,已除帳印單!B:E,4,0),"")</f>
        <v/>
      </c>
      <c r="X625" s="68" t="str">
        <f>IFERROR(INDEX(刷條碼區!A:C,MATCH(點上線資訊!S625,刷條碼區!C:C,0),1),"")</f>
        <v/>
      </c>
      <c r="Y625" s="69" t="str">
        <f>IFERROR(INDEX(刷條碼區!A:C,MATCH(點上線資訊!S625,刷條碼區!C:C,0),2),"")</f>
        <v/>
      </c>
      <c r="Z625" s="70" t="str">
        <f>IFERROR(INDEX(刷條碼區!D:G,MATCH(點上線資訊!S625,刷條碼區!F:F,0),1),"")</f>
        <v/>
      </c>
      <c r="AA625" s="71" t="str">
        <f>IFERROR(INDEX(刷條碼區!D:G,MATCH(點上線資訊!S625,刷條碼區!F:F,0),2),"")</f>
        <v/>
      </c>
      <c r="AB625" s="20" t="b">
        <f t="shared" si="56"/>
        <v>0</v>
      </c>
      <c r="AC625" s="20" t="b">
        <f t="shared" si="57"/>
        <v>0</v>
      </c>
      <c r="AD625" s="17" t="b">
        <f t="shared" si="58"/>
        <v>0</v>
      </c>
      <c r="AE625" s="17" t="b">
        <f t="shared" si="59"/>
        <v>0</v>
      </c>
    </row>
    <row r="626" spans="1:31" x14ac:dyDescent="0.2">
      <c r="A626" s="16">
        <v>5000499938</v>
      </c>
      <c r="B626" t="s">
        <v>0</v>
      </c>
      <c r="C626" t="s">
        <v>0</v>
      </c>
      <c r="D626" t="s">
        <v>1</v>
      </c>
      <c r="E626" t="s">
        <v>1109</v>
      </c>
      <c r="F626" t="s">
        <v>23</v>
      </c>
      <c r="G626" s="2">
        <v>5</v>
      </c>
      <c r="H626" t="s">
        <v>461</v>
      </c>
      <c r="I626" t="s">
        <v>3</v>
      </c>
      <c r="J626" t="s">
        <v>8</v>
      </c>
      <c r="K626" t="s">
        <v>605</v>
      </c>
      <c r="L626" t="s">
        <v>608</v>
      </c>
      <c r="M626" t="s">
        <v>250</v>
      </c>
      <c r="N626" t="s">
        <v>602</v>
      </c>
      <c r="O626" t="s">
        <v>603</v>
      </c>
      <c r="P626" t="s">
        <v>602</v>
      </c>
      <c r="Q626" s="17">
        <f>IFERROR(VLOOKUP(A626,已除帳印單!B:C,1,0),0)*1</f>
        <v>0</v>
      </c>
      <c r="R626" s="67" t="str">
        <f>IFERROR(VLOOKUP(J626,線別!A:B,2,1),"")</f>
        <v>裝一線</v>
      </c>
      <c r="S626" s="17" t="str">
        <f>IFERROR(VLOOKUP(A626,已除帳印單!B:C,2,0),"")</f>
        <v/>
      </c>
      <c r="T626" s="68">
        <f t="shared" si="60"/>
        <v>43892</v>
      </c>
      <c r="U626" s="69">
        <f t="shared" si="61"/>
        <v>84.168773148148148</v>
      </c>
      <c r="V626" s="68" t="str">
        <f>IFERROR(VLOOKUP(A626,已除帳印單!B:D,3,0),"")</f>
        <v/>
      </c>
      <c r="W626" s="69" t="str">
        <f>IFERROR(VLOOKUP(A626,已除帳印單!B:E,4,0),"")</f>
        <v/>
      </c>
      <c r="X626" s="68" t="str">
        <f>IFERROR(INDEX(刷條碼區!A:C,MATCH(點上線資訊!S626,刷條碼區!C:C,0),1),"")</f>
        <v/>
      </c>
      <c r="Y626" s="69" t="str">
        <f>IFERROR(INDEX(刷條碼區!A:C,MATCH(點上線資訊!S626,刷條碼區!C:C,0),2),"")</f>
        <v/>
      </c>
      <c r="Z626" s="70" t="str">
        <f>IFERROR(INDEX(刷條碼區!D:G,MATCH(點上線資訊!S626,刷條碼區!F:F,0),1),"")</f>
        <v/>
      </c>
      <c r="AA626" s="71" t="str">
        <f>IFERROR(INDEX(刷條碼區!D:G,MATCH(點上線資訊!S626,刷條碼區!F:F,0),2),"")</f>
        <v/>
      </c>
      <c r="AB626" s="20" t="b">
        <f t="shared" si="56"/>
        <v>0</v>
      </c>
      <c r="AC626" s="20" t="b">
        <f t="shared" si="57"/>
        <v>0</v>
      </c>
      <c r="AD626" s="17" t="b">
        <f t="shared" si="58"/>
        <v>0</v>
      </c>
      <c r="AE626" s="17" t="b">
        <f t="shared" si="59"/>
        <v>0</v>
      </c>
    </row>
    <row r="627" spans="1:31" x14ac:dyDescent="0.2">
      <c r="A627" s="16">
        <v>5000499939</v>
      </c>
      <c r="B627" t="s">
        <v>0</v>
      </c>
      <c r="C627" t="s">
        <v>0</v>
      </c>
      <c r="D627" t="s">
        <v>1</v>
      </c>
      <c r="E627" t="s">
        <v>1109</v>
      </c>
      <c r="F627" t="s">
        <v>23</v>
      </c>
      <c r="G627" s="2">
        <v>10</v>
      </c>
      <c r="H627" t="s">
        <v>461</v>
      </c>
      <c r="I627" t="s">
        <v>3</v>
      </c>
      <c r="J627" t="s">
        <v>8</v>
      </c>
      <c r="K627" t="s">
        <v>605</v>
      </c>
      <c r="L627" t="s">
        <v>608</v>
      </c>
      <c r="M627" t="s">
        <v>250</v>
      </c>
      <c r="N627" t="s">
        <v>602</v>
      </c>
      <c r="O627" t="s">
        <v>603</v>
      </c>
      <c r="P627" t="s">
        <v>602</v>
      </c>
      <c r="Q627" s="17">
        <f>IFERROR(VLOOKUP(A627,已除帳印單!B:C,1,0),0)*1</f>
        <v>0</v>
      </c>
      <c r="R627" s="67" t="str">
        <f>IFERROR(VLOOKUP(J627,線別!A:B,2,1),"")</f>
        <v>裝一線</v>
      </c>
      <c r="S627" s="17" t="str">
        <f>IFERROR(VLOOKUP(A627,已除帳印單!B:C,2,0),"")</f>
        <v/>
      </c>
      <c r="T627" s="68">
        <f t="shared" si="60"/>
        <v>43892</v>
      </c>
      <c r="U627" s="69">
        <f t="shared" si="61"/>
        <v>84.168773148148148</v>
      </c>
      <c r="V627" s="68" t="str">
        <f>IFERROR(VLOOKUP(A627,已除帳印單!B:D,3,0),"")</f>
        <v/>
      </c>
      <c r="W627" s="69" t="str">
        <f>IFERROR(VLOOKUP(A627,已除帳印單!B:E,4,0),"")</f>
        <v/>
      </c>
      <c r="X627" s="68" t="str">
        <f>IFERROR(INDEX(刷條碼區!A:C,MATCH(點上線資訊!S627,刷條碼區!C:C,0),1),"")</f>
        <v/>
      </c>
      <c r="Y627" s="69" t="str">
        <f>IFERROR(INDEX(刷條碼區!A:C,MATCH(點上線資訊!S627,刷條碼區!C:C,0),2),"")</f>
        <v/>
      </c>
      <c r="Z627" s="70" t="str">
        <f>IFERROR(INDEX(刷條碼區!D:G,MATCH(點上線資訊!S627,刷條碼區!F:F,0),1),"")</f>
        <v/>
      </c>
      <c r="AA627" s="71" t="str">
        <f>IFERROR(INDEX(刷條碼區!D:G,MATCH(點上線資訊!S627,刷條碼區!F:F,0),2),"")</f>
        <v/>
      </c>
      <c r="AB627" s="20" t="b">
        <f t="shared" si="56"/>
        <v>0</v>
      </c>
      <c r="AC627" s="20" t="b">
        <f t="shared" si="57"/>
        <v>0</v>
      </c>
      <c r="AD627" s="17" t="b">
        <f t="shared" si="58"/>
        <v>0</v>
      </c>
      <c r="AE627" s="17" t="b">
        <f t="shared" si="59"/>
        <v>0</v>
      </c>
    </row>
    <row r="628" spans="1:31" x14ac:dyDescent="0.2">
      <c r="A628" s="16">
        <v>5000499940</v>
      </c>
      <c r="B628" t="s">
        <v>0</v>
      </c>
      <c r="C628" t="s">
        <v>0</v>
      </c>
      <c r="D628" t="s">
        <v>1</v>
      </c>
      <c r="E628" t="s">
        <v>1110</v>
      </c>
      <c r="F628" t="s">
        <v>1111</v>
      </c>
      <c r="G628" s="2">
        <v>10</v>
      </c>
      <c r="H628" t="s">
        <v>461</v>
      </c>
      <c r="I628" t="s">
        <v>3</v>
      </c>
      <c r="J628" t="s">
        <v>8</v>
      </c>
      <c r="K628" t="s">
        <v>605</v>
      </c>
      <c r="L628" t="s">
        <v>608</v>
      </c>
      <c r="M628" t="s">
        <v>250</v>
      </c>
      <c r="N628" t="s">
        <v>602</v>
      </c>
      <c r="O628" t="s">
        <v>603</v>
      </c>
      <c r="P628" t="s">
        <v>602</v>
      </c>
      <c r="Q628" s="17">
        <f>IFERROR(VLOOKUP(A628,已除帳印單!B:C,1,0),0)*1</f>
        <v>0</v>
      </c>
      <c r="R628" s="67" t="str">
        <f>IFERROR(VLOOKUP(J628,線別!A:B,2,1),"")</f>
        <v>裝一線</v>
      </c>
      <c r="S628" s="17" t="str">
        <f>IFERROR(VLOOKUP(A628,已除帳印單!B:C,2,0),"")</f>
        <v/>
      </c>
      <c r="T628" s="68">
        <f t="shared" si="60"/>
        <v>43892</v>
      </c>
      <c r="U628" s="69">
        <f t="shared" si="61"/>
        <v>84.168773148148148</v>
      </c>
      <c r="V628" s="68" t="str">
        <f>IFERROR(VLOOKUP(A628,已除帳印單!B:D,3,0),"")</f>
        <v/>
      </c>
      <c r="W628" s="69" t="str">
        <f>IFERROR(VLOOKUP(A628,已除帳印單!B:E,4,0),"")</f>
        <v/>
      </c>
      <c r="X628" s="68" t="str">
        <f>IFERROR(INDEX(刷條碼區!A:C,MATCH(點上線資訊!S628,刷條碼區!C:C,0),1),"")</f>
        <v/>
      </c>
      <c r="Y628" s="69" t="str">
        <f>IFERROR(INDEX(刷條碼區!A:C,MATCH(點上線資訊!S628,刷條碼區!C:C,0),2),"")</f>
        <v/>
      </c>
      <c r="Z628" s="70" t="str">
        <f>IFERROR(INDEX(刷條碼區!D:G,MATCH(點上線資訊!S628,刷條碼區!F:F,0),1),"")</f>
        <v/>
      </c>
      <c r="AA628" s="71" t="str">
        <f>IFERROR(INDEX(刷條碼區!D:G,MATCH(點上線資訊!S628,刷條碼區!F:F,0),2),"")</f>
        <v/>
      </c>
      <c r="AB628" s="20" t="b">
        <f t="shared" si="56"/>
        <v>0</v>
      </c>
      <c r="AC628" s="20" t="b">
        <f t="shared" si="57"/>
        <v>0</v>
      </c>
      <c r="AD628" s="17" t="b">
        <f t="shared" si="58"/>
        <v>0</v>
      </c>
      <c r="AE628" s="17" t="b">
        <f t="shared" si="59"/>
        <v>0</v>
      </c>
    </row>
    <row r="629" spans="1:31" x14ac:dyDescent="0.2">
      <c r="A629" s="16">
        <v>5000499941</v>
      </c>
      <c r="B629" t="s">
        <v>0</v>
      </c>
      <c r="C629" t="s">
        <v>0</v>
      </c>
      <c r="D629" t="s">
        <v>1</v>
      </c>
      <c r="E629" t="s">
        <v>1110</v>
      </c>
      <c r="F629" t="s">
        <v>1111</v>
      </c>
      <c r="G629" s="2">
        <v>10</v>
      </c>
      <c r="H629" t="s">
        <v>461</v>
      </c>
      <c r="I629" t="s">
        <v>3</v>
      </c>
      <c r="J629" t="s">
        <v>8</v>
      </c>
      <c r="K629" t="s">
        <v>605</v>
      </c>
      <c r="L629" t="s">
        <v>608</v>
      </c>
      <c r="M629" t="s">
        <v>250</v>
      </c>
      <c r="N629" t="s">
        <v>602</v>
      </c>
      <c r="O629" t="s">
        <v>603</v>
      </c>
      <c r="P629" t="s">
        <v>602</v>
      </c>
      <c r="Q629" s="17">
        <f>IFERROR(VLOOKUP(A629,已除帳印單!B:C,1,0),0)*1</f>
        <v>0</v>
      </c>
      <c r="R629" s="67" t="str">
        <f>IFERROR(VLOOKUP(J629,線別!A:B,2,1),"")</f>
        <v>裝一線</v>
      </c>
      <c r="S629" s="17" t="str">
        <f>IFERROR(VLOOKUP(A629,已除帳印單!B:C,2,0),"")</f>
        <v/>
      </c>
      <c r="T629" s="68">
        <f t="shared" si="60"/>
        <v>43892</v>
      </c>
      <c r="U629" s="69">
        <f t="shared" si="61"/>
        <v>84.168773148148148</v>
      </c>
      <c r="V629" s="68" t="str">
        <f>IFERROR(VLOOKUP(A629,已除帳印單!B:D,3,0),"")</f>
        <v/>
      </c>
      <c r="W629" s="69" t="str">
        <f>IFERROR(VLOOKUP(A629,已除帳印單!B:E,4,0),"")</f>
        <v/>
      </c>
      <c r="X629" s="68" t="str">
        <f>IFERROR(INDEX(刷條碼區!A:C,MATCH(點上線資訊!S629,刷條碼區!C:C,0),1),"")</f>
        <v/>
      </c>
      <c r="Y629" s="69" t="str">
        <f>IFERROR(INDEX(刷條碼區!A:C,MATCH(點上線資訊!S629,刷條碼區!C:C,0),2),"")</f>
        <v/>
      </c>
      <c r="Z629" s="70" t="str">
        <f>IFERROR(INDEX(刷條碼區!D:G,MATCH(點上線資訊!S629,刷條碼區!F:F,0),1),"")</f>
        <v/>
      </c>
      <c r="AA629" s="71" t="str">
        <f>IFERROR(INDEX(刷條碼區!D:G,MATCH(點上線資訊!S629,刷條碼區!F:F,0),2),"")</f>
        <v/>
      </c>
      <c r="AB629" s="20" t="b">
        <f t="shared" si="56"/>
        <v>0</v>
      </c>
      <c r="AC629" s="20" t="b">
        <f t="shared" si="57"/>
        <v>0</v>
      </c>
      <c r="AD629" s="17" t="b">
        <f t="shared" si="58"/>
        <v>0</v>
      </c>
      <c r="AE629" s="17" t="b">
        <f t="shared" si="59"/>
        <v>0</v>
      </c>
    </row>
    <row r="630" spans="1:31" x14ac:dyDescent="0.2">
      <c r="A630" s="16">
        <v>5000499942</v>
      </c>
      <c r="B630" t="s">
        <v>0</v>
      </c>
      <c r="C630" t="s">
        <v>0</v>
      </c>
      <c r="D630" t="s">
        <v>1</v>
      </c>
      <c r="E630" t="s">
        <v>1110</v>
      </c>
      <c r="F630" t="s">
        <v>1111</v>
      </c>
      <c r="G630" s="2">
        <v>10</v>
      </c>
      <c r="H630" t="s">
        <v>461</v>
      </c>
      <c r="I630" t="s">
        <v>3</v>
      </c>
      <c r="J630" t="s">
        <v>8</v>
      </c>
      <c r="K630" t="s">
        <v>605</v>
      </c>
      <c r="L630" t="s">
        <v>608</v>
      </c>
      <c r="M630" t="s">
        <v>250</v>
      </c>
      <c r="N630" t="s">
        <v>602</v>
      </c>
      <c r="O630" t="s">
        <v>603</v>
      </c>
      <c r="P630" t="s">
        <v>602</v>
      </c>
      <c r="Q630" s="17">
        <f>IFERROR(VLOOKUP(A630,已除帳印單!B:C,1,0),0)*1</f>
        <v>0</v>
      </c>
      <c r="R630" s="67" t="str">
        <f>IFERROR(VLOOKUP(J630,線別!A:B,2,1),"")</f>
        <v>裝一線</v>
      </c>
      <c r="S630" s="17" t="str">
        <f>IFERROR(VLOOKUP(A630,已除帳印單!B:C,2,0),"")</f>
        <v/>
      </c>
      <c r="T630" s="68">
        <f t="shared" si="60"/>
        <v>43892</v>
      </c>
      <c r="U630" s="69">
        <f t="shared" si="61"/>
        <v>84.168773148148148</v>
      </c>
      <c r="V630" s="68" t="str">
        <f>IFERROR(VLOOKUP(A630,已除帳印單!B:D,3,0),"")</f>
        <v/>
      </c>
      <c r="W630" s="69" t="str">
        <f>IFERROR(VLOOKUP(A630,已除帳印單!B:E,4,0),"")</f>
        <v/>
      </c>
      <c r="X630" s="68" t="str">
        <f>IFERROR(INDEX(刷條碼區!A:C,MATCH(點上線資訊!S630,刷條碼區!C:C,0),1),"")</f>
        <v/>
      </c>
      <c r="Y630" s="69" t="str">
        <f>IFERROR(INDEX(刷條碼區!A:C,MATCH(點上線資訊!S630,刷條碼區!C:C,0),2),"")</f>
        <v/>
      </c>
      <c r="Z630" s="70" t="str">
        <f>IFERROR(INDEX(刷條碼區!D:G,MATCH(點上線資訊!S630,刷條碼區!F:F,0),1),"")</f>
        <v/>
      </c>
      <c r="AA630" s="71" t="str">
        <f>IFERROR(INDEX(刷條碼區!D:G,MATCH(點上線資訊!S630,刷條碼區!F:F,0),2),"")</f>
        <v/>
      </c>
      <c r="AB630" s="20" t="b">
        <f t="shared" si="56"/>
        <v>0</v>
      </c>
      <c r="AC630" s="20" t="b">
        <f t="shared" si="57"/>
        <v>0</v>
      </c>
      <c r="AD630" s="17" t="b">
        <f t="shared" si="58"/>
        <v>0</v>
      </c>
      <c r="AE630" s="17" t="b">
        <f t="shared" si="59"/>
        <v>0</v>
      </c>
    </row>
    <row r="631" spans="1:31" x14ac:dyDescent="0.2">
      <c r="A631" s="16">
        <v>5000499943</v>
      </c>
      <c r="B631" t="s">
        <v>0</v>
      </c>
      <c r="C631" t="s">
        <v>0</v>
      </c>
      <c r="D631" t="s">
        <v>1</v>
      </c>
      <c r="E631" t="s">
        <v>1110</v>
      </c>
      <c r="F631" t="s">
        <v>1111</v>
      </c>
      <c r="G631" s="2">
        <v>5</v>
      </c>
      <c r="H631" t="s">
        <v>461</v>
      </c>
      <c r="I631" t="s">
        <v>3</v>
      </c>
      <c r="J631" t="s">
        <v>8</v>
      </c>
      <c r="K631" t="s">
        <v>605</v>
      </c>
      <c r="L631" t="s">
        <v>608</v>
      </c>
      <c r="M631" t="s">
        <v>250</v>
      </c>
      <c r="N631" t="s">
        <v>602</v>
      </c>
      <c r="O631" t="s">
        <v>603</v>
      </c>
      <c r="P631" t="s">
        <v>602</v>
      </c>
      <c r="Q631" s="17">
        <f>IFERROR(VLOOKUP(A631,已除帳印單!B:C,1,0),0)*1</f>
        <v>0</v>
      </c>
      <c r="R631" s="67" t="str">
        <f>IFERROR(VLOOKUP(J631,線別!A:B,2,1),"")</f>
        <v>裝一線</v>
      </c>
      <c r="S631" s="17" t="str">
        <f>IFERROR(VLOOKUP(A631,已除帳印單!B:C,2,0),"")</f>
        <v/>
      </c>
      <c r="T631" s="68">
        <f t="shared" si="60"/>
        <v>43892</v>
      </c>
      <c r="U631" s="69">
        <f t="shared" si="61"/>
        <v>84.168773148148148</v>
      </c>
      <c r="V631" s="68" t="str">
        <f>IFERROR(VLOOKUP(A631,已除帳印單!B:D,3,0),"")</f>
        <v/>
      </c>
      <c r="W631" s="69" t="str">
        <f>IFERROR(VLOOKUP(A631,已除帳印單!B:E,4,0),"")</f>
        <v/>
      </c>
      <c r="X631" s="68" t="str">
        <f>IFERROR(INDEX(刷條碼區!A:C,MATCH(點上線資訊!S631,刷條碼區!C:C,0),1),"")</f>
        <v/>
      </c>
      <c r="Y631" s="69" t="str">
        <f>IFERROR(INDEX(刷條碼區!A:C,MATCH(點上線資訊!S631,刷條碼區!C:C,0),2),"")</f>
        <v/>
      </c>
      <c r="Z631" s="70" t="str">
        <f>IFERROR(INDEX(刷條碼區!D:G,MATCH(點上線資訊!S631,刷條碼區!F:F,0),1),"")</f>
        <v/>
      </c>
      <c r="AA631" s="71" t="str">
        <f>IFERROR(INDEX(刷條碼區!D:G,MATCH(點上線資訊!S631,刷條碼區!F:F,0),2),"")</f>
        <v/>
      </c>
      <c r="AB631" s="20" t="b">
        <f t="shared" si="56"/>
        <v>0</v>
      </c>
      <c r="AC631" s="20" t="b">
        <f t="shared" si="57"/>
        <v>0</v>
      </c>
      <c r="AD631" s="17" t="b">
        <f t="shared" si="58"/>
        <v>0</v>
      </c>
      <c r="AE631" s="17" t="b">
        <f t="shared" si="59"/>
        <v>0</v>
      </c>
    </row>
    <row r="632" spans="1:31" x14ac:dyDescent="0.2">
      <c r="A632" s="16">
        <v>5000499945</v>
      </c>
      <c r="B632" t="s">
        <v>0</v>
      </c>
      <c r="C632" t="s">
        <v>0</v>
      </c>
      <c r="D632" t="s">
        <v>1</v>
      </c>
      <c r="E632" t="s">
        <v>31</v>
      </c>
      <c r="F632" t="s">
        <v>565</v>
      </c>
      <c r="G632" s="2">
        <v>5</v>
      </c>
      <c r="H632" t="s">
        <v>461</v>
      </c>
      <c r="I632" t="s">
        <v>3</v>
      </c>
      <c r="J632" t="s">
        <v>4</v>
      </c>
      <c r="K632" t="s">
        <v>602</v>
      </c>
      <c r="L632" t="s">
        <v>603</v>
      </c>
      <c r="M632" t="s">
        <v>602</v>
      </c>
      <c r="N632" t="s">
        <v>602</v>
      </c>
      <c r="O632" t="s">
        <v>603</v>
      </c>
      <c r="P632" t="s">
        <v>602</v>
      </c>
      <c r="Q632" s="17">
        <f>IFERROR(VLOOKUP(A632,已除帳印單!B:C,1,0),0)*1</f>
        <v>0</v>
      </c>
      <c r="R632" s="67" t="str">
        <f>IFERROR(VLOOKUP(J632,線別!A:B,2,1),"")</f>
        <v>IA線</v>
      </c>
      <c r="S632" s="17" t="str">
        <f>IFERROR(VLOOKUP(A632,已除帳印單!B:C,2,0),"")</f>
        <v/>
      </c>
      <c r="T632" s="68">
        <f t="shared" si="60"/>
        <v>43892</v>
      </c>
      <c r="U632" s="69">
        <f t="shared" si="61"/>
        <v>84.168773148148148</v>
      </c>
      <c r="V632" s="68" t="str">
        <f>IFERROR(VLOOKUP(A632,已除帳印單!B:D,3,0),"")</f>
        <v/>
      </c>
      <c r="W632" s="69" t="str">
        <f>IFERROR(VLOOKUP(A632,已除帳印單!B:E,4,0),"")</f>
        <v/>
      </c>
      <c r="X632" s="68" t="str">
        <f>IFERROR(INDEX(刷條碼區!A:C,MATCH(點上線資訊!S632,刷條碼區!C:C,0),1),"")</f>
        <v/>
      </c>
      <c r="Y632" s="69" t="str">
        <f>IFERROR(INDEX(刷條碼區!A:C,MATCH(點上線資訊!S632,刷條碼區!C:C,0),2),"")</f>
        <v/>
      </c>
      <c r="Z632" s="70" t="str">
        <f>IFERROR(INDEX(刷條碼區!D:G,MATCH(點上線資訊!S632,刷條碼區!F:F,0),1),"")</f>
        <v/>
      </c>
      <c r="AA632" s="71" t="str">
        <f>IFERROR(INDEX(刷條碼區!D:G,MATCH(點上線資訊!S632,刷條碼區!F:F,0),2),"")</f>
        <v/>
      </c>
      <c r="AB632" s="20">
        <f t="shared" si="56"/>
        <v>5</v>
      </c>
      <c r="AC632" s="20" t="b">
        <f t="shared" si="57"/>
        <v>0</v>
      </c>
      <c r="AD632" s="17" t="b">
        <f t="shared" si="58"/>
        <v>0</v>
      </c>
      <c r="AE632" s="17" t="b">
        <f t="shared" si="59"/>
        <v>0</v>
      </c>
    </row>
    <row r="633" spans="1:31" x14ac:dyDescent="0.2">
      <c r="A633" s="16">
        <v>5000499946</v>
      </c>
      <c r="B633" t="s">
        <v>0</v>
      </c>
      <c r="C633" t="s">
        <v>0</v>
      </c>
      <c r="D633" t="s">
        <v>1</v>
      </c>
      <c r="E633" t="s">
        <v>1112</v>
      </c>
      <c r="F633" t="s">
        <v>1113</v>
      </c>
      <c r="G633" s="2">
        <v>10</v>
      </c>
      <c r="H633" t="s">
        <v>461</v>
      </c>
      <c r="I633" t="s">
        <v>3</v>
      </c>
      <c r="J633" t="s">
        <v>8</v>
      </c>
      <c r="K633" t="s">
        <v>605</v>
      </c>
      <c r="L633" t="s">
        <v>608</v>
      </c>
      <c r="M633" t="s">
        <v>250</v>
      </c>
      <c r="N633" t="s">
        <v>602</v>
      </c>
      <c r="O633" t="s">
        <v>603</v>
      </c>
      <c r="P633" t="s">
        <v>602</v>
      </c>
      <c r="Q633" s="17">
        <f>IFERROR(VLOOKUP(A633,已除帳印單!B:C,1,0),0)*1</f>
        <v>0</v>
      </c>
      <c r="R633" s="67" t="str">
        <f>IFERROR(VLOOKUP(J633,線別!A:B,2,1),"")</f>
        <v>裝一線</v>
      </c>
      <c r="S633" s="17" t="str">
        <f>IFERROR(VLOOKUP(A633,已除帳印單!B:C,2,0),"")</f>
        <v/>
      </c>
      <c r="T633" s="68">
        <f t="shared" si="60"/>
        <v>43892</v>
      </c>
      <c r="U633" s="69">
        <f t="shared" si="61"/>
        <v>84.168773148148148</v>
      </c>
      <c r="V633" s="68" t="str">
        <f>IFERROR(VLOOKUP(A633,已除帳印單!B:D,3,0),"")</f>
        <v/>
      </c>
      <c r="W633" s="69" t="str">
        <f>IFERROR(VLOOKUP(A633,已除帳印單!B:E,4,0),"")</f>
        <v/>
      </c>
      <c r="X633" s="68" t="str">
        <f>IFERROR(INDEX(刷條碼區!A:C,MATCH(點上線資訊!S633,刷條碼區!C:C,0),1),"")</f>
        <v/>
      </c>
      <c r="Y633" s="69" t="str">
        <f>IFERROR(INDEX(刷條碼區!A:C,MATCH(點上線資訊!S633,刷條碼區!C:C,0),2),"")</f>
        <v/>
      </c>
      <c r="Z633" s="70" t="str">
        <f>IFERROR(INDEX(刷條碼區!D:G,MATCH(點上線資訊!S633,刷條碼區!F:F,0),1),"")</f>
        <v/>
      </c>
      <c r="AA633" s="71" t="str">
        <f>IFERROR(INDEX(刷條碼區!D:G,MATCH(點上線資訊!S633,刷條碼區!F:F,0),2),"")</f>
        <v/>
      </c>
      <c r="AB633" s="20" t="b">
        <f t="shared" si="56"/>
        <v>0</v>
      </c>
      <c r="AC633" s="20" t="b">
        <f t="shared" si="57"/>
        <v>0</v>
      </c>
      <c r="AD633" s="17" t="b">
        <f t="shared" si="58"/>
        <v>0</v>
      </c>
      <c r="AE633" s="17" t="b">
        <f t="shared" si="59"/>
        <v>0</v>
      </c>
    </row>
    <row r="634" spans="1:31" x14ac:dyDescent="0.2">
      <c r="A634" s="16">
        <v>5000499947</v>
      </c>
      <c r="B634" t="s">
        <v>0</v>
      </c>
      <c r="C634" t="s">
        <v>0</v>
      </c>
      <c r="D634" t="s">
        <v>1</v>
      </c>
      <c r="E634" t="s">
        <v>30</v>
      </c>
      <c r="F634" t="s">
        <v>566</v>
      </c>
      <c r="G634" s="2">
        <v>10</v>
      </c>
      <c r="H634" t="s">
        <v>461</v>
      </c>
      <c r="I634" t="s">
        <v>3</v>
      </c>
      <c r="J634" t="s">
        <v>4</v>
      </c>
      <c r="K634" t="s">
        <v>602</v>
      </c>
      <c r="L634" t="s">
        <v>603</v>
      </c>
      <c r="M634" t="s">
        <v>602</v>
      </c>
      <c r="N634" t="s">
        <v>602</v>
      </c>
      <c r="O634" t="s">
        <v>603</v>
      </c>
      <c r="P634" t="s">
        <v>602</v>
      </c>
      <c r="Q634" s="17">
        <f>IFERROR(VLOOKUP(A634,已除帳印單!B:C,1,0),0)*1</f>
        <v>0</v>
      </c>
      <c r="R634" s="67" t="str">
        <f>IFERROR(VLOOKUP(J634,線別!A:B,2,1),"")</f>
        <v>IA線</v>
      </c>
      <c r="S634" s="17" t="str">
        <f>IFERROR(VLOOKUP(A634,已除帳印單!B:C,2,0),"")</f>
        <v/>
      </c>
      <c r="T634" s="68">
        <f t="shared" si="60"/>
        <v>43892</v>
      </c>
      <c r="U634" s="69">
        <f t="shared" si="61"/>
        <v>84.168773148148148</v>
      </c>
      <c r="V634" s="68" t="str">
        <f>IFERROR(VLOOKUP(A634,已除帳印單!B:D,3,0),"")</f>
        <v/>
      </c>
      <c r="W634" s="69" t="str">
        <f>IFERROR(VLOOKUP(A634,已除帳印單!B:E,4,0),"")</f>
        <v/>
      </c>
      <c r="X634" s="68" t="str">
        <f>IFERROR(INDEX(刷條碼區!A:C,MATCH(點上線資訊!S634,刷條碼區!C:C,0),1),"")</f>
        <v/>
      </c>
      <c r="Y634" s="69" t="str">
        <f>IFERROR(INDEX(刷條碼區!A:C,MATCH(點上線資訊!S634,刷條碼區!C:C,0),2),"")</f>
        <v/>
      </c>
      <c r="Z634" s="70" t="str">
        <f>IFERROR(INDEX(刷條碼區!D:G,MATCH(點上線資訊!S634,刷條碼區!F:F,0),1),"")</f>
        <v/>
      </c>
      <c r="AA634" s="71" t="str">
        <f>IFERROR(INDEX(刷條碼區!D:G,MATCH(點上線資訊!S634,刷條碼區!F:F,0),2),"")</f>
        <v/>
      </c>
      <c r="AB634" s="20">
        <f t="shared" si="56"/>
        <v>10</v>
      </c>
      <c r="AC634" s="20" t="b">
        <f t="shared" si="57"/>
        <v>0</v>
      </c>
      <c r="AD634" s="17" t="b">
        <f t="shared" si="58"/>
        <v>0</v>
      </c>
      <c r="AE634" s="17" t="b">
        <f t="shared" si="59"/>
        <v>0</v>
      </c>
    </row>
    <row r="635" spans="1:31" x14ac:dyDescent="0.2">
      <c r="A635" s="16">
        <v>5000499948</v>
      </c>
      <c r="B635" t="s">
        <v>0</v>
      </c>
      <c r="C635" t="s">
        <v>0</v>
      </c>
      <c r="D635" t="s">
        <v>1</v>
      </c>
      <c r="E635" t="s">
        <v>22</v>
      </c>
      <c r="F635" t="s">
        <v>567</v>
      </c>
      <c r="G635" s="2">
        <v>10</v>
      </c>
      <c r="H635" t="s">
        <v>461</v>
      </c>
      <c r="I635" t="s">
        <v>3</v>
      </c>
      <c r="J635" t="s">
        <v>4</v>
      </c>
      <c r="K635" t="s">
        <v>602</v>
      </c>
      <c r="L635" t="s">
        <v>603</v>
      </c>
      <c r="M635" t="s">
        <v>602</v>
      </c>
      <c r="N635" t="s">
        <v>602</v>
      </c>
      <c r="O635" t="s">
        <v>603</v>
      </c>
      <c r="P635" t="s">
        <v>602</v>
      </c>
      <c r="Q635" s="17">
        <f>IFERROR(VLOOKUP(A635,已除帳印單!B:C,1,0),0)*1</f>
        <v>0</v>
      </c>
      <c r="R635" s="67" t="str">
        <f>IFERROR(VLOOKUP(J635,線別!A:B,2,1),"")</f>
        <v>IA線</v>
      </c>
      <c r="S635" s="17" t="str">
        <f>IFERROR(VLOOKUP(A635,已除帳印單!B:C,2,0),"")</f>
        <v/>
      </c>
      <c r="T635" s="68">
        <f t="shared" si="60"/>
        <v>43892</v>
      </c>
      <c r="U635" s="69">
        <f t="shared" si="61"/>
        <v>84.168773148148148</v>
      </c>
      <c r="V635" s="68" t="str">
        <f>IFERROR(VLOOKUP(A635,已除帳印單!B:D,3,0),"")</f>
        <v/>
      </c>
      <c r="W635" s="69" t="str">
        <f>IFERROR(VLOOKUP(A635,已除帳印單!B:E,4,0),"")</f>
        <v/>
      </c>
      <c r="X635" s="68" t="str">
        <f>IFERROR(INDEX(刷條碼區!A:C,MATCH(點上線資訊!S635,刷條碼區!C:C,0),1),"")</f>
        <v/>
      </c>
      <c r="Y635" s="69" t="str">
        <f>IFERROR(INDEX(刷條碼區!A:C,MATCH(點上線資訊!S635,刷條碼區!C:C,0),2),"")</f>
        <v/>
      </c>
      <c r="Z635" s="70" t="str">
        <f>IFERROR(INDEX(刷條碼區!D:G,MATCH(點上線資訊!S635,刷條碼區!F:F,0),1),"")</f>
        <v/>
      </c>
      <c r="AA635" s="71" t="str">
        <f>IFERROR(INDEX(刷條碼區!D:G,MATCH(點上線資訊!S635,刷條碼區!F:F,0),2),"")</f>
        <v/>
      </c>
      <c r="AB635" s="20">
        <f t="shared" si="56"/>
        <v>10</v>
      </c>
      <c r="AC635" s="20" t="b">
        <f t="shared" si="57"/>
        <v>0</v>
      </c>
      <c r="AD635" s="17" t="b">
        <f t="shared" si="58"/>
        <v>0</v>
      </c>
      <c r="AE635" s="17" t="b">
        <f t="shared" si="59"/>
        <v>0</v>
      </c>
    </row>
    <row r="636" spans="1:31" x14ac:dyDescent="0.2">
      <c r="A636" s="16">
        <v>5000499949</v>
      </c>
      <c r="B636" t="s">
        <v>0</v>
      </c>
      <c r="C636" t="s">
        <v>0</v>
      </c>
      <c r="D636" t="s">
        <v>1</v>
      </c>
      <c r="E636" t="s">
        <v>30</v>
      </c>
      <c r="F636" t="s">
        <v>566</v>
      </c>
      <c r="G636" s="2">
        <v>10</v>
      </c>
      <c r="H636" t="s">
        <v>461</v>
      </c>
      <c r="I636" t="s">
        <v>3</v>
      </c>
      <c r="J636" t="s">
        <v>4</v>
      </c>
      <c r="K636" t="s">
        <v>602</v>
      </c>
      <c r="L636" t="s">
        <v>603</v>
      </c>
      <c r="M636" t="s">
        <v>602</v>
      </c>
      <c r="N636" t="s">
        <v>602</v>
      </c>
      <c r="O636" t="s">
        <v>603</v>
      </c>
      <c r="P636" t="s">
        <v>602</v>
      </c>
      <c r="Q636" s="17">
        <f>IFERROR(VLOOKUP(A636,已除帳印單!B:C,1,0),0)*1</f>
        <v>0</v>
      </c>
      <c r="R636" s="67" t="str">
        <f>IFERROR(VLOOKUP(J636,線別!A:B,2,1),"")</f>
        <v>IA線</v>
      </c>
      <c r="S636" s="17" t="str">
        <f>IFERROR(VLOOKUP(A636,已除帳印單!B:C,2,0),"")</f>
        <v/>
      </c>
      <c r="T636" s="68">
        <f t="shared" si="60"/>
        <v>43892</v>
      </c>
      <c r="U636" s="69">
        <f t="shared" si="61"/>
        <v>84.168773148148148</v>
      </c>
      <c r="V636" s="68" t="str">
        <f>IFERROR(VLOOKUP(A636,已除帳印單!B:D,3,0),"")</f>
        <v/>
      </c>
      <c r="W636" s="69" t="str">
        <f>IFERROR(VLOOKUP(A636,已除帳印單!B:E,4,0),"")</f>
        <v/>
      </c>
      <c r="X636" s="68" t="str">
        <f>IFERROR(INDEX(刷條碼區!A:C,MATCH(點上線資訊!S636,刷條碼區!C:C,0),1),"")</f>
        <v/>
      </c>
      <c r="Y636" s="69" t="str">
        <f>IFERROR(INDEX(刷條碼區!A:C,MATCH(點上線資訊!S636,刷條碼區!C:C,0),2),"")</f>
        <v/>
      </c>
      <c r="Z636" s="70" t="str">
        <f>IFERROR(INDEX(刷條碼區!D:G,MATCH(點上線資訊!S636,刷條碼區!F:F,0),1),"")</f>
        <v/>
      </c>
      <c r="AA636" s="71" t="str">
        <f>IFERROR(INDEX(刷條碼區!D:G,MATCH(點上線資訊!S636,刷條碼區!F:F,0),2),"")</f>
        <v/>
      </c>
      <c r="AB636" s="20">
        <f t="shared" si="56"/>
        <v>10</v>
      </c>
      <c r="AC636" s="20" t="b">
        <f t="shared" si="57"/>
        <v>0</v>
      </c>
      <c r="AD636" s="17" t="b">
        <f t="shared" si="58"/>
        <v>0</v>
      </c>
      <c r="AE636" s="17" t="b">
        <f t="shared" si="59"/>
        <v>0</v>
      </c>
    </row>
    <row r="637" spans="1:31" x14ac:dyDescent="0.2">
      <c r="A637" s="16">
        <v>5000499953</v>
      </c>
      <c r="B637" t="s">
        <v>0</v>
      </c>
      <c r="C637" t="s">
        <v>0</v>
      </c>
      <c r="D637" t="s">
        <v>1</v>
      </c>
      <c r="E637" t="s">
        <v>1109</v>
      </c>
      <c r="F637" t="s">
        <v>23</v>
      </c>
      <c r="G637" s="2">
        <v>10</v>
      </c>
      <c r="H637" t="s">
        <v>461</v>
      </c>
      <c r="I637" t="s">
        <v>3</v>
      </c>
      <c r="J637" t="s">
        <v>8</v>
      </c>
      <c r="K637" t="s">
        <v>605</v>
      </c>
      <c r="L637" t="s">
        <v>608</v>
      </c>
      <c r="M637" t="s">
        <v>250</v>
      </c>
      <c r="N637" t="s">
        <v>602</v>
      </c>
      <c r="O637" t="s">
        <v>603</v>
      </c>
      <c r="P637" t="s">
        <v>602</v>
      </c>
      <c r="Q637" s="17">
        <f>IFERROR(VLOOKUP(A637,已除帳印單!B:C,1,0),0)*1</f>
        <v>0</v>
      </c>
      <c r="R637" s="67" t="str">
        <f>IFERROR(VLOOKUP(J637,線別!A:B,2,1),"")</f>
        <v>裝一線</v>
      </c>
      <c r="S637" s="17" t="str">
        <f>IFERROR(VLOOKUP(A637,已除帳印單!B:C,2,0),"")</f>
        <v/>
      </c>
      <c r="T637" s="68">
        <f t="shared" si="60"/>
        <v>43892</v>
      </c>
      <c r="U637" s="69">
        <f t="shared" si="61"/>
        <v>84.168773148148148</v>
      </c>
      <c r="V637" s="68" t="str">
        <f>IFERROR(VLOOKUP(A637,已除帳印單!B:D,3,0),"")</f>
        <v/>
      </c>
      <c r="W637" s="69" t="str">
        <f>IFERROR(VLOOKUP(A637,已除帳印單!B:E,4,0),"")</f>
        <v/>
      </c>
      <c r="X637" s="68" t="str">
        <f>IFERROR(INDEX(刷條碼區!A:C,MATCH(點上線資訊!S637,刷條碼區!C:C,0),1),"")</f>
        <v/>
      </c>
      <c r="Y637" s="69" t="str">
        <f>IFERROR(INDEX(刷條碼區!A:C,MATCH(點上線資訊!S637,刷條碼區!C:C,0),2),"")</f>
        <v/>
      </c>
      <c r="Z637" s="70" t="str">
        <f>IFERROR(INDEX(刷條碼區!D:G,MATCH(點上線資訊!S637,刷條碼區!F:F,0),1),"")</f>
        <v/>
      </c>
      <c r="AA637" s="71" t="str">
        <f>IFERROR(INDEX(刷條碼區!D:G,MATCH(點上線資訊!S637,刷條碼區!F:F,0),2),"")</f>
        <v/>
      </c>
      <c r="AB637" s="20" t="b">
        <f t="shared" si="56"/>
        <v>0</v>
      </c>
      <c r="AC637" s="20" t="b">
        <f t="shared" si="57"/>
        <v>0</v>
      </c>
      <c r="AD637" s="17" t="b">
        <f t="shared" si="58"/>
        <v>0</v>
      </c>
      <c r="AE637" s="17" t="b">
        <f t="shared" si="59"/>
        <v>0</v>
      </c>
    </row>
    <row r="638" spans="1:31" x14ac:dyDescent="0.2">
      <c r="A638" s="16">
        <v>5000499961</v>
      </c>
      <c r="B638" t="s">
        <v>0</v>
      </c>
      <c r="C638" t="s">
        <v>0</v>
      </c>
      <c r="D638" t="s">
        <v>1</v>
      </c>
      <c r="E638" t="s">
        <v>1114</v>
      </c>
      <c r="F638" t="s">
        <v>1115</v>
      </c>
      <c r="G638" s="2">
        <v>8</v>
      </c>
      <c r="H638" t="s">
        <v>461</v>
      </c>
      <c r="I638" t="s">
        <v>3</v>
      </c>
      <c r="J638" t="s">
        <v>4</v>
      </c>
      <c r="K638" t="s">
        <v>605</v>
      </c>
      <c r="L638" t="s">
        <v>608</v>
      </c>
      <c r="M638" t="s">
        <v>415</v>
      </c>
      <c r="N638" t="s">
        <v>602</v>
      </c>
      <c r="O638" t="s">
        <v>603</v>
      </c>
      <c r="P638" t="s">
        <v>602</v>
      </c>
      <c r="Q638" s="17">
        <f>IFERROR(VLOOKUP(A638,已除帳印單!B:C,1,0),0)*1</f>
        <v>0</v>
      </c>
      <c r="R638" s="67" t="str">
        <f>IFERROR(VLOOKUP(J638,線別!A:B,2,1),"")</f>
        <v>IA線</v>
      </c>
      <c r="S638" s="17" t="str">
        <f>IFERROR(VLOOKUP(A638,已除帳印單!B:C,2,0),"")</f>
        <v/>
      </c>
      <c r="T638" s="68">
        <f t="shared" si="60"/>
        <v>43892</v>
      </c>
      <c r="U638" s="69">
        <f t="shared" si="61"/>
        <v>84.168773148148148</v>
      </c>
      <c r="V638" s="68" t="str">
        <f>IFERROR(VLOOKUP(A638,已除帳印單!B:D,3,0),"")</f>
        <v/>
      </c>
      <c r="W638" s="69" t="str">
        <f>IFERROR(VLOOKUP(A638,已除帳印單!B:E,4,0),"")</f>
        <v/>
      </c>
      <c r="X638" s="68" t="str">
        <f>IFERROR(INDEX(刷條碼區!A:C,MATCH(點上線資訊!S638,刷條碼區!C:C,0),1),"")</f>
        <v/>
      </c>
      <c r="Y638" s="69" t="str">
        <f>IFERROR(INDEX(刷條碼區!A:C,MATCH(點上線資訊!S638,刷條碼區!C:C,0),2),"")</f>
        <v/>
      </c>
      <c r="Z638" s="70" t="str">
        <f>IFERROR(INDEX(刷條碼區!D:G,MATCH(點上線資訊!S638,刷條碼區!F:F,0),1),"")</f>
        <v/>
      </c>
      <c r="AA638" s="71" t="str">
        <f>IFERROR(INDEX(刷條碼區!D:G,MATCH(點上線資訊!S638,刷條碼區!F:F,0),2),"")</f>
        <v/>
      </c>
      <c r="AB638" s="20" t="b">
        <f t="shared" si="56"/>
        <v>0</v>
      </c>
      <c r="AC638" s="20" t="b">
        <f t="shared" si="57"/>
        <v>0</v>
      </c>
      <c r="AD638" s="17" t="b">
        <f t="shared" si="58"/>
        <v>0</v>
      </c>
      <c r="AE638" s="17" t="b">
        <f t="shared" si="59"/>
        <v>0</v>
      </c>
    </row>
    <row r="639" spans="1:31" x14ac:dyDescent="0.2">
      <c r="A639" s="16">
        <v>5000499962</v>
      </c>
      <c r="B639" t="s">
        <v>0</v>
      </c>
      <c r="C639" t="s">
        <v>0</v>
      </c>
      <c r="D639" t="s">
        <v>1</v>
      </c>
      <c r="E639" t="s">
        <v>1001</v>
      </c>
      <c r="F639" t="s">
        <v>1002</v>
      </c>
      <c r="G639" s="2">
        <v>20</v>
      </c>
      <c r="H639" t="s">
        <v>461</v>
      </c>
      <c r="I639" t="s">
        <v>3</v>
      </c>
      <c r="J639" t="s">
        <v>4</v>
      </c>
      <c r="K639" t="s">
        <v>605</v>
      </c>
      <c r="L639" t="s">
        <v>608</v>
      </c>
      <c r="M639" t="s">
        <v>415</v>
      </c>
      <c r="N639" t="s">
        <v>602</v>
      </c>
      <c r="O639" t="s">
        <v>603</v>
      </c>
      <c r="P639" t="s">
        <v>602</v>
      </c>
      <c r="Q639" s="17">
        <f>IFERROR(VLOOKUP(A639,已除帳印單!B:C,1,0),0)*1</f>
        <v>0</v>
      </c>
      <c r="R639" s="67" t="str">
        <f>IFERROR(VLOOKUP(J639,線別!A:B,2,1),"")</f>
        <v>IA線</v>
      </c>
      <c r="S639" s="17" t="str">
        <f>IFERROR(VLOOKUP(A639,已除帳印單!B:C,2,0),"")</f>
        <v/>
      </c>
      <c r="T639" s="68">
        <f t="shared" si="60"/>
        <v>43892</v>
      </c>
      <c r="U639" s="69">
        <f t="shared" si="61"/>
        <v>84.168773148148148</v>
      </c>
      <c r="V639" s="68" t="str">
        <f>IFERROR(VLOOKUP(A639,已除帳印單!B:D,3,0),"")</f>
        <v/>
      </c>
      <c r="W639" s="69" t="str">
        <f>IFERROR(VLOOKUP(A639,已除帳印單!B:E,4,0),"")</f>
        <v/>
      </c>
      <c r="X639" s="68" t="str">
        <f>IFERROR(INDEX(刷條碼區!A:C,MATCH(點上線資訊!S639,刷條碼區!C:C,0),1),"")</f>
        <v/>
      </c>
      <c r="Y639" s="69" t="str">
        <f>IFERROR(INDEX(刷條碼區!A:C,MATCH(點上線資訊!S639,刷條碼區!C:C,0),2),"")</f>
        <v/>
      </c>
      <c r="Z639" s="70" t="str">
        <f>IFERROR(INDEX(刷條碼區!D:G,MATCH(點上線資訊!S639,刷條碼區!F:F,0),1),"")</f>
        <v/>
      </c>
      <c r="AA639" s="71" t="str">
        <f>IFERROR(INDEX(刷條碼區!D:G,MATCH(點上線資訊!S639,刷條碼區!F:F,0),2),"")</f>
        <v/>
      </c>
      <c r="AB639" s="20" t="b">
        <f t="shared" si="56"/>
        <v>0</v>
      </c>
      <c r="AC639" s="20" t="b">
        <f t="shared" si="57"/>
        <v>0</v>
      </c>
      <c r="AD639" s="17" t="b">
        <f t="shared" si="58"/>
        <v>0</v>
      </c>
      <c r="AE639" s="17" t="b">
        <f t="shared" si="59"/>
        <v>0</v>
      </c>
    </row>
    <row r="640" spans="1:31" x14ac:dyDescent="0.2">
      <c r="A640" s="16">
        <v>5000499964</v>
      </c>
      <c r="B640" t="s">
        <v>0</v>
      </c>
      <c r="C640" t="s">
        <v>0</v>
      </c>
      <c r="D640" t="s">
        <v>1</v>
      </c>
      <c r="E640" t="s">
        <v>993</v>
      </c>
      <c r="F640" t="s">
        <v>994</v>
      </c>
      <c r="G640" s="2">
        <v>10</v>
      </c>
      <c r="H640" t="s">
        <v>461</v>
      </c>
      <c r="I640" t="s">
        <v>3</v>
      </c>
      <c r="J640" t="s">
        <v>4</v>
      </c>
      <c r="K640" t="s">
        <v>605</v>
      </c>
      <c r="L640" t="s">
        <v>608</v>
      </c>
      <c r="M640" t="s">
        <v>422</v>
      </c>
      <c r="N640" t="s">
        <v>602</v>
      </c>
      <c r="O640" t="s">
        <v>603</v>
      </c>
      <c r="P640" t="s">
        <v>602</v>
      </c>
      <c r="Q640" s="17">
        <f>IFERROR(VLOOKUP(A640,已除帳印單!B:C,1,0),0)*1</f>
        <v>0</v>
      </c>
      <c r="R640" s="67" t="str">
        <f>IFERROR(VLOOKUP(J640,線別!A:B,2,1),"")</f>
        <v>IA線</v>
      </c>
      <c r="S640" s="17" t="str">
        <f>IFERROR(VLOOKUP(A640,已除帳印單!B:C,2,0),"")</f>
        <v/>
      </c>
      <c r="T640" s="68">
        <f t="shared" si="60"/>
        <v>43892</v>
      </c>
      <c r="U640" s="69">
        <f t="shared" si="61"/>
        <v>84.168773148148148</v>
      </c>
      <c r="V640" s="68" t="str">
        <f>IFERROR(VLOOKUP(A640,已除帳印單!B:D,3,0),"")</f>
        <v/>
      </c>
      <c r="W640" s="69" t="str">
        <f>IFERROR(VLOOKUP(A640,已除帳印單!B:E,4,0),"")</f>
        <v/>
      </c>
      <c r="X640" s="68" t="str">
        <f>IFERROR(INDEX(刷條碼區!A:C,MATCH(點上線資訊!S640,刷條碼區!C:C,0),1),"")</f>
        <v/>
      </c>
      <c r="Y640" s="69" t="str">
        <f>IFERROR(INDEX(刷條碼區!A:C,MATCH(點上線資訊!S640,刷條碼區!C:C,0),2),"")</f>
        <v/>
      </c>
      <c r="Z640" s="70" t="str">
        <f>IFERROR(INDEX(刷條碼區!D:G,MATCH(點上線資訊!S640,刷條碼區!F:F,0),1),"")</f>
        <v/>
      </c>
      <c r="AA640" s="71" t="str">
        <f>IFERROR(INDEX(刷條碼區!D:G,MATCH(點上線資訊!S640,刷條碼區!F:F,0),2),"")</f>
        <v/>
      </c>
      <c r="AB640" s="20" t="b">
        <f t="shared" si="56"/>
        <v>0</v>
      </c>
      <c r="AC640" s="20" t="b">
        <f t="shared" si="57"/>
        <v>0</v>
      </c>
      <c r="AD640" s="17" t="b">
        <f t="shared" si="58"/>
        <v>0</v>
      </c>
      <c r="AE640" s="17" t="b">
        <f t="shared" si="59"/>
        <v>0</v>
      </c>
    </row>
    <row r="641" spans="1:31" x14ac:dyDescent="0.2">
      <c r="A641" s="16">
        <v>5000499966</v>
      </c>
      <c r="B641" t="s">
        <v>0</v>
      </c>
      <c r="C641" t="s">
        <v>0</v>
      </c>
      <c r="D641" t="s">
        <v>1</v>
      </c>
      <c r="E641" t="s">
        <v>116</v>
      </c>
      <c r="F641" t="s">
        <v>1116</v>
      </c>
      <c r="G641" s="2">
        <v>10</v>
      </c>
      <c r="H641" t="s">
        <v>461</v>
      </c>
      <c r="I641" t="s">
        <v>3</v>
      </c>
      <c r="J641" t="s">
        <v>4</v>
      </c>
      <c r="K641" t="s">
        <v>605</v>
      </c>
      <c r="L641" t="s">
        <v>608</v>
      </c>
      <c r="M641" t="s">
        <v>453</v>
      </c>
      <c r="N641" t="s">
        <v>602</v>
      </c>
      <c r="O641" t="s">
        <v>603</v>
      </c>
      <c r="P641" t="s">
        <v>602</v>
      </c>
      <c r="Q641" s="17">
        <f>IFERROR(VLOOKUP(A641,已除帳印單!B:C,1,0),0)*1</f>
        <v>0</v>
      </c>
      <c r="R641" s="67" t="str">
        <f>IFERROR(VLOOKUP(J641,線別!A:B,2,1),"")</f>
        <v>IA線</v>
      </c>
      <c r="S641" s="17" t="str">
        <f>IFERROR(VLOOKUP(A641,已除帳印單!B:C,2,0),"")</f>
        <v/>
      </c>
      <c r="T641" s="68">
        <f t="shared" si="60"/>
        <v>43892</v>
      </c>
      <c r="U641" s="69">
        <f t="shared" si="61"/>
        <v>84.168773148148148</v>
      </c>
      <c r="V641" s="68" t="str">
        <f>IFERROR(VLOOKUP(A641,已除帳印單!B:D,3,0),"")</f>
        <v/>
      </c>
      <c r="W641" s="69" t="str">
        <f>IFERROR(VLOOKUP(A641,已除帳印單!B:E,4,0),"")</f>
        <v/>
      </c>
      <c r="X641" s="68" t="str">
        <f>IFERROR(INDEX(刷條碼區!A:C,MATCH(點上線資訊!S641,刷條碼區!C:C,0),1),"")</f>
        <v/>
      </c>
      <c r="Y641" s="69" t="str">
        <f>IFERROR(INDEX(刷條碼區!A:C,MATCH(點上線資訊!S641,刷條碼區!C:C,0),2),"")</f>
        <v/>
      </c>
      <c r="Z641" s="70" t="str">
        <f>IFERROR(INDEX(刷條碼區!D:G,MATCH(點上線資訊!S641,刷條碼區!F:F,0),1),"")</f>
        <v/>
      </c>
      <c r="AA641" s="71" t="str">
        <f>IFERROR(INDEX(刷條碼區!D:G,MATCH(點上線資訊!S641,刷條碼區!F:F,0),2),"")</f>
        <v/>
      </c>
      <c r="AB641" s="20" t="b">
        <f t="shared" si="56"/>
        <v>0</v>
      </c>
      <c r="AC641" s="20" t="b">
        <f t="shared" si="57"/>
        <v>0</v>
      </c>
      <c r="AD641" s="17" t="b">
        <f t="shared" si="58"/>
        <v>0</v>
      </c>
      <c r="AE641" s="17" t="b">
        <f t="shared" si="59"/>
        <v>0</v>
      </c>
    </row>
    <row r="642" spans="1:31" x14ac:dyDescent="0.2">
      <c r="A642" s="16">
        <v>5000499967</v>
      </c>
      <c r="B642" t="s">
        <v>0</v>
      </c>
      <c r="C642" t="s">
        <v>0</v>
      </c>
      <c r="D642" t="s">
        <v>1</v>
      </c>
      <c r="E642" t="s">
        <v>116</v>
      </c>
      <c r="F642" t="s">
        <v>1116</v>
      </c>
      <c r="G642" s="2">
        <v>10</v>
      </c>
      <c r="H642" t="s">
        <v>461</v>
      </c>
      <c r="I642" t="s">
        <v>3</v>
      </c>
      <c r="J642" t="s">
        <v>4</v>
      </c>
      <c r="K642" t="s">
        <v>605</v>
      </c>
      <c r="L642" t="s">
        <v>608</v>
      </c>
      <c r="M642" t="s">
        <v>453</v>
      </c>
      <c r="N642" t="s">
        <v>602</v>
      </c>
      <c r="O642" t="s">
        <v>603</v>
      </c>
      <c r="P642" t="s">
        <v>602</v>
      </c>
      <c r="Q642" s="17">
        <f>IFERROR(VLOOKUP(A642,已除帳印單!B:C,1,0),0)*1</f>
        <v>0</v>
      </c>
      <c r="R642" s="67" t="str">
        <f>IFERROR(VLOOKUP(J642,線別!A:B,2,1),"")</f>
        <v>IA線</v>
      </c>
      <c r="S642" s="17" t="str">
        <f>IFERROR(VLOOKUP(A642,已除帳印單!B:C,2,0),"")</f>
        <v/>
      </c>
      <c r="T642" s="68">
        <f t="shared" si="60"/>
        <v>43892</v>
      </c>
      <c r="U642" s="69">
        <f t="shared" si="61"/>
        <v>84.168773148148148</v>
      </c>
      <c r="V642" s="68" t="str">
        <f>IFERROR(VLOOKUP(A642,已除帳印單!B:D,3,0),"")</f>
        <v/>
      </c>
      <c r="W642" s="69" t="str">
        <f>IFERROR(VLOOKUP(A642,已除帳印單!B:E,4,0),"")</f>
        <v/>
      </c>
      <c r="X642" s="68" t="str">
        <f>IFERROR(INDEX(刷條碼區!A:C,MATCH(點上線資訊!S642,刷條碼區!C:C,0),1),"")</f>
        <v/>
      </c>
      <c r="Y642" s="69" t="str">
        <f>IFERROR(INDEX(刷條碼區!A:C,MATCH(點上線資訊!S642,刷條碼區!C:C,0),2),"")</f>
        <v/>
      </c>
      <c r="Z642" s="70" t="str">
        <f>IFERROR(INDEX(刷條碼區!D:G,MATCH(點上線資訊!S642,刷條碼區!F:F,0),1),"")</f>
        <v/>
      </c>
      <c r="AA642" s="71" t="str">
        <f>IFERROR(INDEX(刷條碼區!D:G,MATCH(點上線資訊!S642,刷條碼區!F:F,0),2),"")</f>
        <v/>
      </c>
      <c r="AB642" s="20" t="b">
        <f t="shared" si="56"/>
        <v>0</v>
      </c>
      <c r="AC642" s="20" t="b">
        <f t="shared" si="57"/>
        <v>0</v>
      </c>
      <c r="AD642" s="17" t="b">
        <f t="shared" si="58"/>
        <v>0</v>
      </c>
      <c r="AE642" s="17" t="b">
        <f t="shared" si="59"/>
        <v>0</v>
      </c>
    </row>
    <row r="643" spans="1:31" x14ac:dyDescent="0.2">
      <c r="A643" s="16">
        <v>5000499968</v>
      </c>
      <c r="B643" t="s">
        <v>0</v>
      </c>
      <c r="C643" t="s">
        <v>0</v>
      </c>
      <c r="D643" t="s">
        <v>1</v>
      </c>
      <c r="E643" t="s">
        <v>1001</v>
      </c>
      <c r="F643" t="s">
        <v>1002</v>
      </c>
      <c r="G643" s="2">
        <v>20</v>
      </c>
      <c r="H643" t="s">
        <v>461</v>
      </c>
      <c r="I643" t="s">
        <v>3</v>
      </c>
      <c r="J643" t="s">
        <v>4</v>
      </c>
      <c r="K643" t="s">
        <v>605</v>
      </c>
      <c r="L643" t="s">
        <v>608</v>
      </c>
      <c r="M643" t="s">
        <v>415</v>
      </c>
      <c r="N643" t="s">
        <v>602</v>
      </c>
      <c r="O643" t="s">
        <v>603</v>
      </c>
      <c r="P643" t="s">
        <v>602</v>
      </c>
      <c r="Q643" s="17">
        <f>IFERROR(VLOOKUP(A643,已除帳印單!B:C,1,0),0)*1</f>
        <v>0</v>
      </c>
      <c r="R643" s="67" t="str">
        <f>IFERROR(VLOOKUP(J643,線別!A:B,2,1),"")</f>
        <v>IA線</v>
      </c>
      <c r="S643" s="17" t="str">
        <f>IFERROR(VLOOKUP(A643,已除帳印單!B:C,2,0),"")</f>
        <v/>
      </c>
      <c r="T643" s="68">
        <f t="shared" si="60"/>
        <v>43892</v>
      </c>
      <c r="U643" s="69">
        <f t="shared" si="61"/>
        <v>84.168773148148148</v>
      </c>
      <c r="V643" s="68" t="str">
        <f>IFERROR(VLOOKUP(A643,已除帳印單!B:D,3,0),"")</f>
        <v/>
      </c>
      <c r="W643" s="69" t="str">
        <f>IFERROR(VLOOKUP(A643,已除帳印單!B:E,4,0),"")</f>
        <v/>
      </c>
      <c r="X643" s="68" t="str">
        <f>IFERROR(INDEX(刷條碼區!A:C,MATCH(點上線資訊!S643,刷條碼區!C:C,0),1),"")</f>
        <v/>
      </c>
      <c r="Y643" s="69" t="str">
        <f>IFERROR(INDEX(刷條碼區!A:C,MATCH(點上線資訊!S643,刷條碼區!C:C,0),2),"")</f>
        <v/>
      </c>
      <c r="Z643" s="70" t="str">
        <f>IFERROR(INDEX(刷條碼區!D:G,MATCH(點上線資訊!S643,刷條碼區!F:F,0),1),"")</f>
        <v/>
      </c>
      <c r="AA643" s="71" t="str">
        <f>IFERROR(INDEX(刷條碼區!D:G,MATCH(點上線資訊!S643,刷條碼區!F:F,0),2),"")</f>
        <v/>
      </c>
      <c r="AB643" s="20" t="b">
        <f t="shared" ref="AB643:AB706" si="62">IF(K643&amp;N643="",G643)</f>
        <v>0</v>
      </c>
      <c r="AC643" s="20" t="b">
        <f t="shared" ref="AC643:AC706" si="63">IF(S643&lt;&gt;"",G643)</f>
        <v>0</v>
      </c>
      <c r="AD643" s="17" t="b">
        <f t="shared" ref="AD643:AD706" si="64">IF(X643&lt;&gt;"",G643)</f>
        <v>0</v>
      </c>
      <c r="AE643" s="17" t="b">
        <f t="shared" ref="AE643:AE706" si="65">IF(Z643&lt;&gt;"",G643)</f>
        <v>0</v>
      </c>
    </row>
    <row r="644" spans="1:31" x14ac:dyDescent="0.2">
      <c r="A644" s="16">
        <v>5000499969</v>
      </c>
      <c r="B644" t="s">
        <v>0</v>
      </c>
      <c r="C644" t="s">
        <v>0</v>
      </c>
      <c r="D644" t="s">
        <v>1</v>
      </c>
      <c r="E644" t="s">
        <v>113</v>
      </c>
      <c r="F644" t="s">
        <v>996</v>
      </c>
      <c r="G644" s="2">
        <v>5</v>
      </c>
      <c r="H644" t="s">
        <v>461</v>
      </c>
      <c r="I644" t="s">
        <v>3</v>
      </c>
      <c r="J644" t="s">
        <v>4</v>
      </c>
      <c r="K644" t="s">
        <v>605</v>
      </c>
      <c r="L644" t="s">
        <v>608</v>
      </c>
      <c r="M644" t="s">
        <v>453</v>
      </c>
      <c r="N644" t="s">
        <v>602</v>
      </c>
      <c r="O644" t="s">
        <v>603</v>
      </c>
      <c r="P644" t="s">
        <v>602</v>
      </c>
      <c r="Q644" s="17">
        <f>IFERROR(VLOOKUP(A644,已除帳印單!B:C,1,0),0)*1</f>
        <v>0</v>
      </c>
      <c r="R644" s="67" t="str">
        <f>IFERROR(VLOOKUP(J644,線別!A:B,2,1),"")</f>
        <v>IA線</v>
      </c>
      <c r="S644" s="17" t="str">
        <f>IFERROR(VLOOKUP(A644,已除帳印單!B:C,2,0),"")</f>
        <v/>
      </c>
      <c r="T644" s="68">
        <f t="shared" si="60"/>
        <v>43892</v>
      </c>
      <c r="U644" s="69">
        <f t="shared" si="61"/>
        <v>84.168773148148148</v>
      </c>
      <c r="V644" s="68" t="str">
        <f>IFERROR(VLOOKUP(A644,已除帳印單!B:D,3,0),"")</f>
        <v/>
      </c>
      <c r="W644" s="69" t="str">
        <f>IFERROR(VLOOKUP(A644,已除帳印單!B:E,4,0),"")</f>
        <v/>
      </c>
      <c r="X644" s="68" t="str">
        <f>IFERROR(INDEX(刷條碼區!A:C,MATCH(點上線資訊!S644,刷條碼區!C:C,0),1),"")</f>
        <v/>
      </c>
      <c r="Y644" s="69" t="str">
        <f>IFERROR(INDEX(刷條碼區!A:C,MATCH(點上線資訊!S644,刷條碼區!C:C,0),2),"")</f>
        <v/>
      </c>
      <c r="Z644" s="70" t="str">
        <f>IFERROR(INDEX(刷條碼區!D:G,MATCH(點上線資訊!S644,刷條碼區!F:F,0),1),"")</f>
        <v/>
      </c>
      <c r="AA644" s="71" t="str">
        <f>IFERROR(INDEX(刷條碼區!D:G,MATCH(點上線資訊!S644,刷條碼區!F:F,0),2),"")</f>
        <v/>
      </c>
      <c r="AB644" s="20" t="b">
        <f t="shared" si="62"/>
        <v>0</v>
      </c>
      <c r="AC644" s="20" t="b">
        <f t="shared" si="63"/>
        <v>0</v>
      </c>
      <c r="AD644" s="17" t="b">
        <f t="shared" si="64"/>
        <v>0</v>
      </c>
      <c r="AE644" s="17" t="b">
        <f t="shared" si="65"/>
        <v>0</v>
      </c>
    </row>
    <row r="645" spans="1:31" x14ac:dyDescent="0.2">
      <c r="A645" s="16">
        <v>5000499970</v>
      </c>
      <c r="B645" t="s">
        <v>0</v>
      </c>
      <c r="C645" t="s">
        <v>0</v>
      </c>
      <c r="D645" t="s">
        <v>1</v>
      </c>
      <c r="E645" t="s">
        <v>113</v>
      </c>
      <c r="F645" t="s">
        <v>996</v>
      </c>
      <c r="G645" s="2">
        <v>10</v>
      </c>
      <c r="H645" t="s">
        <v>461</v>
      </c>
      <c r="I645" t="s">
        <v>3</v>
      </c>
      <c r="J645" t="s">
        <v>4</v>
      </c>
      <c r="K645" t="s">
        <v>605</v>
      </c>
      <c r="L645" t="s">
        <v>608</v>
      </c>
      <c r="M645" t="s">
        <v>453</v>
      </c>
      <c r="N645" t="s">
        <v>602</v>
      </c>
      <c r="O645" t="s">
        <v>603</v>
      </c>
      <c r="P645" t="s">
        <v>602</v>
      </c>
      <c r="Q645" s="17">
        <f>IFERROR(VLOOKUP(A645,已除帳印單!B:C,1,0),0)*1</f>
        <v>0</v>
      </c>
      <c r="R645" s="67" t="str">
        <f>IFERROR(VLOOKUP(J645,線別!A:B,2,1),"")</f>
        <v>IA線</v>
      </c>
      <c r="S645" s="17" t="str">
        <f>IFERROR(VLOOKUP(A645,已除帳印單!B:C,2,0),"")</f>
        <v/>
      </c>
      <c r="T645" s="68">
        <f t="shared" si="60"/>
        <v>43892</v>
      </c>
      <c r="U645" s="69">
        <f t="shared" si="61"/>
        <v>84.168773148148148</v>
      </c>
      <c r="V645" s="68" t="str">
        <f>IFERROR(VLOOKUP(A645,已除帳印單!B:D,3,0),"")</f>
        <v/>
      </c>
      <c r="W645" s="69" t="str">
        <f>IFERROR(VLOOKUP(A645,已除帳印單!B:E,4,0),"")</f>
        <v/>
      </c>
      <c r="X645" s="68" t="str">
        <f>IFERROR(INDEX(刷條碼區!A:C,MATCH(點上線資訊!S645,刷條碼區!C:C,0),1),"")</f>
        <v/>
      </c>
      <c r="Y645" s="69" t="str">
        <f>IFERROR(INDEX(刷條碼區!A:C,MATCH(點上線資訊!S645,刷條碼區!C:C,0),2),"")</f>
        <v/>
      </c>
      <c r="Z645" s="70" t="str">
        <f>IFERROR(INDEX(刷條碼區!D:G,MATCH(點上線資訊!S645,刷條碼區!F:F,0),1),"")</f>
        <v/>
      </c>
      <c r="AA645" s="71" t="str">
        <f>IFERROR(INDEX(刷條碼區!D:G,MATCH(點上線資訊!S645,刷條碼區!F:F,0),2),"")</f>
        <v/>
      </c>
      <c r="AB645" s="20" t="b">
        <f t="shared" si="62"/>
        <v>0</v>
      </c>
      <c r="AC645" s="20" t="b">
        <f t="shared" si="63"/>
        <v>0</v>
      </c>
      <c r="AD645" s="17" t="b">
        <f t="shared" si="64"/>
        <v>0</v>
      </c>
      <c r="AE645" s="17" t="b">
        <f t="shared" si="65"/>
        <v>0</v>
      </c>
    </row>
    <row r="646" spans="1:31" x14ac:dyDescent="0.2">
      <c r="A646" s="16">
        <v>5000499971</v>
      </c>
      <c r="B646" t="s">
        <v>0</v>
      </c>
      <c r="C646" t="s">
        <v>0</v>
      </c>
      <c r="D646" t="s">
        <v>1</v>
      </c>
      <c r="E646" t="s">
        <v>993</v>
      </c>
      <c r="F646" t="s">
        <v>994</v>
      </c>
      <c r="G646" s="2">
        <v>10</v>
      </c>
      <c r="H646" t="s">
        <v>461</v>
      </c>
      <c r="I646" t="s">
        <v>3</v>
      </c>
      <c r="J646" t="s">
        <v>4</v>
      </c>
      <c r="K646" t="s">
        <v>605</v>
      </c>
      <c r="L646" t="s">
        <v>608</v>
      </c>
      <c r="M646" t="s">
        <v>422</v>
      </c>
      <c r="N646" t="s">
        <v>602</v>
      </c>
      <c r="O646" t="s">
        <v>603</v>
      </c>
      <c r="P646" t="s">
        <v>602</v>
      </c>
      <c r="Q646" s="17">
        <f>IFERROR(VLOOKUP(A646,已除帳印單!B:C,1,0),0)*1</f>
        <v>0</v>
      </c>
      <c r="R646" s="67" t="str">
        <f>IFERROR(VLOOKUP(J646,線別!A:B,2,1),"")</f>
        <v>IA線</v>
      </c>
      <c r="S646" s="17" t="str">
        <f>IFERROR(VLOOKUP(A646,已除帳印單!B:C,2,0),"")</f>
        <v/>
      </c>
      <c r="T646" s="68">
        <f t="shared" si="60"/>
        <v>43892</v>
      </c>
      <c r="U646" s="69">
        <f t="shared" si="61"/>
        <v>84.168773148148148</v>
      </c>
      <c r="V646" s="68" t="str">
        <f>IFERROR(VLOOKUP(A646,已除帳印單!B:D,3,0),"")</f>
        <v/>
      </c>
      <c r="W646" s="69" t="str">
        <f>IFERROR(VLOOKUP(A646,已除帳印單!B:E,4,0),"")</f>
        <v/>
      </c>
      <c r="X646" s="68" t="str">
        <f>IFERROR(INDEX(刷條碼區!A:C,MATCH(點上線資訊!S646,刷條碼區!C:C,0),1),"")</f>
        <v/>
      </c>
      <c r="Y646" s="69" t="str">
        <f>IFERROR(INDEX(刷條碼區!A:C,MATCH(點上線資訊!S646,刷條碼區!C:C,0),2),"")</f>
        <v/>
      </c>
      <c r="Z646" s="70" t="str">
        <f>IFERROR(INDEX(刷條碼區!D:G,MATCH(點上線資訊!S646,刷條碼區!F:F,0),1),"")</f>
        <v/>
      </c>
      <c r="AA646" s="71" t="str">
        <f>IFERROR(INDEX(刷條碼區!D:G,MATCH(點上線資訊!S646,刷條碼區!F:F,0),2),"")</f>
        <v/>
      </c>
      <c r="AB646" s="20" t="b">
        <f t="shared" si="62"/>
        <v>0</v>
      </c>
      <c r="AC646" s="20" t="b">
        <f t="shared" si="63"/>
        <v>0</v>
      </c>
      <c r="AD646" s="17" t="b">
        <f t="shared" si="64"/>
        <v>0</v>
      </c>
      <c r="AE646" s="17" t="b">
        <f t="shared" si="65"/>
        <v>0</v>
      </c>
    </row>
    <row r="647" spans="1:31" x14ac:dyDescent="0.2">
      <c r="A647" s="16">
        <v>5000499972</v>
      </c>
      <c r="B647" t="s">
        <v>0</v>
      </c>
      <c r="C647" t="s">
        <v>0</v>
      </c>
      <c r="D647" t="s">
        <v>1</v>
      </c>
      <c r="E647" t="s">
        <v>993</v>
      </c>
      <c r="F647" t="s">
        <v>994</v>
      </c>
      <c r="G647" s="2">
        <v>10</v>
      </c>
      <c r="H647" t="s">
        <v>461</v>
      </c>
      <c r="I647" t="s">
        <v>3</v>
      </c>
      <c r="J647" t="s">
        <v>4</v>
      </c>
      <c r="K647" t="s">
        <v>605</v>
      </c>
      <c r="L647" t="s">
        <v>608</v>
      </c>
      <c r="M647" t="s">
        <v>422</v>
      </c>
      <c r="N647" t="s">
        <v>602</v>
      </c>
      <c r="O647" t="s">
        <v>603</v>
      </c>
      <c r="P647" t="s">
        <v>602</v>
      </c>
      <c r="Q647" s="17">
        <f>IFERROR(VLOOKUP(A647,已除帳印單!B:C,1,0),0)*1</f>
        <v>0</v>
      </c>
      <c r="R647" s="67" t="str">
        <f>IFERROR(VLOOKUP(J647,線別!A:B,2,1),"")</f>
        <v>IA線</v>
      </c>
      <c r="S647" s="17" t="str">
        <f>IFERROR(VLOOKUP(A647,已除帳印單!B:C,2,0),"")</f>
        <v/>
      </c>
      <c r="T647" s="68">
        <f t="shared" si="60"/>
        <v>43892</v>
      </c>
      <c r="U647" s="69">
        <f t="shared" si="61"/>
        <v>84.168773148148148</v>
      </c>
      <c r="V647" s="68" t="str">
        <f>IFERROR(VLOOKUP(A647,已除帳印單!B:D,3,0),"")</f>
        <v/>
      </c>
      <c r="W647" s="69" t="str">
        <f>IFERROR(VLOOKUP(A647,已除帳印單!B:E,4,0),"")</f>
        <v/>
      </c>
      <c r="X647" s="68" t="str">
        <f>IFERROR(INDEX(刷條碼區!A:C,MATCH(點上線資訊!S647,刷條碼區!C:C,0),1),"")</f>
        <v/>
      </c>
      <c r="Y647" s="69" t="str">
        <f>IFERROR(INDEX(刷條碼區!A:C,MATCH(點上線資訊!S647,刷條碼區!C:C,0),2),"")</f>
        <v/>
      </c>
      <c r="Z647" s="70" t="str">
        <f>IFERROR(INDEX(刷條碼區!D:G,MATCH(點上線資訊!S647,刷條碼區!F:F,0),1),"")</f>
        <v/>
      </c>
      <c r="AA647" s="71" t="str">
        <f>IFERROR(INDEX(刷條碼區!D:G,MATCH(點上線資訊!S647,刷條碼區!F:F,0),2),"")</f>
        <v/>
      </c>
      <c r="AB647" s="20" t="b">
        <f t="shared" si="62"/>
        <v>0</v>
      </c>
      <c r="AC647" s="20" t="b">
        <f t="shared" si="63"/>
        <v>0</v>
      </c>
      <c r="AD647" s="17" t="b">
        <f t="shared" si="64"/>
        <v>0</v>
      </c>
      <c r="AE647" s="17" t="b">
        <f t="shared" si="65"/>
        <v>0</v>
      </c>
    </row>
    <row r="648" spans="1:31" x14ac:dyDescent="0.2">
      <c r="A648" s="16">
        <v>5000499973</v>
      </c>
      <c r="B648" t="s">
        <v>0</v>
      </c>
      <c r="C648" t="s">
        <v>0</v>
      </c>
      <c r="D648" t="s">
        <v>1</v>
      </c>
      <c r="E648" t="s">
        <v>993</v>
      </c>
      <c r="F648" t="s">
        <v>994</v>
      </c>
      <c r="G648" s="2">
        <v>10</v>
      </c>
      <c r="H648" t="s">
        <v>461</v>
      </c>
      <c r="I648" t="s">
        <v>3</v>
      </c>
      <c r="J648" t="s">
        <v>4</v>
      </c>
      <c r="K648" t="s">
        <v>605</v>
      </c>
      <c r="L648" t="s">
        <v>608</v>
      </c>
      <c r="M648" t="s">
        <v>422</v>
      </c>
      <c r="N648" t="s">
        <v>602</v>
      </c>
      <c r="O648" t="s">
        <v>603</v>
      </c>
      <c r="P648" t="s">
        <v>602</v>
      </c>
      <c r="Q648" s="17">
        <f>IFERROR(VLOOKUP(A648,已除帳印單!B:C,1,0),0)*1</f>
        <v>0</v>
      </c>
      <c r="R648" s="67" t="str">
        <f>IFERROR(VLOOKUP(J648,線別!A:B,2,1),"")</f>
        <v>IA線</v>
      </c>
      <c r="S648" s="17" t="str">
        <f>IFERROR(VLOOKUP(A648,已除帳印單!B:C,2,0),"")</f>
        <v/>
      </c>
      <c r="T648" s="68">
        <f t="shared" si="60"/>
        <v>43892</v>
      </c>
      <c r="U648" s="69">
        <f t="shared" si="61"/>
        <v>84.168773148148148</v>
      </c>
      <c r="V648" s="68" t="str">
        <f>IFERROR(VLOOKUP(A648,已除帳印單!B:D,3,0),"")</f>
        <v/>
      </c>
      <c r="W648" s="69" t="str">
        <f>IFERROR(VLOOKUP(A648,已除帳印單!B:E,4,0),"")</f>
        <v/>
      </c>
      <c r="X648" s="68" t="str">
        <f>IFERROR(INDEX(刷條碼區!A:C,MATCH(點上線資訊!S648,刷條碼區!C:C,0),1),"")</f>
        <v/>
      </c>
      <c r="Y648" s="69" t="str">
        <f>IFERROR(INDEX(刷條碼區!A:C,MATCH(點上線資訊!S648,刷條碼區!C:C,0),2),"")</f>
        <v/>
      </c>
      <c r="Z648" s="70" t="str">
        <f>IFERROR(INDEX(刷條碼區!D:G,MATCH(點上線資訊!S648,刷條碼區!F:F,0),1),"")</f>
        <v/>
      </c>
      <c r="AA648" s="71" t="str">
        <f>IFERROR(INDEX(刷條碼區!D:G,MATCH(點上線資訊!S648,刷條碼區!F:F,0),2),"")</f>
        <v/>
      </c>
      <c r="AB648" s="20" t="b">
        <f t="shared" si="62"/>
        <v>0</v>
      </c>
      <c r="AC648" s="20" t="b">
        <f t="shared" si="63"/>
        <v>0</v>
      </c>
      <c r="AD648" s="17" t="b">
        <f t="shared" si="64"/>
        <v>0</v>
      </c>
      <c r="AE648" s="17" t="b">
        <f t="shared" si="65"/>
        <v>0</v>
      </c>
    </row>
    <row r="649" spans="1:31" x14ac:dyDescent="0.2">
      <c r="A649" s="16">
        <v>5000499974</v>
      </c>
      <c r="B649" t="s">
        <v>0</v>
      </c>
      <c r="C649" t="s">
        <v>0</v>
      </c>
      <c r="D649" t="s">
        <v>1</v>
      </c>
      <c r="E649" t="s">
        <v>993</v>
      </c>
      <c r="F649" t="s">
        <v>994</v>
      </c>
      <c r="G649" s="2">
        <v>10</v>
      </c>
      <c r="H649" t="s">
        <v>461</v>
      </c>
      <c r="I649" t="s">
        <v>3</v>
      </c>
      <c r="J649" t="s">
        <v>4</v>
      </c>
      <c r="K649" t="s">
        <v>605</v>
      </c>
      <c r="L649" t="s">
        <v>608</v>
      </c>
      <c r="M649" t="s">
        <v>422</v>
      </c>
      <c r="N649" t="s">
        <v>602</v>
      </c>
      <c r="O649" t="s">
        <v>603</v>
      </c>
      <c r="P649" t="s">
        <v>602</v>
      </c>
      <c r="Q649" s="17">
        <f>IFERROR(VLOOKUP(A649,已除帳印單!B:C,1,0),0)*1</f>
        <v>0</v>
      </c>
      <c r="R649" s="67" t="str">
        <f>IFERROR(VLOOKUP(J649,線別!A:B,2,1),"")</f>
        <v>IA線</v>
      </c>
      <c r="S649" s="17" t="str">
        <f>IFERROR(VLOOKUP(A649,已除帳印單!B:C,2,0),"")</f>
        <v/>
      </c>
      <c r="T649" s="68">
        <f t="shared" si="60"/>
        <v>43892</v>
      </c>
      <c r="U649" s="69">
        <f t="shared" si="61"/>
        <v>84.168773148148148</v>
      </c>
      <c r="V649" s="68" t="str">
        <f>IFERROR(VLOOKUP(A649,已除帳印單!B:D,3,0),"")</f>
        <v/>
      </c>
      <c r="W649" s="69" t="str">
        <f>IFERROR(VLOOKUP(A649,已除帳印單!B:E,4,0),"")</f>
        <v/>
      </c>
      <c r="X649" s="68" t="str">
        <f>IFERROR(INDEX(刷條碼區!A:C,MATCH(點上線資訊!S649,刷條碼區!C:C,0),1),"")</f>
        <v/>
      </c>
      <c r="Y649" s="69" t="str">
        <f>IFERROR(INDEX(刷條碼區!A:C,MATCH(點上線資訊!S649,刷條碼區!C:C,0),2),"")</f>
        <v/>
      </c>
      <c r="Z649" s="70" t="str">
        <f>IFERROR(INDEX(刷條碼區!D:G,MATCH(點上線資訊!S649,刷條碼區!F:F,0),1),"")</f>
        <v/>
      </c>
      <c r="AA649" s="71" t="str">
        <f>IFERROR(INDEX(刷條碼區!D:G,MATCH(點上線資訊!S649,刷條碼區!F:F,0),2),"")</f>
        <v/>
      </c>
      <c r="AB649" s="20" t="b">
        <f t="shared" si="62"/>
        <v>0</v>
      </c>
      <c r="AC649" s="20" t="b">
        <f t="shared" si="63"/>
        <v>0</v>
      </c>
      <c r="AD649" s="17" t="b">
        <f t="shared" si="64"/>
        <v>0</v>
      </c>
      <c r="AE649" s="17" t="b">
        <f t="shared" si="65"/>
        <v>0</v>
      </c>
    </row>
    <row r="650" spans="1:31" x14ac:dyDescent="0.2">
      <c r="A650" s="16">
        <v>5000499975</v>
      </c>
      <c r="B650" t="s">
        <v>0</v>
      </c>
      <c r="C650" t="s">
        <v>0</v>
      </c>
      <c r="D650" t="s">
        <v>1</v>
      </c>
      <c r="E650" t="s">
        <v>113</v>
      </c>
      <c r="F650" t="s">
        <v>996</v>
      </c>
      <c r="G650" s="2">
        <v>10</v>
      </c>
      <c r="H650" t="s">
        <v>461</v>
      </c>
      <c r="I650" t="s">
        <v>3</v>
      </c>
      <c r="J650" t="s">
        <v>4</v>
      </c>
      <c r="K650" t="s">
        <v>605</v>
      </c>
      <c r="L650" t="s">
        <v>608</v>
      </c>
      <c r="M650" t="s">
        <v>453</v>
      </c>
      <c r="N650" t="s">
        <v>602</v>
      </c>
      <c r="O650" t="s">
        <v>603</v>
      </c>
      <c r="P650" t="s">
        <v>602</v>
      </c>
      <c r="Q650" s="17">
        <f>IFERROR(VLOOKUP(A650,已除帳印單!B:C,1,0),0)*1</f>
        <v>0</v>
      </c>
      <c r="R650" s="67" t="str">
        <f>IFERROR(VLOOKUP(J650,線別!A:B,2,1),"")</f>
        <v>IA線</v>
      </c>
      <c r="S650" s="17" t="str">
        <f>IFERROR(VLOOKUP(A650,已除帳印單!B:C,2,0),"")</f>
        <v/>
      </c>
      <c r="T650" s="68">
        <f t="shared" ref="T650:T713" si="66">--TEXT(B650,"0000-00-00")</f>
        <v>43892</v>
      </c>
      <c r="U650" s="69">
        <f t="shared" ref="U650:U713" si="67">--TEXT(C650,"00\:00\:00")</f>
        <v>84.168773148148148</v>
      </c>
      <c r="V650" s="68" t="str">
        <f>IFERROR(VLOOKUP(A650,已除帳印單!B:D,3,0),"")</f>
        <v/>
      </c>
      <c r="W650" s="69" t="str">
        <f>IFERROR(VLOOKUP(A650,已除帳印單!B:E,4,0),"")</f>
        <v/>
      </c>
      <c r="X650" s="68" t="str">
        <f>IFERROR(INDEX(刷條碼區!A:C,MATCH(點上線資訊!S650,刷條碼區!C:C,0),1),"")</f>
        <v/>
      </c>
      <c r="Y650" s="69" t="str">
        <f>IFERROR(INDEX(刷條碼區!A:C,MATCH(點上線資訊!S650,刷條碼區!C:C,0),2),"")</f>
        <v/>
      </c>
      <c r="Z650" s="70" t="str">
        <f>IFERROR(INDEX(刷條碼區!D:G,MATCH(點上線資訊!S650,刷條碼區!F:F,0),1),"")</f>
        <v/>
      </c>
      <c r="AA650" s="71" t="str">
        <f>IFERROR(INDEX(刷條碼區!D:G,MATCH(點上線資訊!S650,刷條碼區!F:F,0),2),"")</f>
        <v/>
      </c>
      <c r="AB650" s="20" t="b">
        <f t="shared" si="62"/>
        <v>0</v>
      </c>
      <c r="AC650" s="20" t="b">
        <f t="shared" si="63"/>
        <v>0</v>
      </c>
      <c r="AD650" s="17" t="b">
        <f t="shared" si="64"/>
        <v>0</v>
      </c>
      <c r="AE650" s="17" t="b">
        <f t="shared" si="65"/>
        <v>0</v>
      </c>
    </row>
    <row r="651" spans="1:31" x14ac:dyDescent="0.2">
      <c r="A651" s="16">
        <v>5000499980</v>
      </c>
      <c r="B651" t="s">
        <v>6</v>
      </c>
      <c r="C651" t="s">
        <v>6</v>
      </c>
      <c r="D651" t="s">
        <v>1</v>
      </c>
      <c r="E651" t="s">
        <v>1072</v>
      </c>
      <c r="F651" t="s">
        <v>1073</v>
      </c>
      <c r="G651" s="2">
        <v>1</v>
      </c>
      <c r="H651" t="s">
        <v>461</v>
      </c>
      <c r="I651" t="s">
        <v>3</v>
      </c>
      <c r="J651" t="s">
        <v>19</v>
      </c>
      <c r="K651" t="s">
        <v>605</v>
      </c>
      <c r="L651" t="s">
        <v>608</v>
      </c>
      <c r="M651" t="s">
        <v>1071</v>
      </c>
      <c r="N651" t="s">
        <v>602</v>
      </c>
      <c r="O651" t="s">
        <v>603</v>
      </c>
      <c r="P651" t="s">
        <v>602</v>
      </c>
      <c r="Q651" s="17">
        <f>IFERROR(VLOOKUP(A651,已除帳印單!B:C,1,0),0)*1</f>
        <v>0</v>
      </c>
      <c r="R651" s="67" t="str">
        <f>IFERROR(VLOOKUP(J651,線別!A:B,2,1),"")</f>
        <v>FM_IA預組</v>
      </c>
      <c r="S651" s="17" t="str">
        <f>IFERROR(VLOOKUP(A651,已除帳印單!B:C,2,0),"")</f>
        <v/>
      </c>
      <c r="T651" s="68">
        <f t="shared" si="66"/>
        <v>43893</v>
      </c>
      <c r="U651" s="69">
        <f t="shared" si="67"/>
        <v>84.168784722222213</v>
      </c>
      <c r="V651" s="68" t="str">
        <f>IFERROR(VLOOKUP(A651,已除帳印單!B:D,3,0),"")</f>
        <v/>
      </c>
      <c r="W651" s="69" t="str">
        <f>IFERROR(VLOOKUP(A651,已除帳印單!B:E,4,0),"")</f>
        <v/>
      </c>
      <c r="X651" s="68" t="str">
        <f>IFERROR(INDEX(刷條碼區!A:C,MATCH(點上線資訊!S651,刷條碼區!C:C,0),1),"")</f>
        <v/>
      </c>
      <c r="Y651" s="69" t="str">
        <f>IFERROR(INDEX(刷條碼區!A:C,MATCH(點上線資訊!S651,刷條碼區!C:C,0),2),"")</f>
        <v/>
      </c>
      <c r="Z651" s="70" t="str">
        <f>IFERROR(INDEX(刷條碼區!D:G,MATCH(點上線資訊!S651,刷條碼區!F:F,0),1),"")</f>
        <v/>
      </c>
      <c r="AA651" s="71" t="str">
        <f>IFERROR(INDEX(刷條碼區!D:G,MATCH(點上線資訊!S651,刷條碼區!F:F,0),2),"")</f>
        <v/>
      </c>
      <c r="AB651" s="20" t="b">
        <f t="shared" si="62"/>
        <v>0</v>
      </c>
      <c r="AC651" s="20" t="b">
        <f t="shared" si="63"/>
        <v>0</v>
      </c>
      <c r="AD651" s="17" t="b">
        <f t="shared" si="64"/>
        <v>0</v>
      </c>
      <c r="AE651" s="17" t="b">
        <f t="shared" si="65"/>
        <v>0</v>
      </c>
    </row>
    <row r="652" spans="1:31" x14ac:dyDescent="0.2">
      <c r="A652" s="16">
        <v>5000499981</v>
      </c>
      <c r="B652" t="s">
        <v>6</v>
      </c>
      <c r="C652" t="s">
        <v>6</v>
      </c>
      <c r="D652" t="s">
        <v>1</v>
      </c>
      <c r="E652" t="s">
        <v>1077</v>
      </c>
      <c r="F652" t="s">
        <v>1078</v>
      </c>
      <c r="G652" s="2">
        <v>5</v>
      </c>
      <c r="H652" t="s">
        <v>461</v>
      </c>
      <c r="I652" t="s">
        <v>3</v>
      </c>
      <c r="J652" t="s">
        <v>19</v>
      </c>
      <c r="K652" t="s">
        <v>605</v>
      </c>
      <c r="L652" t="s">
        <v>608</v>
      </c>
      <c r="M652" t="s">
        <v>1076</v>
      </c>
      <c r="N652" t="s">
        <v>602</v>
      </c>
      <c r="O652" t="s">
        <v>603</v>
      </c>
      <c r="P652" t="s">
        <v>602</v>
      </c>
      <c r="Q652" s="17">
        <f>IFERROR(VLOOKUP(A652,已除帳印單!B:C,1,0),0)*1</f>
        <v>0</v>
      </c>
      <c r="R652" s="67" t="str">
        <f>IFERROR(VLOOKUP(J652,線別!A:B,2,1),"")</f>
        <v>FM_IA預組</v>
      </c>
      <c r="S652" s="17" t="str">
        <f>IFERROR(VLOOKUP(A652,已除帳印單!B:C,2,0),"")</f>
        <v/>
      </c>
      <c r="T652" s="68">
        <f t="shared" si="66"/>
        <v>43893</v>
      </c>
      <c r="U652" s="69">
        <f t="shared" si="67"/>
        <v>84.168784722222213</v>
      </c>
      <c r="V652" s="68" t="str">
        <f>IFERROR(VLOOKUP(A652,已除帳印單!B:D,3,0),"")</f>
        <v/>
      </c>
      <c r="W652" s="69" t="str">
        <f>IFERROR(VLOOKUP(A652,已除帳印單!B:E,4,0),"")</f>
        <v/>
      </c>
      <c r="X652" s="68" t="str">
        <f>IFERROR(INDEX(刷條碼區!A:C,MATCH(點上線資訊!S652,刷條碼區!C:C,0),1),"")</f>
        <v/>
      </c>
      <c r="Y652" s="69" t="str">
        <f>IFERROR(INDEX(刷條碼區!A:C,MATCH(點上線資訊!S652,刷條碼區!C:C,0),2),"")</f>
        <v/>
      </c>
      <c r="Z652" s="70" t="str">
        <f>IFERROR(INDEX(刷條碼區!D:G,MATCH(點上線資訊!S652,刷條碼區!F:F,0),1),"")</f>
        <v/>
      </c>
      <c r="AA652" s="71" t="str">
        <f>IFERROR(INDEX(刷條碼區!D:G,MATCH(點上線資訊!S652,刷條碼區!F:F,0),2),"")</f>
        <v/>
      </c>
      <c r="AB652" s="20" t="b">
        <f t="shared" si="62"/>
        <v>0</v>
      </c>
      <c r="AC652" s="20" t="b">
        <f t="shared" si="63"/>
        <v>0</v>
      </c>
      <c r="AD652" s="17" t="b">
        <f t="shared" si="64"/>
        <v>0</v>
      </c>
      <c r="AE652" s="17" t="b">
        <f t="shared" si="65"/>
        <v>0</v>
      </c>
    </row>
    <row r="653" spans="1:31" x14ac:dyDescent="0.2">
      <c r="A653" s="16">
        <v>5000499982</v>
      </c>
      <c r="B653" t="s">
        <v>0</v>
      </c>
      <c r="C653" t="s">
        <v>0</v>
      </c>
      <c r="D653" t="s">
        <v>1</v>
      </c>
      <c r="E653" t="s">
        <v>983</v>
      </c>
      <c r="F653" t="s">
        <v>984</v>
      </c>
      <c r="G653" s="2">
        <v>1</v>
      </c>
      <c r="H653" t="s">
        <v>461</v>
      </c>
      <c r="I653" t="s">
        <v>3</v>
      </c>
      <c r="J653" t="s">
        <v>5</v>
      </c>
      <c r="K653" t="s">
        <v>605</v>
      </c>
      <c r="L653" t="s">
        <v>608</v>
      </c>
      <c r="M653" t="s">
        <v>985</v>
      </c>
      <c r="N653" t="s">
        <v>602</v>
      </c>
      <c r="O653" t="s">
        <v>603</v>
      </c>
      <c r="P653" t="s">
        <v>602</v>
      </c>
      <c r="Q653" s="17">
        <f>IFERROR(VLOOKUP(A653,已除帳印單!B:C,1,0),0)*1</f>
        <v>0</v>
      </c>
      <c r="R653" s="67" t="str">
        <f>IFERROR(VLOOKUP(J653,線別!A:B,2,1),"")</f>
        <v>FM線</v>
      </c>
      <c r="S653" s="17" t="str">
        <f>IFERROR(VLOOKUP(A653,已除帳印單!B:C,2,0),"")</f>
        <v/>
      </c>
      <c r="T653" s="68">
        <f t="shared" si="66"/>
        <v>43892</v>
      </c>
      <c r="U653" s="69">
        <f t="shared" si="67"/>
        <v>84.168773148148148</v>
      </c>
      <c r="V653" s="68" t="str">
        <f>IFERROR(VLOOKUP(A653,已除帳印單!B:D,3,0),"")</f>
        <v/>
      </c>
      <c r="W653" s="69" t="str">
        <f>IFERROR(VLOOKUP(A653,已除帳印單!B:E,4,0),"")</f>
        <v/>
      </c>
      <c r="X653" s="68" t="str">
        <f>IFERROR(INDEX(刷條碼區!A:C,MATCH(點上線資訊!S653,刷條碼區!C:C,0),1),"")</f>
        <v/>
      </c>
      <c r="Y653" s="69" t="str">
        <f>IFERROR(INDEX(刷條碼區!A:C,MATCH(點上線資訊!S653,刷條碼區!C:C,0),2),"")</f>
        <v/>
      </c>
      <c r="Z653" s="70" t="str">
        <f>IFERROR(INDEX(刷條碼區!D:G,MATCH(點上線資訊!S653,刷條碼區!F:F,0),1),"")</f>
        <v/>
      </c>
      <c r="AA653" s="71" t="str">
        <f>IFERROR(INDEX(刷條碼區!D:G,MATCH(點上線資訊!S653,刷條碼區!F:F,0),2),"")</f>
        <v/>
      </c>
      <c r="AB653" s="20" t="b">
        <f t="shared" si="62"/>
        <v>0</v>
      </c>
      <c r="AC653" s="20" t="b">
        <f t="shared" si="63"/>
        <v>0</v>
      </c>
      <c r="AD653" s="17" t="b">
        <f t="shared" si="64"/>
        <v>0</v>
      </c>
      <c r="AE653" s="17" t="b">
        <f t="shared" si="65"/>
        <v>0</v>
      </c>
    </row>
    <row r="654" spans="1:31" x14ac:dyDescent="0.2">
      <c r="A654" s="16">
        <v>5000499992</v>
      </c>
      <c r="B654" t="s">
        <v>6</v>
      </c>
      <c r="C654" t="s">
        <v>6</v>
      </c>
      <c r="D654" t="s">
        <v>1</v>
      </c>
      <c r="E654" t="s">
        <v>267</v>
      </c>
      <c r="F654" t="s">
        <v>568</v>
      </c>
      <c r="G654" s="2">
        <v>1</v>
      </c>
      <c r="H654" t="s">
        <v>461</v>
      </c>
      <c r="I654" t="s">
        <v>3</v>
      </c>
      <c r="J654" t="s">
        <v>136</v>
      </c>
      <c r="K654" t="s">
        <v>602</v>
      </c>
      <c r="L654" t="s">
        <v>603</v>
      </c>
      <c r="M654" t="s">
        <v>602</v>
      </c>
      <c r="N654" t="s">
        <v>602</v>
      </c>
      <c r="O654" t="s">
        <v>603</v>
      </c>
      <c r="P654" t="s">
        <v>602</v>
      </c>
      <c r="Q654" s="17">
        <f>IFERROR(VLOOKUP(A654,已除帳印單!B:C,1,0),0)*1</f>
        <v>0</v>
      </c>
      <c r="R654" s="67" t="str">
        <f>IFERROR(VLOOKUP(J654,線別!A:B,2,1),"")</f>
        <v>SCB線</v>
      </c>
      <c r="S654" s="17" t="str">
        <f>IFERROR(VLOOKUP(A654,已除帳印單!B:C,2,0),"")</f>
        <v/>
      </c>
      <c r="T654" s="68">
        <f t="shared" si="66"/>
        <v>43893</v>
      </c>
      <c r="U654" s="69">
        <f t="shared" si="67"/>
        <v>84.168784722222213</v>
      </c>
      <c r="V654" s="68" t="str">
        <f>IFERROR(VLOOKUP(A654,已除帳印單!B:D,3,0),"")</f>
        <v/>
      </c>
      <c r="W654" s="69" t="str">
        <f>IFERROR(VLOOKUP(A654,已除帳印單!B:E,4,0),"")</f>
        <v/>
      </c>
      <c r="X654" s="68" t="str">
        <f>IFERROR(INDEX(刷條碼區!A:C,MATCH(點上線資訊!S654,刷條碼區!C:C,0),1),"")</f>
        <v/>
      </c>
      <c r="Y654" s="69" t="str">
        <f>IFERROR(INDEX(刷條碼區!A:C,MATCH(點上線資訊!S654,刷條碼區!C:C,0),2),"")</f>
        <v/>
      </c>
      <c r="Z654" s="70" t="str">
        <f>IFERROR(INDEX(刷條碼區!D:G,MATCH(點上線資訊!S654,刷條碼區!F:F,0),1),"")</f>
        <v/>
      </c>
      <c r="AA654" s="71" t="str">
        <f>IFERROR(INDEX(刷條碼區!D:G,MATCH(點上線資訊!S654,刷條碼區!F:F,0),2),"")</f>
        <v/>
      </c>
      <c r="AB654" s="20">
        <f t="shared" si="62"/>
        <v>1</v>
      </c>
      <c r="AC654" s="20" t="b">
        <f t="shared" si="63"/>
        <v>0</v>
      </c>
      <c r="AD654" s="17" t="b">
        <f t="shared" si="64"/>
        <v>0</v>
      </c>
      <c r="AE654" s="17" t="b">
        <f t="shared" si="65"/>
        <v>0</v>
      </c>
    </row>
    <row r="655" spans="1:31" x14ac:dyDescent="0.2">
      <c r="A655" s="16">
        <v>5000499994</v>
      </c>
      <c r="B655" t="s">
        <v>6</v>
      </c>
      <c r="C655" t="s">
        <v>6</v>
      </c>
      <c r="D655" t="s">
        <v>1</v>
      </c>
      <c r="E655" t="s">
        <v>294</v>
      </c>
      <c r="F655" t="s">
        <v>885</v>
      </c>
      <c r="G655" s="2">
        <v>2</v>
      </c>
      <c r="H655" t="s">
        <v>461</v>
      </c>
      <c r="I655" t="s">
        <v>3</v>
      </c>
      <c r="J655" t="s">
        <v>8</v>
      </c>
      <c r="K655" t="s">
        <v>605</v>
      </c>
      <c r="L655" t="s">
        <v>608</v>
      </c>
      <c r="M655" t="s">
        <v>1117</v>
      </c>
      <c r="N655" t="s">
        <v>602</v>
      </c>
      <c r="O655" t="s">
        <v>603</v>
      </c>
      <c r="P655" t="s">
        <v>602</v>
      </c>
      <c r="Q655" s="17">
        <f>IFERROR(VLOOKUP(A655,已除帳印單!B:C,1,0),0)*1</f>
        <v>0</v>
      </c>
      <c r="R655" s="67" t="str">
        <f>IFERROR(VLOOKUP(J655,線別!A:B,2,1),"")</f>
        <v>裝一線</v>
      </c>
      <c r="S655" s="17" t="str">
        <f>IFERROR(VLOOKUP(A655,已除帳印單!B:C,2,0),"")</f>
        <v/>
      </c>
      <c r="T655" s="68">
        <f t="shared" si="66"/>
        <v>43893</v>
      </c>
      <c r="U655" s="69">
        <f t="shared" si="67"/>
        <v>84.168784722222213</v>
      </c>
      <c r="V655" s="68" t="str">
        <f>IFERROR(VLOOKUP(A655,已除帳印單!B:D,3,0),"")</f>
        <v/>
      </c>
      <c r="W655" s="69" t="str">
        <f>IFERROR(VLOOKUP(A655,已除帳印單!B:E,4,0),"")</f>
        <v/>
      </c>
      <c r="X655" s="68" t="str">
        <f>IFERROR(INDEX(刷條碼區!A:C,MATCH(點上線資訊!S655,刷條碼區!C:C,0),1),"")</f>
        <v/>
      </c>
      <c r="Y655" s="69" t="str">
        <f>IFERROR(INDEX(刷條碼區!A:C,MATCH(點上線資訊!S655,刷條碼區!C:C,0),2),"")</f>
        <v/>
      </c>
      <c r="Z655" s="70" t="str">
        <f>IFERROR(INDEX(刷條碼區!D:G,MATCH(點上線資訊!S655,刷條碼區!F:F,0),1),"")</f>
        <v/>
      </c>
      <c r="AA655" s="71" t="str">
        <f>IFERROR(INDEX(刷條碼區!D:G,MATCH(點上線資訊!S655,刷條碼區!F:F,0),2),"")</f>
        <v/>
      </c>
      <c r="AB655" s="20" t="b">
        <f t="shared" si="62"/>
        <v>0</v>
      </c>
      <c r="AC655" s="20" t="b">
        <f t="shared" si="63"/>
        <v>0</v>
      </c>
      <c r="AD655" s="17" t="b">
        <f t="shared" si="64"/>
        <v>0</v>
      </c>
      <c r="AE655" s="17" t="b">
        <f t="shared" si="65"/>
        <v>0</v>
      </c>
    </row>
    <row r="656" spans="1:31" x14ac:dyDescent="0.2">
      <c r="A656" s="16">
        <v>5000499995</v>
      </c>
      <c r="B656" t="s">
        <v>6</v>
      </c>
      <c r="C656" t="s">
        <v>6</v>
      </c>
      <c r="D656" t="s">
        <v>1</v>
      </c>
      <c r="E656" t="s">
        <v>266</v>
      </c>
      <c r="F656" t="s">
        <v>569</v>
      </c>
      <c r="G656" s="2">
        <v>16</v>
      </c>
      <c r="H656" t="s">
        <v>461</v>
      </c>
      <c r="I656" t="s">
        <v>3</v>
      </c>
      <c r="J656" t="s">
        <v>136</v>
      </c>
      <c r="K656" t="s">
        <v>602</v>
      </c>
      <c r="L656" t="s">
        <v>603</v>
      </c>
      <c r="M656" t="s">
        <v>602</v>
      </c>
      <c r="N656" t="s">
        <v>602</v>
      </c>
      <c r="O656" t="s">
        <v>603</v>
      </c>
      <c r="P656" t="s">
        <v>602</v>
      </c>
      <c r="Q656" s="17">
        <f>IFERROR(VLOOKUP(A656,已除帳印單!B:C,1,0),0)*1</f>
        <v>0</v>
      </c>
      <c r="R656" s="67" t="str">
        <f>IFERROR(VLOOKUP(J656,線別!A:B,2,1),"")</f>
        <v>SCB線</v>
      </c>
      <c r="S656" s="17" t="str">
        <f>IFERROR(VLOOKUP(A656,已除帳印單!B:C,2,0),"")</f>
        <v/>
      </c>
      <c r="T656" s="68">
        <f t="shared" si="66"/>
        <v>43893</v>
      </c>
      <c r="U656" s="69">
        <f t="shared" si="67"/>
        <v>84.168784722222213</v>
      </c>
      <c r="V656" s="68" t="str">
        <f>IFERROR(VLOOKUP(A656,已除帳印單!B:D,3,0),"")</f>
        <v/>
      </c>
      <c r="W656" s="69" t="str">
        <f>IFERROR(VLOOKUP(A656,已除帳印單!B:E,4,0),"")</f>
        <v/>
      </c>
      <c r="X656" s="68" t="str">
        <f>IFERROR(INDEX(刷條碼區!A:C,MATCH(點上線資訊!S656,刷條碼區!C:C,0),1),"")</f>
        <v/>
      </c>
      <c r="Y656" s="69" t="str">
        <f>IFERROR(INDEX(刷條碼區!A:C,MATCH(點上線資訊!S656,刷條碼區!C:C,0),2),"")</f>
        <v/>
      </c>
      <c r="Z656" s="70" t="str">
        <f>IFERROR(INDEX(刷條碼區!D:G,MATCH(點上線資訊!S656,刷條碼區!F:F,0),1),"")</f>
        <v/>
      </c>
      <c r="AA656" s="71" t="str">
        <f>IFERROR(INDEX(刷條碼區!D:G,MATCH(點上線資訊!S656,刷條碼區!F:F,0),2),"")</f>
        <v/>
      </c>
      <c r="AB656" s="20">
        <f t="shared" si="62"/>
        <v>16</v>
      </c>
      <c r="AC656" s="20" t="b">
        <f t="shared" si="63"/>
        <v>0</v>
      </c>
      <c r="AD656" s="17" t="b">
        <f t="shared" si="64"/>
        <v>0</v>
      </c>
      <c r="AE656" s="17" t="b">
        <f t="shared" si="65"/>
        <v>0</v>
      </c>
    </row>
    <row r="657" spans="1:31" x14ac:dyDescent="0.2">
      <c r="A657" s="16">
        <v>5000499996</v>
      </c>
      <c r="B657" t="s">
        <v>6</v>
      </c>
      <c r="C657" t="s">
        <v>6</v>
      </c>
      <c r="D657" t="s">
        <v>1</v>
      </c>
      <c r="E657" t="s">
        <v>1118</v>
      </c>
      <c r="F657" t="s">
        <v>1119</v>
      </c>
      <c r="G657" s="2">
        <v>20</v>
      </c>
      <c r="H657" t="s">
        <v>461</v>
      </c>
      <c r="I657" t="s">
        <v>3</v>
      </c>
      <c r="J657" t="s">
        <v>5</v>
      </c>
      <c r="K657" t="s">
        <v>605</v>
      </c>
      <c r="L657" t="s">
        <v>608</v>
      </c>
      <c r="M657" t="s">
        <v>793</v>
      </c>
      <c r="N657" t="s">
        <v>602</v>
      </c>
      <c r="O657" t="s">
        <v>603</v>
      </c>
      <c r="P657" t="s">
        <v>602</v>
      </c>
      <c r="Q657" s="17">
        <f>IFERROR(VLOOKUP(A657,已除帳印單!B:C,1,0),0)*1</f>
        <v>0</v>
      </c>
      <c r="R657" s="67" t="str">
        <f>IFERROR(VLOOKUP(J657,線別!A:B,2,1),"")</f>
        <v>FM線</v>
      </c>
      <c r="S657" s="17" t="str">
        <f>IFERROR(VLOOKUP(A657,已除帳印單!B:C,2,0),"")</f>
        <v/>
      </c>
      <c r="T657" s="68">
        <f t="shared" si="66"/>
        <v>43893</v>
      </c>
      <c r="U657" s="69">
        <f t="shared" si="67"/>
        <v>84.168784722222213</v>
      </c>
      <c r="V657" s="68" t="str">
        <f>IFERROR(VLOOKUP(A657,已除帳印單!B:D,3,0),"")</f>
        <v/>
      </c>
      <c r="W657" s="69" t="str">
        <f>IFERROR(VLOOKUP(A657,已除帳印單!B:E,4,0),"")</f>
        <v/>
      </c>
      <c r="X657" s="68" t="str">
        <f>IFERROR(INDEX(刷條碼區!A:C,MATCH(點上線資訊!S657,刷條碼區!C:C,0),1),"")</f>
        <v/>
      </c>
      <c r="Y657" s="69" t="str">
        <f>IFERROR(INDEX(刷條碼區!A:C,MATCH(點上線資訊!S657,刷條碼區!C:C,0),2),"")</f>
        <v/>
      </c>
      <c r="Z657" s="70" t="str">
        <f>IFERROR(INDEX(刷條碼區!D:G,MATCH(點上線資訊!S657,刷條碼區!F:F,0),1),"")</f>
        <v/>
      </c>
      <c r="AA657" s="71" t="str">
        <f>IFERROR(INDEX(刷條碼區!D:G,MATCH(點上線資訊!S657,刷條碼區!F:F,0),2),"")</f>
        <v/>
      </c>
      <c r="AB657" s="20" t="b">
        <f t="shared" si="62"/>
        <v>0</v>
      </c>
      <c r="AC657" s="20" t="b">
        <f t="shared" si="63"/>
        <v>0</v>
      </c>
      <c r="AD657" s="17" t="b">
        <f t="shared" si="64"/>
        <v>0</v>
      </c>
      <c r="AE657" s="17" t="b">
        <f t="shared" si="65"/>
        <v>0</v>
      </c>
    </row>
    <row r="658" spans="1:31" x14ac:dyDescent="0.2">
      <c r="A658" s="16">
        <v>5000499998</v>
      </c>
      <c r="B658" t="s">
        <v>6</v>
      </c>
      <c r="C658" t="s">
        <v>6</v>
      </c>
      <c r="D658" t="s">
        <v>1</v>
      </c>
      <c r="E658" t="s">
        <v>1120</v>
      </c>
      <c r="F658" t="s">
        <v>1121</v>
      </c>
      <c r="G658" s="2">
        <v>15</v>
      </c>
      <c r="H658" t="s">
        <v>461</v>
      </c>
      <c r="I658" t="s">
        <v>3</v>
      </c>
      <c r="J658" t="s">
        <v>19</v>
      </c>
      <c r="K658" t="s">
        <v>605</v>
      </c>
      <c r="L658" t="s">
        <v>608</v>
      </c>
      <c r="M658" t="s">
        <v>430</v>
      </c>
      <c r="N658" t="s">
        <v>602</v>
      </c>
      <c r="O658" t="s">
        <v>603</v>
      </c>
      <c r="P658" t="s">
        <v>602</v>
      </c>
      <c r="Q658" s="17">
        <f>IFERROR(VLOOKUP(A658,已除帳印單!B:C,1,0),0)*1</f>
        <v>0</v>
      </c>
      <c r="R658" s="67" t="str">
        <f>IFERROR(VLOOKUP(J658,線別!A:B,2,1),"")</f>
        <v>FM_IA預組</v>
      </c>
      <c r="S658" s="17" t="str">
        <f>IFERROR(VLOOKUP(A658,已除帳印單!B:C,2,0),"")</f>
        <v/>
      </c>
      <c r="T658" s="68">
        <f t="shared" si="66"/>
        <v>43893</v>
      </c>
      <c r="U658" s="69">
        <f t="shared" si="67"/>
        <v>84.168784722222213</v>
      </c>
      <c r="V658" s="68" t="str">
        <f>IFERROR(VLOOKUP(A658,已除帳印單!B:D,3,0),"")</f>
        <v/>
      </c>
      <c r="W658" s="69" t="str">
        <f>IFERROR(VLOOKUP(A658,已除帳印單!B:E,4,0),"")</f>
        <v/>
      </c>
      <c r="X658" s="68" t="str">
        <f>IFERROR(INDEX(刷條碼區!A:C,MATCH(點上線資訊!S658,刷條碼區!C:C,0),1),"")</f>
        <v/>
      </c>
      <c r="Y658" s="69" t="str">
        <f>IFERROR(INDEX(刷條碼區!A:C,MATCH(點上線資訊!S658,刷條碼區!C:C,0),2),"")</f>
        <v/>
      </c>
      <c r="Z658" s="70" t="str">
        <f>IFERROR(INDEX(刷條碼區!D:G,MATCH(點上線資訊!S658,刷條碼區!F:F,0),1),"")</f>
        <v/>
      </c>
      <c r="AA658" s="71" t="str">
        <f>IFERROR(INDEX(刷條碼區!D:G,MATCH(點上線資訊!S658,刷條碼區!F:F,0),2),"")</f>
        <v/>
      </c>
      <c r="AB658" s="20" t="b">
        <f t="shared" si="62"/>
        <v>0</v>
      </c>
      <c r="AC658" s="20" t="b">
        <f t="shared" si="63"/>
        <v>0</v>
      </c>
      <c r="AD658" s="17" t="b">
        <f t="shared" si="64"/>
        <v>0</v>
      </c>
      <c r="AE658" s="17" t="b">
        <f t="shared" si="65"/>
        <v>0</v>
      </c>
    </row>
    <row r="659" spans="1:31" x14ac:dyDescent="0.2">
      <c r="A659" s="16">
        <v>5000499999</v>
      </c>
      <c r="B659" t="s">
        <v>0</v>
      </c>
      <c r="C659" t="s">
        <v>0</v>
      </c>
      <c r="D659" t="s">
        <v>1</v>
      </c>
      <c r="E659" t="s">
        <v>1122</v>
      </c>
      <c r="F659" t="s">
        <v>1123</v>
      </c>
      <c r="G659" s="2">
        <v>20</v>
      </c>
      <c r="H659" t="s">
        <v>461</v>
      </c>
      <c r="I659" t="s">
        <v>3</v>
      </c>
      <c r="J659" t="s">
        <v>5</v>
      </c>
      <c r="K659" t="s">
        <v>605</v>
      </c>
      <c r="L659" t="s">
        <v>608</v>
      </c>
      <c r="M659" t="s">
        <v>1124</v>
      </c>
      <c r="N659" t="s">
        <v>602</v>
      </c>
      <c r="O659" t="s">
        <v>603</v>
      </c>
      <c r="P659" t="s">
        <v>602</v>
      </c>
      <c r="Q659" s="17">
        <f>IFERROR(VLOOKUP(A659,已除帳印單!B:C,1,0),0)*1</f>
        <v>0</v>
      </c>
      <c r="R659" s="67" t="str">
        <f>IFERROR(VLOOKUP(J659,線別!A:B,2,1),"")</f>
        <v>FM線</v>
      </c>
      <c r="S659" s="17" t="str">
        <f>IFERROR(VLOOKUP(A659,已除帳印單!B:C,2,0),"")</f>
        <v/>
      </c>
      <c r="T659" s="68">
        <f t="shared" si="66"/>
        <v>43892</v>
      </c>
      <c r="U659" s="69">
        <f t="shared" si="67"/>
        <v>84.168773148148148</v>
      </c>
      <c r="V659" s="68" t="str">
        <f>IFERROR(VLOOKUP(A659,已除帳印單!B:D,3,0),"")</f>
        <v/>
      </c>
      <c r="W659" s="69" t="str">
        <f>IFERROR(VLOOKUP(A659,已除帳印單!B:E,4,0),"")</f>
        <v/>
      </c>
      <c r="X659" s="68" t="str">
        <f>IFERROR(INDEX(刷條碼區!A:C,MATCH(點上線資訊!S659,刷條碼區!C:C,0),1),"")</f>
        <v/>
      </c>
      <c r="Y659" s="69" t="str">
        <f>IFERROR(INDEX(刷條碼區!A:C,MATCH(點上線資訊!S659,刷條碼區!C:C,0),2),"")</f>
        <v/>
      </c>
      <c r="Z659" s="70" t="str">
        <f>IFERROR(INDEX(刷條碼區!D:G,MATCH(點上線資訊!S659,刷條碼區!F:F,0),1),"")</f>
        <v/>
      </c>
      <c r="AA659" s="71" t="str">
        <f>IFERROR(INDEX(刷條碼區!D:G,MATCH(點上線資訊!S659,刷條碼區!F:F,0),2),"")</f>
        <v/>
      </c>
      <c r="AB659" s="20" t="b">
        <f t="shared" si="62"/>
        <v>0</v>
      </c>
      <c r="AC659" s="20" t="b">
        <f t="shared" si="63"/>
        <v>0</v>
      </c>
      <c r="AD659" s="17" t="b">
        <f t="shared" si="64"/>
        <v>0</v>
      </c>
      <c r="AE659" s="17" t="b">
        <f t="shared" si="65"/>
        <v>0</v>
      </c>
    </row>
    <row r="660" spans="1:31" x14ac:dyDescent="0.2">
      <c r="A660" s="16">
        <v>5000500000</v>
      </c>
      <c r="B660" t="s">
        <v>6</v>
      </c>
      <c r="C660" t="s">
        <v>6</v>
      </c>
      <c r="D660" t="s">
        <v>1</v>
      </c>
      <c r="E660" t="s">
        <v>1122</v>
      </c>
      <c r="F660" t="s">
        <v>1123</v>
      </c>
      <c r="G660" s="2">
        <v>2</v>
      </c>
      <c r="H660" t="s">
        <v>461</v>
      </c>
      <c r="I660" t="s">
        <v>3</v>
      </c>
      <c r="J660" t="s">
        <v>5</v>
      </c>
      <c r="K660" t="s">
        <v>605</v>
      </c>
      <c r="L660" t="s">
        <v>608</v>
      </c>
      <c r="M660" t="s">
        <v>793</v>
      </c>
      <c r="N660" t="s">
        <v>602</v>
      </c>
      <c r="O660" t="s">
        <v>603</v>
      </c>
      <c r="P660" t="s">
        <v>602</v>
      </c>
      <c r="Q660" s="17">
        <f>IFERROR(VLOOKUP(A660,已除帳印單!B:C,1,0),0)*1</f>
        <v>0</v>
      </c>
      <c r="R660" s="67" t="str">
        <f>IFERROR(VLOOKUP(J660,線別!A:B,2,1),"")</f>
        <v>FM線</v>
      </c>
      <c r="S660" s="17" t="str">
        <f>IFERROR(VLOOKUP(A660,已除帳印單!B:C,2,0),"")</f>
        <v/>
      </c>
      <c r="T660" s="68">
        <f t="shared" si="66"/>
        <v>43893</v>
      </c>
      <c r="U660" s="69">
        <f t="shared" si="67"/>
        <v>84.168784722222213</v>
      </c>
      <c r="V660" s="68" t="str">
        <f>IFERROR(VLOOKUP(A660,已除帳印單!B:D,3,0),"")</f>
        <v/>
      </c>
      <c r="W660" s="69" t="str">
        <f>IFERROR(VLOOKUP(A660,已除帳印單!B:E,4,0),"")</f>
        <v/>
      </c>
      <c r="X660" s="68" t="str">
        <f>IFERROR(INDEX(刷條碼區!A:C,MATCH(點上線資訊!S660,刷條碼區!C:C,0),1),"")</f>
        <v/>
      </c>
      <c r="Y660" s="69" t="str">
        <f>IFERROR(INDEX(刷條碼區!A:C,MATCH(點上線資訊!S660,刷條碼區!C:C,0),2),"")</f>
        <v/>
      </c>
      <c r="Z660" s="70" t="str">
        <f>IFERROR(INDEX(刷條碼區!D:G,MATCH(點上線資訊!S660,刷條碼區!F:F,0),1),"")</f>
        <v/>
      </c>
      <c r="AA660" s="71" t="str">
        <f>IFERROR(INDEX(刷條碼區!D:G,MATCH(點上線資訊!S660,刷條碼區!F:F,0),2),"")</f>
        <v/>
      </c>
      <c r="AB660" s="20" t="b">
        <f t="shared" si="62"/>
        <v>0</v>
      </c>
      <c r="AC660" s="20" t="b">
        <f t="shared" si="63"/>
        <v>0</v>
      </c>
      <c r="AD660" s="17" t="b">
        <f t="shared" si="64"/>
        <v>0</v>
      </c>
      <c r="AE660" s="17" t="b">
        <f t="shared" si="65"/>
        <v>0</v>
      </c>
    </row>
    <row r="661" spans="1:31" x14ac:dyDescent="0.2">
      <c r="A661" s="16">
        <v>5000500001</v>
      </c>
      <c r="B661" t="s">
        <v>0</v>
      </c>
      <c r="C661" t="s">
        <v>0</v>
      </c>
      <c r="D661" t="s">
        <v>1</v>
      </c>
      <c r="E661" t="s">
        <v>1125</v>
      </c>
      <c r="F661" t="s">
        <v>1126</v>
      </c>
      <c r="G661" s="2">
        <v>20</v>
      </c>
      <c r="H661" t="s">
        <v>461</v>
      </c>
      <c r="I661" t="s">
        <v>3</v>
      </c>
      <c r="J661" t="s">
        <v>5</v>
      </c>
      <c r="K661" t="s">
        <v>605</v>
      </c>
      <c r="L661" t="s">
        <v>608</v>
      </c>
      <c r="M661" t="s">
        <v>1124</v>
      </c>
      <c r="N661" t="s">
        <v>602</v>
      </c>
      <c r="O661" t="s">
        <v>603</v>
      </c>
      <c r="P661" t="s">
        <v>602</v>
      </c>
      <c r="Q661" s="17">
        <f>IFERROR(VLOOKUP(A661,已除帳印單!B:C,1,0),0)*1</f>
        <v>0</v>
      </c>
      <c r="R661" s="67" t="str">
        <f>IFERROR(VLOOKUP(J661,線別!A:B,2,1),"")</f>
        <v>FM線</v>
      </c>
      <c r="S661" s="17" t="str">
        <f>IFERROR(VLOOKUP(A661,已除帳印單!B:C,2,0),"")</f>
        <v/>
      </c>
      <c r="T661" s="68">
        <f t="shared" si="66"/>
        <v>43892</v>
      </c>
      <c r="U661" s="69">
        <f t="shared" si="67"/>
        <v>84.168773148148148</v>
      </c>
      <c r="V661" s="68" t="str">
        <f>IFERROR(VLOOKUP(A661,已除帳印單!B:D,3,0),"")</f>
        <v/>
      </c>
      <c r="W661" s="69" t="str">
        <f>IFERROR(VLOOKUP(A661,已除帳印單!B:E,4,0),"")</f>
        <v/>
      </c>
      <c r="X661" s="68" t="str">
        <f>IFERROR(INDEX(刷條碼區!A:C,MATCH(點上線資訊!S661,刷條碼區!C:C,0),1),"")</f>
        <v/>
      </c>
      <c r="Y661" s="69" t="str">
        <f>IFERROR(INDEX(刷條碼區!A:C,MATCH(點上線資訊!S661,刷條碼區!C:C,0),2),"")</f>
        <v/>
      </c>
      <c r="Z661" s="70" t="str">
        <f>IFERROR(INDEX(刷條碼區!D:G,MATCH(點上線資訊!S661,刷條碼區!F:F,0),1),"")</f>
        <v/>
      </c>
      <c r="AA661" s="71" t="str">
        <f>IFERROR(INDEX(刷條碼區!D:G,MATCH(點上線資訊!S661,刷條碼區!F:F,0),2),"")</f>
        <v/>
      </c>
      <c r="AB661" s="20" t="b">
        <f t="shared" si="62"/>
        <v>0</v>
      </c>
      <c r="AC661" s="20" t="b">
        <f t="shared" si="63"/>
        <v>0</v>
      </c>
      <c r="AD661" s="17" t="b">
        <f t="shared" si="64"/>
        <v>0</v>
      </c>
      <c r="AE661" s="17" t="b">
        <f t="shared" si="65"/>
        <v>0</v>
      </c>
    </row>
    <row r="662" spans="1:31" x14ac:dyDescent="0.2">
      <c r="A662" s="16">
        <v>5000500002</v>
      </c>
      <c r="B662" t="s">
        <v>0</v>
      </c>
      <c r="C662" t="s">
        <v>0</v>
      </c>
      <c r="D662" t="s">
        <v>1</v>
      </c>
      <c r="E662" t="s">
        <v>1125</v>
      </c>
      <c r="F662" t="s">
        <v>1126</v>
      </c>
      <c r="G662" s="2">
        <v>1</v>
      </c>
      <c r="H662" t="s">
        <v>461</v>
      </c>
      <c r="I662" t="s">
        <v>3</v>
      </c>
      <c r="J662" t="s">
        <v>5</v>
      </c>
      <c r="K662" t="s">
        <v>605</v>
      </c>
      <c r="L662" t="s">
        <v>608</v>
      </c>
      <c r="M662" t="s">
        <v>1124</v>
      </c>
      <c r="N662" t="s">
        <v>602</v>
      </c>
      <c r="O662" t="s">
        <v>603</v>
      </c>
      <c r="P662" t="s">
        <v>602</v>
      </c>
      <c r="Q662" s="17">
        <f>IFERROR(VLOOKUP(A662,已除帳印單!B:C,1,0),0)*1</f>
        <v>0</v>
      </c>
      <c r="R662" s="67" t="str">
        <f>IFERROR(VLOOKUP(J662,線別!A:B,2,1),"")</f>
        <v>FM線</v>
      </c>
      <c r="S662" s="17" t="str">
        <f>IFERROR(VLOOKUP(A662,已除帳印單!B:C,2,0),"")</f>
        <v/>
      </c>
      <c r="T662" s="68">
        <f t="shared" si="66"/>
        <v>43892</v>
      </c>
      <c r="U662" s="69">
        <f t="shared" si="67"/>
        <v>84.168773148148148</v>
      </c>
      <c r="V662" s="68" t="str">
        <f>IFERROR(VLOOKUP(A662,已除帳印單!B:D,3,0),"")</f>
        <v/>
      </c>
      <c r="W662" s="69" t="str">
        <f>IFERROR(VLOOKUP(A662,已除帳印單!B:E,4,0),"")</f>
        <v/>
      </c>
      <c r="X662" s="68" t="str">
        <f>IFERROR(INDEX(刷條碼區!A:C,MATCH(點上線資訊!S662,刷條碼區!C:C,0),1),"")</f>
        <v/>
      </c>
      <c r="Y662" s="69" t="str">
        <f>IFERROR(INDEX(刷條碼區!A:C,MATCH(點上線資訊!S662,刷條碼區!C:C,0),2),"")</f>
        <v/>
      </c>
      <c r="Z662" s="70" t="str">
        <f>IFERROR(INDEX(刷條碼區!D:G,MATCH(點上線資訊!S662,刷條碼區!F:F,0),1),"")</f>
        <v/>
      </c>
      <c r="AA662" s="71" t="str">
        <f>IFERROR(INDEX(刷條碼區!D:G,MATCH(點上線資訊!S662,刷條碼區!F:F,0),2),"")</f>
        <v/>
      </c>
      <c r="AB662" s="20" t="b">
        <f t="shared" si="62"/>
        <v>0</v>
      </c>
      <c r="AC662" s="20" t="b">
        <f t="shared" si="63"/>
        <v>0</v>
      </c>
      <c r="AD662" s="17" t="b">
        <f t="shared" si="64"/>
        <v>0</v>
      </c>
      <c r="AE662" s="17" t="b">
        <f t="shared" si="65"/>
        <v>0</v>
      </c>
    </row>
    <row r="663" spans="1:31" x14ac:dyDescent="0.2">
      <c r="A663" s="16">
        <v>5000500003</v>
      </c>
      <c r="B663" t="s">
        <v>0</v>
      </c>
      <c r="C663" t="s">
        <v>0</v>
      </c>
      <c r="D663" t="s">
        <v>1</v>
      </c>
      <c r="E663" t="s">
        <v>1127</v>
      </c>
      <c r="F663" t="s">
        <v>1128</v>
      </c>
      <c r="G663" s="2">
        <v>20</v>
      </c>
      <c r="H663" t="s">
        <v>461</v>
      </c>
      <c r="I663" t="s">
        <v>3</v>
      </c>
      <c r="J663" t="s">
        <v>5</v>
      </c>
      <c r="K663" t="s">
        <v>605</v>
      </c>
      <c r="L663" t="s">
        <v>608</v>
      </c>
      <c r="M663" t="s">
        <v>1124</v>
      </c>
      <c r="N663" t="s">
        <v>602</v>
      </c>
      <c r="O663" t="s">
        <v>603</v>
      </c>
      <c r="P663" t="s">
        <v>602</v>
      </c>
      <c r="Q663" s="17">
        <f>IFERROR(VLOOKUP(A663,已除帳印單!B:C,1,0),0)*1</f>
        <v>0</v>
      </c>
      <c r="R663" s="67" t="str">
        <f>IFERROR(VLOOKUP(J663,線別!A:B,2,1),"")</f>
        <v>FM線</v>
      </c>
      <c r="S663" s="17" t="str">
        <f>IFERROR(VLOOKUP(A663,已除帳印單!B:C,2,0),"")</f>
        <v/>
      </c>
      <c r="T663" s="68">
        <f t="shared" si="66"/>
        <v>43892</v>
      </c>
      <c r="U663" s="69">
        <f t="shared" si="67"/>
        <v>84.168773148148148</v>
      </c>
      <c r="V663" s="68" t="str">
        <f>IFERROR(VLOOKUP(A663,已除帳印單!B:D,3,0),"")</f>
        <v/>
      </c>
      <c r="W663" s="69" t="str">
        <f>IFERROR(VLOOKUP(A663,已除帳印單!B:E,4,0),"")</f>
        <v/>
      </c>
      <c r="X663" s="68" t="str">
        <f>IFERROR(INDEX(刷條碼區!A:C,MATCH(點上線資訊!S663,刷條碼區!C:C,0),1),"")</f>
        <v/>
      </c>
      <c r="Y663" s="69" t="str">
        <f>IFERROR(INDEX(刷條碼區!A:C,MATCH(點上線資訊!S663,刷條碼區!C:C,0),2),"")</f>
        <v/>
      </c>
      <c r="Z663" s="70" t="str">
        <f>IFERROR(INDEX(刷條碼區!D:G,MATCH(點上線資訊!S663,刷條碼區!F:F,0),1),"")</f>
        <v/>
      </c>
      <c r="AA663" s="71" t="str">
        <f>IFERROR(INDEX(刷條碼區!D:G,MATCH(點上線資訊!S663,刷條碼區!F:F,0),2),"")</f>
        <v/>
      </c>
      <c r="AB663" s="20" t="b">
        <f t="shared" si="62"/>
        <v>0</v>
      </c>
      <c r="AC663" s="20" t="b">
        <f t="shared" si="63"/>
        <v>0</v>
      </c>
      <c r="AD663" s="17" t="b">
        <f t="shared" si="64"/>
        <v>0</v>
      </c>
      <c r="AE663" s="17" t="b">
        <f t="shared" si="65"/>
        <v>0</v>
      </c>
    </row>
    <row r="664" spans="1:31" x14ac:dyDescent="0.2">
      <c r="A664" s="16">
        <v>5000500004</v>
      </c>
      <c r="B664" t="s">
        <v>6</v>
      </c>
      <c r="C664" t="s">
        <v>6</v>
      </c>
      <c r="D664" t="s">
        <v>1</v>
      </c>
      <c r="E664" t="s">
        <v>1127</v>
      </c>
      <c r="F664" t="s">
        <v>1128</v>
      </c>
      <c r="G664" s="2">
        <v>9</v>
      </c>
      <c r="H664" t="s">
        <v>461</v>
      </c>
      <c r="I664" t="s">
        <v>3</v>
      </c>
      <c r="J664" t="s">
        <v>5</v>
      </c>
      <c r="K664" t="s">
        <v>605</v>
      </c>
      <c r="L664" t="s">
        <v>608</v>
      </c>
      <c r="M664" t="s">
        <v>793</v>
      </c>
      <c r="N664" t="s">
        <v>602</v>
      </c>
      <c r="O664" t="s">
        <v>603</v>
      </c>
      <c r="P664" t="s">
        <v>602</v>
      </c>
      <c r="Q664" s="17">
        <f>IFERROR(VLOOKUP(A664,已除帳印單!B:C,1,0),0)*1</f>
        <v>0</v>
      </c>
      <c r="R664" s="67" t="str">
        <f>IFERROR(VLOOKUP(J664,線別!A:B,2,1),"")</f>
        <v>FM線</v>
      </c>
      <c r="S664" s="17" t="str">
        <f>IFERROR(VLOOKUP(A664,已除帳印單!B:C,2,0),"")</f>
        <v/>
      </c>
      <c r="T664" s="68">
        <f t="shared" si="66"/>
        <v>43893</v>
      </c>
      <c r="U664" s="69">
        <f t="shared" si="67"/>
        <v>84.168784722222213</v>
      </c>
      <c r="V664" s="68" t="str">
        <f>IFERROR(VLOOKUP(A664,已除帳印單!B:D,3,0),"")</f>
        <v/>
      </c>
      <c r="W664" s="69" t="str">
        <f>IFERROR(VLOOKUP(A664,已除帳印單!B:E,4,0),"")</f>
        <v/>
      </c>
      <c r="X664" s="68" t="str">
        <f>IFERROR(INDEX(刷條碼區!A:C,MATCH(點上線資訊!S664,刷條碼區!C:C,0),1),"")</f>
        <v/>
      </c>
      <c r="Y664" s="69" t="str">
        <f>IFERROR(INDEX(刷條碼區!A:C,MATCH(點上線資訊!S664,刷條碼區!C:C,0),2),"")</f>
        <v/>
      </c>
      <c r="Z664" s="70" t="str">
        <f>IFERROR(INDEX(刷條碼區!D:G,MATCH(點上線資訊!S664,刷條碼區!F:F,0),1),"")</f>
        <v/>
      </c>
      <c r="AA664" s="71" t="str">
        <f>IFERROR(INDEX(刷條碼區!D:G,MATCH(點上線資訊!S664,刷條碼區!F:F,0),2),"")</f>
        <v/>
      </c>
      <c r="AB664" s="20" t="b">
        <f t="shared" si="62"/>
        <v>0</v>
      </c>
      <c r="AC664" s="20" t="b">
        <f t="shared" si="63"/>
        <v>0</v>
      </c>
      <c r="AD664" s="17" t="b">
        <f t="shared" si="64"/>
        <v>0</v>
      </c>
      <c r="AE664" s="17" t="b">
        <f t="shared" si="65"/>
        <v>0</v>
      </c>
    </row>
    <row r="665" spans="1:31" x14ac:dyDescent="0.2">
      <c r="A665" s="16">
        <v>5000500006</v>
      </c>
      <c r="B665" t="s">
        <v>6</v>
      </c>
      <c r="C665" t="s">
        <v>6</v>
      </c>
      <c r="D665" t="s">
        <v>1</v>
      </c>
      <c r="E665" t="s">
        <v>1129</v>
      </c>
      <c r="F665" t="s">
        <v>1130</v>
      </c>
      <c r="G665" s="2">
        <v>8</v>
      </c>
      <c r="H665" t="s">
        <v>461</v>
      </c>
      <c r="I665" t="s">
        <v>3</v>
      </c>
      <c r="J665" t="s">
        <v>5</v>
      </c>
      <c r="K665" t="s">
        <v>605</v>
      </c>
      <c r="L665" t="s">
        <v>608</v>
      </c>
      <c r="M665" t="s">
        <v>793</v>
      </c>
      <c r="N665" t="s">
        <v>602</v>
      </c>
      <c r="O665" t="s">
        <v>603</v>
      </c>
      <c r="P665" t="s">
        <v>602</v>
      </c>
      <c r="Q665" s="17">
        <f>IFERROR(VLOOKUP(A665,已除帳印單!B:C,1,0),0)*1</f>
        <v>0</v>
      </c>
      <c r="R665" s="67" t="str">
        <f>IFERROR(VLOOKUP(J665,線別!A:B,2,1),"")</f>
        <v>FM線</v>
      </c>
      <c r="S665" s="17" t="str">
        <f>IFERROR(VLOOKUP(A665,已除帳印單!B:C,2,0),"")</f>
        <v/>
      </c>
      <c r="T665" s="68">
        <f t="shared" si="66"/>
        <v>43893</v>
      </c>
      <c r="U665" s="69">
        <f t="shared" si="67"/>
        <v>84.168784722222213</v>
      </c>
      <c r="V665" s="68" t="str">
        <f>IFERROR(VLOOKUP(A665,已除帳印單!B:D,3,0),"")</f>
        <v/>
      </c>
      <c r="W665" s="69" t="str">
        <f>IFERROR(VLOOKUP(A665,已除帳印單!B:E,4,0),"")</f>
        <v/>
      </c>
      <c r="X665" s="68" t="str">
        <f>IFERROR(INDEX(刷條碼區!A:C,MATCH(點上線資訊!S665,刷條碼區!C:C,0),1),"")</f>
        <v/>
      </c>
      <c r="Y665" s="69" t="str">
        <f>IFERROR(INDEX(刷條碼區!A:C,MATCH(點上線資訊!S665,刷條碼區!C:C,0),2),"")</f>
        <v/>
      </c>
      <c r="Z665" s="70" t="str">
        <f>IFERROR(INDEX(刷條碼區!D:G,MATCH(點上線資訊!S665,刷條碼區!F:F,0),1),"")</f>
        <v/>
      </c>
      <c r="AA665" s="71" t="str">
        <f>IFERROR(INDEX(刷條碼區!D:G,MATCH(點上線資訊!S665,刷條碼區!F:F,0),2),"")</f>
        <v/>
      </c>
      <c r="AB665" s="20" t="b">
        <f t="shared" si="62"/>
        <v>0</v>
      </c>
      <c r="AC665" s="20" t="b">
        <f t="shared" si="63"/>
        <v>0</v>
      </c>
      <c r="AD665" s="17" t="b">
        <f t="shared" si="64"/>
        <v>0</v>
      </c>
      <c r="AE665" s="17" t="b">
        <f t="shared" si="65"/>
        <v>0</v>
      </c>
    </row>
    <row r="666" spans="1:31" x14ac:dyDescent="0.2">
      <c r="A666" s="16">
        <v>5000500008</v>
      </c>
      <c r="B666" t="s">
        <v>6</v>
      </c>
      <c r="C666" t="s">
        <v>6</v>
      </c>
      <c r="D666" t="s">
        <v>1</v>
      </c>
      <c r="E666" t="s">
        <v>1131</v>
      </c>
      <c r="F666" t="s">
        <v>1132</v>
      </c>
      <c r="G666" s="2">
        <v>16</v>
      </c>
      <c r="H666" t="s">
        <v>461</v>
      </c>
      <c r="I666" t="s">
        <v>3</v>
      </c>
      <c r="J666" t="s">
        <v>19</v>
      </c>
      <c r="K666" t="s">
        <v>605</v>
      </c>
      <c r="L666" t="s">
        <v>608</v>
      </c>
      <c r="M666" t="s">
        <v>416</v>
      </c>
      <c r="N666" t="s">
        <v>602</v>
      </c>
      <c r="O666" t="s">
        <v>603</v>
      </c>
      <c r="P666" t="s">
        <v>602</v>
      </c>
      <c r="Q666" s="17">
        <f>IFERROR(VLOOKUP(A666,已除帳印單!B:C,1,0),0)*1</f>
        <v>0</v>
      </c>
      <c r="R666" s="67" t="str">
        <f>IFERROR(VLOOKUP(J666,線別!A:B,2,1),"")</f>
        <v>FM_IA預組</v>
      </c>
      <c r="S666" s="17" t="str">
        <f>IFERROR(VLOOKUP(A666,已除帳印單!B:C,2,0),"")</f>
        <v/>
      </c>
      <c r="T666" s="68">
        <f t="shared" si="66"/>
        <v>43893</v>
      </c>
      <c r="U666" s="69">
        <f t="shared" si="67"/>
        <v>84.168784722222213</v>
      </c>
      <c r="V666" s="68" t="str">
        <f>IFERROR(VLOOKUP(A666,已除帳印單!B:D,3,0),"")</f>
        <v/>
      </c>
      <c r="W666" s="69" t="str">
        <f>IFERROR(VLOOKUP(A666,已除帳印單!B:E,4,0),"")</f>
        <v/>
      </c>
      <c r="X666" s="68" t="str">
        <f>IFERROR(INDEX(刷條碼區!A:C,MATCH(點上線資訊!S666,刷條碼區!C:C,0),1),"")</f>
        <v/>
      </c>
      <c r="Y666" s="69" t="str">
        <f>IFERROR(INDEX(刷條碼區!A:C,MATCH(點上線資訊!S666,刷條碼區!C:C,0),2),"")</f>
        <v/>
      </c>
      <c r="Z666" s="70" t="str">
        <f>IFERROR(INDEX(刷條碼區!D:G,MATCH(點上線資訊!S666,刷條碼區!F:F,0),1),"")</f>
        <v/>
      </c>
      <c r="AA666" s="71" t="str">
        <f>IFERROR(INDEX(刷條碼區!D:G,MATCH(點上線資訊!S666,刷條碼區!F:F,0),2),"")</f>
        <v/>
      </c>
      <c r="AB666" s="20" t="b">
        <f t="shared" si="62"/>
        <v>0</v>
      </c>
      <c r="AC666" s="20" t="b">
        <f t="shared" si="63"/>
        <v>0</v>
      </c>
      <c r="AD666" s="17" t="b">
        <f t="shared" si="64"/>
        <v>0</v>
      </c>
      <c r="AE666" s="17" t="b">
        <f t="shared" si="65"/>
        <v>0</v>
      </c>
    </row>
    <row r="667" spans="1:31" x14ac:dyDescent="0.2">
      <c r="A667" s="16">
        <v>5000500011</v>
      </c>
      <c r="B667" t="s">
        <v>6</v>
      </c>
      <c r="C667" t="s">
        <v>6</v>
      </c>
      <c r="D667" t="s">
        <v>1</v>
      </c>
      <c r="E667" t="s">
        <v>1133</v>
      </c>
      <c r="F667" t="s">
        <v>1134</v>
      </c>
      <c r="G667" s="2">
        <v>20</v>
      </c>
      <c r="H667" t="s">
        <v>461</v>
      </c>
      <c r="I667" t="s">
        <v>3</v>
      </c>
      <c r="J667" t="s">
        <v>19</v>
      </c>
      <c r="K667" t="s">
        <v>605</v>
      </c>
      <c r="L667" t="s">
        <v>608</v>
      </c>
      <c r="M667" t="s">
        <v>416</v>
      </c>
      <c r="N667" t="s">
        <v>602</v>
      </c>
      <c r="O667" t="s">
        <v>603</v>
      </c>
      <c r="P667" t="s">
        <v>602</v>
      </c>
      <c r="Q667" s="17">
        <f>IFERROR(VLOOKUP(A667,已除帳印單!B:C,1,0),0)*1</f>
        <v>0</v>
      </c>
      <c r="R667" s="67" t="str">
        <f>IFERROR(VLOOKUP(J667,線別!A:B,2,1),"")</f>
        <v>FM_IA預組</v>
      </c>
      <c r="S667" s="17" t="str">
        <f>IFERROR(VLOOKUP(A667,已除帳印單!B:C,2,0),"")</f>
        <v/>
      </c>
      <c r="T667" s="68">
        <f t="shared" si="66"/>
        <v>43893</v>
      </c>
      <c r="U667" s="69">
        <f t="shared" si="67"/>
        <v>84.168784722222213</v>
      </c>
      <c r="V667" s="68" t="str">
        <f>IFERROR(VLOOKUP(A667,已除帳印單!B:D,3,0),"")</f>
        <v/>
      </c>
      <c r="W667" s="69" t="str">
        <f>IFERROR(VLOOKUP(A667,已除帳印單!B:E,4,0),"")</f>
        <v/>
      </c>
      <c r="X667" s="68" t="str">
        <f>IFERROR(INDEX(刷條碼區!A:C,MATCH(點上線資訊!S667,刷條碼區!C:C,0),1),"")</f>
        <v/>
      </c>
      <c r="Y667" s="69" t="str">
        <f>IFERROR(INDEX(刷條碼區!A:C,MATCH(點上線資訊!S667,刷條碼區!C:C,0),2),"")</f>
        <v/>
      </c>
      <c r="Z667" s="70" t="str">
        <f>IFERROR(INDEX(刷條碼區!D:G,MATCH(點上線資訊!S667,刷條碼區!F:F,0),1),"")</f>
        <v/>
      </c>
      <c r="AA667" s="71" t="str">
        <f>IFERROR(INDEX(刷條碼區!D:G,MATCH(點上線資訊!S667,刷條碼區!F:F,0),2),"")</f>
        <v/>
      </c>
      <c r="AB667" s="20" t="b">
        <f t="shared" si="62"/>
        <v>0</v>
      </c>
      <c r="AC667" s="20" t="b">
        <f t="shared" si="63"/>
        <v>0</v>
      </c>
      <c r="AD667" s="17" t="b">
        <f t="shared" si="64"/>
        <v>0</v>
      </c>
      <c r="AE667" s="17" t="b">
        <f t="shared" si="65"/>
        <v>0</v>
      </c>
    </row>
    <row r="668" spans="1:31" x14ac:dyDescent="0.2">
      <c r="A668" s="16">
        <v>5000500012</v>
      </c>
      <c r="B668" t="s">
        <v>6</v>
      </c>
      <c r="C668" t="s">
        <v>6</v>
      </c>
      <c r="D668" t="s">
        <v>1</v>
      </c>
      <c r="E668" t="s">
        <v>1133</v>
      </c>
      <c r="F668" t="s">
        <v>1134</v>
      </c>
      <c r="G668" s="2">
        <v>20</v>
      </c>
      <c r="H668" t="s">
        <v>461</v>
      </c>
      <c r="I668" t="s">
        <v>3</v>
      </c>
      <c r="J668" t="s">
        <v>19</v>
      </c>
      <c r="K668" t="s">
        <v>605</v>
      </c>
      <c r="L668" t="s">
        <v>608</v>
      </c>
      <c r="M668" t="s">
        <v>416</v>
      </c>
      <c r="N668" t="s">
        <v>602</v>
      </c>
      <c r="O668" t="s">
        <v>603</v>
      </c>
      <c r="P668" t="s">
        <v>602</v>
      </c>
      <c r="Q668" s="17">
        <f>IFERROR(VLOOKUP(A668,已除帳印單!B:C,1,0),0)*1</f>
        <v>0</v>
      </c>
      <c r="R668" s="67" t="str">
        <f>IFERROR(VLOOKUP(J668,線別!A:B,2,1),"")</f>
        <v>FM_IA預組</v>
      </c>
      <c r="S668" s="17" t="str">
        <f>IFERROR(VLOOKUP(A668,已除帳印單!B:C,2,0),"")</f>
        <v/>
      </c>
      <c r="T668" s="68">
        <f t="shared" si="66"/>
        <v>43893</v>
      </c>
      <c r="U668" s="69">
        <f t="shared" si="67"/>
        <v>84.168784722222213</v>
      </c>
      <c r="V668" s="68" t="str">
        <f>IFERROR(VLOOKUP(A668,已除帳印單!B:D,3,0),"")</f>
        <v/>
      </c>
      <c r="W668" s="69" t="str">
        <f>IFERROR(VLOOKUP(A668,已除帳印單!B:E,4,0),"")</f>
        <v/>
      </c>
      <c r="X668" s="68" t="str">
        <f>IFERROR(INDEX(刷條碼區!A:C,MATCH(點上線資訊!S668,刷條碼區!C:C,0),1),"")</f>
        <v/>
      </c>
      <c r="Y668" s="69" t="str">
        <f>IFERROR(INDEX(刷條碼區!A:C,MATCH(點上線資訊!S668,刷條碼區!C:C,0),2),"")</f>
        <v/>
      </c>
      <c r="Z668" s="70" t="str">
        <f>IFERROR(INDEX(刷條碼區!D:G,MATCH(點上線資訊!S668,刷條碼區!F:F,0),1),"")</f>
        <v/>
      </c>
      <c r="AA668" s="71" t="str">
        <f>IFERROR(INDEX(刷條碼區!D:G,MATCH(點上線資訊!S668,刷條碼區!F:F,0),2),"")</f>
        <v/>
      </c>
      <c r="AB668" s="20" t="b">
        <f t="shared" si="62"/>
        <v>0</v>
      </c>
      <c r="AC668" s="20" t="b">
        <f t="shared" si="63"/>
        <v>0</v>
      </c>
      <c r="AD668" s="17" t="b">
        <f t="shared" si="64"/>
        <v>0</v>
      </c>
      <c r="AE668" s="17" t="b">
        <f t="shared" si="65"/>
        <v>0</v>
      </c>
    </row>
    <row r="669" spans="1:31" x14ac:dyDescent="0.2">
      <c r="A669" s="16">
        <v>5000500015</v>
      </c>
      <c r="B669" t="s">
        <v>6</v>
      </c>
      <c r="C669" t="s">
        <v>6</v>
      </c>
      <c r="D669" t="s">
        <v>1</v>
      </c>
      <c r="E669" t="s">
        <v>1135</v>
      </c>
      <c r="F669" t="s">
        <v>1136</v>
      </c>
      <c r="G669" s="2">
        <v>20</v>
      </c>
      <c r="H669" t="s">
        <v>461</v>
      </c>
      <c r="I669" t="s">
        <v>3</v>
      </c>
      <c r="J669" t="s">
        <v>19</v>
      </c>
      <c r="K669" t="s">
        <v>605</v>
      </c>
      <c r="L669" t="s">
        <v>608</v>
      </c>
      <c r="M669" t="s">
        <v>416</v>
      </c>
      <c r="N669" t="s">
        <v>602</v>
      </c>
      <c r="O669" t="s">
        <v>603</v>
      </c>
      <c r="P669" t="s">
        <v>602</v>
      </c>
      <c r="Q669" s="17">
        <f>IFERROR(VLOOKUP(A669,已除帳印單!B:C,1,0),0)*1</f>
        <v>0</v>
      </c>
      <c r="R669" s="67" t="str">
        <f>IFERROR(VLOOKUP(J669,線別!A:B,2,1),"")</f>
        <v>FM_IA預組</v>
      </c>
      <c r="S669" s="17" t="str">
        <f>IFERROR(VLOOKUP(A669,已除帳印單!B:C,2,0),"")</f>
        <v/>
      </c>
      <c r="T669" s="68">
        <f t="shared" si="66"/>
        <v>43893</v>
      </c>
      <c r="U669" s="69">
        <f t="shared" si="67"/>
        <v>84.168784722222213</v>
      </c>
      <c r="V669" s="68" t="str">
        <f>IFERROR(VLOOKUP(A669,已除帳印單!B:D,3,0),"")</f>
        <v/>
      </c>
      <c r="W669" s="69" t="str">
        <f>IFERROR(VLOOKUP(A669,已除帳印單!B:E,4,0),"")</f>
        <v/>
      </c>
      <c r="X669" s="68" t="str">
        <f>IFERROR(INDEX(刷條碼區!A:C,MATCH(點上線資訊!S669,刷條碼區!C:C,0),1),"")</f>
        <v/>
      </c>
      <c r="Y669" s="69" t="str">
        <f>IFERROR(INDEX(刷條碼區!A:C,MATCH(點上線資訊!S669,刷條碼區!C:C,0),2),"")</f>
        <v/>
      </c>
      <c r="Z669" s="70" t="str">
        <f>IFERROR(INDEX(刷條碼區!D:G,MATCH(點上線資訊!S669,刷條碼區!F:F,0),1),"")</f>
        <v/>
      </c>
      <c r="AA669" s="71" t="str">
        <f>IFERROR(INDEX(刷條碼區!D:G,MATCH(點上線資訊!S669,刷條碼區!F:F,0),2),"")</f>
        <v/>
      </c>
      <c r="AB669" s="20" t="b">
        <f t="shared" si="62"/>
        <v>0</v>
      </c>
      <c r="AC669" s="20" t="b">
        <f t="shared" si="63"/>
        <v>0</v>
      </c>
      <c r="AD669" s="17" t="b">
        <f t="shared" si="64"/>
        <v>0</v>
      </c>
      <c r="AE669" s="17" t="b">
        <f t="shared" si="65"/>
        <v>0</v>
      </c>
    </row>
    <row r="670" spans="1:31" x14ac:dyDescent="0.2">
      <c r="A670" s="16">
        <v>5000500016</v>
      </c>
      <c r="B670" t="s">
        <v>301</v>
      </c>
      <c r="C670" t="s">
        <v>301</v>
      </c>
      <c r="D670" t="s">
        <v>1</v>
      </c>
      <c r="E670" t="s">
        <v>363</v>
      </c>
      <c r="F670" t="s">
        <v>364</v>
      </c>
      <c r="G670" s="2">
        <v>6</v>
      </c>
      <c r="H670" t="s">
        <v>461</v>
      </c>
      <c r="I670" t="s">
        <v>3</v>
      </c>
      <c r="J670" t="s">
        <v>19</v>
      </c>
      <c r="K670" t="s">
        <v>605</v>
      </c>
      <c r="L670" t="s">
        <v>608</v>
      </c>
      <c r="M670" t="s">
        <v>445</v>
      </c>
      <c r="N670" t="s">
        <v>602</v>
      </c>
      <c r="O670" t="s">
        <v>603</v>
      </c>
      <c r="P670" t="s">
        <v>602</v>
      </c>
      <c r="Q670" s="17">
        <f>IFERROR(VLOOKUP(A670,已除帳印單!B:C,1,0),0)*1</f>
        <v>0</v>
      </c>
      <c r="R670" s="67" t="str">
        <f>IFERROR(VLOOKUP(J670,線別!A:B,2,1),"")</f>
        <v>FM_IA預組</v>
      </c>
      <c r="S670" s="17" t="str">
        <f>IFERROR(VLOOKUP(A670,已除帳印單!B:C,2,0),"")</f>
        <v/>
      </c>
      <c r="T670" s="68">
        <f t="shared" si="66"/>
        <v>43894</v>
      </c>
      <c r="U670" s="69">
        <f t="shared" si="67"/>
        <v>84.168796296296293</v>
      </c>
      <c r="V670" s="68" t="str">
        <f>IFERROR(VLOOKUP(A670,已除帳印單!B:D,3,0),"")</f>
        <v/>
      </c>
      <c r="W670" s="69" t="str">
        <f>IFERROR(VLOOKUP(A670,已除帳印單!B:E,4,0),"")</f>
        <v/>
      </c>
      <c r="X670" s="68" t="str">
        <f>IFERROR(INDEX(刷條碼區!A:C,MATCH(點上線資訊!S670,刷條碼區!C:C,0),1),"")</f>
        <v/>
      </c>
      <c r="Y670" s="69" t="str">
        <f>IFERROR(INDEX(刷條碼區!A:C,MATCH(點上線資訊!S670,刷條碼區!C:C,0),2),"")</f>
        <v/>
      </c>
      <c r="Z670" s="70" t="str">
        <f>IFERROR(INDEX(刷條碼區!D:G,MATCH(點上線資訊!S670,刷條碼區!F:F,0),1),"")</f>
        <v/>
      </c>
      <c r="AA670" s="71" t="str">
        <f>IFERROR(INDEX(刷條碼區!D:G,MATCH(點上線資訊!S670,刷條碼區!F:F,0),2),"")</f>
        <v/>
      </c>
      <c r="AB670" s="20" t="b">
        <f t="shared" si="62"/>
        <v>0</v>
      </c>
      <c r="AC670" s="20" t="b">
        <f t="shared" si="63"/>
        <v>0</v>
      </c>
      <c r="AD670" s="17" t="b">
        <f t="shared" si="64"/>
        <v>0</v>
      </c>
      <c r="AE670" s="17" t="b">
        <f t="shared" si="65"/>
        <v>0</v>
      </c>
    </row>
    <row r="671" spans="1:31" x14ac:dyDescent="0.2">
      <c r="A671" s="16">
        <v>5000500028</v>
      </c>
      <c r="B671" t="s">
        <v>6</v>
      </c>
      <c r="C671" t="s">
        <v>6</v>
      </c>
      <c r="D671" t="s">
        <v>1</v>
      </c>
      <c r="E671" t="s">
        <v>1137</v>
      </c>
      <c r="F671" t="s">
        <v>1138</v>
      </c>
      <c r="G671" s="2">
        <v>2</v>
      </c>
      <c r="H671" t="s">
        <v>461</v>
      </c>
      <c r="I671" t="s">
        <v>3</v>
      </c>
      <c r="J671" t="s">
        <v>5</v>
      </c>
      <c r="K671" t="s">
        <v>605</v>
      </c>
      <c r="L671" t="s">
        <v>608</v>
      </c>
      <c r="M671" t="s">
        <v>1139</v>
      </c>
      <c r="N671" t="s">
        <v>602</v>
      </c>
      <c r="O671" t="s">
        <v>603</v>
      </c>
      <c r="P671" t="s">
        <v>602</v>
      </c>
      <c r="Q671" s="17">
        <f>IFERROR(VLOOKUP(A671,已除帳印單!B:C,1,0),0)*1</f>
        <v>0</v>
      </c>
      <c r="R671" s="67" t="str">
        <f>IFERROR(VLOOKUP(J671,線別!A:B,2,1),"")</f>
        <v>FM線</v>
      </c>
      <c r="S671" s="17" t="str">
        <f>IFERROR(VLOOKUP(A671,已除帳印單!B:C,2,0),"")</f>
        <v/>
      </c>
      <c r="T671" s="68">
        <f t="shared" si="66"/>
        <v>43893</v>
      </c>
      <c r="U671" s="69">
        <f t="shared" si="67"/>
        <v>84.168784722222213</v>
      </c>
      <c r="V671" s="68" t="str">
        <f>IFERROR(VLOOKUP(A671,已除帳印單!B:D,3,0),"")</f>
        <v/>
      </c>
      <c r="W671" s="69" t="str">
        <f>IFERROR(VLOOKUP(A671,已除帳印單!B:E,4,0),"")</f>
        <v/>
      </c>
      <c r="X671" s="68" t="str">
        <f>IFERROR(INDEX(刷條碼區!A:C,MATCH(點上線資訊!S671,刷條碼區!C:C,0),1),"")</f>
        <v/>
      </c>
      <c r="Y671" s="69" t="str">
        <f>IFERROR(INDEX(刷條碼區!A:C,MATCH(點上線資訊!S671,刷條碼區!C:C,0),2),"")</f>
        <v/>
      </c>
      <c r="Z671" s="70" t="str">
        <f>IFERROR(INDEX(刷條碼區!D:G,MATCH(點上線資訊!S671,刷條碼區!F:F,0),1),"")</f>
        <v/>
      </c>
      <c r="AA671" s="71" t="str">
        <f>IFERROR(INDEX(刷條碼區!D:G,MATCH(點上線資訊!S671,刷條碼區!F:F,0),2),"")</f>
        <v/>
      </c>
      <c r="AB671" s="20" t="b">
        <f t="shared" si="62"/>
        <v>0</v>
      </c>
      <c r="AC671" s="20" t="b">
        <f t="shared" si="63"/>
        <v>0</v>
      </c>
      <c r="AD671" s="17" t="b">
        <f t="shared" si="64"/>
        <v>0</v>
      </c>
      <c r="AE671" s="17" t="b">
        <f t="shared" si="65"/>
        <v>0</v>
      </c>
    </row>
    <row r="672" spans="1:31" x14ac:dyDescent="0.2">
      <c r="A672" s="16">
        <v>5000500029</v>
      </c>
      <c r="B672" t="s">
        <v>6</v>
      </c>
      <c r="C672" t="s">
        <v>6</v>
      </c>
      <c r="D672" t="s">
        <v>1</v>
      </c>
      <c r="E672" t="s">
        <v>1140</v>
      </c>
      <c r="F672" t="s">
        <v>1141</v>
      </c>
      <c r="G672" s="2">
        <v>4</v>
      </c>
      <c r="H672" t="s">
        <v>461</v>
      </c>
      <c r="I672" t="s">
        <v>3</v>
      </c>
      <c r="J672" t="s">
        <v>19</v>
      </c>
      <c r="K672" t="s">
        <v>605</v>
      </c>
      <c r="L672" t="s">
        <v>608</v>
      </c>
      <c r="M672" t="s">
        <v>1063</v>
      </c>
      <c r="N672" t="s">
        <v>602</v>
      </c>
      <c r="O672" t="s">
        <v>603</v>
      </c>
      <c r="P672" t="s">
        <v>602</v>
      </c>
      <c r="Q672" s="17">
        <f>IFERROR(VLOOKUP(A672,已除帳印單!B:C,1,0),0)*1</f>
        <v>0</v>
      </c>
      <c r="R672" s="67" t="str">
        <f>IFERROR(VLOOKUP(J672,線別!A:B,2,1),"")</f>
        <v>FM_IA預組</v>
      </c>
      <c r="S672" s="17" t="str">
        <f>IFERROR(VLOOKUP(A672,已除帳印單!B:C,2,0),"")</f>
        <v/>
      </c>
      <c r="T672" s="68">
        <f t="shared" si="66"/>
        <v>43893</v>
      </c>
      <c r="U672" s="69">
        <f t="shared" si="67"/>
        <v>84.168784722222213</v>
      </c>
      <c r="V672" s="68" t="str">
        <f>IFERROR(VLOOKUP(A672,已除帳印單!B:D,3,0),"")</f>
        <v/>
      </c>
      <c r="W672" s="69" t="str">
        <f>IFERROR(VLOOKUP(A672,已除帳印單!B:E,4,0),"")</f>
        <v/>
      </c>
      <c r="X672" s="68" t="str">
        <f>IFERROR(INDEX(刷條碼區!A:C,MATCH(點上線資訊!S672,刷條碼區!C:C,0),1),"")</f>
        <v/>
      </c>
      <c r="Y672" s="69" t="str">
        <f>IFERROR(INDEX(刷條碼區!A:C,MATCH(點上線資訊!S672,刷條碼區!C:C,0),2),"")</f>
        <v/>
      </c>
      <c r="Z672" s="70" t="str">
        <f>IFERROR(INDEX(刷條碼區!D:G,MATCH(點上線資訊!S672,刷條碼區!F:F,0),1),"")</f>
        <v/>
      </c>
      <c r="AA672" s="71" t="str">
        <f>IFERROR(INDEX(刷條碼區!D:G,MATCH(點上線資訊!S672,刷條碼區!F:F,0),2),"")</f>
        <v/>
      </c>
      <c r="AB672" s="20" t="b">
        <f t="shared" si="62"/>
        <v>0</v>
      </c>
      <c r="AC672" s="20" t="b">
        <f t="shared" si="63"/>
        <v>0</v>
      </c>
      <c r="AD672" s="17" t="b">
        <f t="shared" si="64"/>
        <v>0</v>
      </c>
      <c r="AE672" s="17" t="b">
        <f t="shared" si="65"/>
        <v>0</v>
      </c>
    </row>
    <row r="673" spans="1:31" x14ac:dyDescent="0.2">
      <c r="A673" s="16">
        <v>5000500030</v>
      </c>
      <c r="B673" t="s">
        <v>6</v>
      </c>
      <c r="C673" t="s">
        <v>6</v>
      </c>
      <c r="D673" t="s">
        <v>1</v>
      </c>
      <c r="E673" t="s">
        <v>1142</v>
      </c>
      <c r="F673" t="s">
        <v>1143</v>
      </c>
      <c r="G673" s="2">
        <v>2</v>
      </c>
      <c r="H673" t="s">
        <v>461</v>
      </c>
      <c r="I673" t="s">
        <v>3</v>
      </c>
      <c r="J673" t="s">
        <v>5</v>
      </c>
      <c r="K673" t="s">
        <v>605</v>
      </c>
      <c r="L673" t="s">
        <v>608</v>
      </c>
      <c r="M673" t="s">
        <v>1144</v>
      </c>
      <c r="N673" t="s">
        <v>602</v>
      </c>
      <c r="O673" t="s">
        <v>603</v>
      </c>
      <c r="P673" t="s">
        <v>602</v>
      </c>
      <c r="Q673" s="17">
        <f>IFERROR(VLOOKUP(A673,已除帳印單!B:C,1,0),0)*1</f>
        <v>0</v>
      </c>
      <c r="R673" s="67" t="str">
        <f>IFERROR(VLOOKUP(J673,線別!A:B,2,1),"")</f>
        <v>FM線</v>
      </c>
      <c r="S673" s="17" t="str">
        <f>IFERROR(VLOOKUP(A673,已除帳印單!B:C,2,0),"")</f>
        <v/>
      </c>
      <c r="T673" s="68">
        <f t="shared" si="66"/>
        <v>43893</v>
      </c>
      <c r="U673" s="69">
        <f t="shared" si="67"/>
        <v>84.168784722222213</v>
      </c>
      <c r="V673" s="68" t="str">
        <f>IFERROR(VLOOKUP(A673,已除帳印單!B:D,3,0),"")</f>
        <v/>
      </c>
      <c r="W673" s="69" t="str">
        <f>IFERROR(VLOOKUP(A673,已除帳印單!B:E,4,0),"")</f>
        <v/>
      </c>
      <c r="X673" s="68" t="str">
        <f>IFERROR(INDEX(刷條碼區!A:C,MATCH(點上線資訊!S673,刷條碼區!C:C,0),1),"")</f>
        <v/>
      </c>
      <c r="Y673" s="69" t="str">
        <f>IFERROR(INDEX(刷條碼區!A:C,MATCH(點上線資訊!S673,刷條碼區!C:C,0),2),"")</f>
        <v/>
      </c>
      <c r="Z673" s="70" t="str">
        <f>IFERROR(INDEX(刷條碼區!D:G,MATCH(點上線資訊!S673,刷條碼區!F:F,0),1),"")</f>
        <v/>
      </c>
      <c r="AA673" s="71" t="str">
        <f>IFERROR(INDEX(刷條碼區!D:G,MATCH(點上線資訊!S673,刷條碼區!F:F,0),2),"")</f>
        <v/>
      </c>
      <c r="AB673" s="20" t="b">
        <f t="shared" si="62"/>
        <v>0</v>
      </c>
      <c r="AC673" s="20" t="b">
        <f t="shared" si="63"/>
        <v>0</v>
      </c>
      <c r="AD673" s="17" t="b">
        <f t="shared" si="64"/>
        <v>0</v>
      </c>
      <c r="AE673" s="17" t="b">
        <f t="shared" si="65"/>
        <v>0</v>
      </c>
    </row>
    <row r="674" spans="1:31" x14ac:dyDescent="0.2">
      <c r="A674" s="16">
        <v>5000500031</v>
      </c>
      <c r="B674" t="s">
        <v>6</v>
      </c>
      <c r="C674" t="s">
        <v>6</v>
      </c>
      <c r="D674" t="s">
        <v>1</v>
      </c>
      <c r="E674" t="s">
        <v>1145</v>
      </c>
      <c r="F674" t="s">
        <v>1138</v>
      </c>
      <c r="G674" s="2">
        <v>2</v>
      </c>
      <c r="H674" t="s">
        <v>461</v>
      </c>
      <c r="I674" t="s">
        <v>3</v>
      </c>
      <c r="J674" t="s">
        <v>5</v>
      </c>
      <c r="K674" t="s">
        <v>605</v>
      </c>
      <c r="L674" t="s">
        <v>608</v>
      </c>
      <c r="M674" t="s">
        <v>1144</v>
      </c>
      <c r="N674" t="s">
        <v>602</v>
      </c>
      <c r="O674" t="s">
        <v>603</v>
      </c>
      <c r="P674" t="s">
        <v>602</v>
      </c>
      <c r="Q674" s="17">
        <f>IFERROR(VLOOKUP(A674,已除帳印單!B:C,1,0),0)*1</f>
        <v>0</v>
      </c>
      <c r="R674" s="67" t="str">
        <f>IFERROR(VLOOKUP(J674,線別!A:B,2,1),"")</f>
        <v>FM線</v>
      </c>
      <c r="S674" s="17" t="str">
        <f>IFERROR(VLOOKUP(A674,已除帳印單!B:C,2,0),"")</f>
        <v/>
      </c>
      <c r="T674" s="68">
        <f t="shared" si="66"/>
        <v>43893</v>
      </c>
      <c r="U674" s="69">
        <f t="shared" si="67"/>
        <v>84.168784722222213</v>
      </c>
      <c r="V674" s="68" t="str">
        <f>IFERROR(VLOOKUP(A674,已除帳印單!B:D,3,0),"")</f>
        <v/>
      </c>
      <c r="W674" s="69" t="str">
        <f>IFERROR(VLOOKUP(A674,已除帳印單!B:E,4,0),"")</f>
        <v/>
      </c>
      <c r="X674" s="68" t="str">
        <f>IFERROR(INDEX(刷條碼區!A:C,MATCH(點上線資訊!S674,刷條碼區!C:C,0),1),"")</f>
        <v/>
      </c>
      <c r="Y674" s="69" t="str">
        <f>IFERROR(INDEX(刷條碼區!A:C,MATCH(點上線資訊!S674,刷條碼區!C:C,0),2),"")</f>
        <v/>
      </c>
      <c r="Z674" s="70" t="str">
        <f>IFERROR(INDEX(刷條碼區!D:G,MATCH(點上線資訊!S674,刷條碼區!F:F,0),1),"")</f>
        <v/>
      </c>
      <c r="AA674" s="71" t="str">
        <f>IFERROR(INDEX(刷條碼區!D:G,MATCH(點上線資訊!S674,刷條碼區!F:F,0),2),"")</f>
        <v/>
      </c>
      <c r="AB674" s="20" t="b">
        <f t="shared" si="62"/>
        <v>0</v>
      </c>
      <c r="AC674" s="20" t="b">
        <f t="shared" si="63"/>
        <v>0</v>
      </c>
      <c r="AD674" s="17" t="b">
        <f t="shared" si="64"/>
        <v>0</v>
      </c>
      <c r="AE674" s="17" t="b">
        <f t="shared" si="65"/>
        <v>0</v>
      </c>
    </row>
    <row r="675" spans="1:31" x14ac:dyDescent="0.2">
      <c r="A675" s="16">
        <v>5000500033</v>
      </c>
      <c r="B675" t="s">
        <v>6</v>
      </c>
      <c r="C675" t="s">
        <v>6</v>
      </c>
      <c r="D675" t="s">
        <v>1</v>
      </c>
      <c r="E675" t="s">
        <v>1146</v>
      </c>
      <c r="F675" t="s">
        <v>1143</v>
      </c>
      <c r="G675" s="2">
        <v>1</v>
      </c>
      <c r="H675" t="s">
        <v>461</v>
      </c>
      <c r="I675" t="s">
        <v>3</v>
      </c>
      <c r="J675" t="s">
        <v>5</v>
      </c>
      <c r="K675" t="s">
        <v>605</v>
      </c>
      <c r="L675" t="s">
        <v>608</v>
      </c>
      <c r="M675" t="s">
        <v>1144</v>
      </c>
      <c r="N675" t="s">
        <v>602</v>
      </c>
      <c r="O675" t="s">
        <v>603</v>
      </c>
      <c r="P675" t="s">
        <v>602</v>
      </c>
      <c r="Q675" s="17">
        <f>IFERROR(VLOOKUP(A675,已除帳印單!B:C,1,0),0)*1</f>
        <v>0</v>
      </c>
      <c r="R675" s="67" t="str">
        <f>IFERROR(VLOOKUP(J675,線別!A:B,2,1),"")</f>
        <v>FM線</v>
      </c>
      <c r="S675" s="17" t="str">
        <f>IFERROR(VLOOKUP(A675,已除帳印單!B:C,2,0),"")</f>
        <v/>
      </c>
      <c r="T675" s="68">
        <f t="shared" si="66"/>
        <v>43893</v>
      </c>
      <c r="U675" s="69">
        <f t="shared" si="67"/>
        <v>84.168784722222213</v>
      </c>
      <c r="V675" s="68" t="str">
        <f>IFERROR(VLOOKUP(A675,已除帳印單!B:D,3,0),"")</f>
        <v/>
      </c>
      <c r="W675" s="69" t="str">
        <f>IFERROR(VLOOKUP(A675,已除帳印單!B:E,4,0),"")</f>
        <v/>
      </c>
      <c r="X675" s="68" t="str">
        <f>IFERROR(INDEX(刷條碼區!A:C,MATCH(點上線資訊!S675,刷條碼區!C:C,0),1),"")</f>
        <v/>
      </c>
      <c r="Y675" s="69" t="str">
        <f>IFERROR(INDEX(刷條碼區!A:C,MATCH(點上線資訊!S675,刷條碼區!C:C,0),2),"")</f>
        <v/>
      </c>
      <c r="Z675" s="70" t="str">
        <f>IFERROR(INDEX(刷條碼區!D:G,MATCH(點上線資訊!S675,刷條碼區!F:F,0),1),"")</f>
        <v/>
      </c>
      <c r="AA675" s="71" t="str">
        <f>IFERROR(INDEX(刷條碼區!D:G,MATCH(點上線資訊!S675,刷條碼區!F:F,0),2),"")</f>
        <v/>
      </c>
      <c r="AB675" s="20" t="b">
        <f t="shared" si="62"/>
        <v>0</v>
      </c>
      <c r="AC675" s="20" t="b">
        <f t="shared" si="63"/>
        <v>0</v>
      </c>
      <c r="AD675" s="17" t="b">
        <f t="shared" si="64"/>
        <v>0</v>
      </c>
      <c r="AE675" s="17" t="b">
        <f t="shared" si="65"/>
        <v>0</v>
      </c>
    </row>
    <row r="676" spans="1:31" x14ac:dyDescent="0.2">
      <c r="A676" s="16">
        <v>5000500034</v>
      </c>
      <c r="B676" t="s">
        <v>6</v>
      </c>
      <c r="C676" t="s">
        <v>6</v>
      </c>
      <c r="D676" t="s">
        <v>1</v>
      </c>
      <c r="E676" t="s">
        <v>1137</v>
      </c>
      <c r="F676" t="s">
        <v>1138</v>
      </c>
      <c r="G676" s="2">
        <v>2</v>
      </c>
      <c r="H676" t="s">
        <v>461</v>
      </c>
      <c r="I676" t="s">
        <v>3</v>
      </c>
      <c r="J676" t="s">
        <v>5</v>
      </c>
      <c r="K676" t="s">
        <v>605</v>
      </c>
      <c r="L676" t="s">
        <v>608</v>
      </c>
      <c r="M676" t="s">
        <v>1144</v>
      </c>
      <c r="N676" t="s">
        <v>602</v>
      </c>
      <c r="O676" t="s">
        <v>603</v>
      </c>
      <c r="P676" t="s">
        <v>602</v>
      </c>
      <c r="Q676" s="17">
        <f>IFERROR(VLOOKUP(A676,已除帳印單!B:C,1,0),0)*1</f>
        <v>0</v>
      </c>
      <c r="R676" s="67" t="str">
        <f>IFERROR(VLOOKUP(J676,線別!A:B,2,1),"")</f>
        <v>FM線</v>
      </c>
      <c r="S676" s="17" t="str">
        <f>IFERROR(VLOOKUP(A676,已除帳印單!B:C,2,0),"")</f>
        <v/>
      </c>
      <c r="T676" s="68">
        <f t="shared" si="66"/>
        <v>43893</v>
      </c>
      <c r="U676" s="69">
        <f t="shared" si="67"/>
        <v>84.168784722222213</v>
      </c>
      <c r="V676" s="68" t="str">
        <f>IFERROR(VLOOKUP(A676,已除帳印單!B:D,3,0),"")</f>
        <v/>
      </c>
      <c r="W676" s="69" t="str">
        <f>IFERROR(VLOOKUP(A676,已除帳印單!B:E,4,0),"")</f>
        <v/>
      </c>
      <c r="X676" s="68" t="str">
        <f>IFERROR(INDEX(刷條碼區!A:C,MATCH(點上線資訊!S676,刷條碼區!C:C,0),1),"")</f>
        <v/>
      </c>
      <c r="Y676" s="69" t="str">
        <f>IFERROR(INDEX(刷條碼區!A:C,MATCH(點上線資訊!S676,刷條碼區!C:C,0),2),"")</f>
        <v/>
      </c>
      <c r="Z676" s="70" t="str">
        <f>IFERROR(INDEX(刷條碼區!D:G,MATCH(點上線資訊!S676,刷條碼區!F:F,0),1),"")</f>
        <v/>
      </c>
      <c r="AA676" s="71" t="str">
        <f>IFERROR(INDEX(刷條碼區!D:G,MATCH(點上線資訊!S676,刷條碼區!F:F,0),2),"")</f>
        <v/>
      </c>
      <c r="AB676" s="20" t="b">
        <f t="shared" si="62"/>
        <v>0</v>
      </c>
      <c r="AC676" s="20" t="b">
        <f t="shared" si="63"/>
        <v>0</v>
      </c>
      <c r="AD676" s="17" t="b">
        <f t="shared" si="64"/>
        <v>0</v>
      </c>
      <c r="AE676" s="17" t="b">
        <f t="shared" si="65"/>
        <v>0</v>
      </c>
    </row>
    <row r="677" spans="1:31" x14ac:dyDescent="0.2">
      <c r="A677" s="16">
        <v>5000500035</v>
      </c>
      <c r="B677" t="s">
        <v>6</v>
      </c>
      <c r="C677" t="s">
        <v>6</v>
      </c>
      <c r="D677" t="s">
        <v>1</v>
      </c>
      <c r="E677" t="s">
        <v>1147</v>
      </c>
      <c r="F677" t="s">
        <v>1138</v>
      </c>
      <c r="G677" s="2">
        <v>2</v>
      </c>
      <c r="H677" t="s">
        <v>461</v>
      </c>
      <c r="I677" t="s">
        <v>3</v>
      </c>
      <c r="J677" t="s">
        <v>5</v>
      </c>
      <c r="K677" t="s">
        <v>605</v>
      </c>
      <c r="L677" t="s">
        <v>608</v>
      </c>
      <c r="M677" t="s">
        <v>1144</v>
      </c>
      <c r="N677" t="s">
        <v>602</v>
      </c>
      <c r="O677" t="s">
        <v>603</v>
      </c>
      <c r="P677" t="s">
        <v>602</v>
      </c>
      <c r="Q677" s="17">
        <f>IFERROR(VLOOKUP(A677,已除帳印單!B:C,1,0),0)*1</f>
        <v>0</v>
      </c>
      <c r="R677" s="67" t="str">
        <f>IFERROR(VLOOKUP(J677,線別!A:B,2,1),"")</f>
        <v>FM線</v>
      </c>
      <c r="S677" s="17" t="str">
        <f>IFERROR(VLOOKUP(A677,已除帳印單!B:C,2,0),"")</f>
        <v/>
      </c>
      <c r="T677" s="68">
        <f t="shared" si="66"/>
        <v>43893</v>
      </c>
      <c r="U677" s="69">
        <f t="shared" si="67"/>
        <v>84.168784722222213</v>
      </c>
      <c r="V677" s="68" t="str">
        <f>IFERROR(VLOOKUP(A677,已除帳印單!B:D,3,0),"")</f>
        <v/>
      </c>
      <c r="W677" s="69" t="str">
        <f>IFERROR(VLOOKUP(A677,已除帳印單!B:E,4,0),"")</f>
        <v/>
      </c>
      <c r="X677" s="68" t="str">
        <f>IFERROR(INDEX(刷條碼區!A:C,MATCH(點上線資訊!S677,刷條碼區!C:C,0),1),"")</f>
        <v/>
      </c>
      <c r="Y677" s="69" t="str">
        <f>IFERROR(INDEX(刷條碼區!A:C,MATCH(點上線資訊!S677,刷條碼區!C:C,0),2),"")</f>
        <v/>
      </c>
      <c r="Z677" s="70" t="str">
        <f>IFERROR(INDEX(刷條碼區!D:G,MATCH(點上線資訊!S677,刷條碼區!F:F,0),1),"")</f>
        <v/>
      </c>
      <c r="AA677" s="71" t="str">
        <f>IFERROR(INDEX(刷條碼區!D:G,MATCH(點上線資訊!S677,刷條碼區!F:F,0),2),"")</f>
        <v/>
      </c>
      <c r="AB677" s="20" t="b">
        <f t="shared" si="62"/>
        <v>0</v>
      </c>
      <c r="AC677" s="20" t="b">
        <f t="shared" si="63"/>
        <v>0</v>
      </c>
      <c r="AD677" s="17" t="b">
        <f t="shared" si="64"/>
        <v>0</v>
      </c>
      <c r="AE677" s="17" t="b">
        <f t="shared" si="65"/>
        <v>0</v>
      </c>
    </row>
    <row r="678" spans="1:31" x14ac:dyDescent="0.2">
      <c r="A678" s="16">
        <v>5000500036</v>
      </c>
      <c r="B678" t="s">
        <v>6</v>
      </c>
      <c r="C678" t="s">
        <v>6</v>
      </c>
      <c r="D678" t="s">
        <v>1</v>
      </c>
      <c r="E678" t="s">
        <v>1148</v>
      </c>
      <c r="F678" t="s">
        <v>1141</v>
      </c>
      <c r="G678" s="2">
        <v>1</v>
      </c>
      <c r="H678" t="s">
        <v>461</v>
      </c>
      <c r="I678" t="s">
        <v>3</v>
      </c>
      <c r="J678" t="s">
        <v>19</v>
      </c>
      <c r="K678" t="s">
        <v>605</v>
      </c>
      <c r="L678" t="s">
        <v>608</v>
      </c>
      <c r="M678" t="s">
        <v>1063</v>
      </c>
      <c r="N678" t="s">
        <v>602</v>
      </c>
      <c r="O678" t="s">
        <v>603</v>
      </c>
      <c r="P678" t="s">
        <v>602</v>
      </c>
      <c r="Q678" s="17">
        <f>IFERROR(VLOOKUP(A678,已除帳印單!B:C,1,0),0)*1</f>
        <v>0</v>
      </c>
      <c r="R678" s="67" t="str">
        <f>IFERROR(VLOOKUP(J678,線別!A:B,2,1),"")</f>
        <v>FM_IA預組</v>
      </c>
      <c r="S678" s="17" t="str">
        <f>IFERROR(VLOOKUP(A678,已除帳印單!B:C,2,0),"")</f>
        <v/>
      </c>
      <c r="T678" s="68">
        <f t="shared" si="66"/>
        <v>43893</v>
      </c>
      <c r="U678" s="69">
        <f t="shared" si="67"/>
        <v>84.168784722222213</v>
      </c>
      <c r="V678" s="68" t="str">
        <f>IFERROR(VLOOKUP(A678,已除帳印單!B:D,3,0),"")</f>
        <v/>
      </c>
      <c r="W678" s="69" t="str">
        <f>IFERROR(VLOOKUP(A678,已除帳印單!B:E,4,0),"")</f>
        <v/>
      </c>
      <c r="X678" s="68" t="str">
        <f>IFERROR(INDEX(刷條碼區!A:C,MATCH(點上線資訊!S678,刷條碼區!C:C,0),1),"")</f>
        <v/>
      </c>
      <c r="Y678" s="69" t="str">
        <f>IFERROR(INDEX(刷條碼區!A:C,MATCH(點上線資訊!S678,刷條碼區!C:C,0),2),"")</f>
        <v/>
      </c>
      <c r="Z678" s="70" t="str">
        <f>IFERROR(INDEX(刷條碼區!D:G,MATCH(點上線資訊!S678,刷條碼區!F:F,0),1),"")</f>
        <v/>
      </c>
      <c r="AA678" s="71" t="str">
        <f>IFERROR(INDEX(刷條碼區!D:G,MATCH(點上線資訊!S678,刷條碼區!F:F,0),2),"")</f>
        <v/>
      </c>
      <c r="AB678" s="20" t="b">
        <f t="shared" si="62"/>
        <v>0</v>
      </c>
      <c r="AC678" s="20" t="b">
        <f t="shared" si="63"/>
        <v>0</v>
      </c>
      <c r="AD678" s="17" t="b">
        <f t="shared" si="64"/>
        <v>0</v>
      </c>
      <c r="AE678" s="17" t="b">
        <f t="shared" si="65"/>
        <v>0</v>
      </c>
    </row>
    <row r="679" spans="1:31" x14ac:dyDescent="0.2">
      <c r="A679" s="16">
        <v>5000500037</v>
      </c>
      <c r="B679" t="s">
        <v>6</v>
      </c>
      <c r="C679" t="s">
        <v>6</v>
      </c>
      <c r="D679" t="s">
        <v>1</v>
      </c>
      <c r="E679" t="s">
        <v>1148</v>
      </c>
      <c r="F679" t="s">
        <v>1141</v>
      </c>
      <c r="G679" s="2">
        <v>1</v>
      </c>
      <c r="H679" t="s">
        <v>461</v>
      </c>
      <c r="I679" t="s">
        <v>3</v>
      </c>
      <c r="J679" t="s">
        <v>19</v>
      </c>
      <c r="K679" t="s">
        <v>605</v>
      </c>
      <c r="L679" t="s">
        <v>608</v>
      </c>
      <c r="M679" t="s">
        <v>1063</v>
      </c>
      <c r="N679" t="s">
        <v>602</v>
      </c>
      <c r="O679" t="s">
        <v>603</v>
      </c>
      <c r="P679" t="s">
        <v>602</v>
      </c>
      <c r="Q679" s="17">
        <f>IFERROR(VLOOKUP(A679,已除帳印單!B:C,1,0),0)*1</f>
        <v>0</v>
      </c>
      <c r="R679" s="67" t="str">
        <f>IFERROR(VLOOKUP(J679,線別!A:B,2,1),"")</f>
        <v>FM_IA預組</v>
      </c>
      <c r="S679" s="17" t="str">
        <f>IFERROR(VLOOKUP(A679,已除帳印單!B:C,2,0),"")</f>
        <v/>
      </c>
      <c r="T679" s="68">
        <f t="shared" si="66"/>
        <v>43893</v>
      </c>
      <c r="U679" s="69">
        <f t="shared" si="67"/>
        <v>84.168784722222213</v>
      </c>
      <c r="V679" s="68" t="str">
        <f>IFERROR(VLOOKUP(A679,已除帳印單!B:D,3,0),"")</f>
        <v/>
      </c>
      <c r="W679" s="69" t="str">
        <f>IFERROR(VLOOKUP(A679,已除帳印單!B:E,4,0),"")</f>
        <v/>
      </c>
      <c r="X679" s="68" t="str">
        <f>IFERROR(INDEX(刷條碼區!A:C,MATCH(點上線資訊!S679,刷條碼區!C:C,0),1),"")</f>
        <v/>
      </c>
      <c r="Y679" s="69" t="str">
        <f>IFERROR(INDEX(刷條碼區!A:C,MATCH(點上線資訊!S679,刷條碼區!C:C,0),2),"")</f>
        <v/>
      </c>
      <c r="Z679" s="70" t="str">
        <f>IFERROR(INDEX(刷條碼區!D:G,MATCH(點上線資訊!S679,刷條碼區!F:F,0),1),"")</f>
        <v/>
      </c>
      <c r="AA679" s="71" t="str">
        <f>IFERROR(INDEX(刷條碼區!D:G,MATCH(點上線資訊!S679,刷條碼區!F:F,0),2),"")</f>
        <v/>
      </c>
      <c r="AB679" s="20" t="b">
        <f t="shared" si="62"/>
        <v>0</v>
      </c>
      <c r="AC679" s="20" t="b">
        <f t="shared" si="63"/>
        <v>0</v>
      </c>
      <c r="AD679" s="17" t="b">
        <f t="shared" si="64"/>
        <v>0</v>
      </c>
      <c r="AE679" s="17" t="b">
        <f t="shared" si="65"/>
        <v>0</v>
      </c>
    </row>
    <row r="680" spans="1:31" x14ac:dyDescent="0.2">
      <c r="A680" s="16">
        <v>5000500066</v>
      </c>
      <c r="B680" t="s">
        <v>6</v>
      </c>
      <c r="C680" t="s">
        <v>6</v>
      </c>
      <c r="D680" t="s">
        <v>1</v>
      </c>
      <c r="E680" t="s">
        <v>1149</v>
      </c>
      <c r="F680" t="s">
        <v>1150</v>
      </c>
      <c r="G680" s="2">
        <v>20</v>
      </c>
      <c r="H680" t="s">
        <v>461</v>
      </c>
      <c r="I680" t="s">
        <v>3</v>
      </c>
      <c r="J680" t="s">
        <v>8</v>
      </c>
      <c r="K680" t="s">
        <v>605</v>
      </c>
      <c r="L680" t="s">
        <v>608</v>
      </c>
      <c r="M680" t="s">
        <v>429</v>
      </c>
      <c r="N680" t="s">
        <v>602</v>
      </c>
      <c r="O680" t="s">
        <v>603</v>
      </c>
      <c r="P680" t="s">
        <v>602</v>
      </c>
      <c r="Q680" s="17">
        <f>IFERROR(VLOOKUP(A680,已除帳印單!B:C,1,0),0)*1</f>
        <v>0</v>
      </c>
      <c r="R680" s="67" t="str">
        <f>IFERROR(VLOOKUP(J680,線別!A:B,2,1),"")</f>
        <v>裝一線</v>
      </c>
      <c r="S680" s="17" t="str">
        <f>IFERROR(VLOOKUP(A680,已除帳印單!B:C,2,0),"")</f>
        <v/>
      </c>
      <c r="T680" s="68">
        <f t="shared" si="66"/>
        <v>43893</v>
      </c>
      <c r="U680" s="69">
        <f t="shared" si="67"/>
        <v>84.168784722222213</v>
      </c>
      <c r="V680" s="68" t="str">
        <f>IFERROR(VLOOKUP(A680,已除帳印單!B:D,3,0),"")</f>
        <v/>
      </c>
      <c r="W680" s="69" t="str">
        <f>IFERROR(VLOOKUP(A680,已除帳印單!B:E,4,0),"")</f>
        <v/>
      </c>
      <c r="X680" s="68" t="str">
        <f>IFERROR(INDEX(刷條碼區!A:C,MATCH(點上線資訊!S680,刷條碼區!C:C,0),1),"")</f>
        <v/>
      </c>
      <c r="Y680" s="69" t="str">
        <f>IFERROR(INDEX(刷條碼區!A:C,MATCH(點上線資訊!S680,刷條碼區!C:C,0),2),"")</f>
        <v/>
      </c>
      <c r="Z680" s="70" t="str">
        <f>IFERROR(INDEX(刷條碼區!D:G,MATCH(點上線資訊!S680,刷條碼區!F:F,0),1),"")</f>
        <v/>
      </c>
      <c r="AA680" s="71" t="str">
        <f>IFERROR(INDEX(刷條碼區!D:G,MATCH(點上線資訊!S680,刷條碼區!F:F,0),2),"")</f>
        <v/>
      </c>
      <c r="AB680" s="20" t="b">
        <f t="shared" si="62"/>
        <v>0</v>
      </c>
      <c r="AC680" s="20" t="b">
        <f t="shared" si="63"/>
        <v>0</v>
      </c>
      <c r="AD680" s="17" t="b">
        <f t="shared" si="64"/>
        <v>0</v>
      </c>
      <c r="AE680" s="17" t="b">
        <f t="shared" si="65"/>
        <v>0</v>
      </c>
    </row>
    <row r="681" spans="1:31" x14ac:dyDescent="0.2">
      <c r="A681" s="16">
        <v>5000500069</v>
      </c>
      <c r="B681" t="s">
        <v>6</v>
      </c>
      <c r="C681" t="s">
        <v>6</v>
      </c>
      <c r="D681" t="s">
        <v>1</v>
      </c>
      <c r="E681" t="s">
        <v>1151</v>
      </c>
      <c r="F681" t="s">
        <v>1152</v>
      </c>
      <c r="G681" s="2">
        <v>20</v>
      </c>
      <c r="H681" t="s">
        <v>461</v>
      </c>
      <c r="I681" t="s">
        <v>3</v>
      </c>
      <c r="J681" t="s">
        <v>136</v>
      </c>
      <c r="K681" t="s">
        <v>605</v>
      </c>
      <c r="L681" t="s">
        <v>608</v>
      </c>
      <c r="M681" t="s">
        <v>419</v>
      </c>
      <c r="N681" t="s">
        <v>602</v>
      </c>
      <c r="O681" t="s">
        <v>603</v>
      </c>
      <c r="P681" t="s">
        <v>602</v>
      </c>
      <c r="Q681" s="17">
        <f>IFERROR(VLOOKUP(A681,已除帳印單!B:C,1,0),0)*1</f>
        <v>0</v>
      </c>
      <c r="R681" s="67" t="str">
        <f>IFERROR(VLOOKUP(J681,線別!A:B,2,1),"")</f>
        <v>SCB線</v>
      </c>
      <c r="S681" s="17" t="str">
        <f>IFERROR(VLOOKUP(A681,已除帳印單!B:C,2,0),"")</f>
        <v/>
      </c>
      <c r="T681" s="68">
        <f t="shared" si="66"/>
        <v>43893</v>
      </c>
      <c r="U681" s="69">
        <f t="shared" si="67"/>
        <v>84.168784722222213</v>
      </c>
      <c r="V681" s="68" t="str">
        <f>IFERROR(VLOOKUP(A681,已除帳印單!B:D,3,0),"")</f>
        <v/>
      </c>
      <c r="W681" s="69" t="str">
        <f>IFERROR(VLOOKUP(A681,已除帳印單!B:E,4,0),"")</f>
        <v/>
      </c>
      <c r="X681" s="68" t="str">
        <f>IFERROR(INDEX(刷條碼區!A:C,MATCH(點上線資訊!S681,刷條碼區!C:C,0),1),"")</f>
        <v/>
      </c>
      <c r="Y681" s="69" t="str">
        <f>IFERROR(INDEX(刷條碼區!A:C,MATCH(點上線資訊!S681,刷條碼區!C:C,0),2),"")</f>
        <v/>
      </c>
      <c r="Z681" s="70" t="str">
        <f>IFERROR(INDEX(刷條碼區!D:G,MATCH(點上線資訊!S681,刷條碼區!F:F,0),1),"")</f>
        <v/>
      </c>
      <c r="AA681" s="71" t="str">
        <f>IFERROR(INDEX(刷條碼區!D:G,MATCH(點上線資訊!S681,刷條碼區!F:F,0),2),"")</f>
        <v/>
      </c>
      <c r="AB681" s="20" t="b">
        <f t="shared" si="62"/>
        <v>0</v>
      </c>
      <c r="AC681" s="20" t="b">
        <f t="shared" si="63"/>
        <v>0</v>
      </c>
      <c r="AD681" s="17" t="b">
        <f t="shared" si="64"/>
        <v>0</v>
      </c>
      <c r="AE681" s="17" t="b">
        <f t="shared" si="65"/>
        <v>0</v>
      </c>
    </row>
    <row r="682" spans="1:31" x14ac:dyDescent="0.2">
      <c r="A682" s="16">
        <v>5000500070</v>
      </c>
      <c r="B682" t="s">
        <v>6</v>
      </c>
      <c r="C682" t="s">
        <v>6</v>
      </c>
      <c r="D682" t="s">
        <v>1</v>
      </c>
      <c r="E682" t="s">
        <v>1151</v>
      </c>
      <c r="F682" t="s">
        <v>1152</v>
      </c>
      <c r="G682" s="2">
        <v>20</v>
      </c>
      <c r="H682" t="s">
        <v>461</v>
      </c>
      <c r="I682" t="s">
        <v>3</v>
      </c>
      <c r="J682" t="s">
        <v>136</v>
      </c>
      <c r="K682" t="s">
        <v>605</v>
      </c>
      <c r="L682" t="s">
        <v>608</v>
      </c>
      <c r="M682" t="s">
        <v>419</v>
      </c>
      <c r="N682" t="s">
        <v>602</v>
      </c>
      <c r="O682" t="s">
        <v>603</v>
      </c>
      <c r="P682" t="s">
        <v>602</v>
      </c>
      <c r="Q682" s="17">
        <f>IFERROR(VLOOKUP(A682,已除帳印單!B:C,1,0),0)*1</f>
        <v>0</v>
      </c>
      <c r="R682" s="67" t="str">
        <f>IFERROR(VLOOKUP(J682,線別!A:B,2,1),"")</f>
        <v>SCB線</v>
      </c>
      <c r="S682" s="17" t="str">
        <f>IFERROR(VLOOKUP(A682,已除帳印單!B:C,2,0),"")</f>
        <v/>
      </c>
      <c r="T682" s="68">
        <f t="shared" si="66"/>
        <v>43893</v>
      </c>
      <c r="U682" s="69">
        <f t="shared" si="67"/>
        <v>84.168784722222213</v>
      </c>
      <c r="V682" s="68" t="str">
        <f>IFERROR(VLOOKUP(A682,已除帳印單!B:D,3,0),"")</f>
        <v/>
      </c>
      <c r="W682" s="69" t="str">
        <f>IFERROR(VLOOKUP(A682,已除帳印單!B:E,4,0),"")</f>
        <v/>
      </c>
      <c r="X682" s="68" t="str">
        <f>IFERROR(INDEX(刷條碼區!A:C,MATCH(點上線資訊!S682,刷條碼區!C:C,0),1),"")</f>
        <v/>
      </c>
      <c r="Y682" s="69" t="str">
        <f>IFERROR(INDEX(刷條碼區!A:C,MATCH(點上線資訊!S682,刷條碼區!C:C,0),2),"")</f>
        <v/>
      </c>
      <c r="Z682" s="70" t="str">
        <f>IFERROR(INDEX(刷條碼區!D:G,MATCH(點上線資訊!S682,刷條碼區!F:F,0),1),"")</f>
        <v/>
      </c>
      <c r="AA682" s="71" t="str">
        <f>IFERROR(INDEX(刷條碼區!D:G,MATCH(點上線資訊!S682,刷條碼區!F:F,0),2),"")</f>
        <v/>
      </c>
      <c r="AB682" s="20" t="b">
        <f t="shared" si="62"/>
        <v>0</v>
      </c>
      <c r="AC682" s="20" t="b">
        <f t="shared" si="63"/>
        <v>0</v>
      </c>
      <c r="AD682" s="17" t="b">
        <f t="shared" si="64"/>
        <v>0</v>
      </c>
      <c r="AE682" s="17" t="b">
        <f t="shared" si="65"/>
        <v>0</v>
      </c>
    </row>
    <row r="683" spans="1:31" x14ac:dyDescent="0.2">
      <c r="A683" s="16">
        <v>5000500071</v>
      </c>
      <c r="B683" t="s">
        <v>6</v>
      </c>
      <c r="C683" t="s">
        <v>6</v>
      </c>
      <c r="D683" t="s">
        <v>1</v>
      </c>
      <c r="E683" t="s">
        <v>1153</v>
      </c>
      <c r="F683" t="s">
        <v>1154</v>
      </c>
      <c r="G683" s="2">
        <v>20</v>
      </c>
      <c r="H683" t="s">
        <v>461</v>
      </c>
      <c r="I683" t="s">
        <v>3</v>
      </c>
      <c r="J683" t="s">
        <v>136</v>
      </c>
      <c r="K683" t="s">
        <v>605</v>
      </c>
      <c r="L683" t="s">
        <v>608</v>
      </c>
      <c r="M683" t="s">
        <v>419</v>
      </c>
      <c r="N683" t="s">
        <v>602</v>
      </c>
      <c r="O683" t="s">
        <v>603</v>
      </c>
      <c r="P683" t="s">
        <v>602</v>
      </c>
      <c r="Q683" s="17">
        <f>IFERROR(VLOOKUP(A683,已除帳印單!B:C,1,0),0)*1</f>
        <v>0</v>
      </c>
      <c r="R683" s="67" t="str">
        <f>IFERROR(VLOOKUP(J683,線別!A:B,2,1),"")</f>
        <v>SCB線</v>
      </c>
      <c r="S683" s="17" t="str">
        <f>IFERROR(VLOOKUP(A683,已除帳印單!B:C,2,0),"")</f>
        <v/>
      </c>
      <c r="T683" s="68">
        <f t="shared" si="66"/>
        <v>43893</v>
      </c>
      <c r="U683" s="69">
        <f t="shared" si="67"/>
        <v>84.168784722222213</v>
      </c>
      <c r="V683" s="68" t="str">
        <f>IFERROR(VLOOKUP(A683,已除帳印單!B:D,3,0),"")</f>
        <v/>
      </c>
      <c r="W683" s="69" t="str">
        <f>IFERROR(VLOOKUP(A683,已除帳印單!B:E,4,0),"")</f>
        <v/>
      </c>
      <c r="X683" s="68" t="str">
        <f>IFERROR(INDEX(刷條碼區!A:C,MATCH(點上線資訊!S683,刷條碼區!C:C,0),1),"")</f>
        <v/>
      </c>
      <c r="Y683" s="69" t="str">
        <f>IFERROR(INDEX(刷條碼區!A:C,MATCH(點上線資訊!S683,刷條碼區!C:C,0),2),"")</f>
        <v/>
      </c>
      <c r="Z683" s="70" t="str">
        <f>IFERROR(INDEX(刷條碼區!D:G,MATCH(點上線資訊!S683,刷條碼區!F:F,0),1),"")</f>
        <v/>
      </c>
      <c r="AA683" s="71" t="str">
        <f>IFERROR(INDEX(刷條碼區!D:G,MATCH(點上線資訊!S683,刷條碼區!F:F,0),2),"")</f>
        <v/>
      </c>
      <c r="AB683" s="20" t="b">
        <f t="shared" si="62"/>
        <v>0</v>
      </c>
      <c r="AC683" s="20" t="b">
        <f t="shared" si="63"/>
        <v>0</v>
      </c>
      <c r="AD683" s="17" t="b">
        <f t="shared" si="64"/>
        <v>0</v>
      </c>
      <c r="AE683" s="17" t="b">
        <f t="shared" si="65"/>
        <v>0</v>
      </c>
    </row>
    <row r="684" spans="1:31" x14ac:dyDescent="0.2">
      <c r="A684" s="16">
        <v>5000500072</v>
      </c>
      <c r="B684" t="s">
        <v>0</v>
      </c>
      <c r="C684" t="s">
        <v>0</v>
      </c>
      <c r="D684" t="s">
        <v>1</v>
      </c>
      <c r="E684" t="s">
        <v>18</v>
      </c>
      <c r="F684" t="s">
        <v>1155</v>
      </c>
      <c r="G684" s="2">
        <v>11</v>
      </c>
      <c r="H684" t="s">
        <v>461</v>
      </c>
      <c r="I684" t="s">
        <v>3</v>
      </c>
      <c r="J684" t="s">
        <v>4</v>
      </c>
      <c r="K684" t="s">
        <v>605</v>
      </c>
      <c r="L684" t="s">
        <v>608</v>
      </c>
      <c r="M684" t="s">
        <v>732</v>
      </c>
      <c r="N684" t="s">
        <v>602</v>
      </c>
      <c r="O684" t="s">
        <v>603</v>
      </c>
      <c r="P684" t="s">
        <v>602</v>
      </c>
      <c r="Q684" s="17">
        <f>IFERROR(VLOOKUP(A684,已除帳印單!B:C,1,0),0)*1</f>
        <v>0</v>
      </c>
      <c r="R684" s="67" t="str">
        <f>IFERROR(VLOOKUP(J684,線別!A:B,2,1),"")</f>
        <v>IA線</v>
      </c>
      <c r="S684" s="17" t="str">
        <f>IFERROR(VLOOKUP(A684,已除帳印單!B:C,2,0),"")</f>
        <v/>
      </c>
      <c r="T684" s="68">
        <f t="shared" si="66"/>
        <v>43892</v>
      </c>
      <c r="U684" s="69">
        <f t="shared" si="67"/>
        <v>84.168773148148148</v>
      </c>
      <c r="V684" s="68" t="str">
        <f>IFERROR(VLOOKUP(A684,已除帳印單!B:D,3,0),"")</f>
        <v/>
      </c>
      <c r="W684" s="69" t="str">
        <f>IFERROR(VLOOKUP(A684,已除帳印單!B:E,4,0),"")</f>
        <v/>
      </c>
      <c r="X684" s="68" t="str">
        <f>IFERROR(INDEX(刷條碼區!A:C,MATCH(點上線資訊!S684,刷條碼區!C:C,0),1),"")</f>
        <v/>
      </c>
      <c r="Y684" s="69" t="str">
        <f>IFERROR(INDEX(刷條碼區!A:C,MATCH(點上線資訊!S684,刷條碼區!C:C,0),2),"")</f>
        <v/>
      </c>
      <c r="Z684" s="70" t="str">
        <f>IFERROR(INDEX(刷條碼區!D:G,MATCH(點上線資訊!S684,刷條碼區!F:F,0),1),"")</f>
        <v/>
      </c>
      <c r="AA684" s="71" t="str">
        <f>IFERROR(INDEX(刷條碼區!D:G,MATCH(點上線資訊!S684,刷條碼區!F:F,0),2),"")</f>
        <v/>
      </c>
      <c r="AB684" s="20" t="b">
        <f t="shared" si="62"/>
        <v>0</v>
      </c>
      <c r="AC684" s="20" t="b">
        <f t="shared" si="63"/>
        <v>0</v>
      </c>
      <c r="AD684" s="17" t="b">
        <f t="shared" si="64"/>
        <v>0</v>
      </c>
      <c r="AE684" s="17" t="b">
        <f t="shared" si="65"/>
        <v>0</v>
      </c>
    </row>
    <row r="685" spans="1:31" x14ac:dyDescent="0.2">
      <c r="A685" s="16">
        <v>5000500074</v>
      </c>
      <c r="B685" t="s">
        <v>6</v>
      </c>
      <c r="C685" t="s">
        <v>6</v>
      </c>
      <c r="D685" t="s">
        <v>1</v>
      </c>
      <c r="E685" t="s">
        <v>1084</v>
      </c>
      <c r="F685" t="s">
        <v>1085</v>
      </c>
      <c r="G685" s="2">
        <v>2</v>
      </c>
      <c r="H685" t="s">
        <v>461</v>
      </c>
      <c r="I685" t="s">
        <v>3</v>
      </c>
      <c r="J685" t="s">
        <v>19</v>
      </c>
      <c r="K685" t="s">
        <v>605</v>
      </c>
      <c r="L685" t="s">
        <v>608</v>
      </c>
      <c r="M685" t="s">
        <v>428</v>
      </c>
      <c r="N685" t="s">
        <v>602</v>
      </c>
      <c r="O685" t="s">
        <v>603</v>
      </c>
      <c r="P685" t="s">
        <v>602</v>
      </c>
      <c r="Q685" s="17">
        <f>IFERROR(VLOOKUP(A685,已除帳印單!B:C,1,0),0)*1</f>
        <v>0</v>
      </c>
      <c r="R685" s="67" t="str">
        <f>IFERROR(VLOOKUP(J685,線別!A:B,2,1),"")</f>
        <v>FM_IA預組</v>
      </c>
      <c r="S685" s="17" t="str">
        <f>IFERROR(VLOOKUP(A685,已除帳印單!B:C,2,0),"")</f>
        <v/>
      </c>
      <c r="T685" s="68">
        <f t="shared" si="66"/>
        <v>43893</v>
      </c>
      <c r="U685" s="69">
        <f t="shared" si="67"/>
        <v>84.168784722222213</v>
      </c>
      <c r="V685" s="68" t="str">
        <f>IFERROR(VLOOKUP(A685,已除帳印單!B:D,3,0),"")</f>
        <v/>
      </c>
      <c r="W685" s="69" t="str">
        <f>IFERROR(VLOOKUP(A685,已除帳印單!B:E,4,0),"")</f>
        <v/>
      </c>
      <c r="X685" s="68" t="str">
        <f>IFERROR(INDEX(刷條碼區!A:C,MATCH(點上線資訊!S685,刷條碼區!C:C,0),1),"")</f>
        <v/>
      </c>
      <c r="Y685" s="69" t="str">
        <f>IFERROR(INDEX(刷條碼區!A:C,MATCH(點上線資訊!S685,刷條碼區!C:C,0),2),"")</f>
        <v/>
      </c>
      <c r="Z685" s="70" t="str">
        <f>IFERROR(INDEX(刷條碼區!D:G,MATCH(點上線資訊!S685,刷條碼區!F:F,0),1),"")</f>
        <v/>
      </c>
      <c r="AA685" s="71" t="str">
        <f>IFERROR(INDEX(刷條碼區!D:G,MATCH(點上線資訊!S685,刷條碼區!F:F,0),2),"")</f>
        <v/>
      </c>
      <c r="AB685" s="20" t="b">
        <f t="shared" si="62"/>
        <v>0</v>
      </c>
      <c r="AC685" s="20" t="b">
        <f t="shared" si="63"/>
        <v>0</v>
      </c>
      <c r="AD685" s="17" t="b">
        <f t="shared" si="64"/>
        <v>0</v>
      </c>
      <c r="AE685" s="17" t="b">
        <f t="shared" si="65"/>
        <v>0</v>
      </c>
    </row>
    <row r="686" spans="1:31" x14ac:dyDescent="0.2">
      <c r="A686" s="16">
        <v>5000500075</v>
      </c>
      <c r="B686" t="s">
        <v>6</v>
      </c>
      <c r="C686" t="s">
        <v>6</v>
      </c>
      <c r="D686" t="s">
        <v>1</v>
      </c>
      <c r="E686" t="s">
        <v>1156</v>
      </c>
      <c r="F686" t="s">
        <v>1157</v>
      </c>
      <c r="G686" s="2">
        <v>7</v>
      </c>
      <c r="H686" t="s">
        <v>461</v>
      </c>
      <c r="I686" t="s">
        <v>3</v>
      </c>
      <c r="J686" t="s">
        <v>19</v>
      </c>
      <c r="K686" t="s">
        <v>605</v>
      </c>
      <c r="L686" t="s">
        <v>608</v>
      </c>
      <c r="M686" t="s">
        <v>428</v>
      </c>
      <c r="N686" t="s">
        <v>602</v>
      </c>
      <c r="O686" t="s">
        <v>603</v>
      </c>
      <c r="P686" t="s">
        <v>602</v>
      </c>
      <c r="Q686" s="17">
        <f>IFERROR(VLOOKUP(A686,已除帳印單!B:C,1,0),0)*1</f>
        <v>0</v>
      </c>
      <c r="R686" s="67" t="str">
        <f>IFERROR(VLOOKUP(J686,線別!A:B,2,1),"")</f>
        <v>FM_IA預組</v>
      </c>
      <c r="S686" s="17" t="str">
        <f>IFERROR(VLOOKUP(A686,已除帳印單!B:C,2,0),"")</f>
        <v/>
      </c>
      <c r="T686" s="68">
        <f t="shared" si="66"/>
        <v>43893</v>
      </c>
      <c r="U686" s="69">
        <f t="shared" si="67"/>
        <v>84.168784722222213</v>
      </c>
      <c r="V686" s="68" t="str">
        <f>IFERROR(VLOOKUP(A686,已除帳印單!B:D,3,0),"")</f>
        <v/>
      </c>
      <c r="W686" s="69" t="str">
        <f>IFERROR(VLOOKUP(A686,已除帳印單!B:E,4,0),"")</f>
        <v/>
      </c>
      <c r="X686" s="68" t="str">
        <f>IFERROR(INDEX(刷條碼區!A:C,MATCH(點上線資訊!S686,刷條碼區!C:C,0),1),"")</f>
        <v/>
      </c>
      <c r="Y686" s="69" t="str">
        <f>IFERROR(INDEX(刷條碼區!A:C,MATCH(點上線資訊!S686,刷條碼區!C:C,0),2),"")</f>
        <v/>
      </c>
      <c r="Z686" s="70" t="str">
        <f>IFERROR(INDEX(刷條碼區!D:G,MATCH(點上線資訊!S686,刷條碼區!F:F,0),1),"")</f>
        <v/>
      </c>
      <c r="AA686" s="71" t="str">
        <f>IFERROR(INDEX(刷條碼區!D:G,MATCH(點上線資訊!S686,刷條碼區!F:F,0),2),"")</f>
        <v/>
      </c>
      <c r="AB686" s="20" t="b">
        <f t="shared" si="62"/>
        <v>0</v>
      </c>
      <c r="AC686" s="20" t="b">
        <f t="shared" si="63"/>
        <v>0</v>
      </c>
      <c r="AD686" s="17" t="b">
        <f t="shared" si="64"/>
        <v>0</v>
      </c>
      <c r="AE686" s="17" t="b">
        <f t="shared" si="65"/>
        <v>0</v>
      </c>
    </row>
    <row r="687" spans="1:31" x14ac:dyDescent="0.2">
      <c r="A687" s="16">
        <v>5000500076</v>
      </c>
      <c r="B687" t="s">
        <v>6</v>
      </c>
      <c r="C687" t="s">
        <v>6</v>
      </c>
      <c r="D687" t="s">
        <v>1</v>
      </c>
      <c r="E687" t="s">
        <v>1156</v>
      </c>
      <c r="F687" t="s">
        <v>1157</v>
      </c>
      <c r="G687" s="2">
        <v>20</v>
      </c>
      <c r="H687" t="s">
        <v>461</v>
      </c>
      <c r="I687" t="s">
        <v>3</v>
      </c>
      <c r="J687" t="s">
        <v>19</v>
      </c>
      <c r="K687" t="s">
        <v>605</v>
      </c>
      <c r="L687" t="s">
        <v>608</v>
      </c>
      <c r="M687" t="s">
        <v>428</v>
      </c>
      <c r="N687" t="s">
        <v>602</v>
      </c>
      <c r="O687" t="s">
        <v>603</v>
      </c>
      <c r="P687" t="s">
        <v>602</v>
      </c>
      <c r="Q687" s="17">
        <f>IFERROR(VLOOKUP(A687,已除帳印單!B:C,1,0),0)*1</f>
        <v>0</v>
      </c>
      <c r="R687" s="67" t="str">
        <f>IFERROR(VLOOKUP(J687,線別!A:B,2,1),"")</f>
        <v>FM_IA預組</v>
      </c>
      <c r="S687" s="17" t="str">
        <f>IFERROR(VLOOKUP(A687,已除帳印單!B:C,2,0),"")</f>
        <v/>
      </c>
      <c r="T687" s="68">
        <f t="shared" si="66"/>
        <v>43893</v>
      </c>
      <c r="U687" s="69">
        <f t="shared" si="67"/>
        <v>84.168784722222213</v>
      </c>
      <c r="V687" s="68" t="str">
        <f>IFERROR(VLOOKUP(A687,已除帳印單!B:D,3,0),"")</f>
        <v/>
      </c>
      <c r="W687" s="69" t="str">
        <f>IFERROR(VLOOKUP(A687,已除帳印單!B:E,4,0),"")</f>
        <v/>
      </c>
      <c r="X687" s="68" t="str">
        <f>IFERROR(INDEX(刷條碼區!A:C,MATCH(點上線資訊!S687,刷條碼區!C:C,0),1),"")</f>
        <v/>
      </c>
      <c r="Y687" s="69" t="str">
        <f>IFERROR(INDEX(刷條碼區!A:C,MATCH(點上線資訊!S687,刷條碼區!C:C,0),2),"")</f>
        <v/>
      </c>
      <c r="Z687" s="70" t="str">
        <f>IFERROR(INDEX(刷條碼區!D:G,MATCH(點上線資訊!S687,刷條碼區!F:F,0),1),"")</f>
        <v/>
      </c>
      <c r="AA687" s="71" t="str">
        <f>IFERROR(INDEX(刷條碼區!D:G,MATCH(點上線資訊!S687,刷條碼區!F:F,0),2),"")</f>
        <v/>
      </c>
      <c r="AB687" s="20" t="b">
        <f t="shared" si="62"/>
        <v>0</v>
      </c>
      <c r="AC687" s="20" t="b">
        <f t="shared" si="63"/>
        <v>0</v>
      </c>
      <c r="AD687" s="17" t="b">
        <f t="shared" si="64"/>
        <v>0</v>
      </c>
      <c r="AE687" s="17" t="b">
        <f t="shared" si="65"/>
        <v>0</v>
      </c>
    </row>
    <row r="688" spans="1:31" x14ac:dyDescent="0.2">
      <c r="A688" s="16">
        <v>5000500077</v>
      </c>
      <c r="B688" t="s">
        <v>6</v>
      </c>
      <c r="C688" t="s">
        <v>6</v>
      </c>
      <c r="D688" t="s">
        <v>1</v>
      </c>
      <c r="E688" t="s">
        <v>1156</v>
      </c>
      <c r="F688" t="s">
        <v>1157</v>
      </c>
      <c r="G688" s="2">
        <v>4</v>
      </c>
      <c r="H688" t="s">
        <v>461</v>
      </c>
      <c r="I688" t="s">
        <v>3</v>
      </c>
      <c r="J688" t="s">
        <v>19</v>
      </c>
      <c r="K688" t="s">
        <v>605</v>
      </c>
      <c r="L688" t="s">
        <v>608</v>
      </c>
      <c r="M688" t="s">
        <v>428</v>
      </c>
      <c r="N688" t="s">
        <v>602</v>
      </c>
      <c r="O688" t="s">
        <v>603</v>
      </c>
      <c r="P688" t="s">
        <v>602</v>
      </c>
      <c r="Q688" s="17">
        <f>IFERROR(VLOOKUP(A688,已除帳印單!B:C,1,0),0)*1</f>
        <v>0</v>
      </c>
      <c r="R688" s="67" t="str">
        <f>IFERROR(VLOOKUP(J688,線別!A:B,2,1),"")</f>
        <v>FM_IA預組</v>
      </c>
      <c r="S688" s="17" t="str">
        <f>IFERROR(VLOOKUP(A688,已除帳印單!B:C,2,0),"")</f>
        <v/>
      </c>
      <c r="T688" s="68">
        <f t="shared" si="66"/>
        <v>43893</v>
      </c>
      <c r="U688" s="69">
        <f t="shared" si="67"/>
        <v>84.168784722222213</v>
      </c>
      <c r="V688" s="68" t="str">
        <f>IFERROR(VLOOKUP(A688,已除帳印單!B:D,3,0),"")</f>
        <v/>
      </c>
      <c r="W688" s="69" t="str">
        <f>IFERROR(VLOOKUP(A688,已除帳印單!B:E,4,0),"")</f>
        <v/>
      </c>
      <c r="X688" s="68" t="str">
        <f>IFERROR(INDEX(刷條碼區!A:C,MATCH(點上線資訊!S688,刷條碼區!C:C,0),1),"")</f>
        <v/>
      </c>
      <c r="Y688" s="69" t="str">
        <f>IFERROR(INDEX(刷條碼區!A:C,MATCH(點上線資訊!S688,刷條碼區!C:C,0),2),"")</f>
        <v/>
      </c>
      <c r="Z688" s="70" t="str">
        <f>IFERROR(INDEX(刷條碼區!D:G,MATCH(點上線資訊!S688,刷條碼區!F:F,0),1),"")</f>
        <v/>
      </c>
      <c r="AA688" s="71" t="str">
        <f>IFERROR(INDEX(刷條碼區!D:G,MATCH(點上線資訊!S688,刷條碼區!F:F,0),2),"")</f>
        <v/>
      </c>
      <c r="AB688" s="20" t="b">
        <f t="shared" si="62"/>
        <v>0</v>
      </c>
      <c r="AC688" s="20" t="b">
        <f t="shared" si="63"/>
        <v>0</v>
      </c>
      <c r="AD688" s="17" t="b">
        <f t="shared" si="64"/>
        <v>0</v>
      </c>
      <c r="AE688" s="17" t="b">
        <f t="shared" si="65"/>
        <v>0</v>
      </c>
    </row>
    <row r="689" spans="1:31" x14ac:dyDescent="0.2">
      <c r="A689" s="16">
        <v>5000502074</v>
      </c>
      <c r="B689" t="s">
        <v>301</v>
      </c>
      <c r="C689" t="s">
        <v>301</v>
      </c>
      <c r="D689" t="s">
        <v>1</v>
      </c>
      <c r="E689" t="s">
        <v>81</v>
      </c>
      <c r="F689" t="s">
        <v>535</v>
      </c>
      <c r="G689" s="2">
        <v>20</v>
      </c>
      <c r="H689" t="s">
        <v>461</v>
      </c>
      <c r="I689" t="s">
        <v>3</v>
      </c>
      <c r="J689" t="s">
        <v>283</v>
      </c>
      <c r="K689" t="s">
        <v>602</v>
      </c>
      <c r="L689" t="s">
        <v>603</v>
      </c>
      <c r="M689" t="s">
        <v>602</v>
      </c>
      <c r="N689" t="s">
        <v>602</v>
      </c>
      <c r="O689" t="s">
        <v>603</v>
      </c>
      <c r="P689" t="s">
        <v>602</v>
      </c>
      <c r="Q689" s="17">
        <f>IFERROR(VLOOKUP(A689,已除帳印單!B:C,1,0),0)*1</f>
        <v>0</v>
      </c>
      <c r="R689" s="67" t="str">
        <f>IFERROR(VLOOKUP(J689,線別!A:B,2,1),"")</f>
        <v>裝二線AGV</v>
      </c>
      <c r="S689" s="17" t="str">
        <f>IFERROR(VLOOKUP(A689,已除帳印單!B:C,2,0),"")</f>
        <v/>
      </c>
      <c r="T689" s="68">
        <f t="shared" si="66"/>
        <v>43894</v>
      </c>
      <c r="U689" s="69">
        <f t="shared" si="67"/>
        <v>84.168796296296293</v>
      </c>
      <c r="V689" s="68" t="str">
        <f>IFERROR(VLOOKUP(A689,已除帳印單!B:D,3,0),"")</f>
        <v/>
      </c>
      <c r="W689" s="69" t="str">
        <f>IFERROR(VLOOKUP(A689,已除帳印單!B:E,4,0),"")</f>
        <v/>
      </c>
      <c r="X689" s="68" t="str">
        <f>IFERROR(INDEX(刷條碼區!A:C,MATCH(點上線資訊!S689,刷條碼區!C:C,0),1),"")</f>
        <v/>
      </c>
      <c r="Y689" s="69" t="str">
        <f>IFERROR(INDEX(刷條碼區!A:C,MATCH(點上線資訊!S689,刷條碼區!C:C,0),2),"")</f>
        <v/>
      </c>
      <c r="Z689" s="70" t="str">
        <f>IFERROR(INDEX(刷條碼區!D:G,MATCH(點上線資訊!S689,刷條碼區!F:F,0),1),"")</f>
        <v/>
      </c>
      <c r="AA689" s="71" t="str">
        <f>IFERROR(INDEX(刷條碼區!D:G,MATCH(點上線資訊!S689,刷條碼區!F:F,0),2),"")</f>
        <v/>
      </c>
      <c r="AB689" s="20">
        <f t="shared" si="62"/>
        <v>20</v>
      </c>
      <c r="AC689" s="20" t="b">
        <f t="shared" si="63"/>
        <v>0</v>
      </c>
      <c r="AD689" s="17" t="b">
        <f t="shared" si="64"/>
        <v>0</v>
      </c>
      <c r="AE689" s="17" t="b">
        <f t="shared" si="65"/>
        <v>0</v>
      </c>
    </row>
    <row r="690" spans="1:31" x14ac:dyDescent="0.2">
      <c r="A690" s="16">
        <v>5000502075</v>
      </c>
      <c r="B690" t="s">
        <v>301</v>
      </c>
      <c r="C690" t="s">
        <v>301</v>
      </c>
      <c r="D690" t="s">
        <v>1</v>
      </c>
      <c r="E690" t="s">
        <v>81</v>
      </c>
      <c r="F690" t="s">
        <v>535</v>
      </c>
      <c r="G690" s="2">
        <v>20</v>
      </c>
      <c r="H690" t="s">
        <v>461</v>
      </c>
      <c r="I690" t="s">
        <v>3</v>
      </c>
      <c r="J690" t="s">
        <v>283</v>
      </c>
      <c r="K690" t="s">
        <v>602</v>
      </c>
      <c r="L690" t="s">
        <v>603</v>
      </c>
      <c r="M690" t="s">
        <v>602</v>
      </c>
      <c r="N690" t="s">
        <v>602</v>
      </c>
      <c r="O690" t="s">
        <v>603</v>
      </c>
      <c r="P690" t="s">
        <v>602</v>
      </c>
      <c r="Q690" s="17">
        <f>IFERROR(VLOOKUP(A690,已除帳印單!B:C,1,0),0)*1</f>
        <v>0</v>
      </c>
      <c r="R690" s="67" t="str">
        <f>IFERROR(VLOOKUP(J690,線別!A:B,2,1),"")</f>
        <v>裝二線AGV</v>
      </c>
      <c r="S690" s="17" t="str">
        <f>IFERROR(VLOOKUP(A690,已除帳印單!B:C,2,0),"")</f>
        <v/>
      </c>
      <c r="T690" s="68">
        <f t="shared" si="66"/>
        <v>43894</v>
      </c>
      <c r="U690" s="69">
        <f t="shared" si="67"/>
        <v>84.168796296296293</v>
      </c>
      <c r="V690" s="68" t="str">
        <f>IFERROR(VLOOKUP(A690,已除帳印單!B:D,3,0),"")</f>
        <v/>
      </c>
      <c r="W690" s="69" t="str">
        <f>IFERROR(VLOOKUP(A690,已除帳印單!B:E,4,0),"")</f>
        <v/>
      </c>
      <c r="X690" s="68" t="str">
        <f>IFERROR(INDEX(刷條碼區!A:C,MATCH(點上線資訊!S690,刷條碼區!C:C,0),1),"")</f>
        <v/>
      </c>
      <c r="Y690" s="69" t="str">
        <f>IFERROR(INDEX(刷條碼區!A:C,MATCH(點上線資訊!S690,刷條碼區!C:C,0),2),"")</f>
        <v/>
      </c>
      <c r="Z690" s="70" t="str">
        <f>IFERROR(INDEX(刷條碼區!D:G,MATCH(點上線資訊!S690,刷條碼區!F:F,0),1),"")</f>
        <v/>
      </c>
      <c r="AA690" s="71" t="str">
        <f>IFERROR(INDEX(刷條碼區!D:G,MATCH(點上線資訊!S690,刷條碼區!F:F,0),2),"")</f>
        <v/>
      </c>
      <c r="AB690" s="20">
        <f t="shared" si="62"/>
        <v>20</v>
      </c>
      <c r="AC690" s="20" t="b">
        <f t="shared" si="63"/>
        <v>0</v>
      </c>
      <c r="AD690" s="17" t="b">
        <f t="shared" si="64"/>
        <v>0</v>
      </c>
      <c r="AE690" s="17" t="b">
        <f t="shared" si="65"/>
        <v>0</v>
      </c>
    </row>
    <row r="691" spans="1:31" x14ac:dyDescent="0.2">
      <c r="A691" s="16">
        <v>5000502076</v>
      </c>
      <c r="B691" t="s">
        <v>301</v>
      </c>
      <c r="C691" t="s">
        <v>301</v>
      </c>
      <c r="D691" t="s">
        <v>1</v>
      </c>
      <c r="E691" t="s">
        <v>81</v>
      </c>
      <c r="F691" t="s">
        <v>535</v>
      </c>
      <c r="G691" s="2">
        <v>20</v>
      </c>
      <c r="H691" t="s">
        <v>461</v>
      </c>
      <c r="I691" t="s">
        <v>3</v>
      </c>
      <c r="J691" t="s">
        <v>283</v>
      </c>
      <c r="K691" t="s">
        <v>602</v>
      </c>
      <c r="L691" t="s">
        <v>603</v>
      </c>
      <c r="M691" t="s">
        <v>602</v>
      </c>
      <c r="N691" t="s">
        <v>602</v>
      </c>
      <c r="O691" t="s">
        <v>603</v>
      </c>
      <c r="P691" t="s">
        <v>602</v>
      </c>
      <c r="Q691" s="17">
        <f>IFERROR(VLOOKUP(A691,已除帳印單!B:C,1,0),0)*1</f>
        <v>0</v>
      </c>
      <c r="R691" s="67" t="str">
        <f>IFERROR(VLOOKUP(J691,線別!A:B,2,1),"")</f>
        <v>裝二線AGV</v>
      </c>
      <c r="S691" s="17" t="str">
        <f>IFERROR(VLOOKUP(A691,已除帳印單!B:C,2,0),"")</f>
        <v/>
      </c>
      <c r="T691" s="68">
        <f t="shared" si="66"/>
        <v>43894</v>
      </c>
      <c r="U691" s="69">
        <f t="shared" si="67"/>
        <v>84.168796296296293</v>
      </c>
      <c r="V691" s="68" t="str">
        <f>IFERROR(VLOOKUP(A691,已除帳印單!B:D,3,0),"")</f>
        <v/>
      </c>
      <c r="W691" s="69" t="str">
        <f>IFERROR(VLOOKUP(A691,已除帳印單!B:E,4,0),"")</f>
        <v/>
      </c>
      <c r="X691" s="68" t="str">
        <f>IFERROR(INDEX(刷條碼區!A:C,MATCH(點上線資訊!S691,刷條碼區!C:C,0),1),"")</f>
        <v/>
      </c>
      <c r="Y691" s="69" t="str">
        <f>IFERROR(INDEX(刷條碼區!A:C,MATCH(點上線資訊!S691,刷條碼區!C:C,0),2),"")</f>
        <v/>
      </c>
      <c r="Z691" s="70" t="str">
        <f>IFERROR(INDEX(刷條碼區!D:G,MATCH(點上線資訊!S691,刷條碼區!F:F,0),1),"")</f>
        <v/>
      </c>
      <c r="AA691" s="71" t="str">
        <f>IFERROR(INDEX(刷條碼區!D:G,MATCH(點上線資訊!S691,刷條碼區!F:F,0),2),"")</f>
        <v/>
      </c>
      <c r="AB691" s="20">
        <f t="shared" si="62"/>
        <v>20</v>
      </c>
      <c r="AC691" s="20" t="b">
        <f t="shared" si="63"/>
        <v>0</v>
      </c>
      <c r="AD691" s="17" t="b">
        <f t="shared" si="64"/>
        <v>0</v>
      </c>
      <c r="AE691" s="17" t="b">
        <f t="shared" si="65"/>
        <v>0</v>
      </c>
    </row>
    <row r="692" spans="1:31" x14ac:dyDescent="0.2">
      <c r="A692" s="16">
        <v>5000502341</v>
      </c>
      <c r="B692" t="s">
        <v>0</v>
      </c>
      <c r="C692" t="s">
        <v>0</v>
      </c>
      <c r="D692" t="s">
        <v>1</v>
      </c>
      <c r="E692" t="s">
        <v>1158</v>
      </c>
      <c r="F692" t="s">
        <v>1159</v>
      </c>
      <c r="G692" s="2">
        <v>3</v>
      </c>
      <c r="H692" t="s">
        <v>461</v>
      </c>
      <c r="I692" t="s">
        <v>3</v>
      </c>
      <c r="J692" t="s">
        <v>19</v>
      </c>
      <c r="K692" t="s">
        <v>605</v>
      </c>
      <c r="L692" t="s">
        <v>608</v>
      </c>
      <c r="M692" t="s">
        <v>1160</v>
      </c>
      <c r="N692" t="s">
        <v>602</v>
      </c>
      <c r="O692" t="s">
        <v>603</v>
      </c>
      <c r="P692" t="s">
        <v>602</v>
      </c>
      <c r="Q692" s="17">
        <f>IFERROR(VLOOKUP(A692,已除帳印單!B:C,1,0),0)*1</f>
        <v>0</v>
      </c>
      <c r="R692" s="67" t="str">
        <f>IFERROR(VLOOKUP(J692,線別!A:B,2,1),"")</f>
        <v>FM_IA預組</v>
      </c>
      <c r="S692" s="17" t="str">
        <f>IFERROR(VLOOKUP(A692,已除帳印單!B:C,2,0),"")</f>
        <v/>
      </c>
      <c r="T692" s="68">
        <f t="shared" si="66"/>
        <v>43892</v>
      </c>
      <c r="U692" s="69">
        <f t="shared" si="67"/>
        <v>84.168773148148148</v>
      </c>
      <c r="V692" s="68" t="str">
        <f>IFERROR(VLOOKUP(A692,已除帳印單!B:D,3,0),"")</f>
        <v/>
      </c>
      <c r="W692" s="69" t="str">
        <f>IFERROR(VLOOKUP(A692,已除帳印單!B:E,4,0),"")</f>
        <v/>
      </c>
      <c r="X692" s="68" t="str">
        <f>IFERROR(INDEX(刷條碼區!A:C,MATCH(點上線資訊!S692,刷條碼區!C:C,0),1),"")</f>
        <v/>
      </c>
      <c r="Y692" s="69" t="str">
        <f>IFERROR(INDEX(刷條碼區!A:C,MATCH(點上線資訊!S692,刷條碼區!C:C,0),2),"")</f>
        <v/>
      </c>
      <c r="Z692" s="70" t="str">
        <f>IFERROR(INDEX(刷條碼區!D:G,MATCH(點上線資訊!S692,刷條碼區!F:F,0),1),"")</f>
        <v/>
      </c>
      <c r="AA692" s="71" t="str">
        <f>IFERROR(INDEX(刷條碼區!D:G,MATCH(點上線資訊!S692,刷條碼區!F:F,0),2),"")</f>
        <v/>
      </c>
      <c r="AB692" s="20" t="b">
        <f t="shared" si="62"/>
        <v>0</v>
      </c>
      <c r="AC692" s="20" t="b">
        <f t="shared" si="63"/>
        <v>0</v>
      </c>
      <c r="AD692" s="17" t="b">
        <f t="shared" si="64"/>
        <v>0</v>
      </c>
      <c r="AE692" s="17" t="b">
        <f t="shared" si="65"/>
        <v>0</v>
      </c>
    </row>
    <row r="693" spans="1:31" x14ac:dyDescent="0.2">
      <c r="A693" s="16">
        <v>5000502342</v>
      </c>
      <c r="B693" t="s">
        <v>301</v>
      </c>
      <c r="C693" t="s">
        <v>301</v>
      </c>
      <c r="D693" t="s">
        <v>1</v>
      </c>
      <c r="E693" t="s">
        <v>1161</v>
      </c>
      <c r="F693" t="s">
        <v>1162</v>
      </c>
      <c r="G693" s="2">
        <v>8</v>
      </c>
      <c r="H693" t="s">
        <v>461</v>
      </c>
      <c r="I693" t="s">
        <v>3</v>
      </c>
      <c r="J693" t="s">
        <v>19</v>
      </c>
      <c r="K693" t="s">
        <v>605</v>
      </c>
      <c r="L693" t="s">
        <v>608</v>
      </c>
      <c r="M693" t="s">
        <v>431</v>
      </c>
      <c r="N693" t="s">
        <v>602</v>
      </c>
      <c r="O693" t="s">
        <v>603</v>
      </c>
      <c r="P693" t="s">
        <v>602</v>
      </c>
      <c r="Q693" s="17">
        <f>IFERROR(VLOOKUP(A693,已除帳印單!B:C,1,0),0)*1</f>
        <v>0</v>
      </c>
      <c r="R693" s="67" t="str">
        <f>IFERROR(VLOOKUP(J693,線別!A:B,2,1),"")</f>
        <v>FM_IA預組</v>
      </c>
      <c r="S693" s="17" t="str">
        <f>IFERROR(VLOOKUP(A693,已除帳印單!B:C,2,0),"")</f>
        <v/>
      </c>
      <c r="T693" s="68">
        <f t="shared" si="66"/>
        <v>43894</v>
      </c>
      <c r="U693" s="69">
        <f t="shared" si="67"/>
        <v>84.168796296296293</v>
      </c>
      <c r="V693" s="68" t="str">
        <f>IFERROR(VLOOKUP(A693,已除帳印單!B:D,3,0),"")</f>
        <v/>
      </c>
      <c r="W693" s="69" t="str">
        <f>IFERROR(VLOOKUP(A693,已除帳印單!B:E,4,0),"")</f>
        <v/>
      </c>
      <c r="X693" s="68" t="str">
        <f>IFERROR(INDEX(刷條碼區!A:C,MATCH(點上線資訊!S693,刷條碼區!C:C,0),1),"")</f>
        <v/>
      </c>
      <c r="Y693" s="69" t="str">
        <f>IFERROR(INDEX(刷條碼區!A:C,MATCH(點上線資訊!S693,刷條碼區!C:C,0),2),"")</f>
        <v/>
      </c>
      <c r="Z693" s="70" t="str">
        <f>IFERROR(INDEX(刷條碼區!D:G,MATCH(點上線資訊!S693,刷條碼區!F:F,0),1),"")</f>
        <v/>
      </c>
      <c r="AA693" s="71" t="str">
        <f>IFERROR(INDEX(刷條碼區!D:G,MATCH(點上線資訊!S693,刷條碼區!F:F,0),2),"")</f>
        <v/>
      </c>
      <c r="AB693" s="20" t="b">
        <f t="shared" si="62"/>
        <v>0</v>
      </c>
      <c r="AC693" s="20" t="b">
        <f t="shared" si="63"/>
        <v>0</v>
      </c>
      <c r="AD693" s="17" t="b">
        <f t="shared" si="64"/>
        <v>0</v>
      </c>
      <c r="AE693" s="17" t="b">
        <f t="shared" si="65"/>
        <v>0</v>
      </c>
    </row>
    <row r="694" spans="1:31" x14ac:dyDescent="0.2">
      <c r="A694" s="16">
        <v>5000502345</v>
      </c>
      <c r="B694" t="s">
        <v>301</v>
      </c>
      <c r="C694" t="s">
        <v>301</v>
      </c>
      <c r="D694" t="s">
        <v>1</v>
      </c>
      <c r="E694" t="s">
        <v>102</v>
      </c>
      <c r="F694" t="s">
        <v>570</v>
      </c>
      <c r="G694" s="2">
        <v>3</v>
      </c>
      <c r="H694" t="s">
        <v>461</v>
      </c>
      <c r="I694" t="s">
        <v>3</v>
      </c>
      <c r="J694" t="s">
        <v>8</v>
      </c>
      <c r="K694" t="s">
        <v>602</v>
      </c>
      <c r="L694" t="s">
        <v>603</v>
      </c>
      <c r="M694" t="s">
        <v>602</v>
      </c>
      <c r="N694" t="s">
        <v>602</v>
      </c>
      <c r="O694" t="s">
        <v>603</v>
      </c>
      <c r="P694" t="s">
        <v>602</v>
      </c>
      <c r="Q694" s="17">
        <f>IFERROR(VLOOKUP(A694,已除帳印單!B:C,1,0),0)*1</f>
        <v>0</v>
      </c>
      <c r="R694" s="67" t="str">
        <f>IFERROR(VLOOKUP(J694,線別!A:B,2,1),"")</f>
        <v>裝一線</v>
      </c>
      <c r="S694" s="17" t="str">
        <f>IFERROR(VLOOKUP(A694,已除帳印單!B:C,2,0),"")</f>
        <v/>
      </c>
      <c r="T694" s="68">
        <f t="shared" si="66"/>
        <v>43894</v>
      </c>
      <c r="U694" s="69">
        <f t="shared" si="67"/>
        <v>84.168796296296293</v>
      </c>
      <c r="V694" s="68" t="str">
        <f>IFERROR(VLOOKUP(A694,已除帳印單!B:D,3,0),"")</f>
        <v/>
      </c>
      <c r="W694" s="69" t="str">
        <f>IFERROR(VLOOKUP(A694,已除帳印單!B:E,4,0),"")</f>
        <v/>
      </c>
      <c r="X694" s="68" t="str">
        <f>IFERROR(INDEX(刷條碼區!A:C,MATCH(點上線資訊!S694,刷條碼區!C:C,0),1),"")</f>
        <v/>
      </c>
      <c r="Y694" s="69" t="str">
        <f>IFERROR(INDEX(刷條碼區!A:C,MATCH(點上線資訊!S694,刷條碼區!C:C,0),2),"")</f>
        <v/>
      </c>
      <c r="Z694" s="70" t="str">
        <f>IFERROR(INDEX(刷條碼區!D:G,MATCH(點上線資訊!S694,刷條碼區!F:F,0),1),"")</f>
        <v/>
      </c>
      <c r="AA694" s="71" t="str">
        <f>IFERROR(INDEX(刷條碼區!D:G,MATCH(點上線資訊!S694,刷條碼區!F:F,0),2),"")</f>
        <v/>
      </c>
      <c r="AB694" s="20">
        <f t="shared" si="62"/>
        <v>3</v>
      </c>
      <c r="AC694" s="20" t="b">
        <f t="shared" si="63"/>
        <v>0</v>
      </c>
      <c r="AD694" s="17" t="b">
        <f t="shared" si="64"/>
        <v>0</v>
      </c>
      <c r="AE694" s="17" t="b">
        <f t="shared" si="65"/>
        <v>0</v>
      </c>
    </row>
    <row r="695" spans="1:31" x14ac:dyDescent="0.2">
      <c r="A695" s="16">
        <v>5000502348</v>
      </c>
      <c r="B695" t="s">
        <v>301</v>
      </c>
      <c r="C695" t="s">
        <v>301</v>
      </c>
      <c r="D695" t="s">
        <v>1</v>
      </c>
      <c r="E695" t="s">
        <v>571</v>
      </c>
      <c r="F695" t="s">
        <v>572</v>
      </c>
      <c r="G695" s="2">
        <v>10</v>
      </c>
      <c r="H695" t="s">
        <v>461</v>
      </c>
      <c r="I695" t="s">
        <v>3</v>
      </c>
      <c r="J695" t="s">
        <v>8</v>
      </c>
      <c r="K695" t="s">
        <v>602</v>
      </c>
      <c r="L695" t="s">
        <v>603</v>
      </c>
      <c r="M695" t="s">
        <v>602</v>
      </c>
      <c r="N695" t="s">
        <v>602</v>
      </c>
      <c r="O695" t="s">
        <v>603</v>
      </c>
      <c r="P695" t="s">
        <v>602</v>
      </c>
      <c r="Q695" s="17">
        <f>IFERROR(VLOOKUP(A695,已除帳印單!B:C,1,0),0)*1</f>
        <v>0</v>
      </c>
      <c r="R695" s="67" t="str">
        <f>IFERROR(VLOOKUP(J695,線別!A:B,2,1),"")</f>
        <v>裝一線</v>
      </c>
      <c r="S695" s="17" t="str">
        <f>IFERROR(VLOOKUP(A695,已除帳印單!B:C,2,0),"")</f>
        <v/>
      </c>
      <c r="T695" s="68">
        <f t="shared" si="66"/>
        <v>43894</v>
      </c>
      <c r="U695" s="69">
        <f t="shared" si="67"/>
        <v>84.168796296296293</v>
      </c>
      <c r="V695" s="68" t="str">
        <f>IFERROR(VLOOKUP(A695,已除帳印單!B:D,3,0),"")</f>
        <v/>
      </c>
      <c r="W695" s="69" t="str">
        <f>IFERROR(VLOOKUP(A695,已除帳印單!B:E,4,0),"")</f>
        <v/>
      </c>
      <c r="X695" s="68" t="str">
        <f>IFERROR(INDEX(刷條碼區!A:C,MATCH(點上線資訊!S695,刷條碼區!C:C,0),1),"")</f>
        <v/>
      </c>
      <c r="Y695" s="69" t="str">
        <f>IFERROR(INDEX(刷條碼區!A:C,MATCH(點上線資訊!S695,刷條碼區!C:C,0),2),"")</f>
        <v/>
      </c>
      <c r="Z695" s="70" t="str">
        <f>IFERROR(INDEX(刷條碼區!D:G,MATCH(點上線資訊!S695,刷條碼區!F:F,0),1),"")</f>
        <v/>
      </c>
      <c r="AA695" s="71" t="str">
        <f>IFERROR(INDEX(刷條碼區!D:G,MATCH(點上線資訊!S695,刷條碼區!F:F,0),2),"")</f>
        <v/>
      </c>
      <c r="AB695" s="20">
        <f t="shared" si="62"/>
        <v>10</v>
      </c>
      <c r="AC695" s="20" t="b">
        <f t="shared" si="63"/>
        <v>0</v>
      </c>
      <c r="AD695" s="17" t="b">
        <f t="shared" si="64"/>
        <v>0</v>
      </c>
      <c r="AE695" s="17" t="b">
        <f t="shared" si="65"/>
        <v>0</v>
      </c>
    </row>
    <row r="696" spans="1:31" x14ac:dyDescent="0.2">
      <c r="A696" s="16">
        <v>5000502352</v>
      </c>
      <c r="B696" t="s">
        <v>301</v>
      </c>
      <c r="C696" t="s">
        <v>301</v>
      </c>
      <c r="D696" t="s">
        <v>1</v>
      </c>
      <c r="E696" t="s">
        <v>1163</v>
      </c>
      <c r="F696" t="s">
        <v>1164</v>
      </c>
      <c r="G696" s="2">
        <v>3</v>
      </c>
      <c r="H696" t="s">
        <v>461</v>
      </c>
      <c r="I696" t="s">
        <v>3</v>
      </c>
      <c r="J696" t="s">
        <v>19</v>
      </c>
      <c r="K696" t="s">
        <v>605</v>
      </c>
      <c r="L696" t="s">
        <v>608</v>
      </c>
      <c r="M696" t="s">
        <v>432</v>
      </c>
      <c r="N696" t="s">
        <v>602</v>
      </c>
      <c r="O696" t="s">
        <v>603</v>
      </c>
      <c r="P696" t="s">
        <v>602</v>
      </c>
      <c r="Q696" s="17">
        <f>IFERROR(VLOOKUP(A696,已除帳印單!B:C,1,0),0)*1</f>
        <v>0</v>
      </c>
      <c r="R696" s="67" t="str">
        <f>IFERROR(VLOOKUP(J696,線別!A:B,2,1),"")</f>
        <v>FM_IA預組</v>
      </c>
      <c r="S696" s="17" t="str">
        <f>IFERROR(VLOOKUP(A696,已除帳印單!B:C,2,0),"")</f>
        <v/>
      </c>
      <c r="T696" s="68">
        <f t="shared" si="66"/>
        <v>43894</v>
      </c>
      <c r="U696" s="69">
        <f t="shared" si="67"/>
        <v>84.168796296296293</v>
      </c>
      <c r="V696" s="68" t="str">
        <f>IFERROR(VLOOKUP(A696,已除帳印單!B:D,3,0),"")</f>
        <v/>
      </c>
      <c r="W696" s="69" t="str">
        <f>IFERROR(VLOOKUP(A696,已除帳印單!B:E,4,0),"")</f>
        <v/>
      </c>
      <c r="X696" s="68" t="str">
        <f>IFERROR(INDEX(刷條碼區!A:C,MATCH(點上線資訊!S696,刷條碼區!C:C,0),1),"")</f>
        <v/>
      </c>
      <c r="Y696" s="69" t="str">
        <f>IFERROR(INDEX(刷條碼區!A:C,MATCH(點上線資訊!S696,刷條碼區!C:C,0),2),"")</f>
        <v/>
      </c>
      <c r="Z696" s="70" t="str">
        <f>IFERROR(INDEX(刷條碼區!D:G,MATCH(點上線資訊!S696,刷條碼區!F:F,0),1),"")</f>
        <v/>
      </c>
      <c r="AA696" s="71" t="str">
        <f>IFERROR(INDEX(刷條碼區!D:G,MATCH(點上線資訊!S696,刷條碼區!F:F,0),2),"")</f>
        <v/>
      </c>
      <c r="AB696" s="20" t="b">
        <f t="shared" si="62"/>
        <v>0</v>
      </c>
      <c r="AC696" s="20" t="b">
        <f t="shared" si="63"/>
        <v>0</v>
      </c>
      <c r="AD696" s="17" t="b">
        <f t="shared" si="64"/>
        <v>0</v>
      </c>
      <c r="AE696" s="17" t="b">
        <f t="shared" si="65"/>
        <v>0</v>
      </c>
    </row>
    <row r="697" spans="1:31" x14ac:dyDescent="0.2">
      <c r="A697" s="16">
        <v>5000502353</v>
      </c>
      <c r="B697" t="s">
        <v>6</v>
      </c>
      <c r="C697" t="s">
        <v>6</v>
      </c>
      <c r="D697" t="s">
        <v>1</v>
      </c>
      <c r="E697" t="s">
        <v>1165</v>
      </c>
      <c r="F697" t="s">
        <v>1166</v>
      </c>
      <c r="G697" s="2">
        <v>4</v>
      </c>
      <c r="H697" t="s">
        <v>461</v>
      </c>
      <c r="I697" t="s">
        <v>3</v>
      </c>
      <c r="J697" t="s">
        <v>19</v>
      </c>
      <c r="K697" t="s">
        <v>605</v>
      </c>
      <c r="L697" t="s">
        <v>608</v>
      </c>
      <c r="M697" t="s">
        <v>1027</v>
      </c>
      <c r="N697" t="s">
        <v>602</v>
      </c>
      <c r="O697" t="s">
        <v>603</v>
      </c>
      <c r="P697" t="s">
        <v>602</v>
      </c>
      <c r="Q697" s="17">
        <f>IFERROR(VLOOKUP(A697,已除帳印單!B:C,1,0),0)*1</f>
        <v>0</v>
      </c>
      <c r="R697" s="67" t="str">
        <f>IFERROR(VLOOKUP(J697,線別!A:B,2,1),"")</f>
        <v>FM_IA預組</v>
      </c>
      <c r="S697" s="17" t="str">
        <f>IFERROR(VLOOKUP(A697,已除帳印單!B:C,2,0),"")</f>
        <v/>
      </c>
      <c r="T697" s="68">
        <f t="shared" si="66"/>
        <v>43893</v>
      </c>
      <c r="U697" s="69">
        <f t="shared" si="67"/>
        <v>84.168784722222213</v>
      </c>
      <c r="V697" s="68" t="str">
        <f>IFERROR(VLOOKUP(A697,已除帳印單!B:D,3,0),"")</f>
        <v/>
      </c>
      <c r="W697" s="69" t="str">
        <f>IFERROR(VLOOKUP(A697,已除帳印單!B:E,4,0),"")</f>
        <v/>
      </c>
      <c r="X697" s="68" t="str">
        <f>IFERROR(INDEX(刷條碼區!A:C,MATCH(點上線資訊!S697,刷條碼區!C:C,0),1),"")</f>
        <v/>
      </c>
      <c r="Y697" s="69" t="str">
        <f>IFERROR(INDEX(刷條碼區!A:C,MATCH(點上線資訊!S697,刷條碼區!C:C,0),2),"")</f>
        <v/>
      </c>
      <c r="Z697" s="70" t="str">
        <f>IFERROR(INDEX(刷條碼區!D:G,MATCH(點上線資訊!S697,刷條碼區!F:F,0),1),"")</f>
        <v/>
      </c>
      <c r="AA697" s="71" t="str">
        <f>IFERROR(INDEX(刷條碼區!D:G,MATCH(點上線資訊!S697,刷條碼區!F:F,0),2),"")</f>
        <v/>
      </c>
      <c r="AB697" s="20" t="b">
        <f t="shared" si="62"/>
        <v>0</v>
      </c>
      <c r="AC697" s="20" t="b">
        <f t="shared" si="63"/>
        <v>0</v>
      </c>
      <c r="AD697" s="17" t="b">
        <f t="shared" si="64"/>
        <v>0</v>
      </c>
      <c r="AE697" s="17" t="b">
        <f t="shared" si="65"/>
        <v>0</v>
      </c>
    </row>
    <row r="698" spans="1:31" x14ac:dyDescent="0.2">
      <c r="A698" s="16">
        <v>5000502367</v>
      </c>
      <c r="B698" t="s">
        <v>6</v>
      </c>
      <c r="C698" t="s">
        <v>6</v>
      </c>
      <c r="D698" t="s">
        <v>1</v>
      </c>
      <c r="E698" t="s">
        <v>300</v>
      </c>
      <c r="F698" t="s">
        <v>1097</v>
      </c>
      <c r="G698" s="2">
        <v>2</v>
      </c>
      <c r="H698" t="s">
        <v>461</v>
      </c>
      <c r="I698" t="s">
        <v>3</v>
      </c>
      <c r="J698" t="s">
        <v>8</v>
      </c>
      <c r="K698" t="s">
        <v>605</v>
      </c>
      <c r="L698" t="s">
        <v>608</v>
      </c>
      <c r="M698" t="s">
        <v>1092</v>
      </c>
      <c r="N698" t="s">
        <v>602</v>
      </c>
      <c r="O698" t="s">
        <v>603</v>
      </c>
      <c r="P698" t="s">
        <v>602</v>
      </c>
      <c r="Q698" s="17">
        <f>IFERROR(VLOOKUP(A698,已除帳印單!B:C,1,0),0)*1</f>
        <v>0</v>
      </c>
      <c r="R698" s="67" t="str">
        <f>IFERROR(VLOOKUP(J698,線別!A:B,2,1),"")</f>
        <v>裝一線</v>
      </c>
      <c r="S698" s="17" t="str">
        <f>IFERROR(VLOOKUP(A698,已除帳印單!B:C,2,0),"")</f>
        <v/>
      </c>
      <c r="T698" s="68">
        <f t="shared" si="66"/>
        <v>43893</v>
      </c>
      <c r="U698" s="69">
        <f t="shared" si="67"/>
        <v>84.168784722222213</v>
      </c>
      <c r="V698" s="68" t="str">
        <f>IFERROR(VLOOKUP(A698,已除帳印單!B:D,3,0),"")</f>
        <v/>
      </c>
      <c r="W698" s="69" t="str">
        <f>IFERROR(VLOOKUP(A698,已除帳印單!B:E,4,0),"")</f>
        <v/>
      </c>
      <c r="X698" s="68" t="str">
        <f>IFERROR(INDEX(刷條碼區!A:C,MATCH(點上線資訊!S698,刷條碼區!C:C,0),1),"")</f>
        <v/>
      </c>
      <c r="Y698" s="69" t="str">
        <f>IFERROR(INDEX(刷條碼區!A:C,MATCH(點上線資訊!S698,刷條碼區!C:C,0),2),"")</f>
        <v/>
      </c>
      <c r="Z698" s="70" t="str">
        <f>IFERROR(INDEX(刷條碼區!D:G,MATCH(點上線資訊!S698,刷條碼區!F:F,0),1),"")</f>
        <v/>
      </c>
      <c r="AA698" s="71" t="str">
        <f>IFERROR(INDEX(刷條碼區!D:G,MATCH(點上線資訊!S698,刷條碼區!F:F,0),2),"")</f>
        <v/>
      </c>
      <c r="AB698" s="20" t="b">
        <f t="shared" si="62"/>
        <v>0</v>
      </c>
      <c r="AC698" s="20" t="b">
        <f t="shared" si="63"/>
        <v>0</v>
      </c>
      <c r="AD698" s="17" t="b">
        <f t="shared" si="64"/>
        <v>0</v>
      </c>
      <c r="AE698" s="17" t="b">
        <f t="shared" si="65"/>
        <v>0</v>
      </c>
    </row>
    <row r="699" spans="1:31" x14ac:dyDescent="0.2">
      <c r="A699" s="16">
        <v>5000502371</v>
      </c>
      <c r="B699" t="s">
        <v>301</v>
      </c>
      <c r="C699" t="s">
        <v>301</v>
      </c>
      <c r="D699" t="s">
        <v>1</v>
      </c>
      <c r="E699" t="s">
        <v>1167</v>
      </c>
      <c r="F699" t="s">
        <v>1168</v>
      </c>
      <c r="G699" s="2">
        <v>1</v>
      </c>
      <c r="H699" t="s">
        <v>461</v>
      </c>
      <c r="I699" t="s">
        <v>3</v>
      </c>
      <c r="J699" t="s">
        <v>339</v>
      </c>
      <c r="K699" t="s">
        <v>605</v>
      </c>
      <c r="L699" t="s">
        <v>608</v>
      </c>
      <c r="M699" t="s">
        <v>433</v>
      </c>
      <c r="N699" t="s">
        <v>602</v>
      </c>
      <c r="O699" t="s">
        <v>603</v>
      </c>
      <c r="P699" t="s">
        <v>602</v>
      </c>
      <c r="Q699" s="17">
        <f>IFERROR(VLOOKUP(A699,已除帳印單!B:C,1,0),0)*1</f>
        <v>0</v>
      </c>
      <c r="R699" s="67" t="str">
        <f>IFERROR(VLOOKUP(J699,線別!A:B,2,1),"")</f>
        <v>A+線</v>
      </c>
      <c r="S699" s="17" t="str">
        <f>IFERROR(VLOOKUP(A699,已除帳印單!B:C,2,0),"")</f>
        <v/>
      </c>
      <c r="T699" s="68">
        <f t="shared" si="66"/>
        <v>43894</v>
      </c>
      <c r="U699" s="69">
        <f t="shared" si="67"/>
        <v>84.168796296296293</v>
      </c>
      <c r="V699" s="68" t="str">
        <f>IFERROR(VLOOKUP(A699,已除帳印單!B:D,3,0),"")</f>
        <v/>
      </c>
      <c r="W699" s="69" t="str">
        <f>IFERROR(VLOOKUP(A699,已除帳印單!B:E,4,0),"")</f>
        <v/>
      </c>
      <c r="X699" s="68" t="str">
        <f>IFERROR(INDEX(刷條碼區!A:C,MATCH(點上線資訊!S699,刷條碼區!C:C,0),1),"")</f>
        <v/>
      </c>
      <c r="Y699" s="69" t="str">
        <f>IFERROR(INDEX(刷條碼區!A:C,MATCH(點上線資訊!S699,刷條碼區!C:C,0),2),"")</f>
        <v/>
      </c>
      <c r="Z699" s="70" t="str">
        <f>IFERROR(INDEX(刷條碼區!D:G,MATCH(點上線資訊!S699,刷條碼區!F:F,0),1),"")</f>
        <v/>
      </c>
      <c r="AA699" s="71" t="str">
        <f>IFERROR(INDEX(刷條碼區!D:G,MATCH(點上線資訊!S699,刷條碼區!F:F,0),2),"")</f>
        <v/>
      </c>
      <c r="AB699" s="20" t="b">
        <f t="shared" si="62"/>
        <v>0</v>
      </c>
      <c r="AC699" s="20" t="b">
        <f t="shared" si="63"/>
        <v>0</v>
      </c>
      <c r="AD699" s="17" t="b">
        <f t="shared" si="64"/>
        <v>0</v>
      </c>
      <c r="AE699" s="17" t="b">
        <f t="shared" si="65"/>
        <v>0</v>
      </c>
    </row>
    <row r="700" spans="1:31" x14ac:dyDescent="0.2">
      <c r="A700" s="16">
        <v>5000502380</v>
      </c>
      <c r="B700" t="s">
        <v>301</v>
      </c>
      <c r="C700" t="s">
        <v>301</v>
      </c>
      <c r="D700" t="s">
        <v>1</v>
      </c>
      <c r="E700" t="s">
        <v>370</v>
      </c>
      <c r="F700" t="s">
        <v>1169</v>
      </c>
      <c r="G700" s="2">
        <v>1</v>
      </c>
      <c r="H700" t="s">
        <v>461</v>
      </c>
      <c r="I700" t="s">
        <v>3</v>
      </c>
      <c r="J700" t="s">
        <v>19</v>
      </c>
      <c r="K700" t="s">
        <v>605</v>
      </c>
      <c r="L700" t="s">
        <v>608</v>
      </c>
      <c r="M700" t="s">
        <v>444</v>
      </c>
      <c r="N700" t="s">
        <v>602</v>
      </c>
      <c r="O700" t="s">
        <v>603</v>
      </c>
      <c r="P700" t="s">
        <v>602</v>
      </c>
      <c r="Q700" s="17">
        <f>IFERROR(VLOOKUP(A700,已除帳印單!B:C,1,0),0)*1</f>
        <v>0</v>
      </c>
      <c r="R700" s="67" t="str">
        <f>IFERROR(VLOOKUP(J700,線別!A:B,2,1),"")</f>
        <v>FM_IA預組</v>
      </c>
      <c r="S700" s="17" t="str">
        <f>IFERROR(VLOOKUP(A700,已除帳印單!B:C,2,0),"")</f>
        <v/>
      </c>
      <c r="T700" s="68">
        <f t="shared" si="66"/>
        <v>43894</v>
      </c>
      <c r="U700" s="69">
        <f t="shared" si="67"/>
        <v>84.168796296296293</v>
      </c>
      <c r="V700" s="68" t="str">
        <f>IFERROR(VLOOKUP(A700,已除帳印單!B:D,3,0),"")</f>
        <v/>
      </c>
      <c r="W700" s="69" t="str">
        <f>IFERROR(VLOOKUP(A700,已除帳印單!B:E,4,0),"")</f>
        <v/>
      </c>
      <c r="X700" s="68" t="str">
        <f>IFERROR(INDEX(刷條碼區!A:C,MATCH(點上線資訊!S700,刷條碼區!C:C,0),1),"")</f>
        <v/>
      </c>
      <c r="Y700" s="69" t="str">
        <f>IFERROR(INDEX(刷條碼區!A:C,MATCH(點上線資訊!S700,刷條碼區!C:C,0),2),"")</f>
        <v/>
      </c>
      <c r="Z700" s="70" t="str">
        <f>IFERROR(INDEX(刷條碼區!D:G,MATCH(點上線資訊!S700,刷條碼區!F:F,0),1),"")</f>
        <v/>
      </c>
      <c r="AA700" s="71" t="str">
        <f>IFERROR(INDEX(刷條碼區!D:G,MATCH(點上線資訊!S700,刷條碼區!F:F,0),2),"")</f>
        <v/>
      </c>
      <c r="AB700" s="20" t="b">
        <f t="shared" si="62"/>
        <v>0</v>
      </c>
      <c r="AC700" s="20" t="b">
        <f t="shared" si="63"/>
        <v>0</v>
      </c>
      <c r="AD700" s="17" t="b">
        <f t="shared" si="64"/>
        <v>0</v>
      </c>
      <c r="AE700" s="17" t="b">
        <f t="shared" si="65"/>
        <v>0</v>
      </c>
    </row>
    <row r="701" spans="1:31" x14ac:dyDescent="0.2">
      <c r="A701" s="16">
        <v>5000502381</v>
      </c>
      <c r="B701" t="s">
        <v>6</v>
      </c>
      <c r="C701" t="s">
        <v>6</v>
      </c>
      <c r="D701" t="s">
        <v>1</v>
      </c>
      <c r="E701" t="s">
        <v>1170</v>
      </c>
      <c r="F701" t="s">
        <v>1171</v>
      </c>
      <c r="G701" s="2">
        <v>3</v>
      </c>
      <c r="H701" t="s">
        <v>461</v>
      </c>
      <c r="I701" t="s">
        <v>3</v>
      </c>
      <c r="J701" t="s">
        <v>5</v>
      </c>
      <c r="K701" t="s">
        <v>605</v>
      </c>
      <c r="L701" t="s">
        <v>608</v>
      </c>
      <c r="M701" t="s">
        <v>434</v>
      </c>
      <c r="N701" t="s">
        <v>602</v>
      </c>
      <c r="O701" t="s">
        <v>603</v>
      </c>
      <c r="P701" t="s">
        <v>602</v>
      </c>
      <c r="Q701" s="17">
        <f>IFERROR(VLOOKUP(A701,已除帳印單!B:C,1,0),0)*1</f>
        <v>0</v>
      </c>
      <c r="R701" s="67" t="str">
        <f>IFERROR(VLOOKUP(J701,線別!A:B,2,1),"")</f>
        <v>FM線</v>
      </c>
      <c r="S701" s="17" t="str">
        <f>IFERROR(VLOOKUP(A701,已除帳印單!B:C,2,0),"")</f>
        <v/>
      </c>
      <c r="T701" s="68">
        <f t="shared" si="66"/>
        <v>43893</v>
      </c>
      <c r="U701" s="69">
        <f t="shared" si="67"/>
        <v>84.168784722222213</v>
      </c>
      <c r="V701" s="68" t="str">
        <f>IFERROR(VLOOKUP(A701,已除帳印單!B:D,3,0),"")</f>
        <v/>
      </c>
      <c r="W701" s="69" t="str">
        <f>IFERROR(VLOOKUP(A701,已除帳印單!B:E,4,0),"")</f>
        <v/>
      </c>
      <c r="X701" s="68" t="str">
        <f>IFERROR(INDEX(刷條碼區!A:C,MATCH(點上線資訊!S701,刷條碼區!C:C,0),1),"")</f>
        <v/>
      </c>
      <c r="Y701" s="69" t="str">
        <f>IFERROR(INDEX(刷條碼區!A:C,MATCH(點上線資訊!S701,刷條碼區!C:C,0),2),"")</f>
        <v/>
      </c>
      <c r="Z701" s="70" t="str">
        <f>IFERROR(INDEX(刷條碼區!D:G,MATCH(點上線資訊!S701,刷條碼區!F:F,0),1),"")</f>
        <v/>
      </c>
      <c r="AA701" s="71" t="str">
        <f>IFERROR(INDEX(刷條碼區!D:G,MATCH(點上線資訊!S701,刷條碼區!F:F,0),2),"")</f>
        <v/>
      </c>
      <c r="AB701" s="20" t="b">
        <f t="shared" si="62"/>
        <v>0</v>
      </c>
      <c r="AC701" s="20" t="b">
        <f t="shared" si="63"/>
        <v>0</v>
      </c>
      <c r="AD701" s="17" t="b">
        <f t="shared" si="64"/>
        <v>0</v>
      </c>
      <c r="AE701" s="17" t="b">
        <f t="shared" si="65"/>
        <v>0</v>
      </c>
    </row>
    <row r="702" spans="1:31" x14ac:dyDescent="0.2">
      <c r="A702" s="16">
        <v>5000502382</v>
      </c>
      <c r="B702" t="s">
        <v>6</v>
      </c>
      <c r="C702" t="s">
        <v>6</v>
      </c>
      <c r="D702" t="s">
        <v>1</v>
      </c>
      <c r="E702" t="s">
        <v>1170</v>
      </c>
      <c r="F702" t="s">
        <v>1171</v>
      </c>
      <c r="G702" s="2">
        <v>2</v>
      </c>
      <c r="H702" t="s">
        <v>461</v>
      </c>
      <c r="I702" t="s">
        <v>3</v>
      </c>
      <c r="J702" t="s">
        <v>5</v>
      </c>
      <c r="K702" t="s">
        <v>605</v>
      </c>
      <c r="L702" t="s">
        <v>608</v>
      </c>
      <c r="M702" t="s">
        <v>434</v>
      </c>
      <c r="N702" t="s">
        <v>602</v>
      </c>
      <c r="O702" t="s">
        <v>603</v>
      </c>
      <c r="P702" t="s">
        <v>602</v>
      </c>
      <c r="Q702" s="17">
        <f>IFERROR(VLOOKUP(A702,已除帳印單!B:C,1,0),0)*1</f>
        <v>0</v>
      </c>
      <c r="R702" s="67" t="str">
        <f>IFERROR(VLOOKUP(J702,線別!A:B,2,1),"")</f>
        <v>FM線</v>
      </c>
      <c r="S702" s="17" t="str">
        <f>IFERROR(VLOOKUP(A702,已除帳印單!B:C,2,0),"")</f>
        <v/>
      </c>
      <c r="T702" s="68">
        <f t="shared" si="66"/>
        <v>43893</v>
      </c>
      <c r="U702" s="69">
        <f t="shared" si="67"/>
        <v>84.168784722222213</v>
      </c>
      <c r="V702" s="68" t="str">
        <f>IFERROR(VLOOKUP(A702,已除帳印單!B:D,3,0),"")</f>
        <v/>
      </c>
      <c r="W702" s="69" t="str">
        <f>IFERROR(VLOOKUP(A702,已除帳印單!B:E,4,0),"")</f>
        <v/>
      </c>
      <c r="X702" s="68" t="str">
        <f>IFERROR(INDEX(刷條碼區!A:C,MATCH(點上線資訊!S702,刷條碼區!C:C,0),1),"")</f>
        <v/>
      </c>
      <c r="Y702" s="69" t="str">
        <f>IFERROR(INDEX(刷條碼區!A:C,MATCH(點上線資訊!S702,刷條碼區!C:C,0),2),"")</f>
        <v/>
      </c>
      <c r="Z702" s="70" t="str">
        <f>IFERROR(INDEX(刷條碼區!D:G,MATCH(點上線資訊!S702,刷條碼區!F:F,0),1),"")</f>
        <v/>
      </c>
      <c r="AA702" s="71" t="str">
        <f>IFERROR(INDEX(刷條碼區!D:G,MATCH(點上線資訊!S702,刷條碼區!F:F,0),2),"")</f>
        <v/>
      </c>
      <c r="AB702" s="20" t="b">
        <f t="shared" si="62"/>
        <v>0</v>
      </c>
      <c r="AC702" s="20" t="b">
        <f t="shared" si="63"/>
        <v>0</v>
      </c>
      <c r="AD702" s="17" t="b">
        <f t="shared" si="64"/>
        <v>0</v>
      </c>
      <c r="AE702" s="17" t="b">
        <f t="shared" si="65"/>
        <v>0</v>
      </c>
    </row>
    <row r="703" spans="1:31" x14ac:dyDescent="0.2">
      <c r="A703" s="16">
        <v>5000502383</v>
      </c>
      <c r="B703" t="s">
        <v>301</v>
      </c>
      <c r="C703" t="s">
        <v>301</v>
      </c>
      <c r="D703" t="s">
        <v>1</v>
      </c>
      <c r="E703" t="s">
        <v>1172</v>
      </c>
      <c r="F703" t="s">
        <v>1173</v>
      </c>
      <c r="G703" s="2">
        <v>6</v>
      </c>
      <c r="H703" t="s">
        <v>461</v>
      </c>
      <c r="I703" t="s">
        <v>3</v>
      </c>
      <c r="J703" t="s">
        <v>19</v>
      </c>
      <c r="K703" t="s">
        <v>605</v>
      </c>
      <c r="L703" t="s">
        <v>608</v>
      </c>
      <c r="M703" t="s">
        <v>431</v>
      </c>
      <c r="N703" t="s">
        <v>602</v>
      </c>
      <c r="O703" t="s">
        <v>603</v>
      </c>
      <c r="P703" t="s">
        <v>602</v>
      </c>
      <c r="Q703" s="17">
        <f>IFERROR(VLOOKUP(A703,已除帳印單!B:C,1,0),0)*1</f>
        <v>0</v>
      </c>
      <c r="R703" s="67" t="str">
        <f>IFERROR(VLOOKUP(J703,線別!A:B,2,1),"")</f>
        <v>FM_IA預組</v>
      </c>
      <c r="S703" s="17" t="str">
        <f>IFERROR(VLOOKUP(A703,已除帳印單!B:C,2,0),"")</f>
        <v/>
      </c>
      <c r="T703" s="68">
        <f t="shared" si="66"/>
        <v>43894</v>
      </c>
      <c r="U703" s="69">
        <f t="shared" si="67"/>
        <v>84.168796296296293</v>
      </c>
      <c r="V703" s="68" t="str">
        <f>IFERROR(VLOOKUP(A703,已除帳印單!B:D,3,0),"")</f>
        <v/>
      </c>
      <c r="W703" s="69" t="str">
        <f>IFERROR(VLOOKUP(A703,已除帳印單!B:E,4,0),"")</f>
        <v/>
      </c>
      <c r="X703" s="68" t="str">
        <f>IFERROR(INDEX(刷條碼區!A:C,MATCH(點上線資訊!S703,刷條碼區!C:C,0),1),"")</f>
        <v/>
      </c>
      <c r="Y703" s="69" t="str">
        <f>IFERROR(INDEX(刷條碼區!A:C,MATCH(點上線資訊!S703,刷條碼區!C:C,0),2),"")</f>
        <v/>
      </c>
      <c r="Z703" s="70" t="str">
        <f>IFERROR(INDEX(刷條碼區!D:G,MATCH(點上線資訊!S703,刷條碼區!F:F,0),1),"")</f>
        <v/>
      </c>
      <c r="AA703" s="71" t="str">
        <f>IFERROR(INDEX(刷條碼區!D:G,MATCH(點上線資訊!S703,刷條碼區!F:F,0),2),"")</f>
        <v/>
      </c>
      <c r="AB703" s="20" t="b">
        <f t="shared" si="62"/>
        <v>0</v>
      </c>
      <c r="AC703" s="20" t="b">
        <f t="shared" si="63"/>
        <v>0</v>
      </c>
      <c r="AD703" s="17" t="b">
        <f t="shared" si="64"/>
        <v>0</v>
      </c>
      <c r="AE703" s="17" t="b">
        <f t="shared" si="65"/>
        <v>0</v>
      </c>
    </row>
    <row r="704" spans="1:31" x14ac:dyDescent="0.2">
      <c r="A704" s="16">
        <v>5000502384</v>
      </c>
      <c r="B704" t="s">
        <v>301</v>
      </c>
      <c r="C704" t="s">
        <v>301</v>
      </c>
      <c r="D704" t="s">
        <v>1</v>
      </c>
      <c r="E704" t="s">
        <v>573</v>
      </c>
      <c r="F704" t="s">
        <v>574</v>
      </c>
      <c r="G704" s="2">
        <v>1</v>
      </c>
      <c r="H704" t="s">
        <v>461</v>
      </c>
      <c r="I704" t="s">
        <v>3</v>
      </c>
      <c r="J704" t="s">
        <v>8</v>
      </c>
      <c r="K704" t="s">
        <v>602</v>
      </c>
      <c r="L704" t="s">
        <v>603</v>
      </c>
      <c r="M704" t="s">
        <v>602</v>
      </c>
      <c r="N704" t="s">
        <v>602</v>
      </c>
      <c r="O704" t="s">
        <v>603</v>
      </c>
      <c r="P704" t="s">
        <v>602</v>
      </c>
      <c r="Q704" s="17">
        <f>IFERROR(VLOOKUP(A704,已除帳印單!B:C,1,0),0)*1</f>
        <v>0</v>
      </c>
      <c r="R704" s="67" t="str">
        <f>IFERROR(VLOOKUP(J704,線別!A:B,2,1),"")</f>
        <v>裝一線</v>
      </c>
      <c r="S704" s="17" t="str">
        <f>IFERROR(VLOOKUP(A704,已除帳印單!B:C,2,0),"")</f>
        <v/>
      </c>
      <c r="T704" s="68">
        <f t="shared" si="66"/>
        <v>43894</v>
      </c>
      <c r="U704" s="69">
        <f t="shared" si="67"/>
        <v>84.168796296296293</v>
      </c>
      <c r="V704" s="68" t="str">
        <f>IFERROR(VLOOKUP(A704,已除帳印單!B:D,3,0),"")</f>
        <v/>
      </c>
      <c r="W704" s="69" t="str">
        <f>IFERROR(VLOOKUP(A704,已除帳印單!B:E,4,0),"")</f>
        <v/>
      </c>
      <c r="X704" s="68" t="str">
        <f>IFERROR(INDEX(刷條碼區!A:C,MATCH(點上線資訊!S704,刷條碼區!C:C,0),1),"")</f>
        <v/>
      </c>
      <c r="Y704" s="69" t="str">
        <f>IFERROR(INDEX(刷條碼區!A:C,MATCH(點上線資訊!S704,刷條碼區!C:C,0),2),"")</f>
        <v/>
      </c>
      <c r="Z704" s="70" t="str">
        <f>IFERROR(INDEX(刷條碼區!D:G,MATCH(點上線資訊!S704,刷條碼區!F:F,0),1),"")</f>
        <v/>
      </c>
      <c r="AA704" s="71" t="str">
        <f>IFERROR(INDEX(刷條碼區!D:G,MATCH(點上線資訊!S704,刷條碼區!F:F,0),2),"")</f>
        <v/>
      </c>
      <c r="AB704" s="20">
        <f t="shared" si="62"/>
        <v>1</v>
      </c>
      <c r="AC704" s="20" t="b">
        <f t="shared" si="63"/>
        <v>0</v>
      </c>
      <c r="AD704" s="17" t="b">
        <f t="shared" si="64"/>
        <v>0</v>
      </c>
      <c r="AE704" s="17" t="b">
        <f t="shared" si="65"/>
        <v>0</v>
      </c>
    </row>
    <row r="705" spans="1:31" x14ac:dyDescent="0.2">
      <c r="A705" s="16">
        <v>5000502385</v>
      </c>
      <c r="B705" t="s">
        <v>6</v>
      </c>
      <c r="C705" t="s">
        <v>6</v>
      </c>
      <c r="D705" t="s">
        <v>1</v>
      </c>
      <c r="E705" t="s">
        <v>1174</v>
      </c>
      <c r="F705" t="s">
        <v>1175</v>
      </c>
      <c r="G705" s="2">
        <v>1</v>
      </c>
      <c r="H705" t="s">
        <v>461</v>
      </c>
      <c r="I705" t="s">
        <v>3</v>
      </c>
      <c r="J705" t="s">
        <v>136</v>
      </c>
      <c r="K705" t="s">
        <v>605</v>
      </c>
      <c r="L705" t="s">
        <v>608</v>
      </c>
      <c r="M705" t="s">
        <v>419</v>
      </c>
      <c r="N705" t="s">
        <v>602</v>
      </c>
      <c r="O705" t="s">
        <v>603</v>
      </c>
      <c r="P705" t="s">
        <v>602</v>
      </c>
      <c r="Q705" s="17">
        <f>IFERROR(VLOOKUP(A705,已除帳印單!B:C,1,0),0)*1</f>
        <v>0</v>
      </c>
      <c r="R705" s="67" t="str">
        <f>IFERROR(VLOOKUP(J705,線別!A:B,2,1),"")</f>
        <v>SCB線</v>
      </c>
      <c r="S705" s="17" t="str">
        <f>IFERROR(VLOOKUP(A705,已除帳印單!B:C,2,0),"")</f>
        <v/>
      </c>
      <c r="T705" s="68">
        <f t="shared" si="66"/>
        <v>43893</v>
      </c>
      <c r="U705" s="69">
        <f t="shared" si="67"/>
        <v>84.168784722222213</v>
      </c>
      <c r="V705" s="68" t="str">
        <f>IFERROR(VLOOKUP(A705,已除帳印單!B:D,3,0),"")</f>
        <v/>
      </c>
      <c r="W705" s="69" t="str">
        <f>IFERROR(VLOOKUP(A705,已除帳印單!B:E,4,0),"")</f>
        <v/>
      </c>
      <c r="X705" s="68" t="str">
        <f>IFERROR(INDEX(刷條碼區!A:C,MATCH(點上線資訊!S705,刷條碼區!C:C,0),1),"")</f>
        <v/>
      </c>
      <c r="Y705" s="69" t="str">
        <f>IFERROR(INDEX(刷條碼區!A:C,MATCH(點上線資訊!S705,刷條碼區!C:C,0),2),"")</f>
        <v/>
      </c>
      <c r="Z705" s="70" t="str">
        <f>IFERROR(INDEX(刷條碼區!D:G,MATCH(點上線資訊!S705,刷條碼區!F:F,0),1),"")</f>
        <v/>
      </c>
      <c r="AA705" s="71" t="str">
        <f>IFERROR(INDEX(刷條碼區!D:G,MATCH(點上線資訊!S705,刷條碼區!F:F,0),2),"")</f>
        <v/>
      </c>
      <c r="AB705" s="20" t="b">
        <f t="shared" si="62"/>
        <v>0</v>
      </c>
      <c r="AC705" s="20" t="b">
        <f t="shared" si="63"/>
        <v>0</v>
      </c>
      <c r="AD705" s="17" t="b">
        <f t="shared" si="64"/>
        <v>0</v>
      </c>
      <c r="AE705" s="17" t="b">
        <f t="shared" si="65"/>
        <v>0</v>
      </c>
    </row>
    <row r="706" spans="1:31" x14ac:dyDescent="0.2">
      <c r="A706" s="16">
        <v>5000502393</v>
      </c>
      <c r="B706" t="s">
        <v>301</v>
      </c>
      <c r="C706" t="s">
        <v>301</v>
      </c>
      <c r="D706" t="s">
        <v>1</v>
      </c>
      <c r="E706" t="s">
        <v>95</v>
      </c>
      <c r="F706" t="s">
        <v>574</v>
      </c>
      <c r="G706" s="2">
        <v>2</v>
      </c>
      <c r="H706" t="s">
        <v>461</v>
      </c>
      <c r="I706" t="s">
        <v>3</v>
      </c>
      <c r="J706" t="s">
        <v>8</v>
      </c>
      <c r="K706" t="s">
        <v>602</v>
      </c>
      <c r="L706" t="s">
        <v>603</v>
      </c>
      <c r="M706" t="s">
        <v>602</v>
      </c>
      <c r="N706" t="s">
        <v>602</v>
      </c>
      <c r="O706" t="s">
        <v>603</v>
      </c>
      <c r="P706" t="s">
        <v>602</v>
      </c>
      <c r="Q706" s="17">
        <f>IFERROR(VLOOKUP(A706,已除帳印單!B:C,1,0),0)*1</f>
        <v>0</v>
      </c>
      <c r="R706" s="67" t="str">
        <f>IFERROR(VLOOKUP(J706,線別!A:B,2,1),"")</f>
        <v>裝一線</v>
      </c>
      <c r="S706" s="17" t="str">
        <f>IFERROR(VLOOKUP(A706,已除帳印單!B:C,2,0),"")</f>
        <v/>
      </c>
      <c r="T706" s="68">
        <f t="shared" si="66"/>
        <v>43894</v>
      </c>
      <c r="U706" s="69">
        <f t="shared" si="67"/>
        <v>84.168796296296293</v>
      </c>
      <c r="V706" s="68" t="str">
        <f>IFERROR(VLOOKUP(A706,已除帳印單!B:D,3,0),"")</f>
        <v/>
      </c>
      <c r="W706" s="69" t="str">
        <f>IFERROR(VLOOKUP(A706,已除帳印單!B:E,4,0),"")</f>
        <v/>
      </c>
      <c r="X706" s="68" t="str">
        <f>IFERROR(INDEX(刷條碼區!A:C,MATCH(點上線資訊!S706,刷條碼區!C:C,0),1),"")</f>
        <v/>
      </c>
      <c r="Y706" s="69" t="str">
        <f>IFERROR(INDEX(刷條碼區!A:C,MATCH(點上線資訊!S706,刷條碼區!C:C,0),2),"")</f>
        <v/>
      </c>
      <c r="Z706" s="70" t="str">
        <f>IFERROR(INDEX(刷條碼區!D:G,MATCH(點上線資訊!S706,刷條碼區!F:F,0),1),"")</f>
        <v/>
      </c>
      <c r="AA706" s="71" t="str">
        <f>IFERROR(INDEX(刷條碼區!D:G,MATCH(點上線資訊!S706,刷條碼區!F:F,0),2),"")</f>
        <v/>
      </c>
      <c r="AB706" s="20">
        <f t="shared" si="62"/>
        <v>2</v>
      </c>
      <c r="AC706" s="20" t="b">
        <f t="shared" si="63"/>
        <v>0</v>
      </c>
      <c r="AD706" s="17" t="b">
        <f t="shared" si="64"/>
        <v>0</v>
      </c>
      <c r="AE706" s="17" t="b">
        <f t="shared" si="65"/>
        <v>0</v>
      </c>
    </row>
    <row r="707" spans="1:31" x14ac:dyDescent="0.2">
      <c r="A707" s="16">
        <v>5000502394</v>
      </c>
      <c r="B707" t="s">
        <v>6</v>
      </c>
      <c r="C707" t="s">
        <v>6</v>
      </c>
      <c r="D707" t="s">
        <v>1</v>
      </c>
      <c r="E707" t="s">
        <v>89</v>
      </c>
      <c r="F707" t="s">
        <v>889</v>
      </c>
      <c r="G707" s="2">
        <v>7</v>
      </c>
      <c r="H707" t="s">
        <v>461</v>
      </c>
      <c r="I707" t="s">
        <v>3</v>
      </c>
      <c r="J707" t="s">
        <v>8</v>
      </c>
      <c r="K707" t="s">
        <v>605</v>
      </c>
      <c r="L707" t="s">
        <v>608</v>
      </c>
      <c r="M707" t="s">
        <v>1117</v>
      </c>
      <c r="N707" t="s">
        <v>602</v>
      </c>
      <c r="O707" t="s">
        <v>603</v>
      </c>
      <c r="P707" t="s">
        <v>602</v>
      </c>
      <c r="Q707" s="17">
        <f>IFERROR(VLOOKUP(A707,已除帳印單!B:C,1,0),0)*1</f>
        <v>0</v>
      </c>
      <c r="R707" s="67" t="str">
        <f>IFERROR(VLOOKUP(J707,線別!A:B,2,1),"")</f>
        <v>裝一線</v>
      </c>
      <c r="S707" s="17" t="str">
        <f>IFERROR(VLOOKUP(A707,已除帳印單!B:C,2,0),"")</f>
        <v/>
      </c>
      <c r="T707" s="68">
        <f t="shared" si="66"/>
        <v>43893</v>
      </c>
      <c r="U707" s="69">
        <f t="shared" si="67"/>
        <v>84.168784722222213</v>
      </c>
      <c r="V707" s="68" t="str">
        <f>IFERROR(VLOOKUP(A707,已除帳印單!B:D,3,0),"")</f>
        <v/>
      </c>
      <c r="W707" s="69" t="str">
        <f>IFERROR(VLOOKUP(A707,已除帳印單!B:E,4,0),"")</f>
        <v/>
      </c>
      <c r="X707" s="68" t="str">
        <f>IFERROR(INDEX(刷條碼區!A:C,MATCH(點上線資訊!S707,刷條碼區!C:C,0),1),"")</f>
        <v/>
      </c>
      <c r="Y707" s="69" t="str">
        <f>IFERROR(INDEX(刷條碼區!A:C,MATCH(點上線資訊!S707,刷條碼區!C:C,0),2),"")</f>
        <v/>
      </c>
      <c r="Z707" s="70" t="str">
        <f>IFERROR(INDEX(刷條碼區!D:G,MATCH(點上線資訊!S707,刷條碼區!F:F,0),1),"")</f>
        <v/>
      </c>
      <c r="AA707" s="71" t="str">
        <f>IFERROR(INDEX(刷條碼區!D:G,MATCH(點上線資訊!S707,刷條碼區!F:F,0),2),"")</f>
        <v/>
      </c>
      <c r="AB707" s="20" t="b">
        <f t="shared" ref="AB707:AB770" si="68">IF(K707&amp;N707="",G707)</f>
        <v>0</v>
      </c>
      <c r="AC707" s="20" t="b">
        <f t="shared" ref="AC707:AC770" si="69">IF(S707&lt;&gt;"",G707)</f>
        <v>0</v>
      </c>
      <c r="AD707" s="17" t="b">
        <f t="shared" ref="AD707:AD770" si="70">IF(X707&lt;&gt;"",G707)</f>
        <v>0</v>
      </c>
      <c r="AE707" s="17" t="b">
        <f t="shared" ref="AE707:AE770" si="71">IF(Z707&lt;&gt;"",G707)</f>
        <v>0</v>
      </c>
    </row>
    <row r="708" spans="1:31" x14ac:dyDescent="0.2">
      <c r="A708" s="16">
        <v>5000502395</v>
      </c>
      <c r="B708" t="s">
        <v>6</v>
      </c>
      <c r="C708" t="s">
        <v>6</v>
      </c>
      <c r="D708" t="s">
        <v>1</v>
      </c>
      <c r="E708" t="s">
        <v>88</v>
      </c>
      <c r="F708" t="s">
        <v>888</v>
      </c>
      <c r="G708" s="2">
        <v>2</v>
      </c>
      <c r="H708" t="s">
        <v>461</v>
      </c>
      <c r="I708" t="s">
        <v>3</v>
      </c>
      <c r="J708" t="s">
        <v>8</v>
      </c>
      <c r="K708" t="s">
        <v>605</v>
      </c>
      <c r="L708" t="s">
        <v>608</v>
      </c>
      <c r="M708" t="s">
        <v>1117</v>
      </c>
      <c r="N708" t="s">
        <v>602</v>
      </c>
      <c r="O708" t="s">
        <v>603</v>
      </c>
      <c r="P708" t="s">
        <v>602</v>
      </c>
      <c r="Q708" s="17">
        <f>IFERROR(VLOOKUP(A708,已除帳印單!B:C,1,0),0)*1</f>
        <v>0</v>
      </c>
      <c r="R708" s="67" t="str">
        <f>IFERROR(VLOOKUP(J708,線別!A:B,2,1),"")</f>
        <v>裝一線</v>
      </c>
      <c r="S708" s="17" t="str">
        <f>IFERROR(VLOOKUP(A708,已除帳印單!B:C,2,0),"")</f>
        <v/>
      </c>
      <c r="T708" s="68">
        <f t="shared" si="66"/>
        <v>43893</v>
      </c>
      <c r="U708" s="69">
        <f t="shared" si="67"/>
        <v>84.168784722222213</v>
      </c>
      <c r="V708" s="68" t="str">
        <f>IFERROR(VLOOKUP(A708,已除帳印單!B:D,3,0),"")</f>
        <v/>
      </c>
      <c r="W708" s="69" t="str">
        <f>IFERROR(VLOOKUP(A708,已除帳印單!B:E,4,0),"")</f>
        <v/>
      </c>
      <c r="X708" s="68" t="str">
        <f>IFERROR(INDEX(刷條碼區!A:C,MATCH(點上線資訊!S708,刷條碼區!C:C,0),1),"")</f>
        <v/>
      </c>
      <c r="Y708" s="69" t="str">
        <f>IFERROR(INDEX(刷條碼區!A:C,MATCH(點上線資訊!S708,刷條碼區!C:C,0),2),"")</f>
        <v/>
      </c>
      <c r="Z708" s="70" t="str">
        <f>IFERROR(INDEX(刷條碼區!D:G,MATCH(點上線資訊!S708,刷條碼區!F:F,0),1),"")</f>
        <v/>
      </c>
      <c r="AA708" s="71" t="str">
        <f>IFERROR(INDEX(刷條碼區!D:G,MATCH(點上線資訊!S708,刷條碼區!F:F,0),2),"")</f>
        <v/>
      </c>
      <c r="AB708" s="20" t="b">
        <f t="shared" si="68"/>
        <v>0</v>
      </c>
      <c r="AC708" s="20" t="b">
        <f t="shared" si="69"/>
        <v>0</v>
      </c>
      <c r="AD708" s="17" t="b">
        <f t="shared" si="70"/>
        <v>0</v>
      </c>
      <c r="AE708" s="17" t="b">
        <f t="shared" si="71"/>
        <v>0</v>
      </c>
    </row>
    <row r="709" spans="1:31" x14ac:dyDescent="0.2">
      <c r="A709" s="16">
        <v>5000502396</v>
      </c>
      <c r="B709" t="s">
        <v>6</v>
      </c>
      <c r="C709" t="s">
        <v>6</v>
      </c>
      <c r="D709" t="s">
        <v>1</v>
      </c>
      <c r="E709" t="s">
        <v>90</v>
      </c>
      <c r="F709" t="s">
        <v>890</v>
      </c>
      <c r="G709" s="2">
        <v>12</v>
      </c>
      <c r="H709" t="s">
        <v>461</v>
      </c>
      <c r="I709" t="s">
        <v>3</v>
      </c>
      <c r="J709" t="s">
        <v>8</v>
      </c>
      <c r="K709" t="s">
        <v>605</v>
      </c>
      <c r="L709" t="s">
        <v>608</v>
      </c>
      <c r="M709" t="s">
        <v>1117</v>
      </c>
      <c r="N709" t="s">
        <v>602</v>
      </c>
      <c r="O709" t="s">
        <v>603</v>
      </c>
      <c r="P709" t="s">
        <v>602</v>
      </c>
      <c r="Q709" s="17">
        <f>IFERROR(VLOOKUP(A709,已除帳印單!B:C,1,0),0)*1</f>
        <v>0</v>
      </c>
      <c r="R709" s="67" t="str">
        <f>IFERROR(VLOOKUP(J709,線別!A:B,2,1),"")</f>
        <v>裝一線</v>
      </c>
      <c r="S709" s="17" t="str">
        <f>IFERROR(VLOOKUP(A709,已除帳印單!B:C,2,0),"")</f>
        <v/>
      </c>
      <c r="T709" s="68">
        <f t="shared" si="66"/>
        <v>43893</v>
      </c>
      <c r="U709" s="69">
        <f t="shared" si="67"/>
        <v>84.168784722222213</v>
      </c>
      <c r="V709" s="68" t="str">
        <f>IFERROR(VLOOKUP(A709,已除帳印單!B:D,3,0),"")</f>
        <v/>
      </c>
      <c r="W709" s="69" t="str">
        <f>IFERROR(VLOOKUP(A709,已除帳印單!B:E,4,0),"")</f>
        <v/>
      </c>
      <c r="X709" s="68" t="str">
        <f>IFERROR(INDEX(刷條碼區!A:C,MATCH(點上線資訊!S709,刷條碼區!C:C,0),1),"")</f>
        <v/>
      </c>
      <c r="Y709" s="69" t="str">
        <f>IFERROR(INDEX(刷條碼區!A:C,MATCH(點上線資訊!S709,刷條碼區!C:C,0),2),"")</f>
        <v/>
      </c>
      <c r="Z709" s="70" t="str">
        <f>IFERROR(INDEX(刷條碼區!D:G,MATCH(點上線資訊!S709,刷條碼區!F:F,0),1),"")</f>
        <v/>
      </c>
      <c r="AA709" s="71" t="str">
        <f>IFERROR(INDEX(刷條碼區!D:G,MATCH(點上線資訊!S709,刷條碼區!F:F,0),2),"")</f>
        <v/>
      </c>
      <c r="AB709" s="20" t="b">
        <f t="shared" si="68"/>
        <v>0</v>
      </c>
      <c r="AC709" s="20" t="b">
        <f t="shared" si="69"/>
        <v>0</v>
      </c>
      <c r="AD709" s="17" t="b">
        <f t="shared" si="70"/>
        <v>0</v>
      </c>
      <c r="AE709" s="17" t="b">
        <f t="shared" si="71"/>
        <v>0</v>
      </c>
    </row>
    <row r="710" spans="1:31" x14ac:dyDescent="0.2">
      <c r="A710" s="16">
        <v>5000502397</v>
      </c>
      <c r="B710" t="s">
        <v>6</v>
      </c>
      <c r="C710" t="s">
        <v>6</v>
      </c>
      <c r="D710" t="s">
        <v>1</v>
      </c>
      <c r="E710" t="s">
        <v>88</v>
      </c>
      <c r="F710" t="s">
        <v>888</v>
      </c>
      <c r="G710" s="2">
        <v>10</v>
      </c>
      <c r="H710" t="s">
        <v>461</v>
      </c>
      <c r="I710" t="s">
        <v>3</v>
      </c>
      <c r="J710" t="s">
        <v>8</v>
      </c>
      <c r="K710" t="s">
        <v>605</v>
      </c>
      <c r="L710" t="s">
        <v>608</v>
      </c>
      <c r="M710" t="s">
        <v>1117</v>
      </c>
      <c r="N710" t="s">
        <v>602</v>
      </c>
      <c r="O710" t="s">
        <v>603</v>
      </c>
      <c r="P710" t="s">
        <v>602</v>
      </c>
      <c r="Q710" s="17">
        <f>IFERROR(VLOOKUP(A710,已除帳印單!B:C,1,0),0)*1</f>
        <v>0</v>
      </c>
      <c r="R710" s="67" t="str">
        <f>IFERROR(VLOOKUP(J710,線別!A:B,2,1),"")</f>
        <v>裝一線</v>
      </c>
      <c r="S710" s="17" t="str">
        <f>IFERROR(VLOOKUP(A710,已除帳印單!B:C,2,0),"")</f>
        <v/>
      </c>
      <c r="T710" s="68">
        <f t="shared" si="66"/>
        <v>43893</v>
      </c>
      <c r="U710" s="69">
        <f t="shared" si="67"/>
        <v>84.168784722222213</v>
      </c>
      <c r="V710" s="68" t="str">
        <f>IFERROR(VLOOKUP(A710,已除帳印單!B:D,3,0),"")</f>
        <v/>
      </c>
      <c r="W710" s="69" t="str">
        <f>IFERROR(VLOOKUP(A710,已除帳印單!B:E,4,0),"")</f>
        <v/>
      </c>
      <c r="X710" s="68" t="str">
        <f>IFERROR(INDEX(刷條碼區!A:C,MATCH(點上線資訊!S710,刷條碼區!C:C,0),1),"")</f>
        <v/>
      </c>
      <c r="Y710" s="69" t="str">
        <f>IFERROR(INDEX(刷條碼區!A:C,MATCH(點上線資訊!S710,刷條碼區!C:C,0),2),"")</f>
        <v/>
      </c>
      <c r="Z710" s="70" t="str">
        <f>IFERROR(INDEX(刷條碼區!D:G,MATCH(點上線資訊!S710,刷條碼區!F:F,0),1),"")</f>
        <v/>
      </c>
      <c r="AA710" s="71" t="str">
        <f>IFERROR(INDEX(刷條碼區!D:G,MATCH(點上線資訊!S710,刷條碼區!F:F,0),2),"")</f>
        <v/>
      </c>
      <c r="AB710" s="20" t="b">
        <f t="shared" si="68"/>
        <v>0</v>
      </c>
      <c r="AC710" s="20" t="b">
        <f t="shared" si="69"/>
        <v>0</v>
      </c>
      <c r="AD710" s="17" t="b">
        <f t="shared" si="70"/>
        <v>0</v>
      </c>
      <c r="AE710" s="17" t="b">
        <f t="shared" si="71"/>
        <v>0</v>
      </c>
    </row>
    <row r="711" spans="1:31" x14ac:dyDescent="0.2">
      <c r="A711" s="16">
        <v>5000502398</v>
      </c>
      <c r="B711" t="s">
        <v>6</v>
      </c>
      <c r="C711" t="s">
        <v>6</v>
      </c>
      <c r="D711" t="s">
        <v>1</v>
      </c>
      <c r="E711" t="s">
        <v>90</v>
      </c>
      <c r="F711" t="s">
        <v>890</v>
      </c>
      <c r="G711" s="2">
        <v>4</v>
      </c>
      <c r="H711" t="s">
        <v>461</v>
      </c>
      <c r="I711" t="s">
        <v>3</v>
      </c>
      <c r="J711" t="s">
        <v>8</v>
      </c>
      <c r="K711" t="s">
        <v>605</v>
      </c>
      <c r="L711" t="s">
        <v>608</v>
      </c>
      <c r="M711" t="s">
        <v>1117</v>
      </c>
      <c r="N711" t="s">
        <v>602</v>
      </c>
      <c r="O711" t="s">
        <v>603</v>
      </c>
      <c r="P711" t="s">
        <v>602</v>
      </c>
      <c r="Q711" s="17">
        <f>IFERROR(VLOOKUP(A711,已除帳印單!B:C,1,0),0)*1</f>
        <v>0</v>
      </c>
      <c r="R711" s="67" t="str">
        <f>IFERROR(VLOOKUP(J711,線別!A:B,2,1),"")</f>
        <v>裝一線</v>
      </c>
      <c r="S711" s="17" t="str">
        <f>IFERROR(VLOOKUP(A711,已除帳印單!B:C,2,0),"")</f>
        <v/>
      </c>
      <c r="T711" s="68">
        <f t="shared" si="66"/>
        <v>43893</v>
      </c>
      <c r="U711" s="69">
        <f t="shared" si="67"/>
        <v>84.168784722222213</v>
      </c>
      <c r="V711" s="68" t="str">
        <f>IFERROR(VLOOKUP(A711,已除帳印單!B:D,3,0),"")</f>
        <v/>
      </c>
      <c r="W711" s="69" t="str">
        <f>IFERROR(VLOOKUP(A711,已除帳印單!B:E,4,0),"")</f>
        <v/>
      </c>
      <c r="X711" s="68" t="str">
        <f>IFERROR(INDEX(刷條碼區!A:C,MATCH(點上線資訊!S711,刷條碼區!C:C,0),1),"")</f>
        <v/>
      </c>
      <c r="Y711" s="69" t="str">
        <f>IFERROR(INDEX(刷條碼區!A:C,MATCH(點上線資訊!S711,刷條碼區!C:C,0),2),"")</f>
        <v/>
      </c>
      <c r="Z711" s="70" t="str">
        <f>IFERROR(INDEX(刷條碼區!D:G,MATCH(點上線資訊!S711,刷條碼區!F:F,0),1),"")</f>
        <v/>
      </c>
      <c r="AA711" s="71" t="str">
        <f>IFERROR(INDEX(刷條碼區!D:G,MATCH(點上線資訊!S711,刷條碼區!F:F,0),2),"")</f>
        <v/>
      </c>
      <c r="AB711" s="20" t="b">
        <f t="shared" si="68"/>
        <v>0</v>
      </c>
      <c r="AC711" s="20" t="b">
        <f t="shared" si="69"/>
        <v>0</v>
      </c>
      <c r="AD711" s="17" t="b">
        <f t="shared" si="70"/>
        <v>0</v>
      </c>
      <c r="AE711" s="17" t="b">
        <f t="shared" si="71"/>
        <v>0</v>
      </c>
    </row>
    <row r="712" spans="1:31" x14ac:dyDescent="0.2">
      <c r="A712" s="16">
        <v>5000502399</v>
      </c>
      <c r="B712" t="s">
        <v>6</v>
      </c>
      <c r="C712" t="s">
        <v>6</v>
      </c>
      <c r="D712" t="s">
        <v>1</v>
      </c>
      <c r="E712" t="s">
        <v>88</v>
      </c>
      <c r="F712" t="s">
        <v>888</v>
      </c>
      <c r="G712" s="2">
        <v>2</v>
      </c>
      <c r="H712" t="s">
        <v>461</v>
      </c>
      <c r="I712" t="s">
        <v>3</v>
      </c>
      <c r="J712" t="s">
        <v>8</v>
      </c>
      <c r="K712" t="s">
        <v>605</v>
      </c>
      <c r="L712" t="s">
        <v>608</v>
      </c>
      <c r="M712" t="s">
        <v>1117</v>
      </c>
      <c r="N712" t="s">
        <v>602</v>
      </c>
      <c r="O712" t="s">
        <v>603</v>
      </c>
      <c r="P712" t="s">
        <v>602</v>
      </c>
      <c r="Q712" s="17">
        <f>IFERROR(VLOOKUP(A712,已除帳印單!B:C,1,0),0)*1</f>
        <v>0</v>
      </c>
      <c r="R712" s="67" t="str">
        <f>IFERROR(VLOOKUP(J712,線別!A:B,2,1),"")</f>
        <v>裝一線</v>
      </c>
      <c r="S712" s="17" t="str">
        <f>IFERROR(VLOOKUP(A712,已除帳印單!B:C,2,0),"")</f>
        <v/>
      </c>
      <c r="T712" s="68">
        <f t="shared" si="66"/>
        <v>43893</v>
      </c>
      <c r="U712" s="69">
        <f t="shared" si="67"/>
        <v>84.168784722222213</v>
      </c>
      <c r="V712" s="68" t="str">
        <f>IFERROR(VLOOKUP(A712,已除帳印單!B:D,3,0),"")</f>
        <v/>
      </c>
      <c r="W712" s="69" t="str">
        <f>IFERROR(VLOOKUP(A712,已除帳印單!B:E,4,0),"")</f>
        <v/>
      </c>
      <c r="X712" s="68" t="str">
        <f>IFERROR(INDEX(刷條碼區!A:C,MATCH(點上線資訊!S712,刷條碼區!C:C,0),1),"")</f>
        <v/>
      </c>
      <c r="Y712" s="69" t="str">
        <f>IFERROR(INDEX(刷條碼區!A:C,MATCH(點上線資訊!S712,刷條碼區!C:C,0),2),"")</f>
        <v/>
      </c>
      <c r="Z712" s="70" t="str">
        <f>IFERROR(INDEX(刷條碼區!D:G,MATCH(點上線資訊!S712,刷條碼區!F:F,0),1),"")</f>
        <v/>
      </c>
      <c r="AA712" s="71" t="str">
        <f>IFERROR(INDEX(刷條碼區!D:G,MATCH(點上線資訊!S712,刷條碼區!F:F,0),2),"")</f>
        <v/>
      </c>
      <c r="AB712" s="20" t="b">
        <f t="shared" si="68"/>
        <v>0</v>
      </c>
      <c r="AC712" s="20" t="b">
        <f t="shared" si="69"/>
        <v>0</v>
      </c>
      <c r="AD712" s="17" t="b">
        <f t="shared" si="70"/>
        <v>0</v>
      </c>
      <c r="AE712" s="17" t="b">
        <f t="shared" si="71"/>
        <v>0</v>
      </c>
    </row>
    <row r="713" spans="1:31" x14ac:dyDescent="0.2">
      <c r="A713" s="16">
        <v>5000502404</v>
      </c>
      <c r="B713" t="s">
        <v>301</v>
      </c>
      <c r="C713" t="s">
        <v>301</v>
      </c>
      <c r="D713" t="s">
        <v>1</v>
      </c>
      <c r="E713" t="s">
        <v>390</v>
      </c>
      <c r="F713" t="s">
        <v>1017</v>
      </c>
      <c r="G713" s="2">
        <v>1</v>
      </c>
      <c r="H713" t="s">
        <v>461</v>
      </c>
      <c r="I713" t="s">
        <v>3</v>
      </c>
      <c r="J713" t="s">
        <v>19</v>
      </c>
      <c r="K713" t="s">
        <v>605</v>
      </c>
      <c r="L713" t="s">
        <v>608</v>
      </c>
      <c r="M713" t="s">
        <v>1018</v>
      </c>
      <c r="N713" t="s">
        <v>602</v>
      </c>
      <c r="O713" t="s">
        <v>603</v>
      </c>
      <c r="P713" t="s">
        <v>602</v>
      </c>
      <c r="Q713" s="17">
        <f>IFERROR(VLOOKUP(A713,已除帳印單!B:C,1,0),0)*1</f>
        <v>0</v>
      </c>
      <c r="R713" s="67" t="str">
        <f>IFERROR(VLOOKUP(J713,線別!A:B,2,1),"")</f>
        <v>FM_IA預組</v>
      </c>
      <c r="S713" s="17" t="str">
        <f>IFERROR(VLOOKUP(A713,已除帳印單!B:C,2,0),"")</f>
        <v/>
      </c>
      <c r="T713" s="68">
        <f t="shared" si="66"/>
        <v>43894</v>
      </c>
      <c r="U713" s="69">
        <f t="shared" si="67"/>
        <v>84.168796296296293</v>
      </c>
      <c r="V713" s="68" t="str">
        <f>IFERROR(VLOOKUP(A713,已除帳印單!B:D,3,0),"")</f>
        <v/>
      </c>
      <c r="W713" s="69" t="str">
        <f>IFERROR(VLOOKUP(A713,已除帳印單!B:E,4,0),"")</f>
        <v/>
      </c>
      <c r="X713" s="68" t="str">
        <f>IFERROR(INDEX(刷條碼區!A:C,MATCH(點上線資訊!S713,刷條碼區!C:C,0),1),"")</f>
        <v/>
      </c>
      <c r="Y713" s="69" t="str">
        <f>IFERROR(INDEX(刷條碼區!A:C,MATCH(點上線資訊!S713,刷條碼區!C:C,0),2),"")</f>
        <v/>
      </c>
      <c r="Z713" s="70" t="str">
        <f>IFERROR(INDEX(刷條碼區!D:G,MATCH(點上線資訊!S713,刷條碼區!F:F,0),1),"")</f>
        <v/>
      </c>
      <c r="AA713" s="71" t="str">
        <f>IFERROR(INDEX(刷條碼區!D:G,MATCH(點上線資訊!S713,刷條碼區!F:F,0),2),"")</f>
        <v/>
      </c>
      <c r="AB713" s="20" t="b">
        <f t="shared" si="68"/>
        <v>0</v>
      </c>
      <c r="AC713" s="20" t="b">
        <f t="shared" si="69"/>
        <v>0</v>
      </c>
      <c r="AD713" s="17" t="b">
        <f t="shared" si="70"/>
        <v>0</v>
      </c>
      <c r="AE713" s="17" t="b">
        <f t="shared" si="71"/>
        <v>0</v>
      </c>
    </row>
    <row r="714" spans="1:31" x14ac:dyDescent="0.2">
      <c r="A714" s="16">
        <v>5000502405</v>
      </c>
      <c r="B714" t="s">
        <v>301</v>
      </c>
      <c r="C714" t="s">
        <v>301</v>
      </c>
      <c r="D714" t="s">
        <v>1</v>
      </c>
      <c r="E714" t="s">
        <v>391</v>
      </c>
      <c r="F714" t="s">
        <v>1176</v>
      </c>
      <c r="G714" s="2">
        <v>1</v>
      </c>
      <c r="H714" t="s">
        <v>461</v>
      </c>
      <c r="I714" t="s">
        <v>3</v>
      </c>
      <c r="J714" t="s">
        <v>19</v>
      </c>
      <c r="K714" t="s">
        <v>605</v>
      </c>
      <c r="L714" t="s">
        <v>608</v>
      </c>
      <c r="M714" t="s">
        <v>1018</v>
      </c>
      <c r="N714" t="s">
        <v>602</v>
      </c>
      <c r="O714" t="s">
        <v>603</v>
      </c>
      <c r="P714" t="s">
        <v>602</v>
      </c>
      <c r="Q714" s="17">
        <f>IFERROR(VLOOKUP(A714,已除帳印單!B:C,1,0),0)*1</f>
        <v>0</v>
      </c>
      <c r="R714" s="67" t="str">
        <f>IFERROR(VLOOKUP(J714,線別!A:B,2,1),"")</f>
        <v>FM_IA預組</v>
      </c>
      <c r="S714" s="17" t="str">
        <f>IFERROR(VLOOKUP(A714,已除帳印單!B:C,2,0),"")</f>
        <v/>
      </c>
      <c r="T714" s="68">
        <f t="shared" ref="T714:T777" si="72">--TEXT(B714,"0000-00-00")</f>
        <v>43894</v>
      </c>
      <c r="U714" s="69">
        <f t="shared" ref="U714:U777" si="73">--TEXT(C714,"00\:00\:00")</f>
        <v>84.168796296296293</v>
      </c>
      <c r="V714" s="68" t="str">
        <f>IFERROR(VLOOKUP(A714,已除帳印單!B:D,3,0),"")</f>
        <v/>
      </c>
      <c r="W714" s="69" t="str">
        <f>IFERROR(VLOOKUP(A714,已除帳印單!B:E,4,0),"")</f>
        <v/>
      </c>
      <c r="X714" s="68" t="str">
        <f>IFERROR(INDEX(刷條碼區!A:C,MATCH(點上線資訊!S714,刷條碼區!C:C,0),1),"")</f>
        <v/>
      </c>
      <c r="Y714" s="69" t="str">
        <f>IFERROR(INDEX(刷條碼區!A:C,MATCH(點上線資訊!S714,刷條碼區!C:C,0),2),"")</f>
        <v/>
      </c>
      <c r="Z714" s="70" t="str">
        <f>IFERROR(INDEX(刷條碼區!D:G,MATCH(點上線資訊!S714,刷條碼區!F:F,0),1),"")</f>
        <v/>
      </c>
      <c r="AA714" s="71" t="str">
        <f>IFERROR(INDEX(刷條碼區!D:G,MATCH(點上線資訊!S714,刷條碼區!F:F,0),2),"")</f>
        <v/>
      </c>
      <c r="AB714" s="20" t="b">
        <f t="shared" si="68"/>
        <v>0</v>
      </c>
      <c r="AC714" s="20" t="b">
        <f t="shared" si="69"/>
        <v>0</v>
      </c>
      <c r="AD714" s="17" t="b">
        <f t="shared" si="70"/>
        <v>0</v>
      </c>
      <c r="AE714" s="17" t="b">
        <f t="shared" si="71"/>
        <v>0</v>
      </c>
    </row>
    <row r="715" spans="1:31" x14ac:dyDescent="0.2">
      <c r="A715" s="16">
        <v>5000502406</v>
      </c>
      <c r="B715" t="s">
        <v>0</v>
      </c>
      <c r="C715" t="s">
        <v>0</v>
      </c>
      <c r="D715" t="s">
        <v>1</v>
      </c>
      <c r="E715" t="s">
        <v>1177</v>
      </c>
      <c r="F715" t="s">
        <v>1178</v>
      </c>
      <c r="G715" s="2">
        <v>1</v>
      </c>
      <c r="H715" t="s">
        <v>461</v>
      </c>
      <c r="I715" t="s">
        <v>3</v>
      </c>
      <c r="J715" t="s">
        <v>5</v>
      </c>
      <c r="K715" t="s">
        <v>605</v>
      </c>
      <c r="L715" t="s">
        <v>608</v>
      </c>
      <c r="M715" t="s">
        <v>1124</v>
      </c>
      <c r="N715" t="s">
        <v>602</v>
      </c>
      <c r="O715" t="s">
        <v>603</v>
      </c>
      <c r="P715" t="s">
        <v>602</v>
      </c>
      <c r="Q715" s="17">
        <f>IFERROR(VLOOKUP(A715,已除帳印單!B:C,1,0),0)*1</f>
        <v>0</v>
      </c>
      <c r="R715" s="67" t="str">
        <f>IFERROR(VLOOKUP(J715,線別!A:B,2,1),"")</f>
        <v>FM線</v>
      </c>
      <c r="S715" s="17" t="str">
        <f>IFERROR(VLOOKUP(A715,已除帳印單!B:C,2,0),"")</f>
        <v/>
      </c>
      <c r="T715" s="68">
        <f t="shared" si="72"/>
        <v>43892</v>
      </c>
      <c r="U715" s="69">
        <f t="shared" si="73"/>
        <v>84.168773148148148</v>
      </c>
      <c r="V715" s="68" t="str">
        <f>IFERROR(VLOOKUP(A715,已除帳印單!B:D,3,0),"")</f>
        <v/>
      </c>
      <c r="W715" s="69" t="str">
        <f>IFERROR(VLOOKUP(A715,已除帳印單!B:E,4,0),"")</f>
        <v/>
      </c>
      <c r="X715" s="68" t="str">
        <f>IFERROR(INDEX(刷條碼區!A:C,MATCH(點上線資訊!S715,刷條碼區!C:C,0),1),"")</f>
        <v/>
      </c>
      <c r="Y715" s="69" t="str">
        <f>IFERROR(INDEX(刷條碼區!A:C,MATCH(點上線資訊!S715,刷條碼區!C:C,0),2),"")</f>
        <v/>
      </c>
      <c r="Z715" s="70" t="str">
        <f>IFERROR(INDEX(刷條碼區!D:G,MATCH(點上線資訊!S715,刷條碼區!F:F,0),1),"")</f>
        <v/>
      </c>
      <c r="AA715" s="71" t="str">
        <f>IFERROR(INDEX(刷條碼區!D:G,MATCH(點上線資訊!S715,刷條碼區!F:F,0),2),"")</f>
        <v/>
      </c>
      <c r="AB715" s="20" t="b">
        <f t="shared" si="68"/>
        <v>0</v>
      </c>
      <c r="AC715" s="20" t="b">
        <f t="shared" si="69"/>
        <v>0</v>
      </c>
      <c r="AD715" s="17" t="b">
        <f t="shared" si="70"/>
        <v>0</v>
      </c>
      <c r="AE715" s="17" t="b">
        <f t="shared" si="71"/>
        <v>0</v>
      </c>
    </row>
    <row r="716" spans="1:31" x14ac:dyDescent="0.2">
      <c r="A716" s="16">
        <v>5000502407</v>
      </c>
      <c r="B716" t="s">
        <v>0</v>
      </c>
      <c r="C716" t="s">
        <v>0</v>
      </c>
      <c r="D716" t="s">
        <v>1</v>
      </c>
      <c r="E716" t="s">
        <v>1179</v>
      </c>
      <c r="F716" t="s">
        <v>1180</v>
      </c>
      <c r="G716" s="2">
        <v>1</v>
      </c>
      <c r="H716" t="s">
        <v>461</v>
      </c>
      <c r="I716" t="s">
        <v>3</v>
      </c>
      <c r="J716" t="s">
        <v>5</v>
      </c>
      <c r="K716" t="s">
        <v>605</v>
      </c>
      <c r="L716" t="s">
        <v>608</v>
      </c>
      <c r="M716" t="s">
        <v>1124</v>
      </c>
      <c r="N716" t="s">
        <v>602</v>
      </c>
      <c r="O716" t="s">
        <v>603</v>
      </c>
      <c r="P716" t="s">
        <v>602</v>
      </c>
      <c r="Q716" s="17">
        <f>IFERROR(VLOOKUP(A716,已除帳印單!B:C,1,0),0)*1</f>
        <v>0</v>
      </c>
      <c r="R716" s="67" t="str">
        <f>IFERROR(VLOOKUP(J716,線別!A:B,2,1),"")</f>
        <v>FM線</v>
      </c>
      <c r="S716" s="17" t="str">
        <f>IFERROR(VLOOKUP(A716,已除帳印單!B:C,2,0),"")</f>
        <v/>
      </c>
      <c r="T716" s="68">
        <f t="shared" si="72"/>
        <v>43892</v>
      </c>
      <c r="U716" s="69">
        <f t="shared" si="73"/>
        <v>84.168773148148148</v>
      </c>
      <c r="V716" s="68" t="str">
        <f>IFERROR(VLOOKUP(A716,已除帳印單!B:D,3,0),"")</f>
        <v/>
      </c>
      <c r="W716" s="69" t="str">
        <f>IFERROR(VLOOKUP(A716,已除帳印單!B:E,4,0),"")</f>
        <v/>
      </c>
      <c r="X716" s="68" t="str">
        <f>IFERROR(INDEX(刷條碼區!A:C,MATCH(點上線資訊!S716,刷條碼區!C:C,0),1),"")</f>
        <v/>
      </c>
      <c r="Y716" s="69" t="str">
        <f>IFERROR(INDEX(刷條碼區!A:C,MATCH(點上線資訊!S716,刷條碼區!C:C,0),2),"")</f>
        <v/>
      </c>
      <c r="Z716" s="70" t="str">
        <f>IFERROR(INDEX(刷條碼區!D:G,MATCH(點上線資訊!S716,刷條碼區!F:F,0),1),"")</f>
        <v/>
      </c>
      <c r="AA716" s="71" t="str">
        <f>IFERROR(INDEX(刷條碼區!D:G,MATCH(點上線資訊!S716,刷條碼區!F:F,0),2),"")</f>
        <v/>
      </c>
      <c r="AB716" s="20" t="b">
        <f t="shared" si="68"/>
        <v>0</v>
      </c>
      <c r="AC716" s="20" t="b">
        <f t="shared" si="69"/>
        <v>0</v>
      </c>
      <c r="AD716" s="17" t="b">
        <f t="shared" si="70"/>
        <v>0</v>
      </c>
      <c r="AE716" s="17" t="b">
        <f t="shared" si="71"/>
        <v>0</v>
      </c>
    </row>
    <row r="717" spans="1:31" x14ac:dyDescent="0.2">
      <c r="A717" s="16">
        <v>5000502408</v>
      </c>
      <c r="B717" t="s">
        <v>6</v>
      </c>
      <c r="C717" t="s">
        <v>6</v>
      </c>
      <c r="D717" t="s">
        <v>1</v>
      </c>
      <c r="E717" t="s">
        <v>1181</v>
      </c>
      <c r="F717" t="s">
        <v>1182</v>
      </c>
      <c r="G717" s="2">
        <v>6</v>
      </c>
      <c r="H717" t="s">
        <v>461</v>
      </c>
      <c r="I717" t="s">
        <v>3</v>
      </c>
      <c r="J717" t="s">
        <v>5</v>
      </c>
      <c r="K717" t="s">
        <v>605</v>
      </c>
      <c r="L717" t="s">
        <v>608</v>
      </c>
      <c r="M717" t="s">
        <v>793</v>
      </c>
      <c r="N717" t="s">
        <v>602</v>
      </c>
      <c r="O717" t="s">
        <v>603</v>
      </c>
      <c r="P717" t="s">
        <v>602</v>
      </c>
      <c r="Q717" s="17">
        <f>IFERROR(VLOOKUP(A717,已除帳印單!B:C,1,0),0)*1</f>
        <v>0</v>
      </c>
      <c r="R717" s="67" t="str">
        <f>IFERROR(VLOOKUP(J717,線別!A:B,2,1),"")</f>
        <v>FM線</v>
      </c>
      <c r="S717" s="17" t="str">
        <f>IFERROR(VLOOKUP(A717,已除帳印單!B:C,2,0),"")</f>
        <v/>
      </c>
      <c r="T717" s="68">
        <f t="shared" si="72"/>
        <v>43893</v>
      </c>
      <c r="U717" s="69">
        <f t="shared" si="73"/>
        <v>84.168784722222213</v>
      </c>
      <c r="V717" s="68" t="str">
        <f>IFERROR(VLOOKUP(A717,已除帳印單!B:D,3,0),"")</f>
        <v/>
      </c>
      <c r="W717" s="69" t="str">
        <f>IFERROR(VLOOKUP(A717,已除帳印單!B:E,4,0),"")</f>
        <v/>
      </c>
      <c r="X717" s="68" t="str">
        <f>IFERROR(INDEX(刷條碼區!A:C,MATCH(點上線資訊!S717,刷條碼區!C:C,0),1),"")</f>
        <v/>
      </c>
      <c r="Y717" s="69" t="str">
        <f>IFERROR(INDEX(刷條碼區!A:C,MATCH(點上線資訊!S717,刷條碼區!C:C,0),2),"")</f>
        <v/>
      </c>
      <c r="Z717" s="70" t="str">
        <f>IFERROR(INDEX(刷條碼區!D:G,MATCH(點上線資訊!S717,刷條碼區!F:F,0),1),"")</f>
        <v/>
      </c>
      <c r="AA717" s="71" t="str">
        <f>IFERROR(INDEX(刷條碼區!D:G,MATCH(點上線資訊!S717,刷條碼區!F:F,0),2),"")</f>
        <v/>
      </c>
      <c r="AB717" s="20" t="b">
        <f t="shared" si="68"/>
        <v>0</v>
      </c>
      <c r="AC717" s="20" t="b">
        <f t="shared" si="69"/>
        <v>0</v>
      </c>
      <c r="AD717" s="17" t="b">
        <f t="shared" si="70"/>
        <v>0</v>
      </c>
      <c r="AE717" s="17" t="b">
        <f t="shared" si="71"/>
        <v>0</v>
      </c>
    </row>
    <row r="718" spans="1:31" x14ac:dyDescent="0.2">
      <c r="A718" s="16">
        <v>5000502409</v>
      </c>
      <c r="B718" t="s">
        <v>6</v>
      </c>
      <c r="C718" t="s">
        <v>6</v>
      </c>
      <c r="D718" t="s">
        <v>1</v>
      </c>
      <c r="E718" t="s">
        <v>1183</v>
      </c>
      <c r="F718" t="s">
        <v>1184</v>
      </c>
      <c r="G718" s="2">
        <v>1</v>
      </c>
      <c r="H718" t="s">
        <v>461</v>
      </c>
      <c r="I718" t="s">
        <v>3</v>
      </c>
      <c r="J718" t="s">
        <v>5</v>
      </c>
      <c r="K718" t="s">
        <v>605</v>
      </c>
      <c r="L718" t="s">
        <v>608</v>
      </c>
      <c r="M718" t="s">
        <v>793</v>
      </c>
      <c r="N718" t="s">
        <v>602</v>
      </c>
      <c r="O718" t="s">
        <v>603</v>
      </c>
      <c r="P718" t="s">
        <v>602</v>
      </c>
      <c r="Q718" s="17">
        <f>IFERROR(VLOOKUP(A718,已除帳印單!B:C,1,0),0)*1</f>
        <v>0</v>
      </c>
      <c r="R718" s="67" t="str">
        <f>IFERROR(VLOOKUP(J718,線別!A:B,2,1),"")</f>
        <v>FM線</v>
      </c>
      <c r="S718" s="17" t="str">
        <f>IFERROR(VLOOKUP(A718,已除帳印單!B:C,2,0),"")</f>
        <v/>
      </c>
      <c r="T718" s="68">
        <f t="shared" si="72"/>
        <v>43893</v>
      </c>
      <c r="U718" s="69">
        <f t="shared" si="73"/>
        <v>84.168784722222213</v>
      </c>
      <c r="V718" s="68" t="str">
        <f>IFERROR(VLOOKUP(A718,已除帳印單!B:D,3,0),"")</f>
        <v/>
      </c>
      <c r="W718" s="69" t="str">
        <f>IFERROR(VLOOKUP(A718,已除帳印單!B:E,4,0),"")</f>
        <v/>
      </c>
      <c r="X718" s="68" t="str">
        <f>IFERROR(INDEX(刷條碼區!A:C,MATCH(點上線資訊!S718,刷條碼區!C:C,0),1),"")</f>
        <v/>
      </c>
      <c r="Y718" s="69" t="str">
        <f>IFERROR(INDEX(刷條碼區!A:C,MATCH(點上線資訊!S718,刷條碼區!C:C,0),2),"")</f>
        <v/>
      </c>
      <c r="Z718" s="70" t="str">
        <f>IFERROR(INDEX(刷條碼區!D:G,MATCH(點上線資訊!S718,刷條碼區!F:F,0),1),"")</f>
        <v/>
      </c>
      <c r="AA718" s="71" t="str">
        <f>IFERROR(INDEX(刷條碼區!D:G,MATCH(點上線資訊!S718,刷條碼區!F:F,0),2),"")</f>
        <v/>
      </c>
      <c r="AB718" s="20" t="b">
        <f t="shared" si="68"/>
        <v>0</v>
      </c>
      <c r="AC718" s="20" t="b">
        <f t="shared" si="69"/>
        <v>0</v>
      </c>
      <c r="AD718" s="17" t="b">
        <f t="shared" si="70"/>
        <v>0</v>
      </c>
      <c r="AE718" s="17" t="b">
        <f t="shared" si="71"/>
        <v>0</v>
      </c>
    </row>
    <row r="719" spans="1:31" x14ac:dyDescent="0.2">
      <c r="A719" s="16">
        <v>5000502410</v>
      </c>
      <c r="B719" t="s">
        <v>6</v>
      </c>
      <c r="C719" t="s">
        <v>6</v>
      </c>
      <c r="D719" t="s">
        <v>1</v>
      </c>
      <c r="E719" t="s">
        <v>1185</v>
      </c>
      <c r="F719" t="s">
        <v>1186</v>
      </c>
      <c r="G719" s="2">
        <v>2</v>
      </c>
      <c r="H719" t="s">
        <v>461</v>
      </c>
      <c r="I719" t="s">
        <v>3</v>
      </c>
      <c r="J719" t="s">
        <v>5</v>
      </c>
      <c r="K719" t="s">
        <v>605</v>
      </c>
      <c r="L719" t="s">
        <v>608</v>
      </c>
      <c r="M719" t="s">
        <v>793</v>
      </c>
      <c r="N719" t="s">
        <v>602</v>
      </c>
      <c r="O719" t="s">
        <v>603</v>
      </c>
      <c r="P719" t="s">
        <v>602</v>
      </c>
      <c r="Q719" s="17">
        <f>IFERROR(VLOOKUP(A719,已除帳印單!B:C,1,0),0)*1</f>
        <v>0</v>
      </c>
      <c r="R719" s="67" t="str">
        <f>IFERROR(VLOOKUP(J719,線別!A:B,2,1),"")</f>
        <v>FM線</v>
      </c>
      <c r="S719" s="17" t="str">
        <f>IFERROR(VLOOKUP(A719,已除帳印單!B:C,2,0),"")</f>
        <v/>
      </c>
      <c r="T719" s="68">
        <f t="shared" si="72"/>
        <v>43893</v>
      </c>
      <c r="U719" s="69">
        <f t="shared" si="73"/>
        <v>84.168784722222213</v>
      </c>
      <c r="V719" s="68" t="str">
        <f>IFERROR(VLOOKUP(A719,已除帳印單!B:D,3,0),"")</f>
        <v/>
      </c>
      <c r="W719" s="69" t="str">
        <f>IFERROR(VLOOKUP(A719,已除帳印單!B:E,4,0),"")</f>
        <v/>
      </c>
      <c r="X719" s="68" t="str">
        <f>IFERROR(INDEX(刷條碼區!A:C,MATCH(點上線資訊!S719,刷條碼區!C:C,0),1),"")</f>
        <v/>
      </c>
      <c r="Y719" s="69" t="str">
        <f>IFERROR(INDEX(刷條碼區!A:C,MATCH(點上線資訊!S719,刷條碼區!C:C,0),2),"")</f>
        <v/>
      </c>
      <c r="Z719" s="70" t="str">
        <f>IFERROR(INDEX(刷條碼區!D:G,MATCH(點上線資訊!S719,刷條碼區!F:F,0),1),"")</f>
        <v/>
      </c>
      <c r="AA719" s="71" t="str">
        <f>IFERROR(INDEX(刷條碼區!D:G,MATCH(點上線資訊!S719,刷條碼區!F:F,0),2),"")</f>
        <v/>
      </c>
      <c r="AB719" s="20" t="b">
        <f t="shared" si="68"/>
        <v>0</v>
      </c>
      <c r="AC719" s="20" t="b">
        <f t="shared" si="69"/>
        <v>0</v>
      </c>
      <c r="AD719" s="17" t="b">
        <f t="shared" si="70"/>
        <v>0</v>
      </c>
      <c r="AE719" s="17" t="b">
        <f t="shared" si="71"/>
        <v>0</v>
      </c>
    </row>
    <row r="720" spans="1:31" x14ac:dyDescent="0.2">
      <c r="A720" s="16">
        <v>5000502411</v>
      </c>
      <c r="B720" t="s">
        <v>6</v>
      </c>
      <c r="C720" t="s">
        <v>6</v>
      </c>
      <c r="D720" t="s">
        <v>1</v>
      </c>
      <c r="E720" t="s">
        <v>1187</v>
      </c>
      <c r="F720" t="s">
        <v>1188</v>
      </c>
      <c r="G720" s="2">
        <v>6</v>
      </c>
      <c r="H720" t="s">
        <v>461</v>
      </c>
      <c r="I720" t="s">
        <v>3</v>
      </c>
      <c r="J720" t="s">
        <v>5</v>
      </c>
      <c r="K720" t="s">
        <v>605</v>
      </c>
      <c r="L720" t="s">
        <v>608</v>
      </c>
      <c r="M720" t="s">
        <v>793</v>
      </c>
      <c r="N720" t="s">
        <v>602</v>
      </c>
      <c r="O720" t="s">
        <v>603</v>
      </c>
      <c r="P720" t="s">
        <v>602</v>
      </c>
      <c r="Q720" s="17">
        <f>IFERROR(VLOOKUP(A720,已除帳印單!B:C,1,0),0)*1</f>
        <v>0</v>
      </c>
      <c r="R720" s="67" t="str">
        <f>IFERROR(VLOOKUP(J720,線別!A:B,2,1),"")</f>
        <v>FM線</v>
      </c>
      <c r="S720" s="17" t="str">
        <f>IFERROR(VLOOKUP(A720,已除帳印單!B:C,2,0),"")</f>
        <v/>
      </c>
      <c r="T720" s="68">
        <f t="shared" si="72"/>
        <v>43893</v>
      </c>
      <c r="U720" s="69">
        <f t="shared" si="73"/>
        <v>84.168784722222213</v>
      </c>
      <c r="V720" s="68" t="str">
        <f>IFERROR(VLOOKUP(A720,已除帳印單!B:D,3,0),"")</f>
        <v/>
      </c>
      <c r="W720" s="69" t="str">
        <f>IFERROR(VLOOKUP(A720,已除帳印單!B:E,4,0),"")</f>
        <v/>
      </c>
      <c r="X720" s="68" t="str">
        <f>IFERROR(INDEX(刷條碼區!A:C,MATCH(點上線資訊!S720,刷條碼區!C:C,0),1),"")</f>
        <v/>
      </c>
      <c r="Y720" s="69" t="str">
        <f>IFERROR(INDEX(刷條碼區!A:C,MATCH(點上線資訊!S720,刷條碼區!C:C,0),2),"")</f>
        <v/>
      </c>
      <c r="Z720" s="70" t="str">
        <f>IFERROR(INDEX(刷條碼區!D:G,MATCH(點上線資訊!S720,刷條碼區!F:F,0),1),"")</f>
        <v/>
      </c>
      <c r="AA720" s="71" t="str">
        <f>IFERROR(INDEX(刷條碼區!D:G,MATCH(點上線資訊!S720,刷條碼區!F:F,0),2),"")</f>
        <v/>
      </c>
      <c r="AB720" s="20" t="b">
        <f t="shared" si="68"/>
        <v>0</v>
      </c>
      <c r="AC720" s="20" t="b">
        <f t="shared" si="69"/>
        <v>0</v>
      </c>
      <c r="AD720" s="17" t="b">
        <f t="shared" si="70"/>
        <v>0</v>
      </c>
      <c r="AE720" s="17" t="b">
        <f t="shared" si="71"/>
        <v>0</v>
      </c>
    </row>
    <row r="721" spans="1:31" x14ac:dyDescent="0.2">
      <c r="A721" s="16">
        <v>5000502412</v>
      </c>
      <c r="B721" t="s">
        <v>6</v>
      </c>
      <c r="C721" t="s">
        <v>6</v>
      </c>
      <c r="D721" t="s">
        <v>1</v>
      </c>
      <c r="E721" t="s">
        <v>1189</v>
      </c>
      <c r="F721" t="s">
        <v>1190</v>
      </c>
      <c r="G721" s="2">
        <v>3</v>
      </c>
      <c r="H721" t="s">
        <v>461</v>
      </c>
      <c r="I721" t="s">
        <v>3</v>
      </c>
      <c r="J721" t="s">
        <v>5</v>
      </c>
      <c r="K721" t="s">
        <v>605</v>
      </c>
      <c r="L721" t="s">
        <v>608</v>
      </c>
      <c r="M721" t="s">
        <v>793</v>
      </c>
      <c r="N721" t="s">
        <v>602</v>
      </c>
      <c r="O721" t="s">
        <v>603</v>
      </c>
      <c r="P721" t="s">
        <v>602</v>
      </c>
      <c r="Q721" s="17">
        <f>IFERROR(VLOOKUP(A721,已除帳印單!B:C,1,0),0)*1</f>
        <v>0</v>
      </c>
      <c r="R721" s="67" t="str">
        <f>IFERROR(VLOOKUP(J721,線別!A:B,2,1),"")</f>
        <v>FM線</v>
      </c>
      <c r="S721" s="17" t="str">
        <f>IFERROR(VLOOKUP(A721,已除帳印單!B:C,2,0),"")</f>
        <v/>
      </c>
      <c r="T721" s="68">
        <f t="shared" si="72"/>
        <v>43893</v>
      </c>
      <c r="U721" s="69">
        <f t="shared" si="73"/>
        <v>84.168784722222213</v>
      </c>
      <c r="V721" s="68" t="str">
        <f>IFERROR(VLOOKUP(A721,已除帳印單!B:D,3,0),"")</f>
        <v/>
      </c>
      <c r="W721" s="69" t="str">
        <f>IFERROR(VLOOKUP(A721,已除帳印單!B:E,4,0),"")</f>
        <v/>
      </c>
      <c r="X721" s="68" t="str">
        <f>IFERROR(INDEX(刷條碼區!A:C,MATCH(點上線資訊!S721,刷條碼區!C:C,0),1),"")</f>
        <v/>
      </c>
      <c r="Y721" s="69" t="str">
        <f>IFERROR(INDEX(刷條碼區!A:C,MATCH(點上線資訊!S721,刷條碼區!C:C,0),2),"")</f>
        <v/>
      </c>
      <c r="Z721" s="70" t="str">
        <f>IFERROR(INDEX(刷條碼區!D:G,MATCH(點上線資訊!S721,刷條碼區!F:F,0),1),"")</f>
        <v/>
      </c>
      <c r="AA721" s="71" t="str">
        <f>IFERROR(INDEX(刷條碼區!D:G,MATCH(點上線資訊!S721,刷條碼區!F:F,0),2),"")</f>
        <v/>
      </c>
      <c r="AB721" s="20" t="b">
        <f t="shared" si="68"/>
        <v>0</v>
      </c>
      <c r="AC721" s="20" t="b">
        <f t="shared" si="69"/>
        <v>0</v>
      </c>
      <c r="AD721" s="17" t="b">
        <f t="shared" si="70"/>
        <v>0</v>
      </c>
      <c r="AE721" s="17" t="b">
        <f t="shared" si="71"/>
        <v>0</v>
      </c>
    </row>
    <row r="722" spans="1:31" x14ac:dyDescent="0.2">
      <c r="A722" s="16">
        <v>5000502413</v>
      </c>
      <c r="B722" t="s">
        <v>6</v>
      </c>
      <c r="C722" t="s">
        <v>6</v>
      </c>
      <c r="D722" t="s">
        <v>1</v>
      </c>
      <c r="E722" t="s">
        <v>1191</v>
      </c>
      <c r="F722" t="s">
        <v>1192</v>
      </c>
      <c r="G722" s="2">
        <v>8</v>
      </c>
      <c r="H722" t="s">
        <v>461</v>
      </c>
      <c r="I722" t="s">
        <v>3</v>
      </c>
      <c r="J722" t="s">
        <v>5</v>
      </c>
      <c r="K722" t="s">
        <v>605</v>
      </c>
      <c r="L722" t="s">
        <v>608</v>
      </c>
      <c r="M722" t="s">
        <v>793</v>
      </c>
      <c r="N722" t="s">
        <v>602</v>
      </c>
      <c r="O722" t="s">
        <v>603</v>
      </c>
      <c r="P722" t="s">
        <v>602</v>
      </c>
      <c r="Q722" s="17">
        <f>IFERROR(VLOOKUP(A722,已除帳印單!B:C,1,0),0)*1</f>
        <v>0</v>
      </c>
      <c r="R722" s="67" t="str">
        <f>IFERROR(VLOOKUP(J722,線別!A:B,2,1),"")</f>
        <v>FM線</v>
      </c>
      <c r="S722" s="17" t="str">
        <f>IFERROR(VLOOKUP(A722,已除帳印單!B:C,2,0),"")</f>
        <v/>
      </c>
      <c r="T722" s="68">
        <f t="shared" si="72"/>
        <v>43893</v>
      </c>
      <c r="U722" s="69">
        <f t="shared" si="73"/>
        <v>84.168784722222213</v>
      </c>
      <c r="V722" s="68" t="str">
        <f>IFERROR(VLOOKUP(A722,已除帳印單!B:D,3,0),"")</f>
        <v/>
      </c>
      <c r="W722" s="69" t="str">
        <f>IFERROR(VLOOKUP(A722,已除帳印單!B:E,4,0),"")</f>
        <v/>
      </c>
      <c r="X722" s="68" t="str">
        <f>IFERROR(INDEX(刷條碼區!A:C,MATCH(點上線資訊!S722,刷條碼區!C:C,0),1),"")</f>
        <v/>
      </c>
      <c r="Y722" s="69" t="str">
        <f>IFERROR(INDEX(刷條碼區!A:C,MATCH(點上線資訊!S722,刷條碼區!C:C,0),2),"")</f>
        <v/>
      </c>
      <c r="Z722" s="70" t="str">
        <f>IFERROR(INDEX(刷條碼區!D:G,MATCH(點上線資訊!S722,刷條碼區!F:F,0),1),"")</f>
        <v/>
      </c>
      <c r="AA722" s="71" t="str">
        <f>IFERROR(INDEX(刷條碼區!D:G,MATCH(點上線資訊!S722,刷條碼區!F:F,0),2),"")</f>
        <v/>
      </c>
      <c r="AB722" s="20" t="b">
        <f t="shared" si="68"/>
        <v>0</v>
      </c>
      <c r="AC722" s="20" t="b">
        <f t="shared" si="69"/>
        <v>0</v>
      </c>
      <c r="AD722" s="17" t="b">
        <f t="shared" si="70"/>
        <v>0</v>
      </c>
      <c r="AE722" s="17" t="b">
        <f t="shared" si="71"/>
        <v>0</v>
      </c>
    </row>
    <row r="723" spans="1:31" x14ac:dyDescent="0.2">
      <c r="A723" s="16">
        <v>5000502415</v>
      </c>
      <c r="B723" t="s">
        <v>6</v>
      </c>
      <c r="C723" t="s">
        <v>6</v>
      </c>
      <c r="D723" t="s">
        <v>1</v>
      </c>
      <c r="E723" t="s">
        <v>1193</v>
      </c>
      <c r="F723" t="s">
        <v>1194</v>
      </c>
      <c r="G723" s="2">
        <v>1</v>
      </c>
      <c r="H723" t="s">
        <v>461</v>
      </c>
      <c r="I723" t="s">
        <v>3</v>
      </c>
      <c r="J723" t="s">
        <v>5</v>
      </c>
      <c r="K723" t="s">
        <v>605</v>
      </c>
      <c r="L723" t="s">
        <v>608</v>
      </c>
      <c r="M723" t="s">
        <v>793</v>
      </c>
      <c r="N723" t="s">
        <v>602</v>
      </c>
      <c r="O723" t="s">
        <v>603</v>
      </c>
      <c r="P723" t="s">
        <v>602</v>
      </c>
      <c r="Q723" s="17">
        <f>IFERROR(VLOOKUP(A723,已除帳印單!B:C,1,0),0)*1</f>
        <v>0</v>
      </c>
      <c r="R723" s="67" t="str">
        <f>IFERROR(VLOOKUP(J723,線別!A:B,2,1),"")</f>
        <v>FM線</v>
      </c>
      <c r="S723" s="17" t="str">
        <f>IFERROR(VLOOKUP(A723,已除帳印單!B:C,2,0),"")</f>
        <v/>
      </c>
      <c r="T723" s="68">
        <f t="shared" si="72"/>
        <v>43893</v>
      </c>
      <c r="U723" s="69">
        <f t="shared" si="73"/>
        <v>84.168784722222213</v>
      </c>
      <c r="V723" s="68" t="str">
        <f>IFERROR(VLOOKUP(A723,已除帳印單!B:D,3,0),"")</f>
        <v/>
      </c>
      <c r="W723" s="69" t="str">
        <f>IFERROR(VLOOKUP(A723,已除帳印單!B:E,4,0),"")</f>
        <v/>
      </c>
      <c r="X723" s="68" t="str">
        <f>IFERROR(INDEX(刷條碼區!A:C,MATCH(點上線資訊!S723,刷條碼區!C:C,0),1),"")</f>
        <v/>
      </c>
      <c r="Y723" s="69" t="str">
        <f>IFERROR(INDEX(刷條碼區!A:C,MATCH(點上線資訊!S723,刷條碼區!C:C,0),2),"")</f>
        <v/>
      </c>
      <c r="Z723" s="70" t="str">
        <f>IFERROR(INDEX(刷條碼區!D:G,MATCH(點上線資訊!S723,刷條碼區!F:F,0),1),"")</f>
        <v/>
      </c>
      <c r="AA723" s="71" t="str">
        <f>IFERROR(INDEX(刷條碼區!D:G,MATCH(點上線資訊!S723,刷條碼區!F:F,0),2),"")</f>
        <v/>
      </c>
      <c r="AB723" s="20" t="b">
        <f t="shared" si="68"/>
        <v>0</v>
      </c>
      <c r="AC723" s="20" t="b">
        <f t="shared" si="69"/>
        <v>0</v>
      </c>
      <c r="AD723" s="17" t="b">
        <f t="shared" si="70"/>
        <v>0</v>
      </c>
      <c r="AE723" s="17" t="b">
        <f t="shared" si="71"/>
        <v>0</v>
      </c>
    </row>
    <row r="724" spans="1:31" x14ac:dyDescent="0.2">
      <c r="A724" s="16">
        <v>5000502416</v>
      </c>
      <c r="B724" t="s">
        <v>6</v>
      </c>
      <c r="C724" t="s">
        <v>6</v>
      </c>
      <c r="D724" t="s">
        <v>1</v>
      </c>
      <c r="E724" t="s">
        <v>1195</v>
      </c>
      <c r="F724" t="s">
        <v>1196</v>
      </c>
      <c r="G724" s="2">
        <v>6</v>
      </c>
      <c r="H724" t="s">
        <v>461</v>
      </c>
      <c r="I724" t="s">
        <v>3</v>
      </c>
      <c r="J724" t="s">
        <v>5</v>
      </c>
      <c r="K724" t="s">
        <v>605</v>
      </c>
      <c r="L724" t="s">
        <v>608</v>
      </c>
      <c r="M724" t="s">
        <v>793</v>
      </c>
      <c r="N724" t="s">
        <v>602</v>
      </c>
      <c r="O724" t="s">
        <v>603</v>
      </c>
      <c r="P724" t="s">
        <v>602</v>
      </c>
      <c r="Q724" s="17">
        <f>IFERROR(VLOOKUP(A724,已除帳印單!B:C,1,0),0)*1</f>
        <v>0</v>
      </c>
      <c r="R724" s="67" t="str">
        <f>IFERROR(VLOOKUP(J724,線別!A:B,2,1),"")</f>
        <v>FM線</v>
      </c>
      <c r="S724" s="17" t="str">
        <f>IFERROR(VLOOKUP(A724,已除帳印單!B:C,2,0),"")</f>
        <v/>
      </c>
      <c r="T724" s="68">
        <f t="shared" si="72"/>
        <v>43893</v>
      </c>
      <c r="U724" s="69">
        <f t="shared" si="73"/>
        <v>84.168784722222213</v>
      </c>
      <c r="V724" s="68" t="str">
        <f>IFERROR(VLOOKUP(A724,已除帳印單!B:D,3,0),"")</f>
        <v/>
      </c>
      <c r="W724" s="69" t="str">
        <f>IFERROR(VLOOKUP(A724,已除帳印單!B:E,4,0),"")</f>
        <v/>
      </c>
      <c r="X724" s="68" t="str">
        <f>IFERROR(INDEX(刷條碼區!A:C,MATCH(點上線資訊!S724,刷條碼區!C:C,0),1),"")</f>
        <v/>
      </c>
      <c r="Y724" s="69" t="str">
        <f>IFERROR(INDEX(刷條碼區!A:C,MATCH(點上線資訊!S724,刷條碼區!C:C,0),2),"")</f>
        <v/>
      </c>
      <c r="Z724" s="70" t="str">
        <f>IFERROR(INDEX(刷條碼區!D:G,MATCH(點上線資訊!S724,刷條碼區!F:F,0),1),"")</f>
        <v/>
      </c>
      <c r="AA724" s="71" t="str">
        <f>IFERROR(INDEX(刷條碼區!D:G,MATCH(點上線資訊!S724,刷條碼區!F:F,0),2),"")</f>
        <v/>
      </c>
      <c r="AB724" s="20" t="b">
        <f t="shared" si="68"/>
        <v>0</v>
      </c>
      <c r="AC724" s="20" t="b">
        <f t="shared" si="69"/>
        <v>0</v>
      </c>
      <c r="AD724" s="17" t="b">
        <f t="shared" si="70"/>
        <v>0</v>
      </c>
      <c r="AE724" s="17" t="b">
        <f t="shared" si="71"/>
        <v>0</v>
      </c>
    </row>
    <row r="725" spans="1:31" x14ac:dyDescent="0.2">
      <c r="A725" s="16">
        <v>5000502418</v>
      </c>
      <c r="B725" t="s">
        <v>6</v>
      </c>
      <c r="C725" t="s">
        <v>6</v>
      </c>
      <c r="D725" t="s">
        <v>1</v>
      </c>
      <c r="E725" t="s">
        <v>1197</v>
      </c>
      <c r="F725" t="s">
        <v>1198</v>
      </c>
      <c r="G725" s="2">
        <v>1</v>
      </c>
      <c r="H725" t="s">
        <v>461</v>
      </c>
      <c r="I725" t="s">
        <v>3</v>
      </c>
      <c r="J725" t="s">
        <v>5</v>
      </c>
      <c r="K725" t="s">
        <v>605</v>
      </c>
      <c r="L725" t="s">
        <v>608</v>
      </c>
      <c r="M725" t="s">
        <v>793</v>
      </c>
      <c r="N725" t="s">
        <v>602</v>
      </c>
      <c r="O725" t="s">
        <v>603</v>
      </c>
      <c r="P725" t="s">
        <v>602</v>
      </c>
      <c r="Q725" s="17">
        <f>IFERROR(VLOOKUP(A725,已除帳印單!B:C,1,0),0)*1</f>
        <v>0</v>
      </c>
      <c r="R725" s="67" t="str">
        <f>IFERROR(VLOOKUP(J725,線別!A:B,2,1),"")</f>
        <v>FM線</v>
      </c>
      <c r="S725" s="17" t="str">
        <f>IFERROR(VLOOKUP(A725,已除帳印單!B:C,2,0),"")</f>
        <v/>
      </c>
      <c r="T725" s="68">
        <f t="shared" si="72"/>
        <v>43893</v>
      </c>
      <c r="U725" s="69">
        <f t="shared" si="73"/>
        <v>84.168784722222213</v>
      </c>
      <c r="V725" s="68" t="str">
        <f>IFERROR(VLOOKUP(A725,已除帳印單!B:D,3,0),"")</f>
        <v/>
      </c>
      <c r="W725" s="69" t="str">
        <f>IFERROR(VLOOKUP(A725,已除帳印單!B:E,4,0),"")</f>
        <v/>
      </c>
      <c r="X725" s="68" t="str">
        <f>IFERROR(INDEX(刷條碼區!A:C,MATCH(點上線資訊!S725,刷條碼區!C:C,0),1),"")</f>
        <v/>
      </c>
      <c r="Y725" s="69" t="str">
        <f>IFERROR(INDEX(刷條碼區!A:C,MATCH(點上線資訊!S725,刷條碼區!C:C,0),2),"")</f>
        <v/>
      </c>
      <c r="Z725" s="70" t="str">
        <f>IFERROR(INDEX(刷條碼區!D:G,MATCH(點上線資訊!S725,刷條碼區!F:F,0),1),"")</f>
        <v/>
      </c>
      <c r="AA725" s="71" t="str">
        <f>IFERROR(INDEX(刷條碼區!D:G,MATCH(點上線資訊!S725,刷條碼區!F:F,0),2),"")</f>
        <v/>
      </c>
      <c r="AB725" s="20" t="b">
        <f t="shared" si="68"/>
        <v>0</v>
      </c>
      <c r="AC725" s="20" t="b">
        <f t="shared" si="69"/>
        <v>0</v>
      </c>
      <c r="AD725" s="17" t="b">
        <f t="shared" si="70"/>
        <v>0</v>
      </c>
      <c r="AE725" s="17" t="b">
        <f t="shared" si="71"/>
        <v>0</v>
      </c>
    </row>
    <row r="726" spans="1:31" x14ac:dyDescent="0.2">
      <c r="A726" s="16">
        <v>5000502419</v>
      </c>
      <c r="B726" t="s">
        <v>301</v>
      </c>
      <c r="C726" t="s">
        <v>301</v>
      </c>
      <c r="D726" t="s">
        <v>1</v>
      </c>
      <c r="E726" t="s">
        <v>373</v>
      </c>
      <c r="F726" t="s">
        <v>1199</v>
      </c>
      <c r="G726" s="2">
        <v>20</v>
      </c>
      <c r="H726" t="s">
        <v>461</v>
      </c>
      <c r="I726" t="s">
        <v>3</v>
      </c>
      <c r="J726" t="s">
        <v>5</v>
      </c>
      <c r="K726" t="s">
        <v>605</v>
      </c>
      <c r="L726" t="s">
        <v>608</v>
      </c>
      <c r="M726" t="s">
        <v>448</v>
      </c>
      <c r="N726" t="s">
        <v>602</v>
      </c>
      <c r="O726" t="s">
        <v>603</v>
      </c>
      <c r="P726" t="s">
        <v>602</v>
      </c>
      <c r="Q726" s="17">
        <f>IFERROR(VLOOKUP(A726,已除帳印單!B:C,1,0),0)*1</f>
        <v>0</v>
      </c>
      <c r="R726" s="67" t="str">
        <f>IFERROR(VLOOKUP(J726,線別!A:B,2,1),"")</f>
        <v>FM線</v>
      </c>
      <c r="S726" s="17" t="str">
        <f>IFERROR(VLOOKUP(A726,已除帳印單!B:C,2,0),"")</f>
        <v/>
      </c>
      <c r="T726" s="68">
        <f t="shared" si="72"/>
        <v>43894</v>
      </c>
      <c r="U726" s="69">
        <f t="shared" si="73"/>
        <v>84.168796296296293</v>
      </c>
      <c r="V726" s="68" t="str">
        <f>IFERROR(VLOOKUP(A726,已除帳印單!B:D,3,0),"")</f>
        <v/>
      </c>
      <c r="W726" s="69" t="str">
        <f>IFERROR(VLOOKUP(A726,已除帳印單!B:E,4,0),"")</f>
        <v/>
      </c>
      <c r="X726" s="68" t="str">
        <f>IFERROR(INDEX(刷條碼區!A:C,MATCH(點上線資訊!S726,刷條碼區!C:C,0),1),"")</f>
        <v/>
      </c>
      <c r="Y726" s="69" t="str">
        <f>IFERROR(INDEX(刷條碼區!A:C,MATCH(點上線資訊!S726,刷條碼區!C:C,0),2),"")</f>
        <v/>
      </c>
      <c r="Z726" s="70" t="str">
        <f>IFERROR(INDEX(刷條碼區!D:G,MATCH(點上線資訊!S726,刷條碼區!F:F,0),1),"")</f>
        <v/>
      </c>
      <c r="AA726" s="71" t="str">
        <f>IFERROR(INDEX(刷條碼區!D:G,MATCH(點上線資訊!S726,刷條碼區!F:F,0),2),"")</f>
        <v/>
      </c>
      <c r="AB726" s="20" t="b">
        <f t="shared" si="68"/>
        <v>0</v>
      </c>
      <c r="AC726" s="20" t="b">
        <f t="shared" si="69"/>
        <v>0</v>
      </c>
      <c r="AD726" s="17" t="b">
        <f t="shared" si="70"/>
        <v>0</v>
      </c>
      <c r="AE726" s="17" t="b">
        <f t="shared" si="71"/>
        <v>0</v>
      </c>
    </row>
    <row r="727" spans="1:31" x14ac:dyDescent="0.2">
      <c r="A727" s="16">
        <v>5000502421</v>
      </c>
      <c r="B727" t="s">
        <v>6</v>
      </c>
      <c r="C727" t="s">
        <v>6</v>
      </c>
      <c r="D727" t="s">
        <v>1</v>
      </c>
      <c r="E727" t="s">
        <v>1200</v>
      </c>
      <c r="F727" t="s">
        <v>1201</v>
      </c>
      <c r="G727" s="2">
        <v>20</v>
      </c>
      <c r="H727" t="s">
        <v>461</v>
      </c>
      <c r="I727" t="s">
        <v>3</v>
      </c>
      <c r="J727" t="s">
        <v>5</v>
      </c>
      <c r="K727" t="s">
        <v>605</v>
      </c>
      <c r="L727" t="s">
        <v>608</v>
      </c>
      <c r="M727" t="s">
        <v>793</v>
      </c>
      <c r="N727" t="s">
        <v>602</v>
      </c>
      <c r="O727" t="s">
        <v>603</v>
      </c>
      <c r="P727" t="s">
        <v>602</v>
      </c>
      <c r="Q727" s="17">
        <f>IFERROR(VLOOKUP(A727,已除帳印單!B:C,1,0),0)*1</f>
        <v>0</v>
      </c>
      <c r="R727" s="67" t="str">
        <f>IFERROR(VLOOKUP(J727,線別!A:B,2,1),"")</f>
        <v>FM線</v>
      </c>
      <c r="S727" s="17" t="str">
        <f>IFERROR(VLOOKUP(A727,已除帳印單!B:C,2,0),"")</f>
        <v/>
      </c>
      <c r="T727" s="68">
        <f t="shared" si="72"/>
        <v>43893</v>
      </c>
      <c r="U727" s="69">
        <f t="shared" si="73"/>
        <v>84.168784722222213</v>
      </c>
      <c r="V727" s="68" t="str">
        <f>IFERROR(VLOOKUP(A727,已除帳印單!B:D,3,0),"")</f>
        <v/>
      </c>
      <c r="W727" s="69" t="str">
        <f>IFERROR(VLOOKUP(A727,已除帳印單!B:E,4,0),"")</f>
        <v/>
      </c>
      <c r="X727" s="68" t="str">
        <f>IFERROR(INDEX(刷條碼區!A:C,MATCH(點上線資訊!S727,刷條碼區!C:C,0),1),"")</f>
        <v/>
      </c>
      <c r="Y727" s="69" t="str">
        <f>IFERROR(INDEX(刷條碼區!A:C,MATCH(點上線資訊!S727,刷條碼區!C:C,0),2),"")</f>
        <v/>
      </c>
      <c r="Z727" s="70" t="str">
        <f>IFERROR(INDEX(刷條碼區!D:G,MATCH(點上線資訊!S727,刷條碼區!F:F,0),1),"")</f>
        <v/>
      </c>
      <c r="AA727" s="71" t="str">
        <f>IFERROR(INDEX(刷條碼區!D:G,MATCH(點上線資訊!S727,刷條碼區!F:F,0),2),"")</f>
        <v/>
      </c>
      <c r="AB727" s="20" t="b">
        <f t="shared" si="68"/>
        <v>0</v>
      </c>
      <c r="AC727" s="20" t="b">
        <f t="shared" si="69"/>
        <v>0</v>
      </c>
      <c r="AD727" s="17" t="b">
        <f t="shared" si="70"/>
        <v>0</v>
      </c>
      <c r="AE727" s="17" t="b">
        <f t="shared" si="71"/>
        <v>0</v>
      </c>
    </row>
    <row r="728" spans="1:31" x14ac:dyDescent="0.2">
      <c r="A728" s="16">
        <v>5000502424</v>
      </c>
      <c r="B728" t="s">
        <v>6</v>
      </c>
      <c r="C728" t="s">
        <v>6</v>
      </c>
      <c r="D728" t="s">
        <v>1</v>
      </c>
      <c r="E728" t="s">
        <v>1202</v>
      </c>
      <c r="F728" t="s">
        <v>1203</v>
      </c>
      <c r="G728" s="2">
        <v>5</v>
      </c>
      <c r="H728" t="s">
        <v>461</v>
      </c>
      <c r="I728" t="s">
        <v>3</v>
      </c>
      <c r="J728" t="s">
        <v>19</v>
      </c>
      <c r="K728" t="s">
        <v>605</v>
      </c>
      <c r="L728" t="s">
        <v>608</v>
      </c>
      <c r="M728" t="s">
        <v>416</v>
      </c>
      <c r="N728" t="s">
        <v>602</v>
      </c>
      <c r="O728" t="s">
        <v>603</v>
      </c>
      <c r="P728" t="s">
        <v>602</v>
      </c>
      <c r="Q728" s="17">
        <f>IFERROR(VLOOKUP(A728,已除帳印單!B:C,1,0),0)*1</f>
        <v>0</v>
      </c>
      <c r="R728" s="67" t="str">
        <f>IFERROR(VLOOKUP(J728,線別!A:B,2,1),"")</f>
        <v>FM_IA預組</v>
      </c>
      <c r="S728" s="17" t="str">
        <f>IFERROR(VLOOKUP(A728,已除帳印單!B:C,2,0),"")</f>
        <v/>
      </c>
      <c r="T728" s="68">
        <f t="shared" si="72"/>
        <v>43893</v>
      </c>
      <c r="U728" s="69">
        <f t="shared" si="73"/>
        <v>84.168784722222213</v>
      </c>
      <c r="V728" s="68" t="str">
        <f>IFERROR(VLOOKUP(A728,已除帳印單!B:D,3,0),"")</f>
        <v/>
      </c>
      <c r="W728" s="69" t="str">
        <f>IFERROR(VLOOKUP(A728,已除帳印單!B:E,4,0),"")</f>
        <v/>
      </c>
      <c r="X728" s="68" t="str">
        <f>IFERROR(INDEX(刷條碼區!A:C,MATCH(點上線資訊!S728,刷條碼區!C:C,0),1),"")</f>
        <v/>
      </c>
      <c r="Y728" s="69" t="str">
        <f>IFERROR(INDEX(刷條碼區!A:C,MATCH(點上線資訊!S728,刷條碼區!C:C,0),2),"")</f>
        <v/>
      </c>
      <c r="Z728" s="70" t="str">
        <f>IFERROR(INDEX(刷條碼區!D:G,MATCH(點上線資訊!S728,刷條碼區!F:F,0),1),"")</f>
        <v/>
      </c>
      <c r="AA728" s="71" t="str">
        <f>IFERROR(INDEX(刷條碼區!D:G,MATCH(點上線資訊!S728,刷條碼區!F:F,0),2),"")</f>
        <v/>
      </c>
      <c r="AB728" s="20" t="b">
        <f t="shared" si="68"/>
        <v>0</v>
      </c>
      <c r="AC728" s="20" t="b">
        <f t="shared" si="69"/>
        <v>0</v>
      </c>
      <c r="AD728" s="17" t="b">
        <f t="shared" si="70"/>
        <v>0</v>
      </c>
      <c r="AE728" s="17" t="b">
        <f t="shared" si="71"/>
        <v>0</v>
      </c>
    </row>
    <row r="729" spans="1:31" x14ac:dyDescent="0.2">
      <c r="A729" s="16">
        <v>5000502425</v>
      </c>
      <c r="B729" t="s">
        <v>6</v>
      </c>
      <c r="C729" t="s">
        <v>6</v>
      </c>
      <c r="D729" t="s">
        <v>1</v>
      </c>
      <c r="E729" t="s">
        <v>1204</v>
      </c>
      <c r="F729" t="s">
        <v>1205</v>
      </c>
      <c r="G729" s="2">
        <v>2</v>
      </c>
      <c r="H729" t="s">
        <v>461</v>
      </c>
      <c r="I729" t="s">
        <v>3</v>
      </c>
      <c r="J729" t="s">
        <v>19</v>
      </c>
      <c r="K729" t="s">
        <v>605</v>
      </c>
      <c r="L729" t="s">
        <v>608</v>
      </c>
      <c r="M729" t="s">
        <v>1206</v>
      </c>
      <c r="N729" t="s">
        <v>602</v>
      </c>
      <c r="O729" t="s">
        <v>603</v>
      </c>
      <c r="P729" t="s">
        <v>602</v>
      </c>
      <c r="Q729" s="17">
        <f>IFERROR(VLOOKUP(A729,已除帳印單!B:C,1,0),0)*1</f>
        <v>0</v>
      </c>
      <c r="R729" s="67" t="str">
        <f>IFERROR(VLOOKUP(J729,線別!A:B,2,1),"")</f>
        <v>FM_IA預組</v>
      </c>
      <c r="S729" s="17" t="str">
        <f>IFERROR(VLOOKUP(A729,已除帳印單!B:C,2,0),"")</f>
        <v/>
      </c>
      <c r="T729" s="68">
        <f t="shared" si="72"/>
        <v>43893</v>
      </c>
      <c r="U729" s="69">
        <f t="shared" si="73"/>
        <v>84.168784722222213</v>
      </c>
      <c r="V729" s="68" t="str">
        <f>IFERROR(VLOOKUP(A729,已除帳印單!B:D,3,0),"")</f>
        <v/>
      </c>
      <c r="W729" s="69" t="str">
        <f>IFERROR(VLOOKUP(A729,已除帳印單!B:E,4,0),"")</f>
        <v/>
      </c>
      <c r="X729" s="68" t="str">
        <f>IFERROR(INDEX(刷條碼區!A:C,MATCH(點上線資訊!S729,刷條碼區!C:C,0),1),"")</f>
        <v/>
      </c>
      <c r="Y729" s="69" t="str">
        <f>IFERROR(INDEX(刷條碼區!A:C,MATCH(點上線資訊!S729,刷條碼區!C:C,0),2),"")</f>
        <v/>
      </c>
      <c r="Z729" s="70" t="str">
        <f>IFERROR(INDEX(刷條碼區!D:G,MATCH(點上線資訊!S729,刷條碼區!F:F,0),1),"")</f>
        <v/>
      </c>
      <c r="AA729" s="71" t="str">
        <f>IFERROR(INDEX(刷條碼區!D:G,MATCH(點上線資訊!S729,刷條碼區!F:F,0),2),"")</f>
        <v/>
      </c>
      <c r="AB729" s="20" t="b">
        <f t="shared" si="68"/>
        <v>0</v>
      </c>
      <c r="AC729" s="20" t="b">
        <f t="shared" si="69"/>
        <v>0</v>
      </c>
      <c r="AD729" s="17" t="b">
        <f t="shared" si="70"/>
        <v>0</v>
      </c>
      <c r="AE729" s="17" t="b">
        <f t="shared" si="71"/>
        <v>0</v>
      </c>
    </row>
    <row r="730" spans="1:31" x14ac:dyDescent="0.2">
      <c r="A730" s="16">
        <v>5000502427</v>
      </c>
      <c r="B730" t="s">
        <v>6</v>
      </c>
      <c r="C730" t="s">
        <v>6</v>
      </c>
      <c r="D730" t="s">
        <v>1</v>
      </c>
      <c r="E730" t="s">
        <v>1207</v>
      </c>
      <c r="F730" t="s">
        <v>1208</v>
      </c>
      <c r="G730" s="2">
        <v>1</v>
      </c>
      <c r="H730" t="s">
        <v>461</v>
      </c>
      <c r="I730" t="s">
        <v>3</v>
      </c>
      <c r="J730" t="s">
        <v>19</v>
      </c>
      <c r="K730" t="s">
        <v>605</v>
      </c>
      <c r="L730" t="s">
        <v>608</v>
      </c>
      <c r="M730" t="s">
        <v>1206</v>
      </c>
      <c r="N730" t="s">
        <v>602</v>
      </c>
      <c r="O730" t="s">
        <v>603</v>
      </c>
      <c r="P730" t="s">
        <v>602</v>
      </c>
      <c r="Q730" s="17">
        <f>IFERROR(VLOOKUP(A730,已除帳印單!B:C,1,0),0)*1</f>
        <v>0</v>
      </c>
      <c r="R730" s="67" t="str">
        <f>IFERROR(VLOOKUP(J730,線別!A:B,2,1),"")</f>
        <v>FM_IA預組</v>
      </c>
      <c r="S730" s="17" t="str">
        <f>IFERROR(VLOOKUP(A730,已除帳印單!B:C,2,0),"")</f>
        <v/>
      </c>
      <c r="T730" s="68">
        <f t="shared" si="72"/>
        <v>43893</v>
      </c>
      <c r="U730" s="69">
        <f t="shared" si="73"/>
        <v>84.168784722222213</v>
      </c>
      <c r="V730" s="68" t="str">
        <f>IFERROR(VLOOKUP(A730,已除帳印單!B:D,3,0),"")</f>
        <v/>
      </c>
      <c r="W730" s="69" t="str">
        <f>IFERROR(VLOOKUP(A730,已除帳印單!B:E,4,0),"")</f>
        <v/>
      </c>
      <c r="X730" s="68" t="str">
        <f>IFERROR(INDEX(刷條碼區!A:C,MATCH(點上線資訊!S730,刷條碼區!C:C,0),1),"")</f>
        <v/>
      </c>
      <c r="Y730" s="69" t="str">
        <f>IFERROR(INDEX(刷條碼區!A:C,MATCH(點上線資訊!S730,刷條碼區!C:C,0),2),"")</f>
        <v/>
      </c>
      <c r="Z730" s="70" t="str">
        <f>IFERROR(INDEX(刷條碼區!D:G,MATCH(點上線資訊!S730,刷條碼區!F:F,0),1),"")</f>
        <v/>
      </c>
      <c r="AA730" s="71" t="str">
        <f>IFERROR(INDEX(刷條碼區!D:G,MATCH(點上線資訊!S730,刷條碼區!F:F,0),2),"")</f>
        <v/>
      </c>
      <c r="AB730" s="20" t="b">
        <f t="shared" si="68"/>
        <v>0</v>
      </c>
      <c r="AC730" s="20" t="b">
        <f t="shared" si="69"/>
        <v>0</v>
      </c>
      <c r="AD730" s="17" t="b">
        <f t="shared" si="70"/>
        <v>0</v>
      </c>
      <c r="AE730" s="17" t="b">
        <f t="shared" si="71"/>
        <v>0</v>
      </c>
    </row>
    <row r="731" spans="1:31" x14ac:dyDescent="0.2">
      <c r="A731" s="16">
        <v>5000502428</v>
      </c>
      <c r="B731" t="s">
        <v>6</v>
      </c>
      <c r="C731" t="s">
        <v>6</v>
      </c>
      <c r="D731" t="s">
        <v>1</v>
      </c>
      <c r="E731" t="s">
        <v>1209</v>
      </c>
      <c r="F731" t="s">
        <v>1210</v>
      </c>
      <c r="G731" s="2">
        <v>3</v>
      </c>
      <c r="H731" t="s">
        <v>461</v>
      </c>
      <c r="I731" t="s">
        <v>3</v>
      </c>
      <c r="J731" t="s">
        <v>19</v>
      </c>
      <c r="K731" t="s">
        <v>605</v>
      </c>
      <c r="L731" t="s">
        <v>608</v>
      </c>
      <c r="M731" t="s">
        <v>1206</v>
      </c>
      <c r="N731" t="s">
        <v>602</v>
      </c>
      <c r="O731" t="s">
        <v>603</v>
      </c>
      <c r="P731" t="s">
        <v>602</v>
      </c>
      <c r="Q731" s="17">
        <f>IFERROR(VLOOKUP(A731,已除帳印單!B:C,1,0),0)*1</f>
        <v>0</v>
      </c>
      <c r="R731" s="67" t="str">
        <f>IFERROR(VLOOKUP(J731,線別!A:B,2,1),"")</f>
        <v>FM_IA預組</v>
      </c>
      <c r="S731" s="17" t="str">
        <f>IFERROR(VLOOKUP(A731,已除帳印單!B:C,2,0),"")</f>
        <v/>
      </c>
      <c r="T731" s="68">
        <f t="shared" si="72"/>
        <v>43893</v>
      </c>
      <c r="U731" s="69">
        <f t="shared" si="73"/>
        <v>84.168784722222213</v>
      </c>
      <c r="V731" s="68" t="str">
        <f>IFERROR(VLOOKUP(A731,已除帳印單!B:D,3,0),"")</f>
        <v/>
      </c>
      <c r="W731" s="69" t="str">
        <f>IFERROR(VLOOKUP(A731,已除帳印單!B:E,4,0),"")</f>
        <v/>
      </c>
      <c r="X731" s="68" t="str">
        <f>IFERROR(INDEX(刷條碼區!A:C,MATCH(點上線資訊!S731,刷條碼區!C:C,0),1),"")</f>
        <v/>
      </c>
      <c r="Y731" s="69" t="str">
        <f>IFERROR(INDEX(刷條碼區!A:C,MATCH(點上線資訊!S731,刷條碼區!C:C,0),2),"")</f>
        <v/>
      </c>
      <c r="Z731" s="70" t="str">
        <f>IFERROR(INDEX(刷條碼區!D:G,MATCH(點上線資訊!S731,刷條碼區!F:F,0),1),"")</f>
        <v/>
      </c>
      <c r="AA731" s="71" t="str">
        <f>IFERROR(INDEX(刷條碼區!D:G,MATCH(點上線資訊!S731,刷條碼區!F:F,0),2),"")</f>
        <v/>
      </c>
      <c r="AB731" s="20" t="b">
        <f t="shared" si="68"/>
        <v>0</v>
      </c>
      <c r="AC731" s="20" t="b">
        <f t="shared" si="69"/>
        <v>0</v>
      </c>
      <c r="AD731" s="17" t="b">
        <f t="shared" si="70"/>
        <v>0</v>
      </c>
      <c r="AE731" s="17" t="b">
        <f t="shared" si="71"/>
        <v>0</v>
      </c>
    </row>
    <row r="732" spans="1:31" x14ac:dyDescent="0.2">
      <c r="A732" s="16">
        <v>5000502429</v>
      </c>
      <c r="B732" t="s">
        <v>6</v>
      </c>
      <c r="C732" t="s">
        <v>6</v>
      </c>
      <c r="D732" t="s">
        <v>1</v>
      </c>
      <c r="E732" t="s">
        <v>1211</v>
      </c>
      <c r="F732" t="s">
        <v>1212</v>
      </c>
      <c r="G732" s="2">
        <v>2</v>
      </c>
      <c r="H732" t="s">
        <v>461</v>
      </c>
      <c r="I732" t="s">
        <v>3</v>
      </c>
      <c r="J732" t="s">
        <v>19</v>
      </c>
      <c r="K732" t="s">
        <v>605</v>
      </c>
      <c r="L732" t="s">
        <v>608</v>
      </c>
      <c r="M732" t="s">
        <v>1206</v>
      </c>
      <c r="N732" t="s">
        <v>602</v>
      </c>
      <c r="O732" t="s">
        <v>603</v>
      </c>
      <c r="P732" t="s">
        <v>602</v>
      </c>
      <c r="Q732" s="17">
        <f>IFERROR(VLOOKUP(A732,已除帳印單!B:C,1,0),0)*1</f>
        <v>0</v>
      </c>
      <c r="R732" s="67" t="str">
        <f>IFERROR(VLOOKUP(J732,線別!A:B,2,1),"")</f>
        <v>FM_IA預組</v>
      </c>
      <c r="S732" s="17" t="str">
        <f>IFERROR(VLOOKUP(A732,已除帳印單!B:C,2,0),"")</f>
        <v/>
      </c>
      <c r="T732" s="68">
        <f t="shared" si="72"/>
        <v>43893</v>
      </c>
      <c r="U732" s="69">
        <f t="shared" si="73"/>
        <v>84.168784722222213</v>
      </c>
      <c r="V732" s="68" t="str">
        <f>IFERROR(VLOOKUP(A732,已除帳印單!B:D,3,0),"")</f>
        <v/>
      </c>
      <c r="W732" s="69" t="str">
        <f>IFERROR(VLOOKUP(A732,已除帳印單!B:E,4,0),"")</f>
        <v/>
      </c>
      <c r="X732" s="68" t="str">
        <f>IFERROR(INDEX(刷條碼區!A:C,MATCH(點上線資訊!S732,刷條碼區!C:C,0),1),"")</f>
        <v/>
      </c>
      <c r="Y732" s="69" t="str">
        <f>IFERROR(INDEX(刷條碼區!A:C,MATCH(點上線資訊!S732,刷條碼區!C:C,0),2),"")</f>
        <v/>
      </c>
      <c r="Z732" s="70" t="str">
        <f>IFERROR(INDEX(刷條碼區!D:G,MATCH(點上線資訊!S732,刷條碼區!F:F,0),1),"")</f>
        <v/>
      </c>
      <c r="AA732" s="71" t="str">
        <f>IFERROR(INDEX(刷條碼區!D:G,MATCH(點上線資訊!S732,刷條碼區!F:F,0),2),"")</f>
        <v/>
      </c>
      <c r="AB732" s="20" t="b">
        <f t="shared" si="68"/>
        <v>0</v>
      </c>
      <c r="AC732" s="20" t="b">
        <f t="shared" si="69"/>
        <v>0</v>
      </c>
      <c r="AD732" s="17" t="b">
        <f t="shared" si="70"/>
        <v>0</v>
      </c>
      <c r="AE732" s="17" t="b">
        <f t="shared" si="71"/>
        <v>0</v>
      </c>
    </row>
    <row r="733" spans="1:31" x14ac:dyDescent="0.2">
      <c r="A733" s="16">
        <v>5000502430</v>
      </c>
      <c r="B733" t="s">
        <v>6</v>
      </c>
      <c r="C733" t="s">
        <v>6</v>
      </c>
      <c r="D733" t="s">
        <v>1</v>
      </c>
      <c r="E733" t="s">
        <v>1209</v>
      </c>
      <c r="F733" t="s">
        <v>1210</v>
      </c>
      <c r="G733" s="2">
        <v>1</v>
      </c>
      <c r="H733" t="s">
        <v>461</v>
      </c>
      <c r="I733" t="s">
        <v>3</v>
      </c>
      <c r="J733" t="s">
        <v>19</v>
      </c>
      <c r="K733" t="s">
        <v>605</v>
      </c>
      <c r="L733" t="s">
        <v>608</v>
      </c>
      <c r="M733" t="s">
        <v>1206</v>
      </c>
      <c r="N733" t="s">
        <v>602</v>
      </c>
      <c r="O733" t="s">
        <v>603</v>
      </c>
      <c r="P733" t="s">
        <v>602</v>
      </c>
      <c r="Q733" s="17">
        <f>IFERROR(VLOOKUP(A733,已除帳印單!B:C,1,0),0)*1</f>
        <v>0</v>
      </c>
      <c r="R733" s="67" t="str">
        <f>IFERROR(VLOOKUP(J733,線別!A:B,2,1),"")</f>
        <v>FM_IA預組</v>
      </c>
      <c r="S733" s="17" t="str">
        <f>IFERROR(VLOOKUP(A733,已除帳印單!B:C,2,0),"")</f>
        <v/>
      </c>
      <c r="T733" s="68">
        <f t="shared" si="72"/>
        <v>43893</v>
      </c>
      <c r="U733" s="69">
        <f t="shared" si="73"/>
        <v>84.168784722222213</v>
      </c>
      <c r="V733" s="68" t="str">
        <f>IFERROR(VLOOKUP(A733,已除帳印單!B:D,3,0),"")</f>
        <v/>
      </c>
      <c r="W733" s="69" t="str">
        <f>IFERROR(VLOOKUP(A733,已除帳印單!B:E,4,0),"")</f>
        <v/>
      </c>
      <c r="X733" s="68" t="str">
        <f>IFERROR(INDEX(刷條碼區!A:C,MATCH(點上線資訊!S733,刷條碼區!C:C,0),1),"")</f>
        <v/>
      </c>
      <c r="Y733" s="69" t="str">
        <f>IFERROR(INDEX(刷條碼區!A:C,MATCH(點上線資訊!S733,刷條碼區!C:C,0),2),"")</f>
        <v/>
      </c>
      <c r="Z733" s="70" t="str">
        <f>IFERROR(INDEX(刷條碼區!D:G,MATCH(點上線資訊!S733,刷條碼區!F:F,0),1),"")</f>
        <v/>
      </c>
      <c r="AA733" s="71" t="str">
        <f>IFERROR(INDEX(刷條碼區!D:G,MATCH(點上線資訊!S733,刷條碼區!F:F,0),2),"")</f>
        <v/>
      </c>
      <c r="AB733" s="20" t="b">
        <f t="shared" si="68"/>
        <v>0</v>
      </c>
      <c r="AC733" s="20" t="b">
        <f t="shared" si="69"/>
        <v>0</v>
      </c>
      <c r="AD733" s="17" t="b">
        <f t="shared" si="70"/>
        <v>0</v>
      </c>
      <c r="AE733" s="17" t="b">
        <f t="shared" si="71"/>
        <v>0</v>
      </c>
    </row>
    <row r="734" spans="1:31" x14ac:dyDescent="0.2">
      <c r="A734" s="16">
        <v>5000502431</v>
      </c>
      <c r="B734" t="s">
        <v>6</v>
      </c>
      <c r="C734" t="s">
        <v>6</v>
      </c>
      <c r="D734" t="s">
        <v>1</v>
      </c>
      <c r="E734" t="s">
        <v>1213</v>
      </c>
      <c r="F734" t="s">
        <v>1214</v>
      </c>
      <c r="G734" s="2">
        <v>2</v>
      </c>
      <c r="H734" t="s">
        <v>461</v>
      </c>
      <c r="I734" t="s">
        <v>3</v>
      </c>
      <c r="J734" t="s">
        <v>19</v>
      </c>
      <c r="K734" t="s">
        <v>605</v>
      </c>
      <c r="L734" t="s">
        <v>608</v>
      </c>
      <c r="M734" t="s">
        <v>1206</v>
      </c>
      <c r="N734" t="s">
        <v>602</v>
      </c>
      <c r="O734" t="s">
        <v>603</v>
      </c>
      <c r="P734" t="s">
        <v>602</v>
      </c>
      <c r="Q734" s="17">
        <f>IFERROR(VLOOKUP(A734,已除帳印單!B:C,1,0),0)*1</f>
        <v>0</v>
      </c>
      <c r="R734" s="67" t="str">
        <f>IFERROR(VLOOKUP(J734,線別!A:B,2,1),"")</f>
        <v>FM_IA預組</v>
      </c>
      <c r="S734" s="17" t="str">
        <f>IFERROR(VLOOKUP(A734,已除帳印單!B:C,2,0),"")</f>
        <v/>
      </c>
      <c r="T734" s="68">
        <f t="shared" si="72"/>
        <v>43893</v>
      </c>
      <c r="U734" s="69">
        <f t="shared" si="73"/>
        <v>84.168784722222213</v>
      </c>
      <c r="V734" s="68" t="str">
        <f>IFERROR(VLOOKUP(A734,已除帳印單!B:D,3,0),"")</f>
        <v/>
      </c>
      <c r="W734" s="69" t="str">
        <f>IFERROR(VLOOKUP(A734,已除帳印單!B:E,4,0),"")</f>
        <v/>
      </c>
      <c r="X734" s="68" t="str">
        <f>IFERROR(INDEX(刷條碼區!A:C,MATCH(點上線資訊!S734,刷條碼區!C:C,0),1),"")</f>
        <v/>
      </c>
      <c r="Y734" s="69" t="str">
        <f>IFERROR(INDEX(刷條碼區!A:C,MATCH(點上線資訊!S734,刷條碼區!C:C,0),2),"")</f>
        <v/>
      </c>
      <c r="Z734" s="70" t="str">
        <f>IFERROR(INDEX(刷條碼區!D:G,MATCH(點上線資訊!S734,刷條碼區!F:F,0),1),"")</f>
        <v/>
      </c>
      <c r="AA734" s="71" t="str">
        <f>IFERROR(INDEX(刷條碼區!D:G,MATCH(點上線資訊!S734,刷條碼區!F:F,0),2),"")</f>
        <v/>
      </c>
      <c r="AB734" s="20" t="b">
        <f t="shared" si="68"/>
        <v>0</v>
      </c>
      <c r="AC734" s="20" t="b">
        <f t="shared" si="69"/>
        <v>0</v>
      </c>
      <c r="AD734" s="17" t="b">
        <f t="shared" si="70"/>
        <v>0</v>
      </c>
      <c r="AE734" s="17" t="b">
        <f t="shared" si="71"/>
        <v>0</v>
      </c>
    </row>
    <row r="735" spans="1:31" x14ac:dyDescent="0.2">
      <c r="A735" s="16">
        <v>5000503311</v>
      </c>
      <c r="B735" t="s">
        <v>301</v>
      </c>
      <c r="C735" t="s">
        <v>301</v>
      </c>
      <c r="D735" t="s">
        <v>1</v>
      </c>
      <c r="E735" t="s">
        <v>1158</v>
      </c>
      <c r="F735" t="s">
        <v>1159</v>
      </c>
      <c r="G735" s="2">
        <v>20</v>
      </c>
      <c r="H735" t="s">
        <v>461</v>
      </c>
      <c r="I735" t="s">
        <v>3</v>
      </c>
      <c r="J735" t="s">
        <v>19</v>
      </c>
      <c r="K735" t="s">
        <v>605</v>
      </c>
      <c r="L735" t="s">
        <v>608</v>
      </c>
      <c r="M735" t="s">
        <v>431</v>
      </c>
      <c r="N735" t="s">
        <v>602</v>
      </c>
      <c r="O735" t="s">
        <v>603</v>
      </c>
      <c r="P735" t="s">
        <v>602</v>
      </c>
      <c r="Q735" s="17">
        <f>IFERROR(VLOOKUP(A735,已除帳印單!B:C,1,0),0)*1</f>
        <v>0</v>
      </c>
      <c r="R735" s="67" t="str">
        <f>IFERROR(VLOOKUP(J735,線別!A:B,2,1),"")</f>
        <v>FM_IA預組</v>
      </c>
      <c r="S735" s="17" t="str">
        <f>IFERROR(VLOOKUP(A735,已除帳印單!B:C,2,0),"")</f>
        <v/>
      </c>
      <c r="T735" s="68">
        <f t="shared" si="72"/>
        <v>43894</v>
      </c>
      <c r="U735" s="69">
        <f t="shared" si="73"/>
        <v>84.168796296296293</v>
      </c>
      <c r="V735" s="68" t="str">
        <f>IFERROR(VLOOKUP(A735,已除帳印單!B:D,3,0),"")</f>
        <v/>
      </c>
      <c r="W735" s="69" t="str">
        <f>IFERROR(VLOOKUP(A735,已除帳印單!B:E,4,0),"")</f>
        <v/>
      </c>
      <c r="X735" s="68" t="str">
        <f>IFERROR(INDEX(刷條碼區!A:C,MATCH(點上線資訊!S735,刷條碼區!C:C,0),1),"")</f>
        <v/>
      </c>
      <c r="Y735" s="69" t="str">
        <f>IFERROR(INDEX(刷條碼區!A:C,MATCH(點上線資訊!S735,刷條碼區!C:C,0),2),"")</f>
        <v/>
      </c>
      <c r="Z735" s="70" t="str">
        <f>IFERROR(INDEX(刷條碼區!D:G,MATCH(點上線資訊!S735,刷條碼區!F:F,0),1),"")</f>
        <v/>
      </c>
      <c r="AA735" s="71" t="str">
        <f>IFERROR(INDEX(刷條碼區!D:G,MATCH(點上線資訊!S735,刷條碼區!F:F,0),2),"")</f>
        <v/>
      </c>
      <c r="AB735" s="20" t="b">
        <f t="shared" si="68"/>
        <v>0</v>
      </c>
      <c r="AC735" s="20" t="b">
        <f t="shared" si="69"/>
        <v>0</v>
      </c>
      <c r="AD735" s="17" t="b">
        <f t="shared" si="70"/>
        <v>0</v>
      </c>
      <c r="AE735" s="17" t="b">
        <f t="shared" si="71"/>
        <v>0</v>
      </c>
    </row>
    <row r="736" spans="1:31" x14ac:dyDescent="0.2">
      <c r="A736" s="16">
        <v>5000503324</v>
      </c>
      <c r="B736" t="s">
        <v>0</v>
      </c>
      <c r="C736" t="s">
        <v>0</v>
      </c>
      <c r="D736" t="s">
        <v>1</v>
      </c>
      <c r="E736" t="s">
        <v>1215</v>
      </c>
      <c r="F736" t="s">
        <v>1216</v>
      </c>
      <c r="G736" s="2">
        <v>3</v>
      </c>
      <c r="H736" t="s">
        <v>461</v>
      </c>
      <c r="I736" t="s">
        <v>3</v>
      </c>
      <c r="J736" t="s">
        <v>4</v>
      </c>
      <c r="K736" t="s">
        <v>605</v>
      </c>
      <c r="L736" t="s">
        <v>608</v>
      </c>
      <c r="M736" t="s">
        <v>1217</v>
      </c>
      <c r="N736" t="s">
        <v>602</v>
      </c>
      <c r="O736" t="s">
        <v>603</v>
      </c>
      <c r="P736" t="s">
        <v>602</v>
      </c>
      <c r="Q736" s="17">
        <f>IFERROR(VLOOKUP(A736,已除帳印單!B:C,1,0),0)*1</f>
        <v>0</v>
      </c>
      <c r="R736" s="67" t="str">
        <f>IFERROR(VLOOKUP(J736,線別!A:B,2,1),"")</f>
        <v>IA線</v>
      </c>
      <c r="S736" s="17" t="str">
        <f>IFERROR(VLOOKUP(A736,已除帳印單!B:C,2,0),"")</f>
        <v/>
      </c>
      <c r="T736" s="68">
        <f t="shared" si="72"/>
        <v>43892</v>
      </c>
      <c r="U736" s="69">
        <f t="shared" si="73"/>
        <v>84.168773148148148</v>
      </c>
      <c r="V736" s="68" t="str">
        <f>IFERROR(VLOOKUP(A736,已除帳印單!B:D,3,0),"")</f>
        <v/>
      </c>
      <c r="W736" s="69" t="str">
        <f>IFERROR(VLOOKUP(A736,已除帳印單!B:E,4,0),"")</f>
        <v/>
      </c>
      <c r="X736" s="68" t="str">
        <f>IFERROR(INDEX(刷條碼區!A:C,MATCH(點上線資訊!S736,刷條碼區!C:C,0),1),"")</f>
        <v/>
      </c>
      <c r="Y736" s="69" t="str">
        <f>IFERROR(INDEX(刷條碼區!A:C,MATCH(點上線資訊!S736,刷條碼區!C:C,0),2),"")</f>
        <v/>
      </c>
      <c r="Z736" s="70" t="str">
        <f>IFERROR(INDEX(刷條碼區!D:G,MATCH(點上線資訊!S736,刷條碼區!F:F,0),1),"")</f>
        <v/>
      </c>
      <c r="AA736" s="71" t="str">
        <f>IFERROR(INDEX(刷條碼區!D:G,MATCH(點上線資訊!S736,刷條碼區!F:F,0),2),"")</f>
        <v/>
      </c>
      <c r="AB736" s="20" t="b">
        <f t="shared" si="68"/>
        <v>0</v>
      </c>
      <c r="AC736" s="20" t="b">
        <f t="shared" si="69"/>
        <v>0</v>
      </c>
      <c r="AD736" s="17" t="b">
        <f t="shared" si="70"/>
        <v>0</v>
      </c>
      <c r="AE736" s="17" t="b">
        <f t="shared" si="71"/>
        <v>0</v>
      </c>
    </row>
    <row r="737" spans="1:31" x14ac:dyDescent="0.2">
      <c r="A737" s="16">
        <v>5000503340</v>
      </c>
      <c r="B737" t="s">
        <v>0</v>
      </c>
      <c r="C737" t="s">
        <v>0</v>
      </c>
      <c r="D737" t="s">
        <v>1</v>
      </c>
      <c r="E737" t="s">
        <v>24</v>
      </c>
      <c r="F737" t="s">
        <v>23</v>
      </c>
      <c r="G737" s="2">
        <v>5</v>
      </c>
      <c r="H737" t="s">
        <v>461</v>
      </c>
      <c r="I737" t="s">
        <v>3</v>
      </c>
      <c r="J737" t="s">
        <v>4</v>
      </c>
      <c r="K737" t="s">
        <v>602</v>
      </c>
      <c r="L737" t="s">
        <v>603</v>
      </c>
      <c r="M737" t="s">
        <v>602</v>
      </c>
      <c r="N737" t="s">
        <v>602</v>
      </c>
      <c r="O737" t="s">
        <v>603</v>
      </c>
      <c r="P737" t="s">
        <v>602</v>
      </c>
      <c r="Q737" s="17">
        <f>IFERROR(VLOOKUP(A737,已除帳印單!B:C,1,0),0)*1</f>
        <v>0</v>
      </c>
      <c r="R737" s="67" t="str">
        <f>IFERROR(VLOOKUP(J737,線別!A:B,2,1),"")</f>
        <v>IA線</v>
      </c>
      <c r="S737" s="17" t="str">
        <f>IFERROR(VLOOKUP(A737,已除帳印單!B:C,2,0),"")</f>
        <v/>
      </c>
      <c r="T737" s="68">
        <f t="shared" si="72"/>
        <v>43892</v>
      </c>
      <c r="U737" s="69">
        <f t="shared" si="73"/>
        <v>84.168773148148148</v>
      </c>
      <c r="V737" s="68" t="str">
        <f>IFERROR(VLOOKUP(A737,已除帳印單!B:D,3,0),"")</f>
        <v/>
      </c>
      <c r="W737" s="69" t="str">
        <f>IFERROR(VLOOKUP(A737,已除帳印單!B:E,4,0),"")</f>
        <v/>
      </c>
      <c r="X737" s="68" t="str">
        <f>IFERROR(INDEX(刷條碼區!A:C,MATCH(點上線資訊!S737,刷條碼區!C:C,0),1),"")</f>
        <v/>
      </c>
      <c r="Y737" s="69" t="str">
        <f>IFERROR(INDEX(刷條碼區!A:C,MATCH(點上線資訊!S737,刷條碼區!C:C,0),2),"")</f>
        <v/>
      </c>
      <c r="Z737" s="70" t="str">
        <f>IFERROR(INDEX(刷條碼區!D:G,MATCH(點上線資訊!S737,刷條碼區!F:F,0),1),"")</f>
        <v/>
      </c>
      <c r="AA737" s="71" t="str">
        <f>IFERROR(INDEX(刷條碼區!D:G,MATCH(點上線資訊!S737,刷條碼區!F:F,0),2),"")</f>
        <v/>
      </c>
      <c r="AB737" s="20">
        <f t="shared" si="68"/>
        <v>5</v>
      </c>
      <c r="AC737" s="20" t="b">
        <f t="shared" si="69"/>
        <v>0</v>
      </c>
      <c r="AD737" s="17" t="b">
        <f t="shared" si="70"/>
        <v>0</v>
      </c>
      <c r="AE737" s="17" t="b">
        <f t="shared" si="71"/>
        <v>0</v>
      </c>
    </row>
    <row r="738" spans="1:31" x14ac:dyDescent="0.2">
      <c r="A738" s="16">
        <v>5000503341</v>
      </c>
      <c r="B738" t="s">
        <v>6</v>
      </c>
      <c r="C738" t="s">
        <v>6</v>
      </c>
      <c r="D738" t="s">
        <v>1</v>
      </c>
      <c r="E738" t="s">
        <v>1218</v>
      </c>
      <c r="F738" t="s">
        <v>1219</v>
      </c>
      <c r="G738" s="2">
        <v>3</v>
      </c>
      <c r="H738" t="s">
        <v>461</v>
      </c>
      <c r="I738" t="s">
        <v>3</v>
      </c>
      <c r="J738" t="s">
        <v>136</v>
      </c>
      <c r="K738" t="s">
        <v>605</v>
      </c>
      <c r="L738" t="s">
        <v>608</v>
      </c>
      <c r="M738" t="s">
        <v>435</v>
      </c>
      <c r="N738" t="s">
        <v>602</v>
      </c>
      <c r="O738" t="s">
        <v>603</v>
      </c>
      <c r="P738" t="s">
        <v>602</v>
      </c>
      <c r="Q738" s="17">
        <f>IFERROR(VLOOKUP(A738,已除帳印單!B:C,1,0),0)*1</f>
        <v>0</v>
      </c>
      <c r="R738" s="67" t="str">
        <f>IFERROR(VLOOKUP(J738,線別!A:B,2,1),"")</f>
        <v>SCB線</v>
      </c>
      <c r="S738" s="17" t="str">
        <f>IFERROR(VLOOKUP(A738,已除帳印單!B:C,2,0),"")</f>
        <v/>
      </c>
      <c r="T738" s="68">
        <f t="shared" si="72"/>
        <v>43893</v>
      </c>
      <c r="U738" s="69">
        <f t="shared" si="73"/>
        <v>84.168784722222213</v>
      </c>
      <c r="V738" s="68" t="str">
        <f>IFERROR(VLOOKUP(A738,已除帳印單!B:D,3,0),"")</f>
        <v/>
      </c>
      <c r="W738" s="69" t="str">
        <f>IFERROR(VLOOKUP(A738,已除帳印單!B:E,4,0),"")</f>
        <v/>
      </c>
      <c r="X738" s="68" t="str">
        <f>IFERROR(INDEX(刷條碼區!A:C,MATCH(點上線資訊!S738,刷條碼區!C:C,0),1),"")</f>
        <v/>
      </c>
      <c r="Y738" s="69" t="str">
        <f>IFERROR(INDEX(刷條碼區!A:C,MATCH(點上線資訊!S738,刷條碼區!C:C,0),2),"")</f>
        <v/>
      </c>
      <c r="Z738" s="70" t="str">
        <f>IFERROR(INDEX(刷條碼區!D:G,MATCH(點上線資訊!S738,刷條碼區!F:F,0),1),"")</f>
        <v/>
      </c>
      <c r="AA738" s="71" t="str">
        <f>IFERROR(INDEX(刷條碼區!D:G,MATCH(點上線資訊!S738,刷條碼區!F:F,0),2),"")</f>
        <v/>
      </c>
      <c r="AB738" s="20" t="b">
        <f t="shared" si="68"/>
        <v>0</v>
      </c>
      <c r="AC738" s="20" t="b">
        <f t="shared" si="69"/>
        <v>0</v>
      </c>
      <c r="AD738" s="17" t="b">
        <f t="shared" si="70"/>
        <v>0</v>
      </c>
      <c r="AE738" s="17" t="b">
        <f t="shared" si="71"/>
        <v>0</v>
      </c>
    </row>
    <row r="739" spans="1:31" x14ac:dyDescent="0.2">
      <c r="A739" s="16">
        <v>5000503345</v>
      </c>
      <c r="B739" t="s">
        <v>6</v>
      </c>
      <c r="C739" t="s">
        <v>6</v>
      </c>
      <c r="D739" t="s">
        <v>1</v>
      </c>
      <c r="E739" t="s">
        <v>1220</v>
      </c>
      <c r="F739" t="s">
        <v>1221</v>
      </c>
      <c r="G739" s="2">
        <v>7</v>
      </c>
      <c r="H739" t="s">
        <v>461</v>
      </c>
      <c r="I739" t="s">
        <v>3</v>
      </c>
      <c r="J739" t="s">
        <v>136</v>
      </c>
      <c r="K739" t="s">
        <v>605</v>
      </c>
      <c r="L739" t="s">
        <v>608</v>
      </c>
      <c r="M739" t="s">
        <v>436</v>
      </c>
      <c r="N739" t="s">
        <v>602</v>
      </c>
      <c r="O739" t="s">
        <v>603</v>
      </c>
      <c r="P739" t="s">
        <v>602</v>
      </c>
      <c r="Q739" s="17">
        <f>IFERROR(VLOOKUP(A739,已除帳印單!B:C,1,0),0)*1</f>
        <v>0</v>
      </c>
      <c r="R739" s="67" t="str">
        <f>IFERROR(VLOOKUP(J739,線別!A:B,2,1),"")</f>
        <v>SCB線</v>
      </c>
      <c r="S739" s="17" t="str">
        <f>IFERROR(VLOOKUP(A739,已除帳印單!B:C,2,0),"")</f>
        <v/>
      </c>
      <c r="T739" s="68">
        <f t="shared" si="72"/>
        <v>43893</v>
      </c>
      <c r="U739" s="69">
        <f t="shared" si="73"/>
        <v>84.168784722222213</v>
      </c>
      <c r="V739" s="68" t="str">
        <f>IFERROR(VLOOKUP(A739,已除帳印單!B:D,3,0),"")</f>
        <v/>
      </c>
      <c r="W739" s="69" t="str">
        <f>IFERROR(VLOOKUP(A739,已除帳印單!B:E,4,0),"")</f>
        <v/>
      </c>
      <c r="X739" s="68" t="str">
        <f>IFERROR(INDEX(刷條碼區!A:C,MATCH(點上線資訊!S739,刷條碼區!C:C,0),1),"")</f>
        <v/>
      </c>
      <c r="Y739" s="69" t="str">
        <f>IFERROR(INDEX(刷條碼區!A:C,MATCH(點上線資訊!S739,刷條碼區!C:C,0),2),"")</f>
        <v/>
      </c>
      <c r="Z739" s="70" t="str">
        <f>IFERROR(INDEX(刷條碼區!D:G,MATCH(點上線資訊!S739,刷條碼區!F:F,0),1),"")</f>
        <v/>
      </c>
      <c r="AA739" s="71" t="str">
        <f>IFERROR(INDEX(刷條碼區!D:G,MATCH(點上線資訊!S739,刷條碼區!F:F,0),2),"")</f>
        <v/>
      </c>
      <c r="AB739" s="20" t="b">
        <f t="shared" si="68"/>
        <v>0</v>
      </c>
      <c r="AC739" s="20" t="b">
        <f t="shared" si="69"/>
        <v>0</v>
      </c>
      <c r="AD739" s="17" t="b">
        <f t="shared" si="70"/>
        <v>0</v>
      </c>
      <c r="AE739" s="17" t="b">
        <f t="shared" si="71"/>
        <v>0</v>
      </c>
    </row>
    <row r="740" spans="1:31" x14ac:dyDescent="0.2">
      <c r="A740" s="16">
        <v>5000503346</v>
      </c>
      <c r="B740" t="s">
        <v>6</v>
      </c>
      <c r="C740" t="s">
        <v>6</v>
      </c>
      <c r="D740" t="s">
        <v>1</v>
      </c>
      <c r="E740" t="s">
        <v>1220</v>
      </c>
      <c r="F740" t="s">
        <v>1221</v>
      </c>
      <c r="G740" s="2">
        <v>3</v>
      </c>
      <c r="H740" t="s">
        <v>461</v>
      </c>
      <c r="I740" t="s">
        <v>3</v>
      </c>
      <c r="J740" t="s">
        <v>136</v>
      </c>
      <c r="K740" t="s">
        <v>605</v>
      </c>
      <c r="L740" t="s">
        <v>608</v>
      </c>
      <c r="M740" t="s">
        <v>436</v>
      </c>
      <c r="N740" t="s">
        <v>602</v>
      </c>
      <c r="O740" t="s">
        <v>603</v>
      </c>
      <c r="P740" t="s">
        <v>602</v>
      </c>
      <c r="Q740" s="17">
        <f>IFERROR(VLOOKUP(A740,已除帳印單!B:C,1,0),0)*1</f>
        <v>0</v>
      </c>
      <c r="R740" s="67" t="str">
        <f>IFERROR(VLOOKUP(J740,線別!A:B,2,1),"")</f>
        <v>SCB線</v>
      </c>
      <c r="S740" s="17" t="str">
        <f>IFERROR(VLOOKUP(A740,已除帳印單!B:C,2,0),"")</f>
        <v/>
      </c>
      <c r="T740" s="68">
        <f t="shared" si="72"/>
        <v>43893</v>
      </c>
      <c r="U740" s="69">
        <f t="shared" si="73"/>
        <v>84.168784722222213</v>
      </c>
      <c r="V740" s="68" t="str">
        <f>IFERROR(VLOOKUP(A740,已除帳印單!B:D,3,0),"")</f>
        <v/>
      </c>
      <c r="W740" s="69" t="str">
        <f>IFERROR(VLOOKUP(A740,已除帳印單!B:E,4,0),"")</f>
        <v/>
      </c>
      <c r="X740" s="68" t="str">
        <f>IFERROR(INDEX(刷條碼區!A:C,MATCH(點上線資訊!S740,刷條碼區!C:C,0),1),"")</f>
        <v/>
      </c>
      <c r="Y740" s="69" t="str">
        <f>IFERROR(INDEX(刷條碼區!A:C,MATCH(點上線資訊!S740,刷條碼區!C:C,0),2),"")</f>
        <v/>
      </c>
      <c r="Z740" s="70" t="str">
        <f>IFERROR(INDEX(刷條碼區!D:G,MATCH(點上線資訊!S740,刷條碼區!F:F,0),1),"")</f>
        <v/>
      </c>
      <c r="AA740" s="71" t="str">
        <f>IFERROR(INDEX(刷條碼區!D:G,MATCH(點上線資訊!S740,刷條碼區!F:F,0),2),"")</f>
        <v/>
      </c>
      <c r="AB740" s="20" t="b">
        <f t="shared" si="68"/>
        <v>0</v>
      </c>
      <c r="AC740" s="20" t="b">
        <f t="shared" si="69"/>
        <v>0</v>
      </c>
      <c r="AD740" s="17" t="b">
        <f t="shared" si="70"/>
        <v>0</v>
      </c>
      <c r="AE740" s="17" t="b">
        <f t="shared" si="71"/>
        <v>0</v>
      </c>
    </row>
    <row r="741" spans="1:31" x14ac:dyDescent="0.2">
      <c r="A741" s="16">
        <v>5000503347</v>
      </c>
      <c r="B741" t="s">
        <v>6</v>
      </c>
      <c r="C741" t="s">
        <v>6</v>
      </c>
      <c r="D741" t="s">
        <v>1</v>
      </c>
      <c r="E741" t="s">
        <v>1222</v>
      </c>
      <c r="F741" t="s">
        <v>1223</v>
      </c>
      <c r="G741" s="2">
        <v>5</v>
      </c>
      <c r="H741" t="s">
        <v>461</v>
      </c>
      <c r="I741" t="s">
        <v>3</v>
      </c>
      <c r="J741" t="s">
        <v>136</v>
      </c>
      <c r="K741" t="s">
        <v>605</v>
      </c>
      <c r="L741" t="s">
        <v>608</v>
      </c>
      <c r="M741" t="s">
        <v>435</v>
      </c>
      <c r="N741" t="s">
        <v>602</v>
      </c>
      <c r="O741" t="s">
        <v>603</v>
      </c>
      <c r="P741" t="s">
        <v>602</v>
      </c>
      <c r="Q741" s="17">
        <f>IFERROR(VLOOKUP(A741,已除帳印單!B:C,1,0),0)*1</f>
        <v>0</v>
      </c>
      <c r="R741" s="67" t="str">
        <f>IFERROR(VLOOKUP(J741,線別!A:B,2,1),"")</f>
        <v>SCB線</v>
      </c>
      <c r="S741" s="17" t="str">
        <f>IFERROR(VLOOKUP(A741,已除帳印單!B:C,2,0),"")</f>
        <v/>
      </c>
      <c r="T741" s="68">
        <f t="shared" si="72"/>
        <v>43893</v>
      </c>
      <c r="U741" s="69">
        <f t="shared" si="73"/>
        <v>84.168784722222213</v>
      </c>
      <c r="V741" s="68" t="str">
        <f>IFERROR(VLOOKUP(A741,已除帳印單!B:D,3,0),"")</f>
        <v/>
      </c>
      <c r="W741" s="69" t="str">
        <f>IFERROR(VLOOKUP(A741,已除帳印單!B:E,4,0),"")</f>
        <v/>
      </c>
      <c r="X741" s="68" t="str">
        <f>IFERROR(INDEX(刷條碼區!A:C,MATCH(點上線資訊!S741,刷條碼區!C:C,0),1),"")</f>
        <v/>
      </c>
      <c r="Y741" s="69" t="str">
        <f>IFERROR(INDEX(刷條碼區!A:C,MATCH(點上線資訊!S741,刷條碼區!C:C,0),2),"")</f>
        <v/>
      </c>
      <c r="Z741" s="70" t="str">
        <f>IFERROR(INDEX(刷條碼區!D:G,MATCH(點上線資訊!S741,刷條碼區!F:F,0),1),"")</f>
        <v/>
      </c>
      <c r="AA741" s="71" t="str">
        <f>IFERROR(INDEX(刷條碼區!D:G,MATCH(點上線資訊!S741,刷條碼區!F:F,0),2),"")</f>
        <v/>
      </c>
      <c r="AB741" s="20" t="b">
        <f t="shared" si="68"/>
        <v>0</v>
      </c>
      <c r="AC741" s="20" t="b">
        <f t="shared" si="69"/>
        <v>0</v>
      </c>
      <c r="AD741" s="17" t="b">
        <f t="shared" si="70"/>
        <v>0</v>
      </c>
      <c r="AE741" s="17" t="b">
        <f t="shared" si="71"/>
        <v>0</v>
      </c>
    </row>
    <row r="742" spans="1:31" x14ac:dyDescent="0.2">
      <c r="A742" s="16">
        <v>5000503348</v>
      </c>
      <c r="B742" t="s">
        <v>0</v>
      </c>
      <c r="C742" t="s">
        <v>0</v>
      </c>
      <c r="D742" t="s">
        <v>1</v>
      </c>
      <c r="E742" t="s">
        <v>21</v>
      </c>
      <c r="F742" t="s">
        <v>567</v>
      </c>
      <c r="G742" s="2">
        <v>5</v>
      </c>
      <c r="H742" t="s">
        <v>461</v>
      </c>
      <c r="I742" t="s">
        <v>3</v>
      </c>
      <c r="J742" t="s">
        <v>4</v>
      </c>
      <c r="K742" t="s">
        <v>602</v>
      </c>
      <c r="L742" t="s">
        <v>603</v>
      </c>
      <c r="M742" t="s">
        <v>602</v>
      </c>
      <c r="N742" t="s">
        <v>602</v>
      </c>
      <c r="O742" t="s">
        <v>603</v>
      </c>
      <c r="P742" t="s">
        <v>602</v>
      </c>
      <c r="Q742" s="17">
        <f>IFERROR(VLOOKUP(A742,已除帳印單!B:C,1,0),0)*1</f>
        <v>0</v>
      </c>
      <c r="R742" s="67" t="str">
        <f>IFERROR(VLOOKUP(J742,線別!A:B,2,1),"")</f>
        <v>IA線</v>
      </c>
      <c r="S742" s="17" t="str">
        <f>IFERROR(VLOOKUP(A742,已除帳印單!B:C,2,0),"")</f>
        <v/>
      </c>
      <c r="T742" s="68">
        <f t="shared" si="72"/>
        <v>43892</v>
      </c>
      <c r="U742" s="69">
        <f t="shared" si="73"/>
        <v>84.168773148148148</v>
      </c>
      <c r="V742" s="68" t="str">
        <f>IFERROR(VLOOKUP(A742,已除帳印單!B:D,3,0),"")</f>
        <v/>
      </c>
      <c r="W742" s="69" t="str">
        <f>IFERROR(VLOOKUP(A742,已除帳印單!B:E,4,0),"")</f>
        <v/>
      </c>
      <c r="X742" s="68" t="str">
        <f>IFERROR(INDEX(刷條碼區!A:C,MATCH(點上線資訊!S742,刷條碼區!C:C,0),1),"")</f>
        <v/>
      </c>
      <c r="Y742" s="69" t="str">
        <f>IFERROR(INDEX(刷條碼區!A:C,MATCH(點上線資訊!S742,刷條碼區!C:C,0),2),"")</f>
        <v/>
      </c>
      <c r="Z742" s="70" t="str">
        <f>IFERROR(INDEX(刷條碼區!D:G,MATCH(點上線資訊!S742,刷條碼區!F:F,0),1),"")</f>
        <v/>
      </c>
      <c r="AA742" s="71" t="str">
        <f>IFERROR(INDEX(刷條碼區!D:G,MATCH(點上線資訊!S742,刷條碼區!F:F,0),2),"")</f>
        <v/>
      </c>
      <c r="AB742" s="20">
        <f t="shared" si="68"/>
        <v>5</v>
      </c>
      <c r="AC742" s="20" t="b">
        <f t="shared" si="69"/>
        <v>0</v>
      </c>
      <c r="AD742" s="17" t="b">
        <f t="shared" si="70"/>
        <v>0</v>
      </c>
      <c r="AE742" s="17" t="b">
        <f t="shared" si="71"/>
        <v>0</v>
      </c>
    </row>
    <row r="743" spans="1:31" x14ac:dyDescent="0.2">
      <c r="A743" s="16">
        <v>5000503359</v>
      </c>
      <c r="B743" t="s">
        <v>0</v>
      </c>
      <c r="C743" t="s">
        <v>0</v>
      </c>
      <c r="D743" t="s">
        <v>1</v>
      </c>
      <c r="E743" t="s">
        <v>26</v>
      </c>
      <c r="F743" t="s">
        <v>27</v>
      </c>
      <c r="G743" s="2">
        <v>10</v>
      </c>
      <c r="H743" t="s">
        <v>461</v>
      </c>
      <c r="I743" t="s">
        <v>3</v>
      </c>
      <c r="J743" t="s">
        <v>4</v>
      </c>
      <c r="K743" t="s">
        <v>602</v>
      </c>
      <c r="L743" t="s">
        <v>603</v>
      </c>
      <c r="M743" t="s">
        <v>602</v>
      </c>
      <c r="N743" t="s">
        <v>602</v>
      </c>
      <c r="O743" t="s">
        <v>603</v>
      </c>
      <c r="P743" t="s">
        <v>602</v>
      </c>
      <c r="Q743" s="17">
        <f>IFERROR(VLOOKUP(A743,已除帳印單!B:C,1,0),0)*1</f>
        <v>0</v>
      </c>
      <c r="R743" s="67" t="str">
        <f>IFERROR(VLOOKUP(J743,線別!A:B,2,1),"")</f>
        <v>IA線</v>
      </c>
      <c r="S743" s="17" t="str">
        <f>IFERROR(VLOOKUP(A743,已除帳印單!B:C,2,0),"")</f>
        <v/>
      </c>
      <c r="T743" s="68">
        <f t="shared" si="72"/>
        <v>43892</v>
      </c>
      <c r="U743" s="69">
        <f t="shared" si="73"/>
        <v>84.168773148148148</v>
      </c>
      <c r="V743" s="68" t="str">
        <f>IFERROR(VLOOKUP(A743,已除帳印單!B:D,3,0),"")</f>
        <v/>
      </c>
      <c r="W743" s="69" t="str">
        <f>IFERROR(VLOOKUP(A743,已除帳印單!B:E,4,0),"")</f>
        <v/>
      </c>
      <c r="X743" s="68" t="str">
        <f>IFERROR(INDEX(刷條碼區!A:C,MATCH(點上線資訊!S743,刷條碼區!C:C,0),1),"")</f>
        <v/>
      </c>
      <c r="Y743" s="69" t="str">
        <f>IFERROR(INDEX(刷條碼區!A:C,MATCH(點上線資訊!S743,刷條碼區!C:C,0),2),"")</f>
        <v/>
      </c>
      <c r="Z743" s="70" t="str">
        <f>IFERROR(INDEX(刷條碼區!D:G,MATCH(點上線資訊!S743,刷條碼區!F:F,0),1),"")</f>
        <v/>
      </c>
      <c r="AA743" s="71" t="str">
        <f>IFERROR(INDEX(刷條碼區!D:G,MATCH(點上線資訊!S743,刷條碼區!F:F,0),2),"")</f>
        <v/>
      </c>
      <c r="AB743" s="20">
        <f t="shared" si="68"/>
        <v>10</v>
      </c>
      <c r="AC743" s="20" t="b">
        <f t="shared" si="69"/>
        <v>0</v>
      </c>
      <c r="AD743" s="17" t="b">
        <f t="shared" si="70"/>
        <v>0</v>
      </c>
      <c r="AE743" s="17" t="b">
        <f t="shared" si="71"/>
        <v>0</v>
      </c>
    </row>
    <row r="744" spans="1:31" x14ac:dyDescent="0.2">
      <c r="A744" s="16">
        <v>5000503360</v>
      </c>
      <c r="B744" t="s">
        <v>0</v>
      </c>
      <c r="C744" t="s">
        <v>0</v>
      </c>
      <c r="D744" t="s">
        <v>1</v>
      </c>
      <c r="E744" t="s">
        <v>25</v>
      </c>
      <c r="F744" t="s">
        <v>575</v>
      </c>
      <c r="G744" s="2">
        <v>10</v>
      </c>
      <c r="H744" t="s">
        <v>461</v>
      </c>
      <c r="I744" t="s">
        <v>3</v>
      </c>
      <c r="J744" t="s">
        <v>4</v>
      </c>
      <c r="K744" t="s">
        <v>602</v>
      </c>
      <c r="L744" t="s">
        <v>603</v>
      </c>
      <c r="M744" t="s">
        <v>602</v>
      </c>
      <c r="N744" t="s">
        <v>602</v>
      </c>
      <c r="O744" t="s">
        <v>603</v>
      </c>
      <c r="P744" t="s">
        <v>602</v>
      </c>
      <c r="Q744" s="17">
        <f>IFERROR(VLOOKUP(A744,已除帳印單!B:C,1,0),0)*1</f>
        <v>0</v>
      </c>
      <c r="R744" s="67" t="str">
        <f>IFERROR(VLOOKUP(J744,線別!A:B,2,1),"")</f>
        <v>IA線</v>
      </c>
      <c r="S744" s="17" t="str">
        <f>IFERROR(VLOOKUP(A744,已除帳印單!B:C,2,0),"")</f>
        <v/>
      </c>
      <c r="T744" s="68">
        <f t="shared" si="72"/>
        <v>43892</v>
      </c>
      <c r="U744" s="69">
        <f t="shared" si="73"/>
        <v>84.168773148148148</v>
      </c>
      <c r="V744" s="68" t="str">
        <f>IFERROR(VLOOKUP(A744,已除帳印單!B:D,3,0),"")</f>
        <v/>
      </c>
      <c r="W744" s="69" t="str">
        <f>IFERROR(VLOOKUP(A744,已除帳印單!B:E,4,0),"")</f>
        <v/>
      </c>
      <c r="X744" s="68" t="str">
        <f>IFERROR(INDEX(刷條碼區!A:C,MATCH(點上線資訊!S744,刷條碼區!C:C,0),1),"")</f>
        <v/>
      </c>
      <c r="Y744" s="69" t="str">
        <f>IFERROR(INDEX(刷條碼區!A:C,MATCH(點上線資訊!S744,刷條碼區!C:C,0),2),"")</f>
        <v/>
      </c>
      <c r="Z744" s="70" t="str">
        <f>IFERROR(INDEX(刷條碼區!D:G,MATCH(點上線資訊!S744,刷條碼區!F:F,0),1),"")</f>
        <v/>
      </c>
      <c r="AA744" s="71" t="str">
        <f>IFERROR(INDEX(刷條碼區!D:G,MATCH(點上線資訊!S744,刷條碼區!F:F,0),2),"")</f>
        <v/>
      </c>
      <c r="AB744" s="20">
        <f t="shared" si="68"/>
        <v>10</v>
      </c>
      <c r="AC744" s="20" t="b">
        <f t="shared" si="69"/>
        <v>0</v>
      </c>
      <c r="AD744" s="17" t="b">
        <f t="shared" si="70"/>
        <v>0</v>
      </c>
      <c r="AE744" s="17" t="b">
        <f t="shared" si="71"/>
        <v>0</v>
      </c>
    </row>
    <row r="745" spans="1:31" x14ac:dyDescent="0.2">
      <c r="A745" s="16">
        <v>5000503361</v>
      </c>
      <c r="B745" t="s">
        <v>0</v>
      </c>
      <c r="C745" t="s">
        <v>0</v>
      </c>
      <c r="D745" t="s">
        <v>1</v>
      </c>
      <c r="E745" t="s">
        <v>1224</v>
      </c>
      <c r="F745" t="s">
        <v>1225</v>
      </c>
      <c r="G745" s="2">
        <v>3</v>
      </c>
      <c r="H745" t="s">
        <v>461</v>
      </c>
      <c r="I745" t="s">
        <v>3</v>
      </c>
      <c r="J745" t="s">
        <v>4</v>
      </c>
      <c r="K745" t="s">
        <v>605</v>
      </c>
      <c r="L745" t="s">
        <v>608</v>
      </c>
      <c r="M745" t="s">
        <v>807</v>
      </c>
      <c r="N745" t="s">
        <v>602</v>
      </c>
      <c r="O745" t="s">
        <v>603</v>
      </c>
      <c r="P745" t="s">
        <v>602</v>
      </c>
      <c r="Q745" s="17">
        <f>IFERROR(VLOOKUP(A745,已除帳印單!B:C,1,0),0)*1</f>
        <v>0</v>
      </c>
      <c r="R745" s="67" t="str">
        <f>IFERROR(VLOOKUP(J745,線別!A:B,2,1),"")</f>
        <v>IA線</v>
      </c>
      <c r="S745" s="17" t="str">
        <f>IFERROR(VLOOKUP(A745,已除帳印單!B:C,2,0),"")</f>
        <v/>
      </c>
      <c r="T745" s="68">
        <f t="shared" si="72"/>
        <v>43892</v>
      </c>
      <c r="U745" s="69">
        <f t="shared" si="73"/>
        <v>84.168773148148148</v>
      </c>
      <c r="V745" s="68" t="str">
        <f>IFERROR(VLOOKUP(A745,已除帳印單!B:D,3,0),"")</f>
        <v/>
      </c>
      <c r="W745" s="69" t="str">
        <f>IFERROR(VLOOKUP(A745,已除帳印單!B:E,4,0),"")</f>
        <v/>
      </c>
      <c r="X745" s="68" t="str">
        <f>IFERROR(INDEX(刷條碼區!A:C,MATCH(點上線資訊!S745,刷條碼區!C:C,0),1),"")</f>
        <v/>
      </c>
      <c r="Y745" s="69" t="str">
        <f>IFERROR(INDEX(刷條碼區!A:C,MATCH(點上線資訊!S745,刷條碼區!C:C,0),2),"")</f>
        <v/>
      </c>
      <c r="Z745" s="70" t="str">
        <f>IFERROR(INDEX(刷條碼區!D:G,MATCH(點上線資訊!S745,刷條碼區!F:F,0),1),"")</f>
        <v/>
      </c>
      <c r="AA745" s="71" t="str">
        <f>IFERROR(INDEX(刷條碼區!D:G,MATCH(點上線資訊!S745,刷條碼區!F:F,0),2),"")</f>
        <v/>
      </c>
      <c r="AB745" s="20" t="b">
        <f t="shared" si="68"/>
        <v>0</v>
      </c>
      <c r="AC745" s="20" t="b">
        <f t="shared" si="69"/>
        <v>0</v>
      </c>
      <c r="AD745" s="17" t="b">
        <f t="shared" si="70"/>
        <v>0</v>
      </c>
      <c r="AE745" s="17" t="b">
        <f t="shared" si="71"/>
        <v>0</v>
      </c>
    </row>
    <row r="746" spans="1:31" x14ac:dyDescent="0.2">
      <c r="A746" s="16">
        <v>5000503363</v>
      </c>
      <c r="B746" t="s">
        <v>0</v>
      </c>
      <c r="C746" t="s">
        <v>0</v>
      </c>
      <c r="D746" t="s">
        <v>1</v>
      </c>
      <c r="E746" t="s">
        <v>26</v>
      </c>
      <c r="F746" t="s">
        <v>27</v>
      </c>
      <c r="G746" s="2">
        <v>10</v>
      </c>
      <c r="H746" t="s">
        <v>461</v>
      </c>
      <c r="I746" t="s">
        <v>3</v>
      </c>
      <c r="J746" t="s">
        <v>4</v>
      </c>
      <c r="K746" t="s">
        <v>602</v>
      </c>
      <c r="L746" t="s">
        <v>603</v>
      </c>
      <c r="M746" t="s">
        <v>602</v>
      </c>
      <c r="N746" t="s">
        <v>602</v>
      </c>
      <c r="O746" t="s">
        <v>603</v>
      </c>
      <c r="P746" t="s">
        <v>602</v>
      </c>
      <c r="Q746" s="17">
        <f>IFERROR(VLOOKUP(A746,已除帳印單!B:C,1,0),0)*1</f>
        <v>0</v>
      </c>
      <c r="R746" s="67" t="str">
        <f>IFERROR(VLOOKUP(J746,線別!A:B,2,1),"")</f>
        <v>IA線</v>
      </c>
      <c r="S746" s="17" t="str">
        <f>IFERROR(VLOOKUP(A746,已除帳印單!B:C,2,0),"")</f>
        <v/>
      </c>
      <c r="T746" s="68">
        <f t="shared" si="72"/>
        <v>43892</v>
      </c>
      <c r="U746" s="69">
        <f t="shared" si="73"/>
        <v>84.168773148148148</v>
      </c>
      <c r="V746" s="68" t="str">
        <f>IFERROR(VLOOKUP(A746,已除帳印單!B:D,3,0),"")</f>
        <v/>
      </c>
      <c r="W746" s="69" t="str">
        <f>IFERROR(VLOOKUP(A746,已除帳印單!B:E,4,0),"")</f>
        <v/>
      </c>
      <c r="X746" s="68" t="str">
        <f>IFERROR(INDEX(刷條碼區!A:C,MATCH(點上線資訊!S746,刷條碼區!C:C,0),1),"")</f>
        <v/>
      </c>
      <c r="Y746" s="69" t="str">
        <f>IFERROR(INDEX(刷條碼區!A:C,MATCH(點上線資訊!S746,刷條碼區!C:C,0),2),"")</f>
        <v/>
      </c>
      <c r="Z746" s="70" t="str">
        <f>IFERROR(INDEX(刷條碼區!D:G,MATCH(點上線資訊!S746,刷條碼區!F:F,0),1),"")</f>
        <v/>
      </c>
      <c r="AA746" s="71" t="str">
        <f>IFERROR(INDEX(刷條碼區!D:G,MATCH(點上線資訊!S746,刷條碼區!F:F,0),2),"")</f>
        <v/>
      </c>
      <c r="AB746" s="20">
        <f t="shared" si="68"/>
        <v>10</v>
      </c>
      <c r="AC746" s="20" t="b">
        <f t="shared" si="69"/>
        <v>0</v>
      </c>
      <c r="AD746" s="17" t="b">
        <f t="shared" si="70"/>
        <v>0</v>
      </c>
      <c r="AE746" s="17" t="b">
        <f t="shared" si="71"/>
        <v>0</v>
      </c>
    </row>
    <row r="747" spans="1:31" x14ac:dyDescent="0.2">
      <c r="A747" s="16">
        <v>5000503364</v>
      </c>
      <c r="B747" t="s">
        <v>0</v>
      </c>
      <c r="C747" t="s">
        <v>0</v>
      </c>
      <c r="D747" t="s">
        <v>1</v>
      </c>
      <c r="E747" t="s">
        <v>25</v>
      </c>
      <c r="F747" t="s">
        <v>575</v>
      </c>
      <c r="G747" s="2">
        <v>9</v>
      </c>
      <c r="H747" t="s">
        <v>461</v>
      </c>
      <c r="I747" t="s">
        <v>3</v>
      </c>
      <c r="J747" t="s">
        <v>4</v>
      </c>
      <c r="K747" t="s">
        <v>602</v>
      </c>
      <c r="L747" t="s">
        <v>603</v>
      </c>
      <c r="M747" t="s">
        <v>602</v>
      </c>
      <c r="N747" t="s">
        <v>602</v>
      </c>
      <c r="O747" t="s">
        <v>603</v>
      </c>
      <c r="P747" t="s">
        <v>602</v>
      </c>
      <c r="Q747" s="17">
        <f>IFERROR(VLOOKUP(A747,已除帳印單!B:C,1,0),0)*1</f>
        <v>0</v>
      </c>
      <c r="R747" s="67" t="str">
        <f>IFERROR(VLOOKUP(J747,線別!A:B,2,1),"")</f>
        <v>IA線</v>
      </c>
      <c r="S747" s="17" t="str">
        <f>IFERROR(VLOOKUP(A747,已除帳印單!B:C,2,0),"")</f>
        <v/>
      </c>
      <c r="T747" s="68">
        <f t="shared" si="72"/>
        <v>43892</v>
      </c>
      <c r="U747" s="69">
        <f t="shared" si="73"/>
        <v>84.168773148148148</v>
      </c>
      <c r="V747" s="68" t="str">
        <f>IFERROR(VLOOKUP(A747,已除帳印單!B:D,3,0),"")</f>
        <v/>
      </c>
      <c r="W747" s="69" t="str">
        <f>IFERROR(VLOOKUP(A747,已除帳印單!B:E,4,0),"")</f>
        <v/>
      </c>
      <c r="X747" s="68" t="str">
        <f>IFERROR(INDEX(刷條碼區!A:C,MATCH(點上線資訊!S747,刷條碼區!C:C,0),1),"")</f>
        <v/>
      </c>
      <c r="Y747" s="69" t="str">
        <f>IFERROR(INDEX(刷條碼區!A:C,MATCH(點上線資訊!S747,刷條碼區!C:C,0),2),"")</f>
        <v/>
      </c>
      <c r="Z747" s="70" t="str">
        <f>IFERROR(INDEX(刷條碼區!D:G,MATCH(點上線資訊!S747,刷條碼區!F:F,0),1),"")</f>
        <v/>
      </c>
      <c r="AA747" s="71" t="str">
        <f>IFERROR(INDEX(刷條碼區!D:G,MATCH(點上線資訊!S747,刷條碼區!F:F,0),2),"")</f>
        <v/>
      </c>
      <c r="AB747" s="20">
        <f t="shared" si="68"/>
        <v>9</v>
      </c>
      <c r="AC747" s="20" t="b">
        <f t="shared" si="69"/>
        <v>0</v>
      </c>
      <c r="AD747" s="17" t="b">
        <f t="shared" si="70"/>
        <v>0</v>
      </c>
      <c r="AE747" s="17" t="b">
        <f t="shared" si="71"/>
        <v>0</v>
      </c>
    </row>
    <row r="748" spans="1:31" x14ac:dyDescent="0.2">
      <c r="A748" s="16">
        <v>5000503379</v>
      </c>
      <c r="B748" t="s">
        <v>0</v>
      </c>
      <c r="C748" t="s">
        <v>0</v>
      </c>
      <c r="D748" t="s">
        <v>1</v>
      </c>
      <c r="E748" t="s">
        <v>26</v>
      </c>
      <c r="F748" t="s">
        <v>27</v>
      </c>
      <c r="G748" s="2">
        <v>5</v>
      </c>
      <c r="H748" t="s">
        <v>461</v>
      </c>
      <c r="I748" t="s">
        <v>3</v>
      </c>
      <c r="J748" t="s">
        <v>4</v>
      </c>
      <c r="K748" t="s">
        <v>602</v>
      </c>
      <c r="L748" t="s">
        <v>603</v>
      </c>
      <c r="M748" t="s">
        <v>602</v>
      </c>
      <c r="N748" t="s">
        <v>602</v>
      </c>
      <c r="O748" t="s">
        <v>603</v>
      </c>
      <c r="P748" t="s">
        <v>602</v>
      </c>
      <c r="Q748" s="17">
        <f>IFERROR(VLOOKUP(A748,已除帳印單!B:C,1,0),0)*1</f>
        <v>0</v>
      </c>
      <c r="R748" s="67" t="str">
        <f>IFERROR(VLOOKUP(J748,線別!A:B,2,1),"")</f>
        <v>IA線</v>
      </c>
      <c r="S748" s="17" t="str">
        <f>IFERROR(VLOOKUP(A748,已除帳印單!B:C,2,0),"")</f>
        <v/>
      </c>
      <c r="T748" s="68">
        <f t="shared" si="72"/>
        <v>43892</v>
      </c>
      <c r="U748" s="69">
        <f t="shared" si="73"/>
        <v>84.168773148148148</v>
      </c>
      <c r="V748" s="68" t="str">
        <f>IFERROR(VLOOKUP(A748,已除帳印單!B:D,3,0),"")</f>
        <v/>
      </c>
      <c r="W748" s="69" t="str">
        <f>IFERROR(VLOOKUP(A748,已除帳印單!B:E,4,0),"")</f>
        <v/>
      </c>
      <c r="X748" s="68" t="str">
        <f>IFERROR(INDEX(刷條碼區!A:C,MATCH(點上線資訊!S748,刷條碼區!C:C,0),1),"")</f>
        <v/>
      </c>
      <c r="Y748" s="69" t="str">
        <f>IFERROR(INDEX(刷條碼區!A:C,MATCH(點上線資訊!S748,刷條碼區!C:C,0),2),"")</f>
        <v/>
      </c>
      <c r="Z748" s="70" t="str">
        <f>IFERROR(INDEX(刷條碼區!D:G,MATCH(點上線資訊!S748,刷條碼區!F:F,0),1),"")</f>
        <v/>
      </c>
      <c r="AA748" s="71" t="str">
        <f>IFERROR(INDEX(刷條碼區!D:G,MATCH(點上線資訊!S748,刷條碼區!F:F,0),2),"")</f>
        <v/>
      </c>
      <c r="AB748" s="20">
        <f t="shared" si="68"/>
        <v>5</v>
      </c>
      <c r="AC748" s="20" t="b">
        <f t="shared" si="69"/>
        <v>0</v>
      </c>
      <c r="AD748" s="17" t="b">
        <f t="shared" si="70"/>
        <v>0</v>
      </c>
      <c r="AE748" s="17" t="b">
        <f t="shared" si="71"/>
        <v>0</v>
      </c>
    </row>
    <row r="749" spans="1:31" x14ac:dyDescent="0.2">
      <c r="A749" s="16">
        <v>5000503380</v>
      </c>
      <c r="B749" t="s">
        <v>0</v>
      </c>
      <c r="C749" t="s">
        <v>0</v>
      </c>
      <c r="D749" t="s">
        <v>1</v>
      </c>
      <c r="E749" t="s">
        <v>29</v>
      </c>
      <c r="F749" t="s">
        <v>566</v>
      </c>
      <c r="G749" s="2">
        <v>4</v>
      </c>
      <c r="H749" t="s">
        <v>461</v>
      </c>
      <c r="I749" t="s">
        <v>3</v>
      </c>
      <c r="J749" t="s">
        <v>4</v>
      </c>
      <c r="K749" t="s">
        <v>602</v>
      </c>
      <c r="L749" t="s">
        <v>603</v>
      </c>
      <c r="M749" t="s">
        <v>602</v>
      </c>
      <c r="N749" t="s">
        <v>602</v>
      </c>
      <c r="O749" t="s">
        <v>603</v>
      </c>
      <c r="P749" t="s">
        <v>602</v>
      </c>
      <c r="Q749" s="17">
        <f>IFERROR(VLOOKUP(A749,已除帳印單!B:C,1,0),0)*1</f>
        <v>0</v>
      </c>
      <c r="R749" s="67" t="str">
        <f>IFERROR(VLOOKUP(J749,線別!A:B,2,1),"")</f>
        <v>IA線</v>
      </c>
      <c r="S749" s="17" t="str">
        <f>IFERROR(VLOOKUP(A749,已除帳印單!B:C,2,0),"")</f>
        <v/>
      </c>
      <c r="T749" s="68">
        <f t="shared" si="72"/>
        <v>43892</v>
      </c>
      <c r="U749" s="69">
        <f t="shared" si="73"/>
        <v>84.168773148148148</v>
      </c>
      <c r="V749" s="68" t="str">
        <f>IFERROR(VLOOKUP(A749,已除帳印單!B:D,3,0),"")</f>
        <v/>
      </c>
      <c r="W749" s="69" t="str">
        <f>IFERROR(VLOOKUP(A749,已除帳印單!B:E,4,0),"")</f>
        <v/>
      </c>
      <c r="X749" s="68" t="str">
        <f>IFERROR(INDEX(刷條碼區!A:C,MATCH(點上線資訊!S749,刷條碼區!C:C,0),1),"")</f>
        <v/>
      </c>
      <c r="Y749" s="69" t="str">
        <f>IFERROR(INDEX(刷條碼區!A:C,MATCH(點上線資訊!S749,刷條碼區!C:C,0),2),"")</f>
        <v/>
      </c>
      <c r="Z749" s="70" t="str">
        <f>IFERROR(INDEX(刷條碼區!D:G,MATCH(點上線資訊!S749,刷條碼區!F:F,0),1),"")</f>
        <v/>
      </c>
      <c r="AA749" s="71" t="str">
        <f>IFERROR(INDEX(刷條碼區!D:G,MATCH(點上線資訊!S749,刷條碼區!F:F,0),2),"")</f>
        <v/>
      </c>
      <c r="AB749" s="20">
        <f t="shared" si="68"/>
        <v>4</v>
      </c>
      <c r="AC749" s="20" t="b">
        <f t="shared" si="69"/>
        <v>0</v>
      </c>
      <c r="AD749" s="17" t="b">
        <f t="shared" si="70"/>
        <v>0</v>
      </c>
      <c r="AE749" s="17" t="b">
        <f t="shared" si="71"/>
        <v>0</v>
      </c>
    </row>
    <row r="750" spans="1:31" x14ac:dyDescent="0.2">
      <c r="A750" s="16">
        <v>5000503381</v>
      </c>
      <c r="B750" t="s">
        <v>0</v>
      </c>
      <c r="C750" t="s">
        <v>0</v>
      </c>
      <c r="D750" t="s">
        <v>1</v>
      </c>
      <c r="E750" t="s">
        <v>26</v>
      </c>
      <c r="F750" t="s">
        <v>27</v>
      </c>
      <c r="G750" s="2">
        <v>10</v>
      </c>
      <c r="H750" t="s">
        <v>461</v>
      </c>
      <c r="I750" t="s">
        <v>3</v>
      </c>
      <c r="J750" t="s">
        <v>4</v>
      </c>
      <c r="K750" t="s">
        <v>602</v>
      </c>
      <c r="L750" t="s">
        <v>603</v>
      </c>
      <c r="M750" t="s">
        <v>602</v>
      </c>
      <c r="N750" t="s">
        <v>602</v>
      </c>
      <c r="O750" t="s">
        <v>603</v>
      </c>
      <c r="P750" t="s">
        <v>602</v>
      </c>
      <c r="Q750" s="17">
        <f>IFERROR(VLOOKUP(A750,已除帳印單!B:C,1,0),0)*1</f>
        <v>0</v>
      </c>
      <c r="R750" s="67" t="str">
        <f>IFERROR(VLOOKUP(J750,線別!A:B,2,1),"")</f>
        <v>IA線</v>
      </c>
      <c r="S750" s="17" t="str">
        <f>IFERROR(VLOOKUP(A750,已除帳印單!B:C,2,0),"")</f>
        <v/>
      </c>
      <c r="T750" s="68">
        <f t="shared" si="72"/>
        <v>43892</v>
      </c>
      <c r="U750" s="69">
        <f t="shared" si="73"/>
        <v>84.168773148148148</v>
      </c>
      <c r="V750" s="68" t="str">
        <f>IFERROR(VLOOKUP(A750,已除帳印單!B:D,3,0),"")</f>
        <v/>
      </c>
      <c r="W750" s="69" t="str">
        <f>IFERROR(VLOOKUP(A750,已除帳印單!B:E,4,0),"")</f>
        <v/>
      </c>
      <c r="X750" s="68" t="str">
        <f>IFERROR(INDEX(刷條碼區!A:C,MATCH(點上線資訊!S750,刷條碼區!C:C,0),1),"")</f>
        <v/>
      </c>
      <c r="Y750" s="69" t="str">
        <f>IFERROR(INDEX(刷條碼區!A:C,MATCH(點上線資訊!S750,刷條碼區!C:C,0),2),"")</f>
        <v/>
      </c>
      <c r="Z750" s="70" t="str">
        <f>IFERROR(INDEX(刷條碼區!D:G,MATCH(點上線資訊!S750,刷條碼區!F:F,0),1),"")</f>
        <v/>
      </c>
      <c r="AA750" s="71" t="str">
        <f>IFERROR(INDEX(刷條碼區!D:G,MATCH(點上線資訊!S750,刷條碼區!F:F,0),2),"")</f>
        <v/>
      </c>
      <c r="AB750" s="20">
        <f t="shared" si="68"/>
        <v>10</v>
      </c>
      <c r="AC750" s="20" t="b">
        <f t="shared" si="69"/>
        <v>0</v>
      </c>
      <c r="AD750" s="17" t="b">
        <f t="shared" si="70"/>
        <v>0</v>
      </c>
      <c r="AE750" s="17" t="b">
        <f t="shared" si="71"/>
        <v>0</v>
      </c>
    </row>
    <row r="751" spans="1:31" x14ac:dyDescent="0.2">
      <c r="A751" s="16">
        <v>5000503382</v>
      </c>
      <c r="B751" t="s">
        <v>0</v>
      </c>
      <c r="C751" t="s">
        <v>0</v>
      </c>
      <c r="D751" t="s">
        <v>1</v>
      </c>
      <c r="E751" t="s">
        <v>29</v>
      </c>
      <c r="F751" t="s">
        <v>566</v>
      </c>
      <c r="G751" s="2">
        <v>10</v>
      </c>
      <c r="H751" t="s">
        <v>461</v>
      </c>
      <c r="I751" t="s">
        <v>3</v>
      </c>
      <c r="J751" t="s">
        <v>4</v>
      </c>
      <c r="K751" t="s">
        <v>602</v>
      </c>
      <c r="L751" t="s">
        <v>603</v>
      </c>
      <c r="M751" t="s">
        <v>602</v>
      </c>
      <c r="N751" t="s">
        <v>602</v>
      </c>
      <c r="O751" t="s">
        <v>603</v>
      </c>
      <c r="P751" t="s">
        <v>602</v>
      </c>
      <c r="Q751" s="17">
        <f>IFERROR(VLOOKUP(A751,已除帳印單!B:C,1,0),0)*1</f>
        <v>0</v>
      </c>
      <c r="R751" s="67" t="str">
        <f>IFERROR(VLOOKUP(J751,線別!A:B,2,1),"")</f>
        <v>IA線</v>
      </c>
      <c r="S751" s="17" t="str">
        <f>IFERROR(VLOOKUP(A751,已除帳印單!B:C,2,0),"")</f>
        <v/>
      </c>
      <c r="T751" s="68">
        <f t="shared" si="72"/>
        <v>43892</v>
      </c>
      <c r="U751" s="69">
        <f t="shared" si="73"/>
        <v>84.168773148148148</v>
      </c>
      <c r="V751" s="68" t="str">
        <f>IFERROR(VLOOKUP(A751,已除帳印單!B:D,3,0),"")</f>
        <v/>
      </c>
      <c r="W751" s="69" t="str">
        <f>IFERROR(VLOOKUP(A751,已除帳印單!B:E,4,0),"")</f>
        <v/>
      </c>
      <c r="X751" s="68" t="str">
        <f>IFERROR(INDEX(刷條碼區!A:C,MATCH(點上線資訊!S751,刷條碼區!C:C,0),1),"")</f>
        <v/>
      </c>
      <c r="Y751" s="69" t="str">
        <f>IFERROR(INDEX(刷條碼區!A:C,MATCH(點上線資訊!S751,刷條碼區!C:C,0),2),"")</f>
        <v/>
      </c>
      <c r="Z751" s="70" t="str">
        <f>IFERROR(INDEX(刷條碼區!D:G,MATCH(點上線資訊!S751,刷條碼區!F:F,0),1),"")</f>
        <v/>
      </c>
      <c r="AA751" s="71" t="str">
        <f>IFERROR(INDEX(刷條碼區!D:G,MATCH(點上線資訊!S751,刷條碼區!F:F,0),2),"")</f>
        <v/>
      </c>
      <c r="AB751" s="20">
        <f t="shared" si="68"/>
        <v>10</v>
      </c>
      <c r="AC751" s="20" t="b">
        <f t="shared" si="69"/>
        <v>0</v>
      </c>
      <c r="AD751" s="17" t="b">
        <f t="shared" si="70"/>
        <v>0</v>
      </c>
      <c r="AE751" s="17" t="b">
        <f t="shared" si="71"/>
        <v>0</v>
      </c>
    </row>
    <row r="752" spans="1:31" x14ac:dyDescent="0.2">
      <c r="A752" s="16">
        <v>5000503383</v>
      </c>
      <c r="B752" t="s">
        <v>0</v>
      </c>
      <c r="C752" t="s">
        <v>0</v>
      </c>
      <c r="D752" t="s">
        <v>1</v>
      </c>
      <c r="E752" t="s">
        <v>29</v>
      </c>
      <c r="F752" t="s">
        <v>566</v>
      </c>
      <c r="G752" s="2">
        <v>5</v>
      </c>
      <c r="H752" t="s">
        <v>461</v>
      </c>
      <c r="I752" t="s">
        <v>3</v>
      </c>
      <c r="J752" t="s">
        <v>4</v>
      </c>
      <c r="K752" t="s">
        <v>602</v>
      </c>
      <c r="L752" t="s">
        <v>603</v>
      </c>
      <c r="M752" t="s">
        <v>602</v>
      </c>
      <c r="N752" t="s">
        <v>602</v>
      </c>
      <c r="O752" t="s">
        <v>603</v>
      </c>
      <c r="P752" t="s">
        <v>602</v>
      </c>
      <c r="Q752" s="17">
        <f>IFERROR(VLOOKUP(A752,已除帳印單!B:C,1,0),0)*1</f>
        <v>0</v>
      </c>
      <c r="R752" s="67" t="str">
        <f>IFERROR(VLOOKUP(J752,線別!A:B,2,1),"")</f>
        <v>IA線</v>
      </c>
      <c r="S752" s="17" t="str">
        <f>IFERROR(VLOOKUP(A752,已除帳印單!B:C,2,0),"")</f>
        <v/>
      </c>
      <c r="T752" s="68">
        <f t="shared" si="72"/>
        <v>43892</v>
      </c>
      <c r="U752" s="69">
        <f t="shared" si="73"/>
        <v>84.168773148148148</v>
      </c>
      <c r="V752" s="68" t="str">
        <f>IFERROR(VLOOKUP(A752,已除帳印單!B:D,3,0),"")</f>
        <v/>
      </c>
      <c r="W752" s="69" t="str">
        <f>IFERROR(VLOOKUP(A752,已除帳印單!B:E,4,0),"")</f>
        <v/>
      </c>
      <c r="X752" s="68" t="str">
        <f>IFERROR(INDEX(刷條碼區!A:C,MATCH(點上線資訊!S752,刷條碼區!C:C,0),1),"")</f>
        <v/>
      </c>
      <c r="Y752" s="69" t="str">
        <f>IFERROR(INDEX(刷條碼區!A:C,MATCH(點上線資訊!S752,刷條碼區!C:C,0),2),"")</f>
        <v/>
      </c>
      <c r="Z752" s="70" t="str">
        <f>IFERROR(INDEX(刷條碼區!D:G,MATCH(點上線資訊!S752,刷條碼區!F:F,0),1),"")</f>
        <v/>
      </c>
      <c r="AA752" s="71" t="str">
        <f>IFERROR(INDEX(刷條碼區!D:G,MATCH(點上線資訊!S752,刷條碼區!F:F,0),2),"")</f>
        <v/>
      </c>
      <c r="AB752" s="20">
        <f t="shared" si="68"/>
        <v>5</v>
      </c>
      <c r="AC752" s="20" t="b">
        <f t="shared" si="69"/>
        <v>0</v>
      </c>
      <c r="AD752" s="17" t="b">
        <f t="shared" si="70"/>
        <v>0</v>
      </c>
      <c r="AE752" s="17" t="b">
        <f t="shared" si="71"/>
        <v>0</v>
      </c>
    </row>
    <row r="753" spans="1:31" x14ac:dyDescent="0.2">
      <c r="A753" s="16">
        <v>5000503384</v>
      </c>
      <c r="B753" t="s">
        <v>0</v>
      </c>
      <c r="C753" t="s">
        <v>0</v>
      </c>
      <c r="D753" t="s">
        <v>1</v>
      </c>
      <c r="E753" t="s">
        <v>29</v>
      </c>
      <c r="F753" t="s">
        <v>566</v>
      </c>
      <c r="G753" s="2">
        <v>10</v>
      </c>
      <c r="H753" t="s">
        <v>461</v>
      </c>
      <c r="I753" t="s">
        <v>3</v>
      </c>
      <c r="J753" t="s">
        <v>4</v>
      </c>
      <c r="K753" t="s">
        <v>602</v>
      </c>
      <c r="L753" t="s">
        <v>603</v>
      </c>
      <c r="M753" t="s">
        <v>602</v>
      </c>
      <c r="N753" t="s">
        <v>602</v>
      </c>
      <c r="O753" t="s">
        <v>603</v>
      </c>
      <c r="P753" t="s">
        <v>602</v>
      </c>
      <c r="Q753" s="17">
        <f>IFERROR(VLOOKUP(A753,已除帳印單!B:C,1,0),0)*1</f>
        <v>0</v>
      </c>
      <c r="R753" s="67" t="str">
        <f>IFERROR(VLOOKUP(J753,線別!A:B,2,1),"")</f>
        <v>IA線</v>
      </c>
      <c r="S753" s="17" t="str">
        <f>IFERROR(VLOOKUP(A753,已除帳印單!B:C,2,0),"")</f>
        <v/>
      </c>
      <c r="T753" s="68">
        <f t="shared" si="72"/>
        <v>43892</v>
      </c>
      <c r="U753" s="69">
        <f t="shared" si="73"/>
        <v>84.168773148148148</v>
      </c>
      <c r="V753" s="68" t="str">
        <f>IFERROR(VLOOKUP(A753,已除帳印單!B:D,3,0),"")</f>
        <v/>
      </c>
      <c r="W753" s="69" t="str">
        <f>IFERROR(VLOOKUP(A753,已除帳印單!B:E,4,0),"")</f>
        <v/>
      </c>
      <c r="X753" s="68" t="str">
        <f>IFERROR(INDEX(刷條碼區!A:C,MATCH(點上線資訊!S753,刷條碼區!C:C,0),1),"")</f>
        <v/>
      </c>
      <c r="Y753" s="69" t="str">
        <f>IFERROR(INDEX(刷條碼區!A:C,MATCH(點上線資訊!S753,刷條碼區!C:C,0),2),"")</f>
        <v/>
      </c>
      <c r="Z753" s="70" t="str">
        <f>IFERROR(INDEX(刷條碼區!D:G,MATCH(點上線資訊!S753,刷條碼區!F:F,0),1),"")</f>
        <v/>
      </c>
      <c r="AA753" s="71" t="str">
        <f>IFERROR(INDEX(刷條碼區!D:G,MATCH(點上線資訊!S753,刷條碼區!F:F,0),2),"")</f>
        <v/>
      </c>
      <c r="AB753" s="20">
        <f t="shared" si="68"/>
        <v>10</v>
      </c>
      <c r="AC753" s="20" t="b">
        <f t="shared" si="69"/>
        <v>0</v>
      </c>
      <c r="AD753" s="17" t="b">
        <f t="shared" si="70"/>
        <v>0</v>
      </c>
      <c r="AE753" s="17" t="b">
        <f t="shared" si="71"/>
        <v>0</v>
      </c>
    </row>
    <row r="754" spans="1:31" x14ac:dyDescent="0.2">
      <c r="A754" s="16">
        <v>5000503385</v>
      </c>
      <c r="B754" t="s">
        <v>0</v>
      </c>
      <c r="C754" t="s">
        <v>0</v>
      </c>
      <c r="D754" t="s">
        <v>1</v>
      </c>
      <c r="E754" t="s">
        <v>29</v>
      </c>
      <c r="F754" t="s">
        <v>566</v>
      </c>
      <c r="G754" s="2">
        <v>7</v>
      </c>
      <c r="H754" t="s">
        <v>461</v>
      </c>
      <c r="I754" t="s">
        <v>3</v>
      </c>
      <c r="J754" t="s">
        <v>4</v>
      </c>
      <c r="K754" t="s">
        <v>602</v>
      </c>
      <c r="L754" t="s">
        <v>603</v>
      </c>
      <c r="M754" t="s">
        <v>602</v>
      </c>
      <c r="N754" t="s">
        <v>602</v>
      </c>
      <c r="O754" t="s">
        <v>603</v>
      </c>
      <c r="P754" t="s">
        <v>602</v>
      </c>
      <c r="Q754" s="17">
        <f>IFERROR(VLOOKUP(A754,已除帳印單!B:C,1,0),0)*1</f>
        <v>0</v>
      </c>
      <c r="R754" s="67" t="str">
        <f>IFERROR(VLOOKUP(J754,線別!A:B,2,1),"")</f>
        <v>IA線</v>
      </c>
      <c r="S754" s="17" t="str">
        <f>IFERROR(VLOOKUP(A754,已除帳印單!B:C,2,0),"")</f>
        <v/>
      </c>
      <c r="T754" s="68">
        <f t="shared" si="72"/>
        <v>43892</v>
      </c>
      <c r="U754" s="69">
        <f t="shared" si="73"/>
        <v>84.168773148148148</v>
      </c>
      <c r="V754" s="68" t="str">
        <f>IFERROR(VLOOKUP(A754,已除帳印單!B:D,3,0),"")</f>
        <v/>
      </c>
      <c r="W754" s="69" t="str">
        <f>IFERROR(VLOOKUP(A754,已除帳印單!B:E,4,0),"")</f>
        <v/>
      </c>
      <c r="X754" s="68" t="str">
        <f>IFERROR(INDEX(刷條碼區!A:C,MATCH(點上線資訊!S754,刷條碼區!C:C,0),1),"")</f>
        <v/>
      </c>
      <c r="Y754" s="69" t="str">
        <f>IFERROR(INDEX(刷條碼區!A:C,MATCH(點上線資訊!S754,刷條碼區!C:C,0),2),"")</f>
        <v/>
      </c>
      <c r="Z754" s="70" t="str">
        <f>IFERROR(INDEX(刷條碼區!D:G,MATCH(點上線資訊!S754,刷條碼區!F:F,0),1),"")</f>
        <v/>
      </c>
      <c r="AA754" s="71" t="str">
        <f>IFERROR(INDEX(刷條碼區!D:G,MATCH(點上線資訊!S754,刷條碼區!F:F,0),2),"")</f>
        <v/>
      </c>
      <c r="AB754" s="20">
        <f t="shared" si="68"/>
        <v>7</v>
      </c>
      <c r="AC754" s="20" t="b">
        <f t="shared" si="69"/>
        <v>0</v>
      </c>
      <c r="AD754" s="17" t="b">
        <f t="shared" si="70"/>
        <v>0</v>
      </c>
      <c r="AE754" s="17" t="b">
        <f t="shared" si="71"/>
        <v>0</v>
      </c>
    </row>
    <row r="755" spans="1:31" x14ac:dyDescent="0.2">
      <c r="A755" s="16">
        <v>5000503394</v>
      </c>
      <c r="B755" t="s">
        <v>0</v>
      </c>
      <c r="C755" t="s">
        <v>0</v>
      </c>
      <c r="D755" t="s">
        <v>1</v>
      </c>
      <c r="E755" t="s">
        <v>112</v>
      </c>
      <c r="F755" t="s">
        <v>1226</v>
      </c>
      <c r="G755" s="2">
        <v>5</v>
      </c>
      <c r="H755" t="s">
        <v>461</v>
      </c>
      <c r="I755" t="s">
        <v>3</v>
      </c>
      <c r="J755" t="s">
        <v>4</v>
      </c>
      <c r="K755" t="s">
        <v>605</v>
      </c>
      <c r="L755" t="s">
        <v>608</v>
      </c>
      <c r="M755" t="s">
        <v>453</v>
      </c>
      <c r="N755" t="s">
        <v>602</v>
      </c>
      <c r="O755" t="s">
        <v>603</v>
      </c>
      <c r="P755" t="s">
        <v>602</v>
      </c>
      <c r="Q755" s="17">
        <f>IFERROR(VLOOKUP(A755,已除帳印單!B:C,1,0),0)*1</f>
        <v>0</v>
      </c>
      <c r="R755" s="67" t="str">
        <f>IFERROR(VLOOKUP(J755,線別!A:B,2,1),"")</f>
        <v>IA線</v>
      </c>
      <c r="S755" s="17" t="str">
        <f>IFERROR(VLOOKUP(A755,已除帳印單!B:C,2,0),"")</f>
        <v/>
      </c>
      <c r="T755" s="68">
        <f t="shared" si="72"/>
        <v>43892</v>
      </c>
      <c r="U755" s="69">
        <f t="shared" si="73"/>
        <v>84.168773148148148</v>
      </c>
      <c r="V755" s="68" t="str">
        <f>IFERROR(VLOOKUP(A755,已除帳印單!B:D,3,0),"")</f>
        <v/>
      </c>
      <c r="W755" s="69" t="str">
        <f>IFERROR(VLOOKUP(A755,已除帳印單!B:E,4,0),"")</f>
        <v/>
      </c>
      <c r="X755" s="68" t="str">
        <f>IFERROR(INDEX(刷條碼區!A:C,MATCH(點上線資訊!S755,刷條碼區!C:C,0),1),"")</f>
        <v/>
      </c>
      <c r="Y755" s="69" t="str">
        <f>IFERROR(INDEX(刷條碼區!A:C,MATCH(點上線資訊!S755,刷條碼區!C:C,0),2),"")</f>
        <v/>
      </c>
      <c r="Z755" s="70" t="str">
        <f>IFERROR(INDEX(刷條碼區!D:G,MATCH(點上線資訊!S755,刷條碼區!F:F,0),1),"")</f>
        <v/>
      </c>
      <c r="AA755" s="71" t="str">
        <f>IFERROR(INDEX(刷條碼區!D:G,MATCH(點上線資訊!S755,刷條碼區!F:F,0),2),"")</f>
        <v/>
      </c>
      <c r="AB755" s="20" t="b">
        <f t="shared" si="68"/>
        <v>0</v>
      </c>
      <c r="AC755" s="20" t="b">
        <f t="shared" si="69"/>
        <v>0</v>
      </c>
      <c r="AD755" s="17" t="b">
        <f t="shared" si="70"/>
        <v>0</v>
      </c>
      <c r="AE755" s="17" t="b">
        <f t="shared" si="71"/>
        <v>0</v>
      </c>
    </row>
    <row r="756" spans="1:31" x14ac:dyDescent="0.2">
      <c r="A756" s="16">
        <v>5000503401</v>
      </c>
      <c r="B756" t="s">
        <v>301</v>
      </c>
      <c r="C756" t="s">
        <v>301</v>
      </c>
      <c r="D756" t="s">
        <v>1</v>
      </c>
      <c r="E756" t="s">
        <v>576</v>
      </c>
      <c r="F756" t="s">
        <v>577</v>
      </c>
      <c r="G756" s="2">
        <v>1</v>
      </c>
      <c r="H756" t="s">
        <v>461</v>
      </c>
      <c r="I756" t="s">
        <v>3</v>
      </c>
      <c r="J756" t="s">
        <v>8</v>
      </c>
      <c r="K756" t="s">
        <v>602</v>
      </c>
      <c r="L756" t="s">
        <v>603</v>
      </c>
      <c r="M756" t="s">
        <v>602</v>
      </c>
      <c r="N756" t="s">
        <v>602</v>
      </c>
      <c r="O756" t="s">
        <v>603</v>
      </c>
      <c r="P756" t="s">
        <v>602</v>
      </c>
      <c r="Q756" s="17">
        <f>IFERROR(VLOOKUP(A756,已除帳印單!B:C,1,0),0)*1</f>
        <v>0</v>
      </c>
      <c r="R756" s="67" t="str">
        <f>IFERROR(VLOOKUP(J756,線別!A:B,2,1),"")</f>
        <v>裝一線</v>
      </c>
      <c r="S756" s="17" t="str">
        <f>IFERROR(VLOOKUP(A756,已除帳印單!B:C,2,0),"")</f>
        <v/>
      </c>
      <c r="T756" s="68">
        <f t="shared" si="72"/>
        <v>43894</v>
      </c>
      <c r="U756" s="69">
        <f t="shared" si="73"/>
        <v>84.168796296296293</v>
      </c>
      <c r="V756" s="68" t="str">
        <f>IFERROR(VLOOKUP(A756,已除帳印單!B:D,3,0),"")</f>
        <v/>
      </c>
      <c r="W756" s="69" t="str">
        <f>IFERROR(VLOOKUP(A756,已除帳印單!B:E,4,0),"")</f>
        <v/>
      </c>
      <c r="X756" s="68" t="str">
        <f>IFERROR(INDEX(刷條碼區!A:C,MATCH(點上線資訊!S756,刷條碼區!C:C,0),1),"")</f>
        <v/>
      </c>
      <c r="Y756" s="69" t="str">
        <f>IFERROR(INDEX(刷條碼區!A:C,MATCH(點上線資訊!S756,刷條碼區!C:C,0),2),"")</f>
        <v/>
      </c>
      <c r="Z756" s="70" t="str">
        <f>IFERROR(INDEX(刷條碼區!D:G,MATCH(點上線資訊!S756,刷條碼區!F:F,0),1),"")</f>
        <v/>
      </c>
      <c r="AA756" s="71" t="str">
        <f>IFERROR(INDEX(刷條碼區!D:G,MATCH(點上線資訊!S756,刷條碼區!F:F,0),2),"")</f>
        <v/>
      </c>
      <c r="AB756" s="20">
        <f t="shared" si="68"/>
        <v>1</v>
      </c>
      <c r="AC756" s="20" t="b">
        <f t="shared" si="69"/>
        <v>0</v>
      </c>
      <c r="AD756" s="17" t="b">
        <f t="shared" si="70"/>
        <v>0</v>
      </c>
      <c r="AE756" s="17" t="b">
        <f t="shared" si="71"/>
        <v>0</v>
      </c>
    </row>
    <row r="757" spans="1:31" x14ac:dyDescent="0.2">
      <c r="A757" s="16">
        <v>5000503403</v>
      </c>
      <c r="B757" t="s">
        <v>301</v>
      </c>
      <c r="C757" t="s">
        <v>301</v>
      </c>
      <c r="D757" t="s">
        <v>1</v>
      </c>
      <c r="E757" t="s">
        <v>578</v>
      </c>
      <c r="F757" t="s">
        <v>579</v>
      </c>
      <c r="G757" s="2">
        <v>10</v>
      </c>
      <c r="H757" t="s">
        <v>461</v>
      </c>
      <c r="I757" t="s">
        <v>3</v>
      </c>
      <c r="J757" t="s">
        <v>8</v>
      </c>
      <c r="K757" t="s">
        <v>602</v>
      </c>
      <c r="L757" t="s">
        <v>603</v>
      </c>
      <c r="M757" t="s">
        <v>602</v>
      </c>
      <c r="N757" t="s">
        <v>602</v>
      </c>
      <c r="O757" t="s">
        <v>603</v>
      </c>
      <c r="P757" t="s">
        <v>602</v>
      </c>
      <c r="Q757" s="17">
        <f>IFERROR(VLOOKUP(A757,已除帳印單!B:C,1,0),0)*1</f>
        <v>0</v>
      </c>
      <c r="R757" s="67" t="str">
        <f>IFERROR(VLOOKUP(J757,線別!A:B,2,1),"")</f>
        <v>裝一線</v>
      </c>
      <c r="S757" s="17" t="str">
        <f>IFERROR(VLOOKUP(A757,已除帳印單!B:C,2,0),"")</f>
        <v/>
      </c>
      <c r="T757" s="68">
        <f t="shared" si="72"/>
        <v>43894</v>
      </c>
      <c r="U757" s="69">
        <f t="shared" si="73"/>
        <v>84.168796296296293</v>
      </c>
      <c r="V757" s="68" t="str">
        <f>IFERROR(VLOOKUP(A757,已除帳印單!B:D,3,0),"")</f>
        <v/>
      </c>
      <c r="W757" s="69" t="str">
        <f>IFERROR(VLOOKUP(A757,已除帳印單!B:E,4,0),"")</f>
        <v/>
      </c>
      <c r="X757" s="68" t="str">
        <f>IFERROR(INDEX(刷條碼區!A:C,MATCH(點上線資訊!S757,刷條碼區!C:C,0),1),"")</f>
        <v/>
      </c>
      <c r="Y757" s="69" t="str">
        <f>IFERROR(INDEX(刷條碼區!A:C,MATCH(點上線資訊!S757,刷條碼區!C:C,0),2),"")</f>
        <v/>
      </c>
      <c r="Z757" s="70" t="str">
        <f>IFERROR(INDEX(刷條碼區!D:G,MATCH(點上線資訊!S757,刷條碼區!F:F,0),1),"")</f>
        <v/>
      </c>
      <c r="AA757" s="71" t="str">
        <f>IFERROR(INDEX(刷條碼區!D:G,MATCH(點上線資訊!S757,刷條碼區!F:F,0),2),"")</f>
        <v/>
      </c>
      <c r="AB757" s="20">
        <f t="shared" si="68"/>
        <v>10</v>
      </c>
      <c r="AC757" s="20" t="b">
        <f t="shared" si="69"/>
        <v>0</v>
      </c>
      <c r="AD757" s="17" t="b">
        <f t="shared" si="70"/>
        <v>0</v>
      </c>
      <c r="AE757" s="17" t="b">
        <f t="shared" si="71"/>
        <v>0</v>
      </c>
    </row>
    <row r="758" spans="1:31" x14ac:dyDescent="0.2">
      <c r="A758" s="16">
        <v>5000503404</v>
      </c>
      <c r="B758" t="s">
        <v>301</v>
      </c>
      <c r="C758" t="s">
        <v>301</v>
      </c>
      <c r="D758" t="s">
        <v>1</v>
      </c>
      <c r="E758" t="s">
        <v>580</v>
      </c>
      <c r="F758" t="s">
        <v>581</v>
      </c>
      <c r="G758" s="2">
        <v>10</v>
      </c>
      <c r="H758" t="s">
        <v>461</v>
      </c>
      <c r="I758" t="s">
        <v>3</v>
      </c>
      <c r="J758" t="s">
        <v>8</v>
      </c>
      <c r="K758" t="s">
        <v>602</v>
      </c>
      <c r="L758" t="s">
        <v>603</v>
      </c>
      <c r="M758" t="s">
        <v>602</v>
      </c>
      <c r="N758" t="s">
        <v>602</v>
      </c>
      <c r="O758" t="s">
        <v>603</v>
      </c>
      <c r="P758" t="s">
        <v>602</v>
      </c>
      <c r="Q758" s="17">
        <f>IFERROR(VLOOKUP(A758,已除帳印單!B:C,1,0),0)*1</f>
        <v>0</v>
      </c>
      <c r="R758" s="67" t="str">
        <f>IFERROR(VLOOKUP(J758,線別!A:B,2,1),"")</f>
        <v>裝一線</v>
      </c>
      <c r="S758" s="17" t="str">
        <f>IFERROR(VLOOKUP(A758,已除帳印單!B:C,2,0),"")</f>
        <v/>
      </c>
      <c r="T758" s="68">
        <f t="shared" si="72"/>
        <v>43894</v>
      </c>
      <c r="U758" s="69">
        <f t="shared" si="73"/>
        <v>84.168796296296293</v>
      </c>
      <c r="V758" s="68" t="str">
        <f>IFERROR(VLOOKUP(A758,已除帳印單!B:D,3,0),"")</f>
        <v/>
      </c>
      <c r="W758" s="69" t="str">
        <f>IFERROR(VLOOKUP(A758,已除帳印單!B:E,4,0),"")</f>
        <v/>
      </c>
      <c r="X758" s="68" t="str">
        <f>IFERROR(INDEX(刷條碼區!A:C,MATCH(點上線資訊!S758,刷條碼區!C:C,0),1),"")</f>
        <v/>
      </c>
      <c r="Y758" s="69" t="str">
        <f>IFERROR(INDEX(刷條碼區!A:C,MATCH(點上線資訊!S758,刷條碼區!C:C,0),2),"")</f>
        <v/>
      </c>
      <c r="Z758" s="70" t="str">
        <f>IFERROR(INDEX(刷條碼區!D:G,MATCH(點上線資訊!S758,刷條碼區!F:F,0),1),"")</f>
        <v/>
      </c>
      <c r="AA758" s="71" t="str">
        <f>IFERROR(INDEX(刷條碼區!D:G,MATCH(點上線資訊!S758,刷條碼區!F:F,0),2),"")</f>
        <v/>
      </c>
      <c r="AB758" s="20">
        <f t="shared" si="68"/>
        <v>10</v>
      </c>
      <c r="AC758" s="20" t="b">
        <f t="shared" si="69"/>
        <v>0</v>
      </c>
      <c r="AD758" s="17" t="b">
        <f t="shared" si="70"/>
        <v>0</v>
      </c>
      <c r="AE758" s="17" t="b">
        <f t="shared" si="71"/>
        <v>0</v>
      </c>
    </row>
    <row r="759" spans="1:31" x14ac:dyDescent="0.2">
      <c r="A759" s="16">
        <v>5000503405</v>
      </c>
      <c r="B759" t="s">
        <v>301</v>
      </c>
      <c r="C759" t="s">
        <v>301</v>
      </c>
      <c r="D759" t="s">
        <v>1</v>
      </c>
      <c r="E759" t="s">
        <v>582</v>
      </c>
      <c r="F759" t="s">
        <v>583</v>
      </c>
      <c r="G759" s="2">
        <v>10</v>
      </c>
      <c r="H759" t="s">
        <v>461</v>
      </c>
      <c r="I759" t="s">
        <v>3</v>
      </c>
      <c r="J759" t="s">
        <v>8</v>
      </c>
      <c r="K759" t="s">
        <v>602</v>
      </c>
      <c r="L759" t="s">
        <v>603</v>
      </c>
      <c r="M759" t="s">
        <v>602</v>
      </c>
      <c r="N759" t="s">
        <v>602</v>
      </c>
      <c r="O759" t="s">
        <v>603</v>
      </c>
      <c r="P759" t="s">
        <v>602</v>
      </c>
      <c r="Q759" s="17">
        <f>IFERROR(VLOOKUP(A759,已除帳印單!B:C,1,0),0)*1</f>
        <v>0</v>
      </c>
      <c r="R759" s="67" t="str">
        <f>IFERROR(VLOOKUP(J759,線別!A:B,2,1),"")</f>
        <v>裝一線</v>
      </c>
      <c r="S759" s="17" t="str">
        <f>IFERROR(VLOOKUP(A759,已除帳印單!B:C,2,0),"")</f>
        <v/>
      </c>
      <c r="T759" s="68">
        <f t="shared" si="72"/>
        <v>43894</v>
      </c>
      <c r="U759" s="69">
        <f t="shared" si="73"/>
        <v>84.168796296296293</v>
      </c>
      <c r="V759" s="68" t="str">
        <f>IFERROR(VLOOKUP(A759,已除帳印單!B:D,3,0),"")</f>
        <v/>
      </c>
      <c r="W759" s="69" t="str">
        <f>IFERROR(VLOOKUP(A759,已除帳印單!B:E,4,0),"")</f>
        <v/>
      </c>
      <c r="X759" s="68" t="str">
        <f>IFERROR(INDEX(刷條碼區!A:C,MATCH(點上線資訊!S759,刷條碼區!C:C,0),1),"")</f>
        <v/>
      </c>
      <c r="Y759" s="69" t="str">
        <f>IFERROR(INDEX(刷條碼區!A:C,MATCH(點上線資訊!S759,刷條碼區!C:C,0),2),"")</f>
        <v/>
      </c>
      <c r="Z759" s="70" t="str">
        <f>IFERROR(INDEX(刷條碼區!D:G,MATCH(點上線資訊!S759,刷條碼區!F:F,0),1),"")</f>
        <v/>
      </c>
      <c r="AA759" s="71" t="str">
        <f>IFERROR(INDEX(刷條碼區!D:G,MATCH(點上線資訊!S759,刷條碼區!F:F,0),2),"")</f>
        <v/>
      </c>
      <c r="AB759" s="20">
        <f t="shared" si="68"/>
        <v>10</v>
      </c>
      <c r="AC759" s="20" t="b">
        <f t="shared" si="69"/>
        <v>0</v>
      </c>
      <c r="AD759" s="17" t="b">
        <f t="shared" si="70"/>
        <v>0</v>
      </c>
      <c r="AE759" s="17" t="b">
        <f t="shared" si="71"/>
        <v>0</v>
      </c>
    </row>
    <row r="760" spans="1:31" x14ac:dyDescent="0.2">
      <c r="A760" s="16">
        <v>5000503407</v>
      </c>
      <c r="B760" t="s">
        <v>301</v>
      </c>
      <c r="C760" t="s">
        <v>301</v>
      </c>
      <c r="D760" t="s">
        <v>1</v>
      </c>
      <c r="E760" t="s">
        <v>584</v>
      </c>
      <c r="F760" t="s">
        <v>585</v>
      </c>
      <c r="G760" s="2">
        <v>5</v>
      </c>
      <c r="H760" t="s">
        <v>461</v>
      </c>
      <c r="I760" t="s">
        <v>3</v>
      </c>
      <c r="J760" t="s">
        <v>8</v>
      </c>
      <c r="K760" t="s">
        <v>602</v>
      </c>
      <c r="L760" t="s">
        <v>603</v>
      </c>
      <c r="M760" t="s">
        <v>602</v>
      </c>
      <c r="N760" t="s">
        <v>602</v>
      </c>
      <c r="O760" t="s">
        <v>603</v>
      </c>
      <c r="P760" t="s">
        <v>602</v>
      </c>
      <c r="Q760" s="17">
        <f>IFERROR(VLOOKUP(A760,已除帳印單!B:C,1,0),0)*1</f>
        <v>0</v>
      </c>
      <c r="R760" s="67" t="str">
        <f>IFERROR(VLOOKUP(J760,線別!A:B,2,1),"")</f>
        <v>裝一線</v>
      </c>
      <c r="S760" s="17" t="str">
        <f>IFERROR(VLOOKUP(A760,已除帳印單!B:C,2,0),"")</f>
        <v/>
      </c>
      <c r="T760" s="68">
        <f t="shared" si="72"/>
        <v>43894</v>
      </c>
      <c r="U760" s="69">
        <f t="shared" si="73"/>
        <v>84.168796296296293</v>
      </c>
      <c r="V760" s="68" t="str">
        <f>IFERROR(VLOOKUP(A760,已除帳印單!B:D,3,0),"")</f>
        <v/>
      </c>
      <c r="W760" s="69" t="str">
        <f>IFERROR(VLOOKUP(A760,已除帳印單!B:E,4,0),"")</f>
        <v/>
      </c>
      <c r="X760" s="68" t="str">
        <f>IFERROR(INDEX(刷條碼區!A:C,MATCH(點上線資訊!S760,刷條碼區!C:C,0),1),"")</f>
        <v/>
      </c>
      <c r="Y760" s="69" t="str">
        <f>IFERROR(INDEX(刷條碼區!A:C,MATCH(點上線資訊!S760,刷條碼區!C:C,0),2),"")</f>
        <v/>
      </c>
      <c r="Z760" s="70" t="str">
        <f>IFERROR(INDEX(刷條碼區!D:G,MATCH(點上線資訊!S760,刷條碼區!F:F,0),1),"")</f>
        <v/>
      </c>
      <c r="AA760" s="71" t="str">
        <f>IFERROR(INDEX(刷條碼區!D:G,MATCH(點上線資訊!S760,刷條碼區!F:F,0),2),"")</f>
        <v/>
      </c>
      <c r="AB760" s="20">
        <f t="shared" si="68"/>
        <v>5</v>
      </c>
      <c r="AC760" s="20" t="b">
        <f t="shared" si="69"/>
        <v>0</v>
      </c>
      <c r="AD760" s="17" t="b">
        <f t="shared" si="70"/>
        <v>0</v>
      </c>
      <c r="AE760" s="17" t="b">
        <f t="shared" si="71"/>
        <v>0</v>
      </c>
    </row>
    <row r="761" spans="1:31" x14ac:dyDescent="0.2">
      <c r="A761" s="16">
        <v>5000503408</v>
      </c>
      <c r="B761" t="s">
        <v>301</v>
      </c>
      <c r="C761" t="s">
        <v>301</v>
      </c>
      <c r="D761" t="s">
        <v>1</v>
      </c>
      <c r="E761" t="s">
        <v>584</v>
      </c>
      <c r="F761" t="s">
        <v>585</v>
      </c>
      <c r="G761" s="2">
        <v>8</v>
      </c>
      <c r="H761" t="s">
        <v>461</v>
      </c>
      <c r="I761" t="s">
        <v>3</v>
      </c>
      <c r="J761" t="s">
        <v>8</v>
      </c>
      <c r="K761" t="s">
        <v>602</v>
      </c>
      <c r="L761" t="s">
        <v>603</v>
      </c>
      <c r="M761" t="s">
        <v>602</v>
      </c>
      <c r="N761" t="s">
        <v>602</v>
      </c>
      <c r="O761" t="s">
        <v>603</v>
      </c>
      <c r="P761" t="s">
        <v>602</v>
      </c>
      <c r="Q761" s="17">
        <f>IFERROR(VLOOKUP(A761,已除帳印單!B:C,1,0),0)*1</f>
        <v>0</v>
      </c>
      <c r="R761" s="67" t="str">
        <f>IFERROR(VLOOKUP(J761,線別!A:B,2,1),"")</f>
        <v>裝一線</v>
      </c>
      <c r="S761" s="17" t="str">
        <f>IFERROR(VLOOKUP(A761,已除帳印單!B:C,2,0),"")</f>
        <v/>
      </c>
      <c r="T761" s="68">
        <f t="shared" si="72"/>
        <v>43894</v>
      </c>
      <c r="U761" s="69">
        <f t="shared" si="73"/>
        <v>84.168796296296293</v>
      </c>
      <c r="V761" s="68" t="str">
        <f>IFERROR(VLOOKUP(A761,已除帳印單!B:D,3,0),"")</f>
        <v/>
      </c>
      <c r="W761" s="69" t="str">
        <f>IFERROR(VLOOKUP(A761,已除帳印單!B:E,4,0),"")</f>
        <v/>
      </c>
      <c r="X761" s="68" t="str">
        <f>IFERROR(INDEX(刷條碼區!A:C,MATCH(點上線資訊!S761,刷條碼區!C:C,0),1),"")</f>
        <v/>
      </c>
      <c r="Y761" s="69" t="str">
        <f>IFERROR(INDEX(刷條碼區!A:C,MATCH(點上線資訊!S761,刷條碼區!C:C,0),2),"")</f>
        <v/>
      </c>
      <c r="Z761" s="70" t="str">
        <f>IFERROR(INDEX(刷條碼區!D:G,MATCH(點上線資訊!S761,刷條碼區!F:F,0),1),"")</f>
        <v/>
      </c>
      <c r="AA761" s="71" t="str">
        <f>IFERROR(INDEX(刷條碼區!D:G,MATCH(點上線資訊!S761,刷條碼區!F:F,0),2),"")</f>
        <v/>
      </c>
      <c r="AB761" s="20">
        <f t="shared" si="68"/>
        <v>8</v>
      </c>
      <c r="AC761" s="20" t="b">
        <f t="shared" si="69"/>
        <v>0</v>
      </c>
      <c r="AD761" s="17" t="b">
        <f t="shared" si="70"/>
        <v>0</v>
      </c>
      <c r="AE761" s="17" t="b">
        <f t="shared" si="71"/>
        <v>0</v>
      </c>
    </row>
    <row r="762" spans="1:31" x14ac:dyDescent="0.2">
      <c r="A762" s="16">
        <v>5000503411</v>
      </c>
      <c r="B762" t="s">
        <v>301</v>
      </c>
      <c r="C762" t="s">
        <v>301</v>
      </c>
      <c r="D762" t="s">
        <v>1</v>
      </c>
      <c r="E762" t="s">
        <v>580</v>
      </c>
      <c r="F762" t="s">
        <v>581</v>
      </c>
      <c r="G762" s="2">
        <v>7</v>
      </c>
      <c r="H762" t="s">
        <v>461</v>
      </c>
      <c r="I762" t="s">
        <v>3</v>
      </c>
      <c r="J762" t="s">
        <v>8</v>
      </c>
      <c r="K762" t="s">
        <v>602</v>
      </c>
      <c r="L762" t="s">
        <v>603</v>
      </c>
      <c r="M762" t="s">
        <v>602</v>
      </c>
      <c r="N762" t="s">
        <v>602</v>
      </c>
      <c r="O762" t="s">
        <v>603</v>
      </c>
      <c r="P762" t="s">
        <v>602</v>
      </c>
      <c r="Q762" s="17">
        <f>IFERROR(VLOOKUP(A762,已除帳印單!B:C,1,0),0)*1</f>
        <v>0</v>
      </c>
      <c r="R762" s="67" t="str">
        <f>IFERROR(VLOOKUP(J762,線別!A:B,2,1),"")</f>
        <v>裝一線</v>
      </c>
      <c r="S762" s="17" t="str">
        <f>IFERROR(VLOOKUP(A762,已除帳印單!B:C,2,0),"")</f>
        <v/>
      </c>
      <c r="T762" s="68">
        <f t="shared" si="72"/>
        <v>43894</v>
      </c>
      <c r="U762" s="69">
        <f t="shared" si="73"/>
        <v>84.168796296296293</v>
      </c>
      <c r="V762" s="68" t="str">
        <f>IFERROR(VLOOKUP(A762,已除帳印單!B:D,3,0),"")</f>
        <v/>
      </c>
      <c r="W762" s="69" t="str">
        <f>IFERROR(VLOOKUP(A762,已除帳印單!B:E,4,0),"")</f>
        <v/>
      </c>
      <c r="X762" s="68" t="str">
        <f>IFERROR(INDEX(刷條碼區!A:C,MATCH(點上線資訊!S762,刷條碼區!C:C,0),1),"")</f>
        <v/>
      </c>
      <c r="Y762" s="69" t="str">
        <f>IFERROR(INDEX(刷條碼區!A:C,MATCH(點上線資訊!S762,刷條碼區!C:C,0),2),"")</f>
        <v/>
      </c>
      <c r="Z762" s="70" t="str">
        <f>IFERROR(INDEX(刷條碼區!D:G,MATCH(點上線資訊!S762,刷條碼區!F:F,0),1),"")</f>
        <v/>
      </c>
      <c r="AA762" s="71" t="str">
        <f>IFERROR(INDEX(刷條碼區!D:G,MATCH(點上線資訊!S762,刷條碼區!F:F,0),2),"")</f>
        <v/>
      </c>
      <c r="AB762" s="20">
        <f t="shared" si="68"/>
        <v>7</v>
      </c>
      <c r="AC762" s="20" t="b">
        <f t="shared" si="69"/>
        <v>0</v>
      </c>
      <c r="AD762" s="17" t="b">
        <f t="shared" si="70"/>
        <v>0</v>
      </c>
      <c r="AE762" s="17" t="b">
        <f t="shared" si="71"/>
        <v>0</v>
      </c>
    </row>
    <row r="763" spans="1:31" x14ac:dyDescent="0.2">
      <c r="A763" s="16">
        <v>5000503414</v>
      </c>
      <c r="B763" t="s">
        <v>301</v>
      </c>
      <c r="C763" t="s">
        <v>301</v>
      </c>
      <c r="D763" t="s">
        <v>1</v>
      </c>
      <c r="E763" t="s">
        <v>580</v>
      </c>
      <c r="F763" t="s">
        <v>581</v>
      </c>
      <c r="G763" s="2">
        <v>5</v>
      </c>
      <c r="H763" t="s">
        <v>461</v>
      </c>
      <c r="I763" t="s">
        <v>3</v>
      </c>
      <c r="J763" t="s">
        <v>8</v>
      </c>
      <c r="K763" t="s">
        <v>602</v>
      </c>
      <c r="L763" t="s">
        <v>603</v>
      </c>
      <c r="M763" t="s">
        <v>602</v>
      </c>
      <c r="N763" t="s">
        <v>602</v>
      </c>
      <c r="O763" t="s">
        <v>603</v>
      </c>
      <c r="P763" t="s">
        <v>602</v>
      </c>
      <c r="Q763" s="17">
        <f>IFERROR(VLOOKUP(A763,已除帳印單!B:C,1,0),0)*1</f>
        <v>0</v>
      </c>
      <c r="R763" s="67" t="str">
        <f>IFERROR(VLOOKUP(J763,線別!A:B,2,1),"")</f>
        <v>裝一線</v>
      </c>
      <c r="S763" s="17" t="str">
        <f>IFERROR(VLOOKUP(A763,已除帳印單!B:C,2,0),"")</f>
        <v/>
      </c>
      <c r="T763" s="68">
        <f t="shared" si="72"/>
        <v>43894</v>
      </c>
      <c r="U763" s="69">
        <f t="shared" si="73"/>
        <v>84.168796296296293</v>
      </c>
      <c r="V763" s="68" t="str">
        <f>IFERROR(VLOOKUP(A763,已除帳印單!B:D,3,0),"")</f>
        <v/>
      </c>
      <c r="W763" s="69" t="str">
        <f>IFERROR(VLOOKUP(A763,已除帳印單!B:E,4,0),"")</f>
        <v/>
      </c>
      <c r="X763" s="68" t="str">
        <f>IFERROR(INDEX(刷條碼區!A:C,MATCH(點上線資訊!S763,刷條碼區!C:C,0),1),"")</f>
        <v/>
      </c>
      <c r="Y763" s="69" t="str">
        <f>IFERROR(INDEX(刷條碼區!A:C,MATCH(點上線資訊!S763,刷條碼區!C:C,0),2),"")</f>
        <v/>
      </c>
      <c r="Z763" s="70" t="str">
        <f>IFERROR(INDEX(刷條碼區!D:G,MATCH(點上線資訊!S763,刷條碼區!F:F,0),1),"")</f>
        <v/>
      </c>
      <c r="AA763" s="71" t="str">
        <f>IFERROR(INDEX(刷條碼區!D:G,MATCH(點上線資訊!S763,刷條碼區!F:F,0),2),"")</f>
        <v/>
      </c>
      <c r="AB763" s="20">
        <f t="shared" si="68"/>
        <v>5</v>
      </c>
      <c r="AC763" s="20" t="b">
        <f t="shared" si="69"/>
        <v>0</v>
      </c>
      <c r="AD763" s="17" t="b">
        <f t="shared" si="70"/>
        <v>0</v>
      </c>
      <c r="AE763" s="17" t="b">
        <f t="shared" si="71"/>
        <v>0</v>
      </c>
    </row>
    <row r="764" spans="1:31" x14ac:dyDescent="0.2">
      <c r="A764" s="16">
        <v>5000503424</v>
      </c>
      <c r="B764" t="s">
        <v>6</v>
      </c>
      <c r="C764" t="s">
        <v>6</v>
      </c>
      <c r="D764" t="s">
        <v>1</v>
      </c>
      <c r="E764" t="s">
        <v>1227</v>
      </c>
      <c r="F764" t="s">
        <v>1228</v>
      </c>
      <c r="G764" s="2">
        <v>1</v>
      </c>
      <c r="H764" t="s">
        <v>461</v>
      </c>
      <c r="I764" t="s">
        <v>3</v>
      </c>
      <c r="J764" t="s">
        <v>5</v>
      </c>
      <c r="K764" t="s">
        <v>605</v>
      </c>
      <c r="L764" t="s">
        <v>608</v>
      </c>
      <c r="M764" t="s">
        <v>1229</v>
      </c>
      <c r="N764" t="s">
        <v>602</v>
      </c>
      <c r="O764" t="s">
        <v>603</v>
      </c>
      <c r="P764" t="s">
        <v>602</v>
      </c>
      <c r="Q764" s="17">
        <f>IFERROR(VLOOKUP(A764,已除帳印單!B:C,1,0),0)*1</f>
        <v>0</v>
      </c>
      <c r="R764" s="67" t="str">
        <f>IFERROR(VLOOKUP(J764,線別!A:B,2,1),"")</f>
        <v>FM線</v>
      </c>
      <c r="S764" s="17" t="str">
        <f>IFERROR(VLOOKUP(A764,已除帳印單!B:C,2,0),"")</f>
        <v/>
      </c>
      <c r="T764" s="68">
        <f t="shared" si="72"/>
        <v>43893</v>
      </c>
      <c r="U764" s="69">
        <f t="shared" si="73"/>
        <v>84.168784722222213</v>
      </c>
      <c r="V764" s="68" t="str">
        <f>IFERROR(VLOOKUP(A764,已除帳印單!B:D,3,0),"")</f>
        <v/>
      </c>
      <c r="W764" s="69" t="str">
        <f>IFERROR(VLOOKUP(A764,已除帳印單!B:E,4,0),"")</f>
        <v/>
      </c>
      <c r="X764" s="68" t="str">
        <f>IFERROR(INDEX(刷條碼區!A:C,MATCH(點上線資訊!S764,刷條碼區!C:C,0),1),"")</f>
        <v/>
      </c>
      <c r="Y764" s="69" t="str">
        <f>IFERROR(INDEX(刷條碼區!A:C,MATCH(點上線資訊!S764,刷條碼區!C:C,0),2),"")</f>
        <v/>
      </c>
      <c r="Z764" s="70" t="str">
        <f>IFERROR(INDEX(刷條碼區!D:G,MATCH(點上線資訊!S764,刷條碼區!F:F,0),1),"")</f>
        <v/>
      </c>
      <c r="AA764" s="71" t="str">
        <f>IFERROR(INDEX(刷條碼區!D:G,MATCH(點上線資訊!S764,刷條碼區!F:F,0),2),"")</f>
        <v/>
      </c>
      <c r="AB764" s="20" t="b">
        <f t="shared" si="68"/>
        <v>0</v>
      </c>
      <c r="AC764" s="20" t="b">
        <f t="shared" si="69"/>
        <v>0</v>
      </c>
      <c r="AD764" s="17" t="b">
        <f t="shared" si="70"/>
        <v>0</v>
      </c>
      <c r="AE764" s="17" t="b">
        <f t="shared" si="71"/>
        <v>0</v>
      </c>
    </row>
    <row r="765" spans="1:31" x14ac:dyDescent="0.2">
      <c r="A765" s="16">
        <v>5000503425</v>
      </c>
      <c r="B765" t="s">
        <v>6</v>
      </c>
      <c r="C765" t="s">
        <v>6</v>
      </c>
      <c r="D765" t="s">
        <v>1</v>
      </c>
      <c r="E765" t="s">
        <v>1227</v>
      </c>
      <c r="F765" t="s">
        <v>1228</v>
      </c>
      <c r="G765" s="2">
        <v>1</v>
      </c>
      <c r="H765" t="s">
        <v>461</v>
      </c>
      <c r="I765" t="s">
        <v>3</v>
      </c>
      <c r="J765" t="s">
        <v>5</v>
      </c>
      <c r="K765" t="s">
        <v>605</v>
      </c>
      <c r="L765" t="s">
        <v>608</v>
      </c>
      <c r="M765" t="s">
        <v>1229</v>
      </c>
      <c r="N765" t="s">
        <v>602</v>
      </c>
      <c r="O765" t="s">
        <v>603</v>
      </c>
      <c r="P765" t="s">
        <v>602</v>
      </c>
      <c r="Q765" s="17">
        <f>IFERROR(VLOOKUP(A765,已除帳印單!B:C,1,0),0)*1</f>
        <v>0</v>
      </c>
      <c r="R765" s="67" t="str">
        <f>IFERROR(VLOOKUP(J765,線別!A:B,2,1),"")</f>
        <v>FM線</v>
      </c>
      <c r="S765" s="17" t="str">
        <f>IFERROR(VLOOKUP(A765,已除帳印單!B:C,2,0),"")</f>
        <v/>
      </c>
      <c r="T765" s="68">
        <f t="shared" si="72"/>
        <v>43893</v>
      </c>
      <c r="U765" s="69">
        <f t="shared" si="73"/>
        <v>84.168784722222213</v>
      </c>
      <c r="V765" s="68" t="str">
        <f>IFERROR(VLOOKUP(A765,已除帳印單!B:D,3,0),"")</f>
        <v/>
      </c>
      <c r="W765" s="69" t="str">
        <f>IFERROR(VLOOKUP(A765,已除帳印單!B:E,4,0),"")</f>
        <v/>
      </c>
      <c r="X765" s="68" t="str">
        <f>IFERROR(INDEX(刷條碼區!A:C,MATCH(點上線資訊!S765,刷條碼區!C:C,0),1),"")</f>
        <v/>
      </c>
      <c r="Y765" s="69" t="str">
        <f>IFERROR(INDEX(刷條碼區!A:C,MATCH(點上線資訊!S765,刷條碼區!C:C,0),2),"")</f>
        <v/>
      </c>
      <c r="Z765" s="70" t="str">
        <f>IFERROR(INDEX(刷條碼區!D:G,MATCH(點上線資訊!S765,刷條碼區!F:F,0),1),"")</f>
        <v/>
      </c>
      <c r="AA765" s="71" t="str">
        <f>IFERROR(INDEX(刷條碼區!D:G,MATCH(點上線資訊!S765,刷條碼區!F:F,0),2),"")</f>
        <v/>
      </c>
      <c r="AB765" s="20" t="b">
        <f t="shared" si="68"/>
        <v>0</v>
      </c>
      <c r="AC765" s="20" t="b">
        <f t="shared" si="69"/>
        <v>0</v>
      </c>
      <c r="AD765" s="17" t="b">
        <f t="shared" si="70"/>
        <v>0</v>
      </c>
      <c r="AE765" s="17" t="b">
        <f t="shared" si="71"/>
        <v>0</v>
      </c>
    </row>
    <row r="766" spans="1:31" x14ac:dyDescent="0.2">
      <c r="A766" s="16">
        <v>5000503426</v>
      </c>
      <c r="B766" t="s">
        <v>6</v>
      </c>
      <c r="C766" t="s">
        <v>6</v>
      </c>
      <c r="D766" t="s">
        <v>1</v>
      </c>
      <c r="E766" t="s">
        <v>1227</v>
      </c>
      <c r="F766" t="s">
        <v>1228</v>
      </c>
      <c r="G766" s="2">
        <v>2</v>
      </c>
      <c r="H766" t="s">
        <v>461</v>
      </c>
      <c r="I766" t="s">
        <v>3</v>
      </c>
      <c r="J766" t="s">
        <v>5</v>
      </c>
      <c r="K766" t="s">
        <v>605</v>
      </c>
      <c r="L766" t="s">
        <v>608</v>
      </c>
      <c r="M766" t="s">
        <v>1229</v>
      </c>
      <c r="N766" t="s">
        <v>602</v>
      </c>
      <c r="O766" t="s">
        <v>603</v>
      </c>
      <c r="P766" t="s">
        <v>602</v>
      </c>
      <c r="Q766" s="17">
        <f>IFERROR(VLOOKUP(A766,已除帳印單!B:C,1,0),0)*1</f>
        <v>0</v>
      </c>
      <c r="R766" s="67" t="str">
        <f>IFERROR(VLOOKUP(J766,線別!A:B,2,1),"")</f>
        <v>FM線</v>
      </c>
      <c r="S766" s="17" t="str">
        <f>IFERROR(VLOOKUP(A766,已除帳印單!B:C,2,0),"")</f>
        <v/>
      </c>
      <c r="T766" s="68">
        <f t="shared" si="72"/>
        <v>43893</v>
      </c>
      <c r="U766" s="69">
        <f t="shared" si="73"/>
        <v>84.168784722222213</v>
      </c>
      <c r="V766" s="68" t="str">
        <f>IFERROR(VLOOKUP(A766,已除帳印單!B:D,3,0),"")</f>
        <v/>
      </c>
      <c r="W766" s="69" t="str">
        <f>IFERROR(VLOOKUP(A766,已除帳印單!B:E,4,0),"")</f>
        <v/>
      </c>
      <c r="X766" s="68" t="str">
        <f>IFERROR(INDEX(刷條碼區!A:C,MATCH(點上線資訊!S766,刷條碼區!C:C,0),1),"")</f>
        <v/>
      </c>
      <c r="Y766" s="69" t="str">
        <f>IFERROR(INDEX(刷條碼區!A:C,MATCH(點上線資訊!S766,刷條碼區!C:C,0),2),"")</f>
        <v/>
      </c>
      <c r="Z766" s="70" t="str">
        <f>IFERROR(INDEX(刷條碼區!D:G,MATCH(點上線資訊!S766,刷條碼區!F:F,0),1),"")</f>
        <v/>
      </c>
      <c r="AA766" s="71" t="str">
        <f>IFERROR(INDEX(刷條碼區!D:G,MATCH(點上線資訊!S766,刷條碼區!F:F,0),2),"")</f>
        <v/>
      </c>
      <c r="AB766" s="20" t="b">
        <f t="shared" si="68"/>
        <v>0</v>
      </c>
      <c r="AC766" s="20" t="b">
        <f t="shared" si="69"/>
        <v>0</v>
      </c>
      <c r="AD766" s="17" t="b">
        <f t="shared" si="70"/>
        <v>0</v>
      </c>
      <c r="AE766" s="17" t="b">
        <f t="shared" si="71"/>
        <v>0</v>
      </c>
    </row>
    <row r="767" spans="1:31" x14ac:dyDescent="0.2">
      <c r="A767" s="16">
        <v>5000503432</v>
      </c>
      <c r="B767" t="s">
        <v>6</v>
      </c>
      <c r="C767" t="s">
        <v>6</v>
      </c>
      <c r="D767" t="s">
        <v>1</v>
      </c>
      <c r="E767" t="s">
        <v>841</v>
      </c>
      <c r="F767" t="s">
        <v>842</v>
      </c>
      <c r="G767" s="2">
        <v>1</v>
      </c>
      <c r="H767" t="s">
        <v>461</v>
      </c>
      <c r="I767" t="s">
        <v>3</v>
      </c>
      <c r="J767" t="s">
        <v>136</v>
      </c>
      <c r="K767" t="s">
        <v>605</v>
      </c>
      <c r="L767" t="s">
        <v>608</v>
      </c>
      <c r="M767" t="s">
        <v>413</v>
      </c>
      <c r="N767" t="s">
        <v>602</v>
      </c>
      <c r="O767" t="s">
        <v>603</v>
      </c>
      <c r="P767" t="s">
        <v>602</v>
      </c>
      <c r="Q767" s="17">
        <f>IFERROR(VLOOKUP(A767,已除帳印單!B:C,1,0),0)*1</f>
        <v>0</v>
      </c>
      <c r="R767" s="67" t="str">
        <f>IFERROR(VLOOKUP(J767,線別!A:B,2,1),"")</f>
        <v>SCB線</v>
      </c>
      <c r="S767" s="17" t="str">
        <f>IFERROR(VLOOKUP(A767,已除帳印單!B:C,2,0),"")</f>
        <v/>
      </c>
      <c r="T767" s="68">
        <f t="shared" si="72"/>
        <v>43893</v>
      </c>
      <c r="U767" s="69">
        <f t="shared" si="73"/>
        <v>84.168784722222213</v>
      </c>
      <c r="V767" s="68" t="str">
        <f>IFERROR(VLOOKUP(A767,已除帳印單!B:D,3,0),"")</f>
        <v/>
      </c>
      <c r="W767" s="69" t="str">
        <f>IFERROR(VLOOKUP(A767,已除帳印單!B:E,4,0),"")</f>
        <v/>
      </c>
      <c r="X767" s="68" t="str">
        <f>IFERROR(INDEX(刷條碼區!A:C,MATCH(點上線資訊!S767,刷條碼區!C:C,0),1),"")</f>
        <v/>
      </c>
      <c r="Y767" s="69" t="str">
        <f>IFERROR(INDEX(刷條碼區!A:C,MATCH(點上線資訊!S767,刷條碼區!C:C,0),2),"")</f>
        <v/>
      </c>
      <c r="Z767" s="70" t="str">
        <f>IFERROR(INDEX(刷條碼區!D:G,MATCH(點上線資訊!S767,刷條碼區!F:F,0),1),"")</f>
        <v/>
      </c>
      <c r="AA767" s="71" t="str">
        <f>IFERROR(INDEX(刷條碼區!D:G,MATCH(點上線資訊!S767,刷條碼區!F:F,0),2),"")</f>
        <v/>
      </c>
      <c r="AB767" s="20" t="b">
        <f t="shared" si="68"/>
        <v>0</v>
      </c>
      <c r="AC767" s="20" t="b">
        <f t="shared" si="69"/>
        <v>0</v>
      </c>
      <c r="AD767" s="17" t="b">
        <f t="shared" si="70"/>
        <v>0</v>
      </c>
      <c r="AE767" s="17" t="b">
        <f t="shared" si="71"/>
        <v>0</v>
      </c>
    </row>
    <row r="768" spans="1:31" x14ac:dyDescent="0.2">
      <c r="A768" s="16">
        <v>5000503443</v>
      </c>
      <c r="B768" t="s">
        <v>6</v>
      </c>
      <c r="C768" t="s">
        <v>6</v>
      </c>
      <c r="D768" t="s">
        <v>1</v>
      </c>
      <c r="E768" t="s">
        <v>1230</v>
      </c>
      <c r="F768" t="s">
        <v>802</v>
      </c>
      <c r="G768" s="2">
        <v>5</v>
      </c>
      <c r="H768" t="s">
        <v>461</v>
      </c>
      <c r="I768" t="s">
        <v>3</v>
      </c>
      <c r="J768" t="s">
        <v>136</v>
      </c>
      <c r="K768" t="s">
        <v>605</v>
      </c>
      <c r="L768" t="s">
        <v>608</v>
      </c>
      <c r="M768" t="s">
        <v>410</v>
      </c>
      <c r="N768" t="s">
        <v>602</v>
      </c>
      <c r="O768" t="s">
        <v>603</v>
      </c>
      <c r="P768" t="s">
        <v>602</v>
      </c>
      <c r="Q768" s="17">
        <f>IFERROR(VLOOKUP(A768,已除帳印單!B:C,1,0),0)*1</f>
        <v>0</v>
      </c>
      <c r="R768" s="67" t="str">
        <f>IFERROR(VLOOKUP(J768,線別!A:B,2,1),"")</f>
        <v>SCB線</v>
      </c>
      <c r="S768" s="17" t="str">
        <f>IFERROR(VLOOKUP(A768,已除帳印單!B:C,2,0),"")</f>
        <v/>
      </c>
      <c r="T768" s="68">
        <f t="shared" si="72"/>
        <v>43893</v>
      </c>
      <c r="U768" s="69">
        <f t="shared" si="73"/>
        <v>84.168784722222213</v>
      </c>
      <c r="V768" s="68" t="str">
        <f>IFERROR(VLOOKUP(A768,已除帳印單!B:D,3,0),"")</f>
        <v/>
      </c>
      <c r="W768" s="69" t="str">
        <f>IFERROR(VLOOKUP(A768,已除帳印單!B:E,4,0),"")</f>
        <v/>
      </c>
      <c r="X768" s="68" t="str">
        <f>IFERROR(INDEX(刷條碼區!A:C,MATCH(點上線資訊!S768,刷條碼區!C:C,0),1),"")</f>
        <v/>
      </c>
      <c r="Y768" s="69" t="str">
        <f>IFERROR(INDEX(刷條碼區!A:C,MATCH(點上線資訊!S768,刷條碼區!C:C,0),2),"")</f>
        <v/>
      </c>
      <c r="Z768" s="70" t="str">
        <f>IFERROR(INDEX(刷條碼區!D:G,MATCH(點上線資訊!S768,刷條碼區!F:F,0),1),"")</f>
        <v/>
      </c>
      <c r="AA768" s="71" t="str">
        <f>IFERROR(INDEX(刷條碼區!D:G,MATCH(點上線資訊!S768,刷條碼區!F:F,0),2),"")</f>
        <v/>
      </c>
      <c r="AB768" s="20" t="b">
        <f t="shared" si="68"/>
        <v>0</v>
      </c>
      <c r="AC768" s="20" t="b">
        <f t="shared" si="69"/>
        <v>0</v>
      </c>
      <c r="AD768" s="17" t="b">
        <f t="shared" si="70"/>
        <v>0</v>
      </c>
      <c r="AE768" s="17" t="b">
        <f t="shared" si="71"/>
        <v>0</v>
      </c>
    </row>
    <row r="769" spans="1:31" x14ac:dyDescent="0.2">
      <c r="A769" s="16">
        <v>5000503448</v>
      </c>
      <c r="B769" t="s">
        <v>0</v>
      </c>
      <c r="C769" t="s">
        <v>0</v>
      </c>
      <c r="D769" t="s">
        <v>1</v>
      </c>
      <c r="E769" t="s">
        <v>1231</v>
      </c>
      <c r="F769" t="s">
        <v>1232</v>
      </c>
      <c r="G769" s="2">
        <v>3</v>
      </c>
      <c r="H769" t="s">
        <v>461</v>
      </c>
      <c r="I769" t="s">
        <v>3</v>
      </c>
      <c r="J769" t="s">
        <v>5</v>
      </c>
      <c r="K769" t="s">
        <v>605</v>
      </c>
      <c r="L769" t="s">
        <v>608</v>
      </c>
      <c r="M769" t="s">
        <v>860</v>
      </c>
      <c r="N769" t="s">
        <v>602</v>
      </c>
      <c r="O769" t="s">
        <v>603</v>
      </c>
      <c r="P769" t="s">
        <v>602</v>
      </c>
      <c r="Q769" s="17">
        <f>IFERROR(VLOOKUP(A769,已除帳印單!B:C,1,0),0)*1</f>
        <v>0</v>
      </c>
      <c r="R769" s="67" t="str">
        <f>IFERROR(VLOOKUP(J769,線別!A:B,2,1),"")</f>
        <v>FM線</v>
      </c>
      <c r="S769" s="17" t="str">
        <f>IFERROR(VLOOKUP(A769,已除帳印單!B:C,2,0),"")</f>
        <v/>
      </c>
      <c r="T769" s="68">
        <f t="shared" si="72"/>
        <v>43892</v>
      </c>
      <c r="U769" s="69">
        <f t="shared" si="73"/>
        <v>84.168773148148148</v>
      </c>
      <c r="V769" s="68" t="str">
        <f>IFERROR(VLOOKUP(A769,已除帳印單!B:D,3,0),"")</f>
        <v/>
      </c>
      <c r="W769" s="69" t="str">
        <f>IFERROR(VLOOKUP(A769,已除帳印單!B:E,4,0),"")</f>
        <v/>
      </c>
      <c r="X769" s="68" t="str">
        <f>IFERROR(INDEX(刷條碼區!A:C,MATCH(點上線資訊!S769,刷條碼區!C:C,0),1),"")</f>
        <v/>
      </c>
      <c r="Y769" s="69" t="str">
        <f>IFERROR(INDEX(刷條碼區!A:C,MATCH(點上線資訊!S769,刷條碼區!C:C,0),2),"")</f>
        <v/>
      </c>
      <c r="Z769" s="70" t="str">
        <f>IFERROR(INDEX(刷條碼區!D:G,MATCH(點上線資訊!S769,刷條碼區!F:F,0),1),"")</f>
        <v/>
      </c>
      <c r="AA769" s="71" t="str">
        <f>IFERROR(INDEX(刷條碼區!D:G,MATCH(點上線資訊!S769,刷條碼區!F:F,0),2),"")</f>
        <v/>
      </c>
      <c r="AB769" s="20" t="b">
        <f t="shared" si="68"/>
        <v>0</v>
      </c>
      <c r="AC769" s="20" t="b">
        <f t="shared" si="69"/>
        <v>0</v>
      </c>
      <c r="AD769" s="17" t="b">
        <f t="shared" si="70"/>
        <v>0</v>
      </c>
      <c r="AE769" s="17" t="b">
        <f t="shared" si="71"/>
        <v>0</v>
      </c>
    </row>
    <row r="770" spans="1:31" x14ac:dyDescent="0.2">
      <c r="A770" s="16">
        <v>5000503449</v>
      </c>
      <c r="B770" t="s">
        <v>0</v>
      </c>
      <c r="C770" t="s">
        <v>0</v>
      </c>
      <c r="D770" t="s">
        <v>1</v>
      </c>
      <c r="E770" t="s">
        <v>1233</v>
      </c>
      <c r="F770" t="s">
        <v>1234</v>
      </c>
      <c r="G770" s="2">
        <v>3</v>
      </c>
      <c r="H770" t="s">
        <v>461</v>
      </c>
      <c r="I770" t="s">
        <v>3</v>
      </c>
      <c r="J770" t="s">
        <v>5</v>
      </c>
      <c r="K770" t="s">
        <v>605</v>
      </c>
      <c r="L770" t="s">
        <v>608</v>
      </c>
      <c r="M770" t="s">
        <v>860</v>
      </c>
      <c r="N770" t="s">
        <v>602</v>
      </c>
      <c r="O770" t="s">
        <v>603</v>
      </c>
      <c r="P770" t="s">
        <v>602</v>
      </c>
      <c r="Q770" s="17">
        <f>IFERROR(VLOOKUP(A770,已除帳印單!B:C,1,0),0)*1</f>
        <v>0</v>
      </c>
      <c r="R770" s="67" t="str">
        <f>IFERROR(VLOOKUP(J770,線別!A:B,2,1),"")</f>
        <v>FM線</v>
      </c>
      <c r="S770" s="17" t="str">
        <f>IFERROR(VLOOKUP(A770,已除帳印單!B:C,2,0),"")</f>
        <v/>
      </c>
      <c r="T770" s="68">
        <f t="shared" si="72"/>
        <v>43892</v>
      </c>
      <c r="U770" s="69">
        <f t="shared" si="73"/>
        <v>84.168773148148148</v>
      </c>
      <c r="V770" s="68" t="str">
        <f>IFERROR(VLOOKUP(A770,已除帳印單!B:D,3,0),"")</f>
        <v/>
      </c>
      <c r="W770" s="69" t="str">
        <f>IFERROR(VLOOKUP(A770,已除帳印單!B:E,4,0),"")</f>
        <v/>
      </c>
      <c r="X770" s="68" t="str">
        <f>IFERROR(INDEX(刷條碼區!A:C,MATCH(點上線資訊!S770,刷條碼區!C:C,0),1),"")</f>
        <v/>
      </c>
      <c r="Y770" s="69" t="str">
        <f>IFERROR(INDEX(刷條碼區!A:C,MATCH(點上線資訊!S770,刷條碼區!C:C,0),2),"")</f>
        <v/>
      </c>
      <c r="Z770" s="70" t="str">
        <f>IFERROR(INDEX(刷條碼區!D:G,MATCH(點上線資訊!S770,刷條碼區!F:F,0),1),"")</f>
        <v/>
      </c>
      <c r="AA770" s="71" t="str">
        <f>IFERROR(INDEX(刷條碼區!D:G,MATCH(點上線資訊!S770,刷條碼區!F:F,0),2),"")</f>
        <v/>
      </c>
      <c r="AB770" s="20" t="b">
        <f t="shared" si="68"/>
        <v>0</v>
      </c>
      <c r="AC770" s="20" t="b">
        <f t="shared" si="69"/>
        <v>0</v>
      </c>
      <c r="AD770" s="17" t="b">
        <f t="shared" si="70"/>
        <v>0</v>
      </c>
      <c r="AE770" s="17" t="b">
        <f t="shared" si="71"/>
        <v>0</v>
      </c>
    </row>
    <row r="771" spans="1:31" x14ac:dyDescent="0.2">
      <c r="A771" s="16">
        <v>5000503450</v>
      </c>
      <c r="B771" t="s">
        <v>6</v>
      </c>
      <c r="C771" t="s">
        <v>6</v>
      </c>
      <c r="D771" t="s">
        <v>1</v>
      </c>
      <c r="E771" t="s">
        <v>1235</v>
      </c>
      <c r="F771" t="s">
        <v>1232</v>
      </c>
      <c r="G771" s="2">
        <v>3</v>
      </c>
      <c r="H771" t="s">
        <v>461</v>
      </c>
      <c r="I771" t="s">
        <v>3</v>
      </c>
      <c r="J771" t="s">
        <v>5</v>
      </c>
      <c r="K771" t="s">
        <v>605</v>
      </c>
      <c r="L771" t="s">
        <v>608</v>
      </c>
      <c r="M771" t="s">
        <v>437</v>
      </c>
      <c r="N771" t="s">
        <v>602</v>
      </c>
      <c r="O771" t="s">
        <v>603</v>
      </c>
      <c r="P771" t="s">
        <v>602</v>
      </c>
      <c r="Q771" s="17">
        <f>IFERROR(VLOOKUP(A771,已除帳印單!B:C,1,0),0)*1</f>
        <v>0</v>
      </c>
      <c r="R771" s="67" t="str">
        <f>IFERROR(VLOOKUP(J771,線別!A:B,2,1),"")</f>
        <v>FM線</v>
      </c>
      <c r="S771" s="17" t="str">
        <f>IFERROR(VLOOKUP(A771,已除帳印單!B:C,2,0),"")</f>
        <v/>
      </c>
      <c r="T771" s="68">
        <f t="shared" si="72"/>
        <v>43893</v>
      </c>
      <c r="U771" s="69">
        <f t="shared" si="73"/>
        <v>84.168784722222213</v>
      </c>
      <c r="V771" s="68" t="str">
        <f>IFERROR(VLOOKUP(A771,已除帳印單!B:D,3,0),"")</f>
        <v/>
      </c>
      <c r="W771" s="69" t="str">
        <f>IFERROR(VLOOKUP(A771,已除帳印單!B:E,4,0),"")</f>
        <v/>
      </c>
      <c r="X771" s="68" t="str">
        <f>IFERROR(INDEX(刷條碼區!A:C,MATCH(點上線資訊!S771,刷條碼區!C:C,0),1),"")</f>
        <v/>
      </c>
      <c r="Y771" s="69" t="str">
        <f>IFERROR(INDEX(刷條碼區!A:C,MATCH(點上線資訊!S771,刷條碼區!C:C,0),2),"")</f>
        <v/>
      </c>
      <c r="Z771" s="70" t="str">
        <f>IFERROR(INDEX(刷條碼區!D:G,MATCH(點上線資訊!S771,刷條碼區!F:F,0),1),"")</f>
        <v/>
      </c>
      <c r="AA771" s="71" t="str">
        <f>IFERROR(INDEX(刷條碼區!D:G,MATCH(點上線資訊!S771,刷條碼區!F:F,0),2),"")</f>
        <v/>
      </c>
      <c r="AB771" s="20" t="b">
        <f t="shared" ref="AB771:AB834" si="74">IF(K771&amp;N771="",G771)</f>
        <v>0</v>
      </c>
      <c r="AC771" s="20" t="b">
        <f t="shared" ref="AC771:AC834" si="75">IF(S771&lt;&gt;"",G771)</f>
        <v>0</v>
      </c>
      <c r="AD771" s="17" t="b">
        <f t="shared" ref="AD771:AD834" si="76">IF(X771&lt;&gt;"",G771)</f>
        <v>0</v>
      </c>
      <c r="AE771" s="17" t="b">
        <f t="shared" ref="AE771:AE834" si="77">IF(Z771&lt;&gt;"",G771)</f>
        <v>0</v>
      </c>
    </row>
    <row r="772" spans="1:31" x14ac:dyDescent="0.2">
      <c r="A772" s="16">
        <v>5000503451</v>
      </c>
      <c r="B772" t="s">
        <v>6</v>
      </c>
      <c r="C772" t="s">
        <v>6</v>
      </c>
      <c r="D772" t="s">
        <v>1</v>
      </c>
      <c r="E772" t="s">
        <v>1236</v>
      </c>
      <c r="F772" t="s">
        <v>1237</v>
      </c>
      <c r="G772" s="2">
        <v>4</v>
      </c>
      <c r="H772" t="s">
        <v>461</v>
      </c>
      <c r="I772" t="s">
        <v>3</v>
      </c>
      <c r="J772" t="s">
        <v>5</v>
      </c>
      <c r="K772" t="s">
        <v>605</v>
      </c>
      <c r="L772" t="s">
        <v>608</v>
      </c>
      <c r="M772" t="s">
        <v>437</v>
      </c>
      <c r="N772" t="s">
        <v>602</v>
      </c>
      <c r="O772" t="s">
        <v>603</v>
      </c>
      <c r="P772" t="s">
        <v>602</v>
      </c>
      <c r="Q772" s="17">
        <f>IFERROR(VLOOKUP(A772,已除帳印單!B:C,1,0),0)*1</f>
        <v>0</v>
      </c>
      <c r="R772" s="67" t="str">
        <f>IFERROR(VLOOKUP(J772,線別!A:B,2,1),"")</f>
        <v>FM線</v>
      </c>
      <c r="S772" s="17" t="str">
        <f>IFERROR(VLOOKUP(A772,已除帳印單!B:C,2,0),"")</f>
        <v/>
      </c>
      <c r="T772" s="68">
        <f t="shared" si="72"/>
        <v>43893</v>
      </c>
      <c r="U772" s="69">
        <f t="shared" si="73"/>
        <v>84.168784722222213</v>
      </c>
      <c r="V772" s="68" t="str">
        <f>IFERROR(VLOOKUP(A772,已除帳印單!B:D,3,0),"")</f>
        <v/>
      </c>
      <c r="W772" s="69" t="str">
        <f>IFERROR(VLOOKUP(A772,已除帳印單!B:E,4,0),"")</f>
        <v/>
      </c>
      <c r="X772" s="68" t="str">
        <f>IFERROR(INDEX(刷條碼區!A:C,MATCH(點上線資訊!S772,刷條碼區!C:C,0),1),"")</f>
        <v/>
      </c>
      <c r="Y772" s="69" t="str">
        <f>IFERROR(INDEX(刷條碼區!A:C,MATCH(點上線資訊!S772,刷條碼區!C:C,0),2),"")</f>
        <v/>
      </c>
      <c r="Z772" s="70" t="str">
        <f>IFERROR(INDEX(刷條碼區!D:G,MATCH(點上線資訊!S772,刷條碼區!F:F,0),1),"")</f>
        <v/>
      </c>
      <c r="AA772" s="71" t="str">
        <f>IFERROR(INDEX(刷條碼區!D:G,MATCH(點上線資訊!S772,刷條碼區!F:F,0),2),"")</f>
        <v/>
      </c>
      <c r="AB772" s="20" t="b">
        <f t="shared" si="74"/>
        <v>0</v>
      </c>
      <c r="AC772" s="20" t="b">
        <f t="shared" si="75"/>
        <v>0</v>
      </c>
      <c r="AD772" s="17" t="b">
        <f t="shared" si="76"/>
        <v>0</v>
      </c>
      <c r="AE772" s="17" t="b">
        <f t="shared" si="77"/>
        <v>0</v>
      </c>
    </row>
    <row r="773" spans="1:31" x14ac:dyDescent="0.2">
      <c r="A773" s="16">
        <v>5000503452</v>
      </c>
      <c r="B773" t="s">
        <v>6</v>
      </c>
      <c r="C773" t="s">
        <v>6</v>
      </c>
      <c r="D773" t="s">
        <v>1</v>
      </c>
      <c r="E773" t="s">
        <v>861</v>
      </c>
      <c r="F773" t="s">
        <v>862</v>
      </c>
      <c r="G773" s="2">
        <v>3</v>
      </c>
      <c r="H773" t="s">
        <v>461</v>
      </c>
      <c r="I773" t="s">
        <v>3</v>
      </c>
      <c r="J773" t="s">
        <v>5</v>
      </c>
      <c r="K773" t="s">
        <v>605</v>
      </c>
      <c r="L773" t="s">
        <v>608</v>
      </c>
      <c r="M773" t="s">
        <v>437</v>
      </c>
      <c r="N773" t="s">
        <v>602</v>
      </c>
      <c r="O773" t="s">
        <v>603</v>
      </c>
      <c r="P773" t="s">
        <v>602</v>
      </c>
      <c r="Q773" s="17">
        <f>IFERROR(VLOOKUP(A773,已除帳印單!B:C,1,0),0)*1</f>
        <v>0</v>
      </c>
      <c r="R773" s="67" t="str">
        <f>IFERROR(VLOOKUP(J773,線別!A:B,2,1),"")</f>
        <v>FM線</v>
      </c>
      <c r="S773" s="17" t="str">
        <f>IFERROR(VLOOKUP(A773,已除帳印單!B:C,2,0),"")</f>
        <v/>
      </c>
      <c r="T773" s="68">
        <f t="shared" si="72"/>
        <v>43893</v>
      </c>
      <c r="U773" s="69">
        <f t="shared" si="73"/>
        <v>84.168784722222213</v>
      </c>
      <c r="V773" s="68" t="str">
        <f>IFERROR(VLOOKUP(A773,已除帳印單!B:D,3,0),"")</f>
        <v/>
      </c>
      <c r="W773" s="69" t="str">
        <f>IFERROR(VLOOKUP(A773,已除帳印單!B:E,4,0),"")</f>
        <v/>
      </c>
      <c r="X773" s="68" t="str">
        <f>IFERROR(INDEX(刷條碼區!A:C,MATCH(點上線資訊!S773,刷條碼區!C:C,0),1),"")</f>
        <v/>
      </c>
      <c r="Y773" s="69" t="str">
        <f>IFERROR(INDEX(刷條碼區!A:C,MATCH(點上線資訊!S773,刷條碼區!C:C,0),2),"")</f>
        <v/>
      </c>
      <c r="Z773" s="70" t="str">
        <f>IFERROR(INDEX(刷條碼區!D:G,MATCH(點上線資訊!S773,刷條碼區!F:F,0),1),"")</f>
        <v/>
      </c>
      <c r="AA773" s="71" t="str">
        <f>IFERROR(INDEX(刷條碼區!D:G,MATCH(點上線資訊!S773,刷條碼區!F:F,0),2),"")</f>
        <v/>
      </c>
      <c r="AB773" s="20" t="b">
        <f t="shared" si="74"/>
        <v>0</v>
      </c>
      <c r="AC773" s="20" t="b">
        <f t="shared" si="75"/>
        <v>0</v>
      </c>
      <c r="AD773" s="17" t="b">
        <f t="shared" si="76"/>
        <v>0</v>
      </c>
      <c r="AE773" s="17" t="b">
        <f t="shared" si="77"/>
        <v>0</v>
      </c>
    </row>
    <row r="774" spans="1:31" x14ac:dyDescent="0.2">
      <c r="A774" s="16">
        <v>5000503453</v>
      </c>
      <c r="B774" t="s">
        <v>6</v>
      </c>
      <c r="C774" t="s">
        <v>6</v>
      </c>
      <c r="D774" t="s">
        <v>1</v>
      </c>
      <c r="E774" t="s">
        <v>1236</v>
      </c>
      <c r="F774" t="s">
        <v>1237</v>
      </c>
      <c r="G774" s="2">
        <v>4</v>
      </c>
      <c r="H774" t="s">
        <v>461</v>
      </c>
      <c r="I774" t="s">
        <v>3</v>
      </c>
      <c r="J774" t="s">
        <v>5</v>
      </c>
      <c r="K774" t="s">
        <v>605</v>
      </c>
      <c r="L774" t="s">
        <v>608</v>
      </c>
      <c r="M774" t="s">
        <v>437</v>
      </c>
      <c r="N774" t="s">
        <v>602</v>
      </c>
      <c r="O774" t="s">
        <v>603</v>
      </c>
      <c r="P774" t="s">
        <v>602</v>
      </c>
      <c r="Q774" s="17">
        <f>IFERROR(VLOOKUP(A774,已除帳印單!B:C,1,0),0)*1</f>
        <v>0</v>
      </c>
      <c r="R774" s="67" t="str">
        <f>IFERROR(VLOOKUP(J774,線別!A:B,2,1),"")</f>
        <v>FM線</v>
      </c>
      <c r="S774" s="17" t="str">
        <f>IFERROR(VLOOKUP(A774,已除帳印單!B:C,2,0),"")</f>
        <v/>
      </c>
      <c r="T774" s="68">
        <f t="shared" si="72"/>
        <v>43893</v>
      </c>
      <c r="U774" s="69">
        <f t="shared" si="73"/>
        <v>84.168784722222213</v>
      </c>
      <c r="V774" s="68" t="str">
        <f>IFERROR(VLOOKUP(A774,已除帳印單!B:D,3,0),"")</f>
        <v/>
      </c>
      <c r="W774" s="69" t="str">
        <f>IFERROR(VLOOKUP(A774,已除帳印單!B:E,4,0),"")</f>
        <v/>
      </c>
      <c r="X774" s="68" t="str">
        <f>IFERROR(INDEX(刷條碼區!A:C,MATCH(點上線資訊!S774,刷條碼區!C:C,0),1),"")</f>
        <v/>
      </c>
      <c r="Y774" s="69" t="str">
        <f>IFERROR(INDEX(刷條碼區!A:C,MATCH(點上線資訊!S774,刷條碼區!C:C,0),2),"")</f>
        <v/>
      </c>
      <c r="Z774" s="70" t="str">
        <f>IFERROR(INDEX(刷條碼區!D:G,MATCH(點上線資訊!S774,刷條碼區!F:F,0),1),"")</f>
        <v/>
      </c>
      <c r="AA774" s="71" t="str">
        <f>IFERROR(INDEX(刷條碼區!D:G,MATCH(點上線資訊!S774,刷條碼區!F:F,0),2),"")</f>
        <v/>
      </c>
      <c r="AB774" s="20" t="b">
        <f t="shared" si="74"/>
        <v>0</v>
      </c>
      <c r="AC774" s="20" t="b">
        <f t="shared" si="75"/>
        <v>0</v>
      </c>
      <c r="AD774" s="17" t="b">
        <f t="shared" si="76"/>
        <v>0</v>
      </c>
      <c r="AE774" s="17" t="b">
        <f t="shared" si="77"/>
        <v>0</v>
      </c>
    </row>
    <row r="775" spans="1:31" x14ac:dyDescent="0.2">
      <c r="A775" s="16">
        <v>5000503455</v>
      </c>
      <c r="B775" t="s">
        <v>0</v>
      </c>
      <c r="C775" t="s">
        <v>0</v>
      </c>
      <c r="D775" t="s">
        <v>1</v>
      </c>
      <c r="E775" t="s">
        <v>1238</v>
      </c>
      <c r="F775" t="s">
        <v>859</v>
      </c>
      <c r="G775" s="2">
        <v>5</v>
      </c>
      <c r="H775" t="s">
        <v>461</v>
      </c>
      <c r="I775" t="s">
        <v>3</v>
      </c>
      <c r="J775" t="s">
        <v>5</v>
      </c>
      <c r="K775" t="s">
        <v>605</v>
      </c>
      <c r="L775" t="s">
        <v>608</v>
      </c>
      <c r="M775" t="s">
        <v>860</v>
      </c>
      <c r="N775" t="s">
        <v>602</v>
      </c>
      <c r="O775" t="s">
        <v>603</v>
      </c>
      <c r="P775" t="s">
        <v>602</v>
      </c>
      <c r="Q775" s="17">
        <f>IFERROR(VLOOKUP(A775,已除帳印單!B:C,1,0),0)*1</f>
        <v>0</v>
      </c>
      <c r="R775" s="67" t="str">
        <f>IFERROR(VLOOKUP(J775,線別!A:B,2,1),"")</f>
        <v>FM線</v>
      </c>
      <c r="S775" s="17" t="str">
        <f>IFERROR(VLOOKUP(A775,已除帳印單!B:C,2,0),"")</f>
        <v/>
      </c>
      <c r="T775" s="68">
        <f t="shared" si="72"/>
        <v>43892</v>
      </c>
      <c r="U775" s="69">
        <f t="shared" si="73"/>
        <v>84.168773148148148</v>
      </c>
      <c r="V775" s="68" t="str">
        <f>IFERROR(VLOOKUP(A775,已除帳印單!B:D,3,0),"")</f>
        <v/>
      </c>
      <c r="W775" s="69" t="str">
        <f>IFERROR(VLOOKUP(A775,已除帳印單!B:E,4,0),"")</f>
        <v/>
      </c>
      <c r="X775" s="68" t="str">
        <f>IFERROR(INDEX(刷條碼區!A:C,MATCH(點上線資訊!S775,刷條碼區!C:C,0),1),"")</f>
        <v/>
      </c>
      <c r="Y775" s="69" t="str">
        <f>IFERROR(INDEX(刷條碼區!A:C,MATCH(點上線資訊!S775,刷條碼區!C:C,0),2),"")</f>
        <v/>
      </c>
      <c r="Z775" s="70" t="str">
        <f>IFERROR(INDEX(刷條碼區!D:G,MATCH(點上線資訊!S775,刷條碼區!F:F,0),1),"")</f>
        <v/>
      </c>
      <c r="AA775" s="71" t="str">
        <f>IFERROR(INDEX(刷條碼區!D:G,MATCH(點上線資訊!S775,刷條碼區!F:F,0),2),"")</f>
        <v/>
      </c>
      <c r="AB775" s="20" t="b">
        <f t="shared" si="74"/>
        <v>0</v>
      </c>
      <c r="AC775" s="20" t="b">
        <f t="shared" si="75"/>
        <v>0</v>
      </c>
      <c r="AD775" s="17" t="b">
        <f t="shared" si="76"/>
        <v>0</v>
      </c>
      <c r="AE775" s="17" t="b">
        <f t="shared" si="77"/>
        <v>0</v>
      </c>
    </row>
    <row r="776" spans="1:31" x14ac:dyDescent="0.2">
      <c r="A776" s="16">
        <v>5000503464</v>
      </c>
      <c r="B776" t="s">
        <v>301</v>
      </c>
      <c r="C776" t="s">
        <v>301</v>
      </c>
      <c r="D776" t="s">
        <v>1</v>
      </c>
      <c r="E776" t="s">
        <v>586</v>
      </c>
      <c r="F776" t="s">
        <v>587</v>
      </c>
      <c r="G776" s="2">
        <v>9</v>
      </c>
      <c r="H776" t="s">
        <v>461</v>
      </c>
      <c r="I776" t="s">
        <v>3</v>
      </c>
      <c r="J776" t="s">
        <v>8</v>
      </c>
      <c r="K776" t="s">
        <v>602</v>
      </c>
      <c r="L776" t="s">
        <v>603</v>
      </c>
      <c r="M776" t="s">
        <v>602</v>
      </c>
      <c r="N776" t="s">
        <v>602</v>
      </c>
      <c r="O776" t="s">
        <v>603</v>
      </c>
      <c r="P776" t="s">
        <v>602</v>
      </c>
      <c r="Q776" s="17">
        <f>IFERROR(VLOOKUP(A776,已除帳印單!B:C,1,0),0)*1</f>
        <v>0</v>
      </c>
      <c r="R776" s="67" t="str">
        <f>IFERROR(VLOOKUP(J776,線別!A:B,2,1),"")</f>
        <v>裝一線</v>
      </c>
      <c r="S776" s="17" t="str">
        <f>IFERROR(VLOOKUP(A776,已除帳印單!B:C,2,0),"")</f>
        <v/>
      </c>
      <c r="T776" s="68">
        <f t="shared" si="72"/>
        <v>43894</v>
      </c>
      <c r="U776" s="69">
        <f t="shared" si="73"/>
        <v>84.168796296296293</v>
      </c>
      <c r="V776" s="68" t="str">
        <f>IFERROR(VLOOKUP(A776,已除帳印單!B:D,3,0),"")</f>
        <v/>
      </c>
      <c r="W776" s="69" t="str">
        <f>IFERROR(VLOOKUP(A776,已除帳印單!B:E,4,0),"")</f>
        <v/>
      </c>
      <c r="X776" s="68" t="str">
        <f>IFERROR(INDEX(刷條碼區!A:C,MATCH(點上線資訊!S776,刷條碼區!C:C,0),1),"")</f>
        <v/>
      </c>
      <c r="Y776" s="69" t="str">
        <f>IFERROR(INDEX(刷條碼區!A:C,MATCH(點上線資訊!S776,刷條碼區!C:C,0),2),"")</f>
        <v/>
      </c>
      <c r="Z776" s="70" t="str">
        <f>IFERROR(INDEX(刷條碼區!D:G,MATCH(點上線資訊!S776,刷條碼區!F:F,0),1),"")</f>
        <v/>
      </c>
      <c r="AA776" s="71" t="str">
        <f>IFERROR(INDEX(刷條碼區!D:G,MATCH(點上線資訊!S776,刷條碼區!F:F,0),2),"")</f>
        <v/>
      </c>
      <c r="AB776" s="20">
        <f t="shared" si="74"/>
        <v>9</v>
      </c>
      <c r="AC776" s="20" t="b">
        <f t="shared" si="75"/>
        <v>0</v>
      </c>
      <c r="AD776" s="17" t="b">
        <f t="shared" si="76"/>
        <v>0</v>
      </c>
      <c r="AE776" s="17" t="b">
        <f t="shared" si="77"/>
        <v>0</v>
      </c>
    </row>
    <row r="777" spans="1:31" x14ac:dyDescent="0.2">
      <c r="A777" s="16">
        <v>5000503492</v>
      </c>
      <c r="B777" t="s">
        <v>6</v>
      </c>
      <c r="C777" t="s">
        <v>6</v>
      </c>
      <c r="D777" t="s">
        <v>1</v>
      </c>
      <c r="E777" t="s">
        <v>78</v>
      </c>
      <c r="F777" t="s">
        <v>842</v>
      </c>
      <c r="G777" s="2">
        <v>1</v>
      </c>
      <c r="H777" t="s">
        <v>461</v>
      </c>
      <c r="I777" t="s">
        <v>3</v>
      </c>
      <c r="J777" t="s">
        <v>8</v>
      </c>
      <c r="K777" t="s">
        <v>605</v>
      </c>
      <c r="L777" t="s">
        <v>608</v>
      </c>
      <c r="M777" t="s">
        <v>1239</v>
      </c>
      <c r="N777" t="s">
        <v>602</v>
      </c>
      <c r="O777" t="s">
        <v>603</v>
      </c>
      <c r="P777" t="s">
        <v>602</v>
      </c>
      <c r="Q777" s="17">
        <f>IFERROR(VLOOKUP(A777,已除帳印單!B:C,1,0),0)*1</f>
        <v>0</v>
      </c>
      <c r="R777" s="67" t="str">
        <f>IFERROR(VLOOKUP(J777,線別!A:B,2,1),"")</f>
        <v>裝一線</v>
      </c>
      <c r="S777" s="17" t="str">
        <f>IFERROR(VLOOKUP(A777,已除帳印單!B:C,2,0),"")</f>
        <v/>
      </c>
      <c r="T777" s="68">
        <f t="shared" si="72"/>
        <v>43893</v>
      </c>
      <c r="U777" s="69">
        <f t="shared" si="73"/>
        <v>84.168784722222213</v>
      </c>
      <c r="V777" s="68" t="str">
        <f>IFERROR(VLOOKUP(A777,已除帳印單!B:D,3,0),"")</f>
        <v/>
      </c>
      <c r="W777" s="69" t="str">
        <f>IFERROR(VLOOKUP(A777,已除帳印單!B:E,4,0),"")</f>
        <v/>
      </c>
      <c r="X777" s="68" t="str">
        <f>IFERROR(INDEX(刷條碼區!A:C,MATCH(點上線資訊!S777,刷條碼區!C:C,0),1),"")</f>
        <v/>
      </c>
      <c r="Y777" s="69" t="str">
        <f>IFERROR(INDEX(刷條碼區!A:C,MATCH(點上線資訊!S777,刷條碼區!C:C,0),2),"")</f>
        <v/>
      </c>
      <c r="Z777" s="70" t="str">
        <f>IFERROR(INDEX(刷條碼區!D:G,MATCH(點上線資訊!S777,刷條碼區!F:F,0),1),"")</f>
        <v/>
      </c>
      <c r="AA777" s="71" t="str">
        <f>IFERROR(INDEX(刷條碼區!D:G,MATCH(點上線資訊!S777,刷條碼區!F:F,0),2),"")</f>
        <v/>
      </c>
      <c r="AB777" s="20" t="b">
        <f t="shared" si="74"/>
        <v>0</v>
      </c>
      <c r="AC777" s="20" t="b">
        <f t="shared" si="75"/>
        <v>0</v>
      </c>
      <c r="AD777" s="17" t="b">
        <f t="shared" si="76"/>
        <v>0</v>
      </c>
      <c r="AE777" s="17" t="b">
        <f t="shared" si="77"/>
        <v>0</v>
      </c>
    </row>
    <row r="778" spans="1:31" x14ac:dyDescent="0.2">
      <c r="A778" s="16">
        <v>5000503529</v>
      </c>
      <c r="B778" t="s">
        <v>0</v>
      </c>
      <c r="C778" t="s">
        <v>0</v>
      </c>
      <c r="D778" t="s">
        <v>1</v>
      </c>
      <c r="E778" t="s">
        <v>983</v>
      </c>
      <c r="F778" t="s">
        <v>984</v>
      </c>
      <c r="G778" s="2">
        <v>4</v>
      </c>
      <c r="H778" t="s">
        <v>461</v>
      </c>
      <c r="I778" t="s">
        <v>3</v>
      </c>
      <c r="J778" t="s">
        <v>5</v>
      </c>
      <c r="K778" t="s">
        <v>605</v>
      </c>
      <c r="L778" t="s">
        <v>608</v>
      </c>
      <c r="M778" t="s">
        <v>985</v>
      </c>
      <c r="N778" t="s">
        <v>602</v>
      </c>
      <c r="O778" t="s">
        <v>603</v>
      </c>
      <c r="P778" t="s">
        <v>602</v>
      </c>
      <c r="Q778" s="17">
        <f>IFERROR(VLOOKUP(A778,已除帳印單!B:C,1,0),0)*1</f>
        <v>0</v>
      </c>
      <c r="R778" s="67" t="str">
        <f>IFERROR(VLOOKUP(J778,線別!A:B,2,1),"")</f>
        <v>FM線</v>
      </c>
      <c r="S778" s="17" t="str">
        <f>IFERROR(VLOOKUP(A778,已除帳印單!B:C,2,0),"")</f>
        <v/>
      </c>
      <c r="T778" s="68">
        <f t="shared" ref="T778:T841" si="78">--TEXT(B778,"0000-00-00")</f>
        <v>43892</v>
      </c>
      <c r="U778" s="69">
        <f t="shared" ref="U778:U841" si="79">--TEXT(C778,"00\:00\:00")</f>
        <v>84.168773148148148</v>
      </c>
      <c r="V778" s="68" t="str">
        <f>IFERROR(VLOOKUP(A778,已除帳印單!B:D,3,0),"")</f>
        <v/>
      </c>
      <c r="W778" s="69" t="str">
        <f>IFERROR(VLOOKUP(A778,已除帳印單!B:E,4,0),"")</f>
        <v/>
      </c>
      <c r="X778" s="68" t="str">
        <f>IFERROR(INDEX(刷條碼區!A:C,MATCH(點上線資訊!S778,刷條碼區!C:C,0),1),"")</f>
        <v/>
      </c>
      <c r="Y778" s="69" t="str">
        <f>IFERROR(INDEX(刷條碼區!A:C,MATCH(點上線資訊!S778,刷條碼區!C:C,0),2),"")</f>
        <v/>
      </c>
      <c r="Z778" s="70" t="str">
        <f>IFERROR(INDEX(刷條碼區!D:G,MATCH(點上線資訊!S778,刷條碼區!F:F,0),1),"")</f>
        <v/>
      </c>
      <c r="AA778" s="71" t="str">
        <f>IFERROR(INDEX(刷條碼區!D:G,MATCH(點上線資訊!S778,刷條碼區!F:F,0),2),"")</f>
        <v/>
      </c>
      <c r="AB778" s="20" t="b">
        <f t="shared" si="74"/>
        <v>0</v>
      </c>
      <c r="AC778" s="20" t="b">
        <f t="shared" si="75"/>
        <v>0</v>
      </c>
      <c r="AD778" s="17" t="b">
        <f t="shared" si="76"/>
        <v>0</v>
      </c>
      <c r="AE778" s="17" t="b">
        <f t="shared" si="77"/>
        <v>0</v>
      </c>
    </row>
    <row r="779" spans="1:31" x14ac:dyDescent="0.2">
      <c r="A779" s="16">
        <v>5000503530</v>
      </c>
      <c r="B779" t="s">
        <v>0</v>
      </c>
      <c r="C779" t="s">
        <v>0</v>
      </c>
      <c r="D779" t="s">
        <v>1</v>
      </c>
      <c r="E779" t="s">
        <v>983</v>
      </c>
      <c r="F779" t="s">
        <v>984</v>
      </c>
      <c r="G779" s="2">
        <v>7</v>
      </c>
      <c r="H779" t="s">
        <v>461</v>
      </c>
      <c r="I779" t="s">
        <v>3</v>
      </c>
      <c r="J779" t="s">
        <v>5</v>
      </c>
      <c r="K779" t="s">
        <v>605</v>
      </c>
      <c r="L779" t="s">
        <v>608</v>
      </c>
      <c r="M779" t="s">
        <v>985</v>
      </c>
      <c r="N779" t="s">
        <v>602</v>
      </c>
      <c r="O779" t="s">
        <v>603</v>
      </c>
      <c r="P779" t="s">
        <v>602</v>
      </c>
      <c r="Q779" s="17">
        <f>IFERROR(VLOOKUP(A779,已除帳印單!B:C,1,0),0)*1</f>
        <v>0</v>
      </c>
      <c r="R779" s="67" t="str">
        <f>IFERROR(VLOOKUP(J779,線別!A:B,2,1),"")</f>
        <v>FM線</v>
      </c>
      <c r="S779" s="17" t="str">
        <f>IFERROR(VLOOKUP(A779,已除帳印單!B:C,2,0),"")</f>
        <v/>
      </c>
      <c r="T779" s="68">
        <f t="shared" si="78"/>
        <v>43892</v>
      </c>
      <c r="U779" s="69">
        <f t="shared" si="79"/>
        <v>84.168773148148148</v>
      </c>
      <c r="V779" s="68" t="str">
        <f>IFERROR(VLOOKUP(A779,已除帳印單!B:D,3,0),"")</f>
        <v/>
      </c>
      <c r="W779" s="69" t="str">
        <f>IFERROR(VLOOKUP(A779,已除帳印單!B:E,4,0),"")</f>
        <v/>
      </c>
      <c r="X779" s="68" t="str">
        <f>IFERROR(INDEX(刷條碼區!A:C,MATCH(點上線資訊!S779,刷條碼區!C:C,0),1),"")</f>
        <v/>
      </c>
      <c r="Y779" s="69" t="str">
        <f>IFERROR(INDEX(刷條碼區!A:C,MATCH(點上線資訊!S779,刷條碼區!C:C,0),2),"")</f>
        <v/>
      </c>
      <c r="Z779" s="70" t="str">
        <f>IFERROR(INDEX(刷條碼區!D:G,MATCH(點上線資訊!S779,刷條碼區!F:F,0),1),"")</f>
        <v/>
      </c>
      <c r="AA779" s="71" t="str">
        <f>IFERROR(INDEX(刷條碼區!D:G,MATCH(點上線資訊!S779,刷條碼區!F:F,0),2),"")</f>
        <v/>
      </c>
      <c r="AB779" s="20" t="b">
        <f t="shared" si="74"/>
        <v>0</v>
      </c>
      <c r="AC779" s="20" t="b">
        <f t="shared" si="75"/>
        <v>0</v>
      </c>
      <c r="AD779" s="17" t="b">
        <f t="shared" si="76"/>
        <v>0</v>
      </c>
      <c r="AE779" s="17" t="b">
        <f t="shared" si="77"/>
        <v>0</v>
      </c>
    </row>
    <row r="780" spans="1:31" x14ac:dyDescent="0.2">
      <c r="A780" s="16">
        <v>5000503531</v>
      </c>
      <c r="B780" t="s">
        <v>6</v>
      </c>
      <c r="C780" t="s">
        <v>6</v>
      </c>
      <c r="D780" t="s">
        <v>1</v>
      </c>
      <c r="E780" t="s">
        <v>983</v>
      </c>
      <c r="F780" t="s">
        <v>984</v>
      </c>
      <c r="G780" s="2">
        <v>7</v>
      </c>
      <c r="H780" t="s">
        <v>461</v>
      </c>
      <c r="I780" t="s">
        <v>3</v>
      </c>
      <c r="J780" t="s">
        <v>5</v>
      </c>
      <c r="K780" t="s">
        <v>605</v>
      </c>
      <c r="L780" t="s">
        <v>608</v>
      </c>
      <c r="M780" t="s">
        <v>1240</v>
      </c>
      <c r="N780" t="s">
        <v>602</v>
      </c>
      <c r="O780" t="s">
        <v>603</v>
      </c>
      <c r="P780" t="s">
        <v>602</v>
      </c>
      <c r="Q780" s="17">
        <f>IFERROR(VLOOKUP(A780,已除帳印單!B:C,1,0),0)*1</f>
        <v>0</v>
      </c>
      <c r="R780" s="67" t="str">
        <f>IFERROR(VLOOKUP(J780,線別!A:B,2,1),"")</f>
        <v>FM線</v>
      </c>
      <c r="S780" s="17" t="str">
        <f>IFERROR(VLOOKUP(A780,已除帳印單!B:C,2,0),"")</f>
        <v/>
      </c>
      <c r="T780" s="68">
        <f t="shared" si="78"/>
        <v>43893</v>
      </c>
      <c r="U780" s="69">
        <f t="shared" si="79"/>
        <v>84.168784722222213</v>
      </c>
      <c r="V780" s="68" t="str">
        <f>IFERROR(VLOOKUP(A780,已除帳印單!B:D,3,0),"")</f>
        <v/>
      </c>
      <c r="W780" s="69" t="str">
        <f>IFERROR(VLOOKUP(A780,已除帳印單!B:E,4,0),"")</f>
        <v/>
      </c>
      <c r="X780" s="68" t="str">
        <f>IFERROR(INDEX(刷條碼區!A:C,MATCH(點上線資訊!S780,刷條碼區!C:C,0),1),"")</f>
        <v/>
      </c>
      <c r="Y780" s="69" t="str">
        <f>IFERROR(INDEX(刷條碼區!A:C,MATCH(點上線資訊!S780,刷條碼區!C:C,0),2),"")</f>
        <v/>
      </c>
      <c r="Z780" s="70" t="str">
        <f>IFERROR(INDEX(刷條碼區!D:G,MATCH(點上線資訊!S780,刷條碼區!F:F,0),1),"")</f>
        <v/>
      </c>
      <c r="AA780" s="71" t="str">
        <f>IFERROR(INDEX(刷條碼區!D:G,MATCH(點上線資訊!S780,刷條碼區!F:F,0),2),"")</f>
        <v/>
      </c>
      <c r="AB780" s="20" t="b">
        <f t="shared" si="74"/>
        <v>0</v>
      </c>
      <c r="AC780" s="20" t="b">
        <f t="shared" si="75"/>
        <v>0</v>
      </c>
      <c r="AD780" s="17" t="b">
        <f t="shared" si="76"/>
        <v>0</v>
      </c>
      <c r="AE780" s="17" t="b">
        <f t="shared" si="77"/>
        <v>0</v>
      </c>
    </row>
    <row r="781" spans="1:31" x14ac:dyDescent="0.2">
      <c r="A781" s="16">
        <v>5000503532</v>
      </c>
      <c r="B781" t="s">
        <v>6</v>
      </c>
      <c r="C781" t="s">
        <v>6</v>
      </c>
      <c r="D781" t="s">
        <v>1</v>
      </c>
      <c r="E781" t="s">
        <v>983</v>
      </c>
      <c r="F781" t="s">
        <v>984</v>
      </c>
      <c r="G781" s="2">
        <v>7</v>
      </c>
      <c r="H781" t="s">
        <v>461</v>
      </c>
      <c r="I781" t="s">
        <v>3</v>
      </c>
      <c r="J781" t="s">
        <v>5</v>
      </c>
      <c r="K781" t="s">
        <v>605</v>
      </c>
      <c r="L781" t="s">
        <v>608</v>
      </c>
      <c r="M781" t="s">
        <v>1240</v>
      </c>
      <c r="N781" t="s">
        <v>602</v>
      </c>
      <c r="O781" t="s">
        <v>603</v>
      </c>
      <c r="P781" t="s">
        <v>602</v>
      </c>
      <c r="Q781" s="17">
        <f>IFERROR(VLOOKUP(A781,已除帳印單!B:C,1,0),0)*1</f>
        <v>0</v>
      </c>
      <c r="R781" s="67" t="str">
        <f>IFERROR(VLOOKUP(J781,線別!A:B,2,1),"")</f>
        <v>FM線</v>
      </c>
      <c r="S781" s="17" t="str">
        <f>IFERROR(VLOOKUP(A781,已除帳印單!B:C,2,0),"")</f>
        <v/>
      </c>
      <c r="T781" s="68">
        <f t="shared" si="78"/>
        <v>43893</v>
      </c>
      <c r="U781" s="69">
        <f t="shared" si="79"/>
        <v>84.168784722222213</v>
      </c>
      <c r="V781" s="68" t="str">
        <f>IFERROR(VLOOKUP(A781,已除帳印單!B:D,3,0),"")</f>
        <v/>
      </c>
      <c r="W781" s="69" t="str">
        <f>IFERROR(VLOOKUP(A781,已除帳印單!B:E,4,0),"")</f>
        <v/>
      </c>
      <c r="X781" s="68" t="str">
        <f>IFERROR(INDEX(刷條碼區!A:C,MATCH(點上線資訊!S781,刷條碼區!C:C,0),1),"")</f>
        <v/>
      </c>
      <c r="Y781" s="69" t="str">
        <f>IFERROR(INDEX(刷條碼區!A:C,MATCH(點上線資訊!S781,刷條碼區!C:C,0),2),"")</f>
        <v/>
      </c>
      <c r="Z781" s="70" t="str">
        <f>IFERROR(INDEX(刷條碼區!D:G,MATCH(點上線資訊!S781,刷條碼區!F:F,0),1),"")</f>
        <v/>
      </c>
      <c r="AA781" s="71" t="str">
        <f>IFERROR(INDEX(刷條碼區!D:G,MATCH(點上線資訊!S781,刷條碼區!F:F,0),2),"")</f>
        <v/>
      </c>
      <c r="AB781" s="20" t="b">
        <f t="shared" si="74"/>
        <v>0</v>
      </c>
      <c r="AC781" s="20" t="b">
        <f t="shared" si="75"/>
        <v>0</v>
      </c>
      <c r="AD781" s="17" t="b">
        <f t="shared" si="76"/>
        <v>0</v>
      </c>
      <c r="AE781" s="17" t="b">
        <f t="shared" si="77"/>
        <v>0</v>
      </c>
    </row>
    <row r="782" spans="1:31" x14ac:dyDescent="0.2">
      <c r="A782" s="16">
        <v>5000503533</v>
      </c>
      <c r="B782" t="s">
        <v>6</v>
      </c>
      <c r="C782" t="s">
        <v>6</v>
      </c>
      <c r="D782" t="s">
        <v>1</v>
      </c>
      <c r="E782" t="s">
        <v>983</v>
      </c>
      <c r="F782" t="s">
        <v>984</v>
      </c>
      <c r="G782" s="2">
        <v>1</v>
      </c>
      <c r="H782" t="s">
        <v>461</v>
      </c>
      <c r="I782" t="s">
        <v>3</v>
      </c>
      <c r="J782" t="s">
        <v>5</v>
      </c>
      <c r="K782" t="s">
        <v>605</v>
      </c>
      <c r="L782" t="s">
        <v>608</v>
      </c>
      <c r="M782" t="s">
        <v>1240</v>
      </c>
      <c r="N782" t="s">
        <v>602</v>
      </c>
      <c r="O782" t="s">
        <v>603</v>
      </c>
      <c r="P782" t="s">
        <v>602</v>
      </c>
      <c r="Q782" s="17">
        <f>IFERROR(VLOOKUP(A782,已除帳印單!B:C,1,0),0)*1</f>
        <v>0</v>
      </c>
      <c r="R782" s="67" t="str">
        <f>IFERROR(VLOOKUP(J782,線別!A:B,2,1),"")</f>
        <v>FM線</v>
      </c>
      <c r="S782" s="17" t="str">
        <f>IFERROR(VLOOKUP(A782,已除帳印單!B:C,2,0),"")</f>
        <v/>
      </c>
      <c r="T782" s="68">
        <f t="shared" si="78"/>
        <v>43893</v>
      </c>
      <c r="U782" s="69">
        <f t="shared" si="79"/>
        <v>84.168784722222213</v>
      </c>
      <c r="V782" s="68" t="str">
        <f>IFERROR(VLOOKUP(A782,已除帳印單!B:D,3,0),"")</f>
        <v/>
      </c>
      <c r="W782" s="69" t="str">
        <f>IFERROR(VLOOKUP(A782,已除帳印單!B:E,4,0),"")</f>
        <v/>
      </c>
      <c r="X782" s="68" t="str">
        <f>IFERROR(INDEX(刷條碼區!A:C,MATCH(點上線資訊!S782,刷條碼區!C:C,0),1),"")</f>
        <v/>
      </c>
      <c r="Y782" s="69" t="str">
        <f>IFERROR(INDEX(刷條碼區!A:C,MATCH(點上線資訊!S782,刷條碼區!C:C,0),2),"")</f>
        <v/>
      </c>
      <c r="Z782" s="70" t="str">
        <f>IFERROR(INDEX(刷條碼區!D:G,MATCH(點上線資訊!S782,刷條碼區!F:F,0),1),"")</f>
        <v/>
      </c>
      <c r="AA782" s="71" t="str">
        <f>IFERROR(INDEX(刷條碼區!D:G,MATCH(點上線資訊!S782,刷條碼區!F:F,0),2),"")</f>
        <v/>
      </c>
      <c r="AB782" s="20" t="b">
        <f t="shared" si="74"/>
        <v>0</v>
      </c>
      <c r="AC782" s="20" t="b">
        <f t="shared" si="75"/>
        <v>0</v>
      </c>
      <c r="AD782" s="17" t="b">
        <f t="shared" si="76"/>
        <v>0</v>
      </c>
      <c r="AE782" s="17" t="b">
        <f t="shared" si="77"/>
        <v>0</v>
      </c>
    </row>
    <row r="783" spans="1:31" x14ac:dyDescent="0.2">
      <c r="A783" s="16">
        <v>5000503534</v>
      </c>
      <c r="B783" t="s">
        <v>0</v>
      </c>
      <c r="C783" t="s">
        <v>0</v>
      </c>
      <c r="D783" t="s">
        <v>1</v>
      </c>
      <c r="E783" t="s">
        <v>986</v>
      </c>
      <c r="F783" t="s">
        <v>987</v>
      </c>
      <c r="G783" s="2">
        <v>7</v>
      </c>
      <c r="H783" t="s">
        <v>461</v>
      </c>
      <c r="I783" t="s">
        <v>3</v>
      </c>
      <c r="J783" t="s">
        <v>5</v>
      </c>
      <c r="K783" t="s">
        <v>605</v>
      </c>
      <c r="L783" t="s">
        <v>608</v>
      </c>
      <c r="M783" t="s">
        <v>985</v>
      </c>
      <c r="N783" t="s">
        <v>602</v>
      </c>
      <c r="O783" t="s">
        <v>603</v>
      </c>
      <c r="P783" t="s">
        <v>602</v>
      </c>
      <c r="Q783" s="17">
        <f>IFERROR(VLOOKUP(A783,已除帳印單!B:C,1,0),0)*1</f>
        <v>0</v>
      </c>
      <c r="R783" s="67" t="str">
        <f>IFERROR(VLOOKUP(J783,線別!A:B,2,1),"")</f>
        <v>FM線</v>
      </c>
      <c r="S783" s="17" t="str">
        <f>IFERROR(VLOOKUP(A783,已除帳印單!B:C,2,0),"")</f>
        <v/>
      </c>
      <c r="T783" s="68">
        <f t="shared" si="78"/>
        <v>43892</v>
      </c>
      <c r="U783" s="69">
        <f t="shared" si="79"/>
        <v>84.168773148148148</v>
      </c>
      <c r="V783" s="68" t="str">
        <f>IFERROR(VLOOKUP(A783,已除帳印單!B:D,3,0),"")</f>
        <v/>
      </c>
      <c r="W783" s="69" t="str">
        <f>IFERROR(VLOOKUP(A783,已除帳印單!B:E,4,0),"")</f>
        <v/>
      </c>
      <c r="X783" s="68" t="str">
        <f>IFERROR(INDEX(刷條碼區!A:C,MATCH(點上線資訊!S783,刷條碼區!C:C,0),1),"")</f>
        <v/>
      </c>
      <c r="Y783" s="69" t="str">
        <f>IFERROR(INDEX(刷條碼區!A:C,MATCH(點上線資訊!S783,刷條碼區!C:C,0),2),"")</f>
        <v/>
      </c>
      <c r="Z783" s="70" t="str">
        <f>IFERROR(INDEX(刷條碼區!D:G,MATCH(點上線資訊!S783,刷條碼區!F:F,0),1),"")</f>
        <v/>
      </c>
      <c r="AA783" s="71" t="str">
        <f>IFERROR(INDEX(刷條碼區!D:G,MATCH(點上線資訊!S783,刷條碼區!F:F,0),2),"")</f>
        <v/>
      </c>
      <c r="AB783" s="20" t="b">
        <f t="shared" si="74"/>
        <v>0</v>
      </c>
      <c r="AC783" s="20" t="b">
        <f t="shared" si="75"/>
        <v>0</v>
      </c>
      <c r="AD783" s="17" t="b">
        <f t="shared" si="76"/>
        <v>0</v>
      </c>
      <c r="AE783" s="17" t="b">
        <f t="shared" si="77"/>
        <v>0</v>
      </c>
    </row>
    <row r="784" spans="1:31" x14ac:dyDescent="0.2">
      <c r="A784" s="16">
        <v>5000503535</v>
      </c>
      <c r="B784" t="s">
        <v>6</v>
      </c>
      <c r="C784" t="s">
        <v>6</v>
      </c>
      <c r="D784" t="s">
        <v>1</v>
      </c>
      <c r="E784" t="s">
        <v>986</v>
      </c>
      <c r="F784" t="s">
        <v>987</v>
      </c>
      <c r="G784" s="2">
        <v>7</v>
      </c>
      <c r="H784" t="s">
        <v>461</v>
      </c>
      <c r="I784" t="s">
        <v>3</v>
      </c>
      <c r="J784" t="s">
        <v>5</v>
      </c>
      <c r="K784" t="s">
        <v>605</v>
      </c>
      <c r="L784" t="s">
        <v>608</v>
      </c>
      <c r="M784" t="s">
        <v>1240</v>
      </c>
      <c r="N784" t="s">
        <v>602</v>
      </c>
      <c r="O784" t="s">
        <v>603</v>
      </c>
      <c r="P784" t="s">
        <v>602</v>
      </c>
      <c r="Q784" s="17">
        <f>IFERROR(VLOOKUP(A784,已除帳印單!B:C,1,0),0)*1</f>
        <v>0</v>
      </c>
      <c r="R784" s="67" t="str">
        <f>IFERROR(VLOOKUP(J784,線別!A:B,2,1),"")</f>
        <v>FM線</v>
      </c>
      <c r="S784" s="17" t="str">
        <f>IFERROR(VLOOKUP(A784,已除帳印單!B:C,2,0),"")</f>
        <v/>
      </c>
      <c r="T784" s="68">
        <f t="shared" si="78"/>
        <v>43893</v>
      </c>
      <c r="U784" s="69">
        <f t="shared" si="79"/>
        <v>84.168784722222213</v>
      </c>
      <c r="V784" s="68" t="str">
        <f>IFERROR(VLOOKUP(A784,已除帳印單!B:D,3,0),"")</f>
        <v/>
      </c>
      <c r="W784" s="69" t="str">
        <f>IFERROR(VLOOKUP(A784,已除帳印單!B:E,4,0),"")</f>
        <v/>
      </c>
      <c r="X784" s="68" t="str">
        <f>IFERROR(INDEX(刷條碼區!A:C,MATCH(點上線資訊!S784,刷條碼區!C:C,0),1),"")</f>
        <v/>
      </c>
      <c r="Y784" s="69" t="str">
        <f>IFERROR(INDEX(刷條碼區!A:C,MATCH(點上線資訊!S784,刷條碼區!C:C,0),2),"")</f>
        <v/>
      </c>
      <c r="Z784" s="70" t="str">
        <f>IFERROR(INDEX(刷條碼區!D:G,MATCH(點上線資訊!S784,刷條碼區!F:F,0),1),"")</f>
        <v/>
      </c>
      <c r="AA784" s="71" t="str">
        <f>IFERROR(INDEX(刷條碼區!D:G,MATCH(點上線資訊!S784,刷條碼區!F:F,0),2),"")</f>
        <v/>
      </c>
      <c r="AB784" s="20" t="b">
        <f t="shared" si="74"/>
        <v>0</v>
      </c>
      <c r="AC784" s="20" t="b">
        <f t="shared" si="75"/>
        <v>0</v>
      </c>
      <c r="AD784" s="17" t="b">
        <f t="shared" si="76"/>
        <v>0</v>
      </c>
      <c r="AE784" s="17" t="b">
        <f t="shared" si="77"/>
        <v>0</v>
      </c>
    </row>
    <row r="785" spans="1:31" x14ac:dyDescent="0.2">
      <c r="A785" s="16">
        <v>5000503536</v>
      </c>
      <c r="B785" t="s">
        <v>6</v>
      </c>
      <c r="C785" t="s">
        <v>6</v>
      </c>
      <c r="D785" t="s">
        <v>1</v>
      </c>
      <c r="E785" t="s">
        <v>986</v>
      </c>
      <c r="F785" t="s">
        <v>987</v>
      </c>
      <c r="G785" s="2">
        <v>7</v>
      </c>
      <c r="H785" t="s">
        <v>461</v>
      </c>
      <c r="I785" t="s">
        <v>3</v>
      </c>
      <c r="J785" t="s">
        <v>5</v>
      </c>
      <c r="K785" t="s">
        <v>605</v>
      </c>
      <c r="L785" t="s">
        <v>608</v>
      </c>
      <c r="M785" t="s">
        <v>1240</v>
      </c>
      <c r="N785" t="s">
        <v>602</v>
      </c>
      <c r="O785" t="s">
        <v>603</v>
      </c>
      <c r="P785" t="s">
        <v>602</v>
      </c>
      <c r="Q785" s="17">
        <f>IFERROR(VLOOKUP(A785,已除帳印單!B:C,1,0),0)*1</f>
        <v>0</v>
      </c>
      <c r="R785" s="67" t="str">
        <f>IFERROR(VLOOKUP(J785,線別!A:B,2,1),"")</f>
        <v>FM線</v>
      </c>
      <c r="S785" s="17" t="str">
        <f>IFERROR(VLOOKUP(A785,已除帳印單!B:C,2,0),"")</f>
        <v/>
      </c>
      <c r="T785" s="68">
        <f t="shared" si="78"/>
        <v>43893</v>
      </c>
      <c r="U785" s="69">
        <f t="shared" si="79"/>
        <v>84.168784722222213</v>
      </c>
      <c r="V785" s="68" t="str">
        <f>IFERROR(VLOOKUP(A785,已除帳印單!B:D,3,0),"")</f>
        <v/>
      </c>
      <c r="W785" s="69" t="str">
        <f>IFERROR(VLOOKUP(A785,已除帳印單!B:E,4,0),"")</f>
        <v/>
      </c>
      <c r="X785" s="68" t="str">
        <f>IFERROR(INDEX(刷條碼區!A:C,MATCH(點上線資訊!S785,刷條碼區!C:C,0),1),"")</f>
        <v/>
      </c>
      <c r="Y785" s="69" t="str">
        <f>IFERROR(INDEX(刷條碼區!A:C,MATCH(點上線資訊!S785,刷條碼區!C:C,0),2),"")</f>
        <v/>
      </c>
      <c r="Z785" s="70" t="str">
        <f>IFERROR(INDEX(刷條碼區!D:G,MATCH(點上線資訊!S785,刷條碼區!F:F,0),1),"")</f>
        <v/>
      </c>
      <c r="AA785" s="71" t="str">
        <f>IFERROR(INDEX(刷條碼區!D:G,MATCH(點上線資訊!S785,刷條碼區!F:F,0),2),"")</f>
        <v/>
      </c>
      <c r="AB785" s="20" t="b">
        <f t="shared" si="74"/>
        <v>0</v>
      </c>
      <c r="AC785" s="20" t="b">
        <f t="shared" si="75"/>
        <v>0</v>
      </c>
      <c r="AD785" s="17" t="b">
        <f t="shared" si="76"/>
        <v>0</v>
      </c>
      <c r="AE785" s="17" t="b">
        <f t="shared" si="77"/>
        <v>0</v>
      </c>
    </row>
    <row r="786" spans="1:31" x14ac:dyDescent="0.2">
      <c r="A786" s="16">
        <v>5000503537</v>
      </c>
      <c r="B786" t="s">
        <v>6</v>
      </c>
      <c r="C786" t="s">
        <v>6</v>
      </c>
      <c r="D786" t="s">
        <v>1</v>
      </c>
      <c r="E786" t="s">
        <v>986</v>
      </c>
      <c r="F786" t="s">
        <v>987</v>
      </c>
      <c r="G786" s="2">
        <v>3</v>
      </c>
      <c r="H786" t="s">
        <v>461</v>
      </c>
      <c r="I786" t="s">
        <v>3</v>
      </c>
      <c r="J786" t="s">
        <v>5</v>
      </c>
      <c r="K786" t="s">
        <v>605</v>
      </c>
      <c r="L786" t="s">
        <v>608</v>
      </c>
      <c r="M786" t="s">
        <v>1240</v>
      </c>
      <c r="N786" t="s">
        <v>602</v>
      </c>
      <c r="O786" t="s">
        <v>603</v>
      </c>
      <c r="P786" t="s">
        <v>602</v>
      </c>
      <c r="Q786" s="17">
        <f>IFERROR(VLOOKUP(A786,已除帳印單!B:C,1,0),0)*1</f>
        <v>0</v>
      </c>
      <c r="R786" s="67" t="str">
        <f>IFERROR(VLOOKUP(J786,線別!A:B,2,1),"")</f>
        <v>FM線</v>
      </c>
      <c r="S786" s="17" t="str">
        <f>IFERROR(VLOOKUP(A786,已除帳印單!B:C,2,0),"")</f>
        <v/>
      </c>
      <c r="T786" s="68">
        <f t="shared" si="78"/>
        <v>43893</v>
      </c>
      <c r="U786" s="69">
        <f t="shared" si="79"/>
        <v>84.168784722222213</v>
      </c>
      <c r="V786" s="68" t="str">
        <f>IFERROR(VLOOKUP(A786,已除帳印單!B:D,3,0),"")</f>
        <v/>
      </c>
      <c r="W786" s="69" t="str">
        <f>IFERROR(VLOOKUP(A786,已除帳印單!B:E,4,0),"")</f>
        <v/>
      </c>
      <c r="X786" s="68" t="str">
        <f>IFERROR(INDEX(刷條碼區!A:C,MATCH(點上線資訊!S786,刷條碼區!C:C,0),1),"")</f>
        <v/>
      </c>
      <c r="Y786" s="69" t="str">
        <f>IFERROR(INDEX(刷條碼區!A:C,MATCH(點上線資訊!S786,刷條碼區!C:C,0),2),"")</f>
        <v/>
      </c>
      <c r="Z786" s="70" t="str">
        <f>IFERROR(INDEX(刷條碼區!D:G,MATCH(點上線資訊!S786,刷條碼區!F:F,0),1),"")</f>
        <v/>
      </c>
      <c r="AA786" s="71" t="str">
        <f>IFERROR(INDEX(刷條碼區!D:G,MATCH(點上線資訊!S786,刷條碼區!F:F,0),2),"")</f>
        <v/>
      </c>
      <c r="AB786" s="20" t="b">
        <f t="shared" si="74"/>
        <v>0</v>
      </c>
      <c r="AC786" s="20" t="b">
        <f t="shared" si="75"/>
        <v>0</v>
      </c>
      <c r="AD786" s="17" t="b">
        <f t="shared" si="76"/>
        <v>0</v>
      </c>
      <c r="AE786" s="17" t="b">
        <f t="shared" si="77"/>
        <v>0</v>
      </c>
    </row>
    <row r="787" spans="1:31" x14ac:dyDescent="0.2">
      <c r="A787" s="16">
        <v>5000503547</v>
      </c>
      <c r="B787" t="s">
        <v>6</v>
      </c>
      <c r="C787" t="s">
        <v>6</v>
      </c>
      <c r="D787" t="s">
        <v>1</v>
      </c>
      <c r="E787" t="s">
        <v>89</v>
      </c>
      <c r="F787" t="s">
        <v>889</v>
      </c>
      <c r="G787" s="2">
        <v>19</v>
      </c>
      <c r="H787" t="s">
        <v>461</v>
      </c>
      <c r="I787" t="s">
        <v>3</v>
      </c>
      <c r="J787" t="s">
        <v>8</v>
      </c>
      <c r="K787" t="s">
        <v>605</v>
      </c>
      <c r="L787" t="s">
        <v>608</v>
      </c>
      <c r="M787" t="s">
        <v>1117</v>
      </c>
      <c r="N787" t="s">
        <v>602</v>
      </c>
      <c r="O787" t="s">
        <v>603</v>
      </c>
      <c r="P787" t="s">
        <v>602</v>
      </c>
      <c r="Q787" s="17">
        <f>IFERROR(VLOOKUP(A787,已除帳印單!B:C,1,0),0)*1</f>
        <v>0</v>
      </c>
      <c r="R787" s="67" t="str">
        <f>IFERROR(VLOOKUP(J787,線別!A:B,2,1),"")</f>
        <v>裝一線</v>
      </c>
      <c r="S787" s="17" t="str">
        <f>IFERROR(VLOOKUP(A787,已除帳印單!B:C,2,0),"")</f>
        <v/>
      </c>
      <c r="T787" s="68">
        <f t="shared" si="78"/>
        <v>43893</v>
      </c>
      <c r="U787" s="69">
        <f t="shared" si="79"/>
        <v>84.168784722222213</v>
      </c>
      <c r="V787" s="68" t="str">
        <f>IFERROR(VLOOKUP(A787,已除帳印單!B:D,3,0),"")</f>
        <v/>
      </c>
      <c r="W787" s="69" t="str">
        <f>IFERROR(VLOOKUP(A787,已除帳印單!B:E,4,0),"")</f>
        <v/>
      </c>
      <c r="X787" s="68" t="str">
        <f>IFERROR(INDEX(刷條碼區!A:C,MATCH(點上線資訊!S787,刷條碼區!C:C,0),1),"")</f>
        <v/>
      </c>
      <c r="Y787" s="69" t="str">
        <f>IFERROR(INDEX(刷條碼區!A:C,MATCH(點上線資訊!S787,刷條碼區!C:C,0),2),"")</f>
        <v/>
      </c>
      <c r="Z787" s="70" t="str">
        <f>IFERROR(INDEX(刷條碼區!D:G,MATCH(點上線資訊!S787,刷條碼區!F:F,0),1),"")</f>
        <v/>
      </c>
      <c r="AA787" s="71" t="str">
        <f>IFERROR(INDEX(刷條碼區!D:G,MATCH(點上線資訊!S787,刷條碼區!F:F,0),2),"")</f>
        <v/>
      </c>
      <c r="AB787" s="20" t="b">
        <f t="shared" si="74"/>
        <v>0</v>
      </c>
      <c r="AC787" s="20" t="b">
        <f t="shared" si="75"/>
        <v>0</v>
      </c>
      <c r="AD787" s="17" t="b">
        <f t="shared" si="76"/>
        <v>0</v>
      </c>
      <c r="AE787" s="17" t="b">
        <f t="shared" si="77"/>
        <v>0</v>
      </c>
    </row>
    <row r="788" spans="1:31" x14ac:dyDescent="0.2">
      <c r="A788" s="16">
        <v>5000503551</v>
      </c>
      <c r="B788" t="s">
        <v>6</v>
      </c>
      <c r="C788" t="s">
        <v>6</v>
      </c>
      <c r="D788" t="s">
        <v>1</v>
      </c>
      <c r="E788" t="s">
        <v>1241</v>
      </c>
      <c r="F788" t="s">
        <v>1242</v>
      </c>
      <c r="G788" s="2">
        <v>2</v>
      </c>
      <c r="H788" t="s">
        <v>461</v>
      </c>
      <c r="I788" t="s">
        <v>3</v>
      </c>
      <c r="J788" t="s">
        <v>19</v>
      </c>
      <c r="K788" t="s">
        <v>605</v>
      </c>
      <c r="L788" t="s">
        <v>608</v>
      </c>
      <c r="M788" t="s">
        <v>438</v>
      </c>
      <c r="N788" t="s">
        <v>602</v>
      </c>
      <c r="O788" t="s">
        <v>603</v>
      </c>
      <c r="P788" t="s">
        <v>602</v>
      </c>
      <c r="Q788" s="17">
        <f>IFERROR(VLOOKUP(A788,已除帳印單!B:C,1,0),0)*1</f>
        <v>0</v>
      </c>
      <c r="R788" s="67" t="str">
        <f>IFERROR(VLOOKUP(J788,線別!A:B,2,1),"")</f>
        <v>FM_IA預組</v>
      </c>
      <c r="S788" s="17" t="str">
        <f>IFERROR(VLOOKUP(A788,已除帳印單!B:C,2,0),"")</f>
        <v/>
      </c>
      <c r="T788" s="68">
        <f t="shared" si="78"/>
        <v>43893</v>
      </c>
      <c r="U788" s="69">
        <f t="shared" si="79"/>
        <v>84.168784722222213</v>
      </c>
      <c r="V788" s="68" t="str">
        <f>IFERROR(VLOOKUP(A788,已除帳印單!B:D,3,0),"")</f>
        <v/>
      </c>
      <c r="W788" s="69" t="str">
        <f>IFERROR(VLOOKUP(A788,已除帳印單!B:E,4,0),"")</f>
        <v/>
      </c>
      <c r="X788" s="68" t="str">
        <f>IFERROR(INDEX(刷條碼區!A:C,MATCH(點上線資訊!S788,刷條碼區!C:C,0),1),"")</f>
        <v/>
      </c>
      <c r="Y788" s="69" t="str">
        <f>IFERROR(INDEX(刷條碼區!A:C,MATCH(點上線資訊!S788,刷條碼區!C:C,0),2),"")</f>
        <v/>
      </c>
      <c r="Z788" s="70" t="str">
        <f>IFERROR(INDEX(刷條碼區!D:G,MATCH(點上線資訊!S788,刷條碼區!F:F,0),1),"")</f>
        <v/>
      </c>
      <c r="AA788" s="71" t="str">
        <f>IFERROR(INDEX(刷條碼區!D:G,MATCH(點上線資訊!S788,刷條碼區!F:F,0),2),"")</f>
        <v/>
      </c>
      <c r="AB788" s="20" t="b">
        <f t="shared" si="74"/>
        <v>0</v>
      </c>
      <c r="AC788" s="20" t="b">
        <f t="shared" si="75"/>
        <v>0</v>
      </c>
      <c r="AD788" s="17" t="b">
        <f t="shared" si="76"/>
        <v>0</v>
      </c>
      <c r="AE788" s="17" t="b">
        <f t="shared" si="77"/>
        <v>0</v>
      </c>
    </row>
    <row r="789" spans="1:31" x14ac:dyDescent="0.2">
      <c r="A789" s="16">
        <v>5000503615</v>
      </c>
      <c r="B789" t="s">
        <v>301</v>
      </c>
      <c r="C789" t="s">
        <v>301</v>
      </c>
      <c r="D789" t="s">
        <v>1</v>
      </c>
      <c r="E789" t="s">
        <v>368</v>
      </c>
      <c r="F789" t="s">
        <v>369</v>
      </c>
      <c r="G789" s="2">
        <v>10</v>
      </c>
      <c r="H789" t="s">
        <v>461</v>
      </c>
      <c r="I789" t="s">
        <v>3</v>
      </c>
      <c r="J789" t="s">
        <v>19</v>
      </c>
      <c r="K789" t="s">
        <v>605</v>
      </c>
      <c r="L789" t="s">
        <v>608</v>
      </c>
      <c r="M789" t="s">
        <v>451</v>
      </c>
      <c r="N789" t="s">
        <v>602</v>
      </c>
      <c r="O789" t="s">
        <v>603</v>
      </c>
      <c r="P789" t="s">
        <v>602</v>
      </c>
      <c r="Q789" s="17">
        <f>IFERROR(VLOOKUP(A789,已除帳印單!B:C,1,0),0)*1</f>
        <v>0</v>
      </c>
      <c r="R789" s="67" t="str">
        <f>IFERROR(VLOOKUP(J789,線別!A:B,2,1),"")</f>
        <v>FM_IA預組</v>
      </c>
      <c r="S789" s="17" t="str">
        <f>IFERROR(VLOOKUP(A789,已除帳印單!B:C,2,0),"")</f>
        <v/>
      </c>
      <c r="T789" s="68">
        <f t="shared" si="78"/>
        <v>43894</v>
      </c>
      <c r="U789" s="69">
        <f t="shared" si="79"/>
        <v>84.168796296296293</v>
      </c>
      <c r="V789" s="68" t="str">
        <f>IFERROR(VLOOKUP(A789,已除帳印單!B:D,3,0),"")</f>
        <v/>
      </c>
      <c r="W789" s="69" t="str">
        <f>IFERROR(VLOOKUP(A789,已除帳印單!B:E,4,0),"")</f>
        <v/>
      </c>
      <c r="X789" s="68" t="str">
        <f>IFERROR(INDEX(刷條碼區!A:C,MATCH(點上線資訊!S789,刷條碼區!C:C,0),1),"")</f>
        <v/>
      </c>
      <c r="Y789" s="69" t="str">
        <f>IFERROR(INDEX(刷條碼區!A:C,MATCH(點上線資訊!S789,刷條碼區!C:C,0),2),"")</f>
        <v/>
      </c>
      <c r="Z789" s="70" t="str">
        <f>IFERROR(INDEX(刷條碼區!D:G,MATCH(點上線資訊!S789,刷條碼區!F:F,0),1),"")</f>
        <v/>
      </c>
      <c r="AA789" s="71" t="str">
        <f>IFERROR(INDEX(刷條碼區!D:G,MATCH(點上線資訊!S789,刷條碼區!F:F,0),2),"")</f>
        <v/>
      </c>
      <c r="AB789" s="20" t="b">
        <f t="shared" si="74"/>
        <v>0</v>
      </c>
      <c r="AC789" s="20" t="b">
        <f t="shared" si="75"/>
        <v>0</v>
      </c>
      <c r="AD789" s="17" t="b">
        <f t="shared" si="76"/>
        <v>0</v>
      </c>
      <c r="AE789" s="17" t="b">
        <f t="shared" si="77"/>
        <v>0</v>
      </c>
    </row>
    <row r="790" spans="1:31" x14ac:dyDescent="0.2">
      <c r="A790" s="16">
        <v>5000503616</v>
      </c>
      <c r="B790" t="s">
        <v>301</v>
      </c>
      <c r="C790" t="s">
        <v>301</v>
      </c>
      <c r="D790" t="s">
        <v>1</v>
      </c>
      <c r="E790" t="s">
        <v>361</v>
      </c>
      <c r="F790" t="s">
        <v>1243</v>
      </c>
      <c r="G790" s="2">
        <v>1</v>
      </c>
      <c r="H790" t="s">
        <v>461</v>
      </c>
      <c r="I790" t="s">
        <v>3</v>
      </c>
      <c r="J790" t="s">
        <v>19</v>
      </c>
      <c r="K790" t="s">
        <v>605</v>
      </c>
      <c r="L790" t="s">
        <v>608</v>
      </c>
      <c r="M790" t="s">
        <v>451</v>
      </c>
      <c r="N790" t="s">
        <v>602</v>
      </c>
      <c r="O790" t="s">
        <v>603</v>
      </c>
      <c r="P790" t="s">
        <v>602</v>
      </c>
      <c r="Q790" s="17">
        <f>IFERROR(VLOOKUP(A790,已除帳印單!B:C,1,0),0)*1</f>
        <v>0</v>
      </c>
      <c r="R790" s="67" t="str">
        <f>IFERROR(VLOOKUP(J790,線別!A:B,2,1),"")</f>
        <v>FM_IA預組</v>
      </c>
      <c r="S790" s="17" t="str">
        <f>IFERROR(VLOOKUP(A790,已除帳印單!B:C,2,0),"")</f>
        <v/>
      </c>
      <c r="T790" s="68">
        <f t="shared" si="78"/>
        <v>43894</v>
      </c>
      <c r="U790" s="69">
        <f t="shared" si="79"/>
        <v>84.168796296296293</v>
      </c>
      <c r="V790" s="68" t="str">
        <f>IFERROR(VLOOKUP(A790,已除帳印單!B:D,3,0),"")</f>
        <v/>
      </c>
      <c r="W790" s="69" t="str">
        <f>IFERROR(VLOOKUP(A790,已除帳印單!B:E,4,0),"")</f>
        <v/>
      </c>
      <c r="X790" s="68" t="str">
        <f>IFERROR(INDEX(刷條碼區!A:C,MATCH(點上線資訊!S790,刷條碼區!C:C,0),1),"")</f>
        <v/>
      </c>
      <c r="Y790" s="69" t="str">
        <f>IFERROR(INDEX(刷條碼區!A:C,MATCH(點上線資訊!S790,刷條碼區!C:C,0),2),"")</f>
        <v/>
      </c>
      <c r="Z790" s="70" t="str">
        <f>IFERROR(INDEX(刷條碼區!D:G,MATCH(點上線資訊!S790,刷條碼區!F:F,0),1),"")</f>
        <v/>
      </c>
      <c r="AA790" s="71" t="str">
        <f>IFERROR(INDEX(刷條碼區!D:G,MATCH(點上線資訊!S790,刷條碼區!F:F,0),2),"")</f>
        <v/>
      </c>
      <c r="AB790" s="20" t="b">
        <f t="shared" si="74"/>
        <v>0</v>
      </c>
      <c r="AC790" s="20" t="b">
        <f t="shared" si="75"/>
        <v>0</v>
      </c>
      <c r="AD790" s="17" t="b">
        <f t="shared" si="76"/>
        <v>0</v>
      </c>
      <c r="AE790" s="17" t="b">
        <f t="shared" si="77"/>
        <v>0</v>
      </c>
    </row>
    <row r="791" spans="1:31" x14ac:dyDescent="0.2">
      <c r="A791" s="16">
        <v>5000503617</v>
      </c>
      <c r="B791" t="s">
        <v>301</v>
      </c>
      <c r="C791" t="s">
        <v>301</v>
      </c>
      <c r="D791" t="s">
        <v>1</v>
      </c>
      <c r="E791" t="s">
        <v>361</v>
      </c>
      <c r="F791" t="s">
        <v>1243</v>
      </c>
      <c r="G791" s="2">
        <v>1</v>
      </c>
      <c r="H791" t="s">
        <v>461</v>
      </c>
      <c r="I791" t="s">
        <v>3</v>
      </c>
      <c r="J791" t="s">
        <v>19</v>
      </c>
      <c r="K791" t="s">
        <v>605</v>
      </c>
      <c r="L791" t="s">
        <v>608</v>
      </c>
      <c r="M791" t="s">
        <v>451</v>
      </c>
      <c r="N791" t="s">
        <v>602</v>
      </c>
      <c r="O791" t="s">
        <v>603</v>
      </c>
      <c r="P791" t="s">
        <v>602</v>
      </c>
      <c r="Q791" s="17">
        <f>IFERROR(VLOOKUP(A791,已除帳印單!B:C,1,0),0)*1</f>
        <v>0</v>
      </c>
      <c r="R791" s="67" t="str">
        <f>IFERROR(VLOOKUP(J791,線別!A:B,2,1),"")</f>
        <v>FM_IA預組</v>
      </c>
      <c r="S791" s="17" t="str">
        <f>IFERROR(VLOOKUP(A791,已除帳印單!B:C,2,0),"")</f>
        <v/>
      </c>
      <c r="T791" s="68">
        <f t="shared" si="78"/>
        <v>43894</v>
      </c>
      <c r="U791" s="69">
        <f t="shared" si="79"/>
        <v>84.168796296296293</v>
      </c>
      <c r="V791" s="68" t="str">
        <f>IFERROR(VLOOKUP(A791,已除帳印單!B:D,3,0),"")</f>
        <v/>
      </c>
      <c r="W791" s="69" t="str">
        <f>IFERROR(VLOOKUP(A791,已除帳印單!B:E,4,0),"")</f>
        <v/>
      </c>
      <c r="X791" s="68" t="str">
        <f>IFERROR(INDEX(刷條碼區!A:C,MATCH(點上線資訊!S791,刷條碼區!C:C,0),1),"")</f>
        <v/>
      </c>
      <c r="Y791" s="69" t="str">
        <f>IFERROR(INDEX(刷條碼區!A:C,MATCH(點上線資訊!S791,刷條碼區!C:C,0),2),"")</f>
        <v/>
      </c>
      <c r="Z791" s="70" t="str">
        <f>IFERROR(INDEX(刷條碼區!D:G,MATCH(點上線資訊!S791,刷條碼區!F:F,0),1),"")</f>
        <v/>
      </c>
      <c r="AA791" s="71" t="str">
        <f>IFERROR(INDEX(刷條碼區!D:G,MATCH(點上線資訊!S791,刷條碼區!F:F,0),2),"")</f>
        <v/>
      </c>
      <c r="AB791" s="20" t="b">
        <f t="shared" si="74"/>
        <v>0</v>
      </c>
      <c r="AC791" s="20" t="b">
        <f t="shared" si="75"/>
        <v>0</v>
      </c>
      <c r="AD791" s="17" t="b">
        <f t="shared" si="76"/>
        <v>0</v>
      </c>
      <c r="AE791" s="17" t="b">
        <f t="shared" si="77"/>
        <v>0</v>
      </c>
    </row>
    <row r="792" spans="1:31" x14ac:dyDescent="0.2">
      <c r="A792" s="16">
        <v>5000503618</v>
      </c>
      <c r="B792" t="s">
        <v>301</v>
      </c>
      <c r="C792" t="s">
        <v>301</v>
      </c>
      <c r="D792" t="s">
        <v>1</v>
      </c>
      <c r="E792" t="s">
        <v>361</v>
      </c>
      <c r="F792" t="s">
        <v>1243</v>
      </c>
      <c r="G792" s="2">
        <v>1</v>
      </c>
      <c r="H792" t="s">
        <v>461</v>
      </c>
      <c r="I792" t="s">
        <v>3</v>
      </c>
      <c r="J792" t="s">
        <v>19</v>
      </c>
      <c r="K792" t="s">
        <v>605</v>
      </c>
      <c r="L792" t="s">
        <v>608</v>
      </c>
      <c r="M792" t="s">
        <v>451</v>
      </c>
      <c r="N792" t="s">
        <v>602</v>
      </c>
      <c r="O792" t="s">
        <v>603</v>
      </c>
      <c r="P792" t="s">
        <v>602</v>
      </c>
      <c r="Q792" s="17">
        <f>IFERROR(VLOOKUP(A792,已除帳印單!B:C,1,0),0)*1</f>
        <v>0</v>
      </c>
      <c r="R792" s="67" t="str">
        <f>IFERROR(VLOOKUP(J792,線別!A:B,2,1),"")</f>
        <v>FM_IA預組</v>
      </c>
      <c r="S792" s="17" t="str">
        <f>IFERROR(VLOOKUP(A792,已除帳印單!B:C,2,0),"")</f>
        <v/>
      </c>
      <c r="T792" s="68">
        <f t="shared" si="78"/>
        <v>43894</v>
      </c>
      <c r="U792" s="69">
        <f t="shared" si="79"/>
        <v>84.168796296296293</v>
      </c>
      <c r="V792" s="68" t="str">
        <f>IFERROR(VLOOKUP(A792,已除帳印單!B:D,3,0),"")</f>
        <v/>
      </c>
      <c r="W792" s="69" t="str">
        <f>IFERROR(VLOOKUP(A792,已除帳印單!B:E,4,0),"")</f>
        <v/>
      </c>
      <c r="X792" s="68" t="str">
        <f>IFERROR(INDEX(刷條碼區!A:C,MATCH(點上線資訊!S792,刷條碼區!C:C,0),1),"")</f>
        <v/>
      </c>
      <c r="Y792" s="69" t="str">
        <f>IFERROR(INDEX(刷條碼區!A:C,MATCH(點上線資訊!S792,刷條碼區!C:C,0),2),"")</f>
        <v/>
      </c>
      <c r="Z792" s="70" t="str">
        <f>IFERROR(INDEX(刷條碼區!D:G,MATCH(點上線資訊!S792,刷條碼區!F:F,0),1),"")</f>
        <v/>
      </c>
      <c r="AA792" s="71" t="str">
        <f>IFERROR(INDEX(刷條碼區!D:G,MATCH(點上線資訊!S792,刷條碼區!F:F,0),2),"")</f>
        <v/>
      </c>
      <c r="AB792" s="20" t="b">
        <f t="shared" si="74"/>
        <v>0</v>
      </c>
      <c r="AC792" s="20" t="b">
        <f t="shared" si="75"/>
        <v>0</v>
      </c>
      <c r="AD792" s="17" t="b">
        <f t="shared" si="76"/>
        <v>0</v>
      </c>
      <c r="AE792" s="17" t="b">
        <f t="shared" si="77"/>
        <v>0</v>
      </c>
    </row>
    <row r="793" spans="1:31" x14ac:dyDescent="0.2">
      <c r="A793" s="16">
        <v>5000503619</v>
      </c>
      <c r="B793" t="s">
        <v>301</v>
      </c>
      <c r="C793" t="s">
        <v>301</v>
      </c>
      <c r="D793" t="s">
        <v>1</v>
      </c>
      <c r="E793" t="s">
        <v>361</v>
      </c>
      <c r="F793" t="s">
        <v>1243</v>
      </c>
      <c r="G793" s="2">
        <v>1</v>
      </c>
      <c r="H793" t="s">
        <v>461</v>
      </c>
      <c r="I793" t="s">
        <v>3</v>
      </c>
      <c r="J793" t="s">
        <v>19</v>
      </c>
      <c r="K793" t="s">
        <v>605</v>
      </c>
      <c r="L793" t="s">
        <v>608</v>
      </c>
      <c r="M793" t="s">
        <v>451</v>
      </c>
      <c r="N793" t="s">
        <v>602</v>
      </c>
      <c r="O793" t="s">
        <v>603</v>
      </c>
      <c r="P793" t="s">
        <v>602</v>
      </c>
      <c r="Q793" s="17">
        <f>IFERROR(VLOOKUP(A793,已除帳印單!B:C,1,0),0)*1</f>
        <v>0</v>
      </c>
      <c r="R793" s="67" t="str">
        <f>IFERROR(VLOOKUP(J793,線別!A:B,2,1),"")</f>
        <v>FM_IA預組</v>
      </c>
      <c r="S793" s="17" t="str">
        <f>IFERROR(VLOOKUP(A793,已除帳印單!B:C,2,0),"")</f>
        <v/>
      </c>
      <c r="T793" s="68">
        <f t="shared" si="78"/>
        <v>43894</v>
      </c>
      <c r="U793" s="69">
        <f t="shared" si="79"/>
        <v>84.168796296296293</v>
      </c>
      <c r="V793" s="68" t="str">
        <f>IFERROR(VLOOKUP(A793,已除帳印單!B:D,3,0),"")</f>
        <v/>
      </c>
      <c r="W793" s="69" t="str">
        <f>IFERROR(VLOOKUP(A793,已除帳印單!B:E,4,0),"")</f>
        <v/>
      </c>
      <c r="X793" s="68" t="str">
        <f>IFERROR(INDEX(刷條碼區!A:C,MATCH(點上線資訊!S793,刷條碼區!C:C,0),1),"")</f>
        <v/>
      </c>
      <c r="Y793" s="69" t="str">
        <f>IFERROR(INDEX(刷條碼區!A:C,MATCH(點上線資訊!S793,刷條碼區!C:C,0),2),"")</f>
        <v/>
      </c>
      <c r="Z793" s="70" t="str">
        <f>IFERROR(INDEX(刷條碼區!D:G,MATCH(點上線資訊!S793,刷條碼區!F:F,0),1),"")</f>
        <v/>
      </c>
      <c r="AA793" s="71" t="str">
        <f>IFERROR(INDEX(刷條碼區!D:G,MATCH(點上線資訊!S793,刷條碼區!F:F,0),2),"")</f>
        <v/>
      </c>
      <c r="AB793" s="20" t="b">
        <f t="shared" si="74"/>
        <v>0</v>
      </c>
      <c r="AC793" s="20" t="b">
        <f t="shared" si="75"/>
        <v>0</v>
      </c>
      <c r="AD793" s="17" t="b">
        <f t="shared" si="76"/>
        <v>0</v>
      </c>
      <c r="AE793" s="17" t="b">
        <f t="shared" si="77"/>
        <v>0</v>
      </c>
    </row>
    <row r="794" spans="1:31" x14ac:dyDescent="0.2">
      <c r="A794" s="16">
        <v>5000503620</v>
      </c>
      <c r="B794" t="s">
        <v>301</v>
      </c>
      <c r="C794" t="s">
        <v>301</v>
      </c>
      <c r="D794" t="s">
        <v>1</v>
      </c>
      <c r="E794" t="s">
        <v>361</v>
      </c>
      <c r="F794" t="s">
        <v>1243</v>
      </c>
      <c r="G794" s="2">
        <v>1</v>
      </c>
      <c r="H794" t="s">
        <v>461</v>
      </c>
      <c r="I794" t="s">
        <v>3</v>
      </c>
      <c r="J794" t="s">
        <v>19</v>
      </c>
      <c r="K794" t="s">
        <v>605</v>
      </c>
      <c r="L794" t="s">
        <v>608</v>
      </c>
      <c r="M794" t="s">
        <v>451</v>
      </c>
      <c r="N794" t="s">
        <v>602</v>
      </c>
      <c r="O794" t="s">
        <v>603</v>
      </c>
      <c r="P794" t="s">
        <v>602</v>
      </c>
      <c r="Q794" s="17">
        <f>IFERROR(VLOOKUP(A794,已除帳印單!B:C,1,0),0)*1</f>
        <v>0</v>
      </c>
      <c r="R794" s="67" t="str">
        <f>IFERROR(VLOOKUP(J794,線別!A:B,2,1),"")</f>
        <v>FM_IA預組</v>
      </c>
      <c r="S794" s="17" t="str">
        <f>IFERROR(VLOOKUP(A794,已除帳印單!B:C,2,0),"")</f>
        <v/>
      </c>
      <c r="T794" s="68">
        <f t="shared" si="78"/>
        <v>43894</v>
      </c>
      <c r="U794" s="69">
        <f t="shared" si="79"/>
        <v>84.168796296296293</v>
      </c>
      <c r="V794" s="68" t="str">
        <f>IFERROR(VLOOKUP(A794,已除帳印單!B:D,3,0),"")</f>
        <v/>
      </c>
      <c r="W794" s="69" t="str">
        <f>IFERROR(VLOOKUP(A794,已除帳印單!B:E,4,0),"")</f>
        <v/>
      </c>
      <c r="X794" s="68" t="str">
        <f>IFERROR(INDEX(刷條碼區!A:C,MATCH(點上線資訊!S794,刷條碼區!C:C,0),1),"")</f>
        <v/>
      </c>
      <c r="Y794" s="69" t="str">
        <f>IFERROR(INDEX(刷條碼區!A:C,MATCH(點上線資訊!S794,刷條碼區!C:C,0),2),"")</f>
        <v/>
      </c>
      <c r="Z794" s="70" t="str">
        <f>IFERROR(INDEX(刷條碼區!D:G,MATCH(點上線資訊!S794,刷條碼區!F:F,0),1),"")</f>
        <v/>
      </c>
      <c r="AA794" s="71" t="str">
        <f>IFERROR(INDEX(刷條碼區!D:G,MATCH(點上線資訊!S794,刷條碼區!F:F,0),2),"")</f>
        <v/>
      </c>
      <c r="AB794" s="20" t="b">
        <f t="shared" si="74"/>
        <v>0</v>
      </c>
      <c r="AC794" s="20" t="b">
        <f t="shared" si="75"/>
        <v>0</v>
      </c>
      <c r="AD794" s="17" t="b">
        <f t="shared" si="76"/>
        <v>0</v>
      </c>
      <c r="AE794" s="17" t="b">
        <f t="shared" si="77"/>
        <v>0</v>
      </c>
    </row>
    <row r="795" spans="1:31" x14ac:dyDescent="0.2">
      <c r="A795" s="16">
        <v>5000503621</v>
      </c>
      <c r="B795" t="s">
        <v>301</v>
      </c>
      <c r="C795" t="s">
        <v>301</v>
      </c>
      <c r="D795" t="s">
        <v>1</v>
      </c>
      <c r="E795" t="s">
        <v>375</v>
      </c>
      <c r="F795" t="s">
        <v>1244</v>
      </c>
      <c r="G795" s="2">
        <v>5</v>
      </c>
      <c r="H795" t="s">
        <v>461</v>
      </c>
      <c r="I795" t="s">
        <v>3</v>
      </c>
      <c r="J795" t="s">
        <v>5</v>
      </c>
      <c r="K795" t="s">
        <v>605</v>
      </c>
      <c r="L795" t="s">
        <v>608</v>
      </c>
      <c r="M795" t="s">
        <v>450</v>
      </c>
      <c r="N795" t="s">
        <v>602</v>
      </c>
      <c r="O795" t="s">
        <v>603</v>
      </c>
      <c r="P795" t="s">
        <v>602</v>
      </c>
      <c r="Q795" s="17">
        <f>IFERROR(VLOOKUP(A795,已除帳印單!B:C,1,0),0)*1</f>
        <v>0</v>
      </c>
      <c r="R795" s="67" t="str">
        <f>IFERROR(VLOOKUP(J795,線別!A:B,2,1),"")</f>
        <v>FM線</v>
      </c>
      <c r="S795" s="17" t="str">
        <f>IFERROR(VLOOKUP(A795,已除帳印單!B:C,2,0),"")</f>
        <v/>
      </c>
      <c r="T795" s="68">
        <f t="shared" si="78"/>
        <v>43894</v>
      </c>
      <c r="U795" s="69">
        <f t="shared" si="79"/>
        <v>84.168796296296293</v>
      </c>
      <c r="V795" s="68" t="str">
        <f>IFERROR(VLOOKUP(A795,已除帳印單!B:D,3,0),"")</f>
        <v/>
      </c>
      <c r="W795" s="69" t="str">
        <f>IFERROR(VLOOKUP(A795,已除帳印單!B:E,4,0),"")</f>
        <v/>
      </c>
      <c r="X795" s="68" t="str">
        <f>IFERROR(INDEX(刷條碼區!A:C,MATCH(點上線資訊!S795,刷條碼區!C:C,0),1),"")</f>
        <v/>
      </c>
      <c r="Y795" s="69" t="str">
        <f>IFERROR(INDEX(刷條碼區!A:C,MATCH(點上線資訊!S795,刷條碼區!C:C,0),2),"")</f>
        <v/>
      </c>
      <c r="Z795" s="70" t="str">
        <f>IFERROR(INDEX(刷條碼區!D:G,MATCH(點上線資訊!S795,刷條碼區!F:F,0),1),"")</f>
        <v/>
      </c>
      <c r="AA795" s="71" t="str">
        <f>IFERROR(INDEX(刷條碼區!D:G,MATCH(點上線資訊!S795,刷條碼區!F:F,0),2),"")</f>
        <v/>
      </c>
      <c r="AB795" s="20" t="b">
        <f t="shared" si="74"/>
        <v>0</v>
      </c>
      <c r="AC795" s="20" t="b">
        <f t="shared" si="75"/>
        <v>0</v>
      </c>
      <c r="AD795" s="17" t="b">
        <f t="shared" si="76"/>
        <v>0</v>
      </c>
      <c r="AE795" s="17" t="b">
        <f t="shared" si="77"/>
        <v>0</v>
      </c>
    </row>
    <row r="796" spans="1:31" x14ac:dyDescent="0.2">
      <c r="A796" s="16">
        <v>5000503622</v>
      </c>
      <c r="B796" t="s">
        <v>6</v>
      </c>
      <c r="C796" t="s">
        <v>6</v>
      </c>
      <c r="D796" t="s">
        <v>1</v>
      </c>
      <c r="E796" t="s">
        <v>358</v>
      </c>
      <c r="F796" t="s">
        <v>988</v>
      </c>
      <c r="G796" s="2">
        <v>12</v>
      </c>
      <c r="H796" t="s">
        <v>461</v>
      </c>
      <c r="I796" t="s">
        <v>3</v>
      </c>
      <c r="J796" t="s">
        <v>5</v>
      </c>
      <c r="K796" t="s">
        <v>605</v>
      </c>
      <c r="L796" t="s">
        <v>608</v>
      </c>
      <c r="M796" t="s">
        <v>1240</v>
      </c>
      <c r="N796" t="s">
        <v>602</v>
      </c>
      <c r="O796" t="s">
        <v>603</v>
      </c>
      <c r="P796" t="s">
        <v>602</v>
      </c>
      <c r="Q796" s="17">
        <f>IFERROR(VLOOKUP(A796,已除帳印單!B:C,1,0),0)*1</f>
        <v>0</v>
      </c>
      <c r="R796" s="67" t="str">
        <f>IFERROR(VLOOKUP(J796,線別!A:B,2,1),"")</f>
        <v>FM線</v>
      </c>
      <c r="S796" s="17" t="str">
        <f>IFERROR(VLOOKUP(A796,已除帳印單!B:C,2,0),"")</f>
        <v/>
      </c>
      <c r="T796" s="68">
        <f t="shared" si="78"/>
        <v>43893</v>
      </c>
      <c r="U796" s="69">
        <f t="shared" si="79"/>
        <v>84.168784722222213</v>
      </c>
      <c r="V796" s="68" t="str">
        <f>IFERROR(VLOOKUP(A796,已除帳印單!B:D,3,0),"")</f>
        <v/>
      </c>
      <c r="W796" s="69" t="str">
        <f>IFERROR(VLOOKUP(A796,已除帳印單!B:E,4,0),"")</f>
        <v/>
      </c>
      <c r="X796" s="68" t="str">
        <f>IFERROR(INDEX(刷條碼區!A:C,MATCH(點上線資訊!S796,刷條碼區!C:C,0),1),"")</f>
        <v/>
      </c>
      <c r="Y796" s="69" t="str">
        <f>IFERROR(INDEX(刷條碼區!A:C,MATCH(點上線資訊!S796,刷條碼區!C:C,0),2),"")</f>
        <v/>
      </c>
      <c r="Z796" s="70" t="str">
        <f>IFERROR(INDEX(刷條碼區!D:G,MATCH(點上線資訊!S796,刷條碼區!F:F,0),1),"")</f>
        <v/>
      </c>
      <c r="AA796" s="71" t="str">
        <f>IFERROR(INDEX(刷條碼區!D:G,MATCH(點上線資訊!S796,刷條碼區!F:F,0),2),"")</f>
        <v/>
      </c>
      <c r="AB796" s="20" t="b">
        <f t="shared" si="74"/>
        <v>0</v>
      </c>
      <c r="AC796" s="20" t="b">
        <f t="shared" si="75"/>
        <v>0</v>
      </c>
      <c r="AD796" s="17" t="b">
        <f t="shared" si="76"/>
        <v>0</v>
      </c>
      <c r="AE796" s="17" t="b">
        <f t="shared" si="77"/>
        <v>0</v>
      </c>
    </row>
    <row r="797" spans="1:31" x14ac:dyDescent="0.2">
      <c r="A797" s="16">
        <v>5000503623</v>
      </c>
      <c r="B797" t="s">
        <v>6</v>
      </c>
      <c r="C797" t="s">
        <v>6</v>
      </c>
      <c r="D797" t="s">
        <v>1</v>
      </c>
      <c r="E797" t="s">
        <v>358</v>
      </c>
      <c r="F797" t="s">
        <v>988</v>
      </c>
      <c r="G797" s="2">
        <v>1</v>
      </c>
      <c r="H797" t="s">
        <v>461</v>
      </c>
      <c r="I797" t="s">
        <v>3</v>
      </c>
      <c r="J797" t="s">
        <v>5</v>
      </c>
      <c r="K797" t="s">
        <v>605</v>
      </c>
      <c r="L797" t="s">
        <v>608</v>
      </c>
      <c r="M797" t="s">
        <v>1240</v>
      </c>
      <c r="N797" t="s">
        <v>602</v>
      </c>
      <c r="O797" t="s">
        <v>603</v>
      </c>
      <c r="P797" t="s">
        <v>602</v>
      </c>
      <c r="Q797" s="17">
        <f>IFERROR(VLOOKUP(A797,已除帳印單!B:C,1,0),0)*1</f>
        <v>0</v>
      </c>
      <c r="R797" s="67" t="str">
        <f>IFERROR(VLOOKUP(J797,線別!A:B,2,1),"")</f>
        <v>FM線</v>
      </c>
      <c r="S797" s="17" t="str">
        <f>IFERROR(VLOOKUP(A797,已除帳印單!B:C,2,0),"")</f>
        <v/>
      </c>
      <c r="T797" s="68">
        <f t="shared" si="78"/>
        <v>43893</v>
      </c>
      <c r="U797" s="69">
        <f t="shared" si="79"/>
        <v>84.168784722222213</v>
      </c>
      <c r="V797" s="68" t="str">
        <f>IFERROR(VLOOKUP(A797,已除帳印單!B:D,3,0),"")</f>
        <v/>
      </c>
      <c r="W797" s="69" t="str">
        <f>IFERROR(VLOOKUP(A797,已除帳印單!B:E,4,0),"")</f>
        <v/>
      </c>
      <c r="X797" s="68" t="str">
        <f>IFERROR(INDEX(刷條碼區!A:C,MATCH(點上線資訊!S797,刷條碼區!C:C,0),1),"")</f>
        <v/>
      </c>
      <c r="Y797" s="69" t="str">
        <f>IFERROR(INDEX(刷條碼區!A:C,MATCH(點上線資訊!S797,刷條碼區!C:C,0),2),"")</f>
        <v/>
      </c>
      <c r="Z797" s="70" t="str">
        <f>IFERROR(INDEX(刷條碼區!D:G,MATCH(點上線資訊!S797,刷條碼區!F:F,0),1),"")</f>
        <v/>
      </c>
      <c r="AA797" s="71" t="str">
        <f>IFERROR(INDEX(刷條碼區!D:G,MATCH(點上線資訊!S797,刷條碼區!F:F,0),2),"")</f>
        <v/>
      </c>
      <c r="AB797" s="20" t="b">
        <f t="shared" si="74"/>
        <v>0</v>
      </c>
      <c r="AC797" s="20" t="b">
        <f t="shared" si="75"/>
        <v>0</v>
      </c>
      <c r="AD797" s="17" t="b">
        <f t="shared" si="76"/>
        <v>0</v>
      </c>
      <c r="AE797" s="17" t="b">
        <f t="shared" si="77"/>
        <v>0</v>
      </c>
    </row>
    <row r="798" spans="1:31" x14ac:dyDescent="0.2">
      <c r="A798" s="16">
        <v>5000503624</v>
      </c>
      <c r="B798" t="s">
        <v>6</v>
      </c>
      <c r="C798" t="s">
        <v>6</v>
      </c>
      <c r="D798" t="s">
        <v>1</v>
      </c>
      <c r="E798" t="s">
        <v>358</v>
      </c>
      <c r="F798" t="s">
        <v>988</v>
      </c>
      <c r="G798" s="2">
        <v>1</v>
      </c>
      <c r="H798" t="s">
        <v>461</v>
      </c>
      <c r="I798" t="s">
        <v>3</v>
      </c>
      <c r="J798" t="s">
        <v>5</v>
      </c>
      <c r="K798" t="s">
        <v>605</v>
      </c>
      <c r="L798" t="s">
        <v>608</v>
      </c>
      <c r="M798" t="s">
        <v>1240</v>
      </c>
      <c r="N798" t="s">
        <v>602</v>
      </c>
      <c r="O798" t="s">
        <v>603</v>
      </c>
      <c r="P798" t="s">
        <v>602</v>
      </c>
      <c r="Q798" s="17">
        <f>IFERROR(VLOOKUP(A798,已除帳印單!B:C,1,0),0)*1</f>
        <v>0</v>
      </c>
      <c r="R798" s="67" t="str">
        <f>IFERROR(VLOOKUP(J798,線別!A:B,2,1),"")</f>
        <v>FM線</v>
      </c>
      <c r="S798" s="17" t="str">
        <f>IFERROR(VLOOKUP(A798,已除帳印單!B:C,2,0),"")</f>
        <v/>
      </c>
      <c r="T798" s="68">
        <f t="shared" si="78"/>
        <v>43893</v>
      </c>
      <c r="U798" s="69">
        <f t="shared" si="79"/>
        <v>84.168784722222213</v>
      </c>
      <c r="V798" s="68" t="str">
        <f>IFERROR(VLOOKUP(A798,已除帳印單!B:D,3,0),"")</f>
        <v/>
      </c>
      <c r="W798" s="69" t="str">
        <f>IFERROR(VLOOKUP(A798,已除帳印單!B:E,4,0),"")</f>
        <v/>
      </c>
      <c r="X798" s="68" t="str">
        <f>IFERROR(INDEX(刷條碼區!A:C,MATCH(點上線資訊!S798,刷條碼區!C:C,0),1),"")</f>
        <v/>
      </c>
      <c r="Y798" s="69" t="str">
        <f>IFERROR(INDEX(刷條碼區!A:C,MATCH(點上線資訊!S798,刷條碼區!C:C,0),2),"")</f>
        <v/>
      </c>
      <c r="Z798" s="70" t="str">
        <f>IFERROR(INDEX(刷條碼區!D:G,MATCH(點上線資訊!S798,刷條碼區!F:F,0),1),"")</f>
        <v/>
      </c>
      <c r="AA798" s="71" t="str">
        <f>IFERROR(INDEX(刷條碼區!D:G,MATCH(點上線資訊!S798,刷條碼區!F:F,0),2),"")</f>
        <v/>
      </c>
      <c r="AB798" s="20" t="b">
        <f t="shared" si="74"/>
        <v>0</v>
      </c>
      <c r="AC798" s="20" t="b">
        <f t="shared" si="75"/>
        <v>0</v>
      </c>
      <c r="AD798" s="17" t="b">
        <f t="shared" si="76"/>
        <v>0</v>
      </c>
      <c r="AE798" s="17" t="b">
        <f t="shared" si="77"/>
        <v>0</v>
      </c>
    </row>
    <row r="799" spans="1:31" x14ac:dyDescent="0.2">
      <c r="A799" s="16">
        <v>5000503625</v>
      </c>
      <c r="B799" t="s">
        <v>6</v>
      </c>
      <c r="C799" t="s">
        <v>6</v>
      </c>
      <c r="D799" t="s">
        <v>1</v>
      </c>
      <c r="E799" t="s">
        <v>358</v>
      </c>
      <c r="F799" t="s">
        <v>988</v>
      </c>
      <c r="G799" s="2">
        <v>1</v>
      </c>
      <c r="H799" t="s">
        <v>461</v>
      </c>
      <c r="I799" t="s">
        <v>3</v>
      </c>
      <c r="J799" t="s">
        <v>5</v>
      </c>
      <c r="K799" t="s">
        <v>605</v>
      </c>
      <c r="L799" t="s">
        <v>608</v>
      </c>
      <c r="M799" t="s">
        <v>1240</v>
      </c>
      <c r="N799" t="s">
        <v>602</v>
      </c>
      <c r="O799" t="s">
        <v>603</v>
      </c>
      <c r="P799" t="s">
        <v>602</v>
      </c>
      <c r="Q799" s="17">
        <f>IFERROR(VLOOKUP(A799,已除帳印單!B:C,1,0),0)*1</f>
        <v>0</v>
      </c>
      <c r="R799" s="67" t="str">
        <f>IFERROR(VLOOKUP(J799,線別!A:B,2,1),"")</f>
        <v>FM線</v>
      </c>
      <c r="S799" s="17" t="str">
        <f>IFERROR(VLOOKUP(A799,已除帳印單!B:C,2,0),"")</f>
        <v/>
      </c>
      <c r="T799" s="68">
        <f t="shared" si="78"/>
        <v>43893</v>
      </c>
      <c r="U799" s="69">
        <f t="shared" si="79"/>
        <v>84.168784722222213</v>
      </c>
      <c r="V799" s="68" t="str">
        <f>IFERROR(VLOOKUP(A799,已除帳印單!B:D,3,0),"")</f>
        <v/>
      </c>
      <c r="W799" s="69" t="str">
        <f>IFERROR(VLOOKUP(A799,已除帳印單!B:E,4,0),"")</f>
        <v/>
      </c>
      <c r="X799" s="68" t="str">
        <f>IFERROR(INDEX(刷條碼區!A:C,MATCH(點上線資訊!S799,刷條碼區!C:C,0),1),"")</f>
        <v/>
      </c>
      <c r="Y799" s="69" t="str">
        <f>IFERROR(INDEX(刷條碼區!A:C,MATCH(點上線資訊!S799,刷條碼區!C:C,0),2),"")</f>
        <v/>
      </c>
      <c r="Z799" s="70" t="str">
        <f>IFERROR(INDEX(刷條碼區!D:G,MATCH(點上線資訊!S799,刷條碼區!F:F,0),1),"")</f>
        <v/>
      </c>
      <c r="AA799" s="71" t="str">
        <f>IFERROR(INDEX(刷條碼區!D:G,MATCH(點上線資訊!S799,刷條碼區!F:F,0),2),"")</f>
        <v/>
      </c>
      <c r="AB799" s="20" t="b">
        <f t="shared" si="74"/>
        <v>0</v>
      </c>
      <c r="AC799" s="20" t="b">
        <f t="shared" si="75"/>
        <v>0</v>
      </c>
      <c r="AD799" s="17" t="b">
        <f t="shared" si="76"/>
        <v>0</v>
      </c>
      <c r="AE799" s="17" t="b">
        <f t="shared" si="77"/>
        <v>0</v>
      </c>
    </row>
    <row r="800" spans="1:31" x14ac:dyDescent="0.2">
      <c r="A800" s="16">
        <v>5000503626</v>
      </c>
      <c r="B800" t="s">
        <v>6</v>
      </c>
      <c r="C800" t="s">
        <v>6</v>
      </c>
      <c r="D800" t="s">
        <v>1</v>
      </c>
      <c r="E800" t="s">
        <v>358</v>
      </c>
      <c r="F800" t="s">
        <v>988</v>
      </c>
      <c r="G800" s="2">
        <v>1</v>
      </c>
      <c r="H800" t="s">
        <v>461</v>
      </c>
      <c r="I800" t="s">
        <v>3</v>
      </c>
      <c r="J800" t="s">
        <v>5</v>
      </c>
      <c r="K800" t="s">
        <v>605</v>
      </c>
      <c r="L800" t="s">
        <v>608</v>
      </c>
      <c r="M800" t="s">
        <v>1240</v>
      </c>
      <c r="N800" t="s">
        <v>602</v>
      </c>
      <c r="O800" t="s">
        <v>603</v>
      </c>
      <c r="P800" t="s">
        <v>602</v>
      </c>
      <c r="Q800" s="17">
        <f>IFERROR(VLOOKUP(A800,已除帳印單!B:C,1,0),0)*1</f>
        <v>0</v>
      </c>
      <c r="R800" s="67" t="str">
        <f>IFERROR(VLOOKUP(J800,線別!A:B,2,1),"")</f>
        <v>FM線</v>
      </c>
      <c r="S800" s="17" t="str">
        <f>IFERROR(VLOOKUP(A800,已除帳印單!B:C,2,0),"")</f>
        <v/>
      </c>
      <c r="T800" s="68">
        <f t="shared" si="78"/>
        <v>43893</v>
      </c>
      <c r="U800" s="69">
        <f t="shared" si="79"/>
        <v>84.168784722222213</v>
      </c>
      <c r="V800" s="68" t="str">
        <f>IFERROR(VLOOKUP(A800,已除帳印單!B:D,3,0),"")</f>
        <v/>
      </c>
      <c r="W800" s="69" t="str">
        <f>IFERROR(VLOOKUP(A800,已除帳印單!B:E,4,0),"")</f>
        <v/>
      </c>
      <c r="X800" s="68" t="str">
        <f>IFERROR(INDEX(刷條碼區!A:C,MATCH(點上線資訊!S800,刷條碼區!C:C,0),1),"")</f>
        <v/>
      </c>
      <c r="Y800" s="69" t="str">
        <f>IFERROR(INDEX(刷條碼區!A:C,MATCH(點上線資訊!S800,刷條碼區!C:C,0),2),"")</f>
        <v/>
      </c>
      <c r="Z800" s="70" t="str">
        <f>IFERROR(INDEX(刷條碼區!D:G,MATCH(點上線資訊!S800,刷條碼區!F:F,0),1),"")</f>
        <v/>
      </c>
      <c r="AA800" s="71" t="str">
        <f>IFERROR(INDEX(刷條碼區!D:G,MATCH(點上線資訊!S800,刷條碼區!F:F,0),2),"")</f>
        <v/>
      </c>
      <c r="AB800" s="20" t="b">
        <f t="shared" si="74"/>
        <v>0</v>
      </c>
      <c r="AC800" s="20" t="b">
        <f t="shared" si="75"/>
        <v>0</v>
      </c>
      <c r="AD800" s="17" t="b">
        <f t="shared" si="76"/>
        <v>0</v>
      </c>
      <c r="AE800" s="17" t="b">
        <f t="shared" si="77"/>
        <v>0</v>
      </c>
    </row>
    <row r="801" spans="1:31" x14ac:dyDescent="0.2">
      <c r="A801" s="16">
        <v>5000503627</v>
      </c>
      <c r="B801" t="s">
        <v>6</v>
      </c>
      <c r="C801" t="s">
        <v>6</v>
      </c>
      <c r="D801" t="s">
        <v>1</v>
      </c>
      <c r="E801" t="s">
        <v>358</v>
      </c>
      <c r="F801" t="s">
        <v>988</v>
      </c>
      <c r="G801" s="2">
        <v>1</v>
      </c>
      <c r="H801" t="s">
        <v>461</v>
      </c>
      <c r="I801" t="s">
        <v>3</v>
      </c>
      <c r="J801" t="s">
        <v>5</v>
      </c>
      <c r="K801" t="s">
        <v>605</v>
      </c>
      <c r="L801" t="s">
        <v>608</v>
      </c>
      <c r="M801" t="s">
        <v>1240</v>
      </c>
      <c r="N801" t="s">
        <v>602</v>
      </c>
      <c r="O801" t="s">
        <v>603</v>
      </c>
      <c r="P801" t="s">
        <v>602</v>
      </c>
      <c r="Q801" s="17">
        <f>IFERROR(VLOOKUP(A801,已除帳印單!B:C,1,0),0)*1</f>
        <v>0</v>
      </c>
      <c r="R801" s="67" t="str">
        <f>IFERROR(VLOOKUP(J801,線別!A:B,2,1),"")</f>
        <v>FM線</v>
      </c>
      <c r="S801" s="17" t="str">
        <f>IFERROR(VLOOKUP(A801,已除帳印單!B:C,2,0),"")</f>
        <v/>
      </c>
      <c r="T801" s="68">
        <f t="shared" si="78"/>
        <v>43893</v>
      </c>
      <c r="U801" s="69">
        <f t="shared" si="79"/>
        <v>84.168784722222213</v>
      </c>
      <c r="V801" s="68" t="str">
        <f>IFERROR(VLOOKUP(A801,已除帳印單!B:D,3,0),"")</f>
        <v/>
      </c>
      <c r="W801" s="69" t="str">
        <f>IFERROR(VLOOKUP(A801,已除帳印單!B:E,4,0),"")</f>
        <v/>
      </c>
      <c r="X801" s="68" t="str">
        <f>IFERROR(INDEX(刷條碼區!A:C,MATCH(點上線資訊!S801,刷條碼區!C:C,0),1),"")</f>
        <v/>
      </c>
      <c r="Y801" s="69" t="str">
        <f>IFERROR(INDEX(刷條碼區!A:C,MATCH(點上線資訊!S801,刷條碼區!C:C,0),2),"")</f>
        <v/>
      </c>
      <c r="Z801" s="70" t="str">
        <f>IFERROR(INDEX(刷條碼區!D:G,MATCH(點上線資訊!S801,刷條碼區!F:F,0),1),"")</f>
        <v/>
      </c>
      <c r="AA801" s="71" t="str">
        <f>IFERROR(INDEX(刷條碼區!D:G,MATCH(點上線資訊!S801,刷條碼區!F:F,0),2),"")</f>
        <v/>
      </c>
      <c r="AB801" s="20" t="b">
        <f t="shared" si="74"/>
        <v>0</v>
      </c>
      <c r="AC801" s="20" t="b">
        <f t="shared" si="75"/>
        <v>0</v>
      </c>
      <c r="AD801" s="17" t="b">
        <f t="shared" si="76"/>
        <v>0</v>
      </c>
      <c r="AE801" s="17" t="b">
        <f t="shared" si="77"/>
        <v>0</v>
      </c>
    </row>
    <row r="802" spans="1:31" x14ac:dyDescent="0.2">
      <c r="A802" s="16">
        <v>5000503629</v>
      </c>
      <c r="B802" t="s">
        <v>6</v>
      </c>
      <c r="C802" t="s">
        <v>6</v>
      </c>
      <c r="D802" t="s">
        <v>1</v>
      </c>
      <c r="E802" t="s">
        <v>358</v>
      </c>
      <c r="F802" t="s">
        <v>988</v>
      </c>
      <c r="G802" s="2">
        <v>1</v>
      </c>
      <c r="H802" t="s">
        <v>461</v>
      </c>
      <c r="I802" t="s">
        <v>3</v>
      </c>
      <c r="J802" t="s">
        <v>5</v>
      </c>
      <c r="K802" t="s">
        <v>605</v>
      </c>
      <c r="L802" t="s">
        <v>608</v>
      </c>
      <c r="M802" t="s">
        <v>1240</v>
      </c>
      <c r="N802" t="s">
        <v>602</v>
      </c>
      <c r="O802" t="s">
        <v>603</v>
      </c>
      <c r="P802" t="s">
        <v>602</v>
      </c>
      <c r="Q802" s="17">
        <f>IFERROR(VLOOKUP(A802,已除帳印單!B:C,1,0),0)*1</f>
        <v>0</v>
      </c>
      <c r="R802" s="67" t="str">
        <f>IFERROR(VLOOKUP(J802,線別!A:B,2,1),"")</f>
        <v>FM線</v>
      </c>
      <c r="S802" s="17" t="str">
        <f>IFERROR(VLOOKUP(A802,已除帳印單!B:C,2,0),"")</f>
        <v/>
      </c>
      <c r="T802" s="68">
        <f t="shared" si="78"/>
        <v>43893</v>
      </c>
      <c r="U802" s="69">
        <f t="shared" si="79"/>
        <v>84.168784722222213</v>
      </c>
      <c r="V802" s="68" t="str">
        <f>IFERROR(VLOOKUP(A802,已除帳印單!B:D,3,0),"")</f>
        <v/>
      </c>
      <c r="W802" s="69" t="str">
        <f>IFERROR(VLOOKUP(A802,已除帳印單!B:E,4,0),"")</f>
        <v/>
      </c>
      <c r="X802" s="68" t="str">
        <f>IFERROR(INDEX(刷條碼區!A:C,MATCH(點上線資訊!S802,刷條碼區!C:C,0),1),"")</f>
        <v/>
      </c>
      <c r="Y802" s="69" t="str">
        <f>IFERROR(INDEX(刷條碼區!A:C,MATCH(點上線資訊!S802,刷條碼區!C:C,0),2),"")</f>
        <v/>
      </c>
      <c r="Z802" s="70" t="str">
        <f>IFERROR(INDEX(刷條碼區!D:G,MATCH(點上線資訊!S802,刷條碼區!F:F,0),1),"")</f>
        <v/>
      </c>
      <c r="AA802" s="71" t="str">
        <f>IFERROR(INDEX(刷條碼區!D:G,MATCH(點上線資訊!S802,刷條碼區!F:F,0),2),"")</f>
        <v/>
      </c>
      <c r="AB802" s="20" t="b">
        <f t="shared" si="74"/>
        <v>0</v>
      </c>
      <c r="AC802" s="20" t="b">
        <f t="shared" si="75"/>
        <v>0</v>
      </c>
      <c r="AD802" s="17" t="b">
        <f t="shared" si="76"/>
        <v>0</v>
      </c>
      <c r="AE802" s="17" t="b">
        <f t="shared" si="77"/>
        <v>0</v>
      </c>
    </row>
    <row r="803" spans="1:31" x14ac:dyDescent="0.2">
      <c r="A803" s="16">
        <v>5000503630</v>
      </c>
      <c r="B803" t="s">
        <v>6</v>
      </c>
      <c r="C803" t="s">
        <v>6</v>
      </c>
      <c r="D803" t="s">
        <v>1</v>
      </c>
      <c r="E803" t="s">
        <v>358</v>
      </c>
      <c r="F803" t="s">
        <v>988</v>
      </c>
      <c r="G803" s="2">
        <v>1</v>
      </c>
      <c r="H803" t="s">
        <v>461</v>
      </c>
      <c r="I803" t="s">
        <v>3</v>
      </c>
      <c r="J803" t="s">
        <v>5</v>
      </c>
      <c r="K803" t="s">
        <v>605</v>
      </c>
      <c r="L803" t="s">
        <v>608</v>
      </c>
      <c r="M803" t="s">
        <v>1240</v>
      </c>
      <c r="N803" t="s">
        <v>602</v>
      </c>
      <c r="O803" t="s">
        <v>603</v>
      </c>
      <c r="P803" t="s">
        <v>602</v>
      </c>
      <c r="Q803" s="17">
        <f>IFERROR(VLOOKUP(A803,已除帳印單!B:C,1,0),0)*1</f>
        <v>0</v>
      </c>
      <c r="R803" s="67" t="str">
        <f>IFERROR(VLOOKUP(J803,線別!A:B,2,1),"")</f>
        <v>FM線</v>
      </c>
      <c r="S803" s="17" t="str">
        <f>IFERROR(VLOOKUP(A803,已除帳印單!B:C,2,0),"")</f>
        <v/>
      </c>
      <c r="T803" s="68">
        <f t="shared" si="78"/>
        <v>43893</v>
      </c>
      <c r="U803" s="69">
        <f t="shared" si="79"/>
        <v>84.168784722222213</v>
      </c>
      <c r="V803" s="68" t="str">
        <f>IFERROR(VLOOKUP(A803,已除帳印單!B:D,3,0),"")</f>
        <v/>
      </c>
      <c r="W803" s="69" t="str">
        <f>IFERROR(VLOOKUP(A803,已除帳印單!B:E,4,0),"")</f>
        <v/>
      </c>
      <c r="X803" s="68" t="str">
        <f>IFERROR(INDEX(刷條碼區!A:C,MATCH(點上線資訊!S803,刷條碼區!C:C,0),1),"")</f>
        <v/>
      </c>
      <c r="Y803" s="69" t="str">
        <f>IFERROR(INDEX(刷條碼區!A:C,MATCH(點上線資訊!S803,刷條碼區!C:C,0),2),"")</f>
        <v/>
      </c>
      <c r="Z803" s="70" t="str">
        <f>IFERROR(INDEX(刷條碼區!D:G,MATCH(點上線資訊!S803,刷條碼區!F:F,0),1),"")</f>
        <v/>
      </c>
      <c r="AA803" s="71" t="str">
        <f>IFERROR(INDEX(刷條碼區!D:G,MATCH(點上線資訊!S803,刷條碼區!F:F,0),2),"")</f>
        <v/>
      </c>
      <c r="AB803" s="20" t="b">
        <f t="shared" si="74"/>
        <v>0</v>
      </c>
      <c r="AC803" s="20" t="b">
        <f t="shared" si="75"/>
        <v>0</v>
      </c>
      <c r="AD803" s="17" t="b">
        <f t="shared" si="76"/>
        <v>0</v>
      </c>
      <c r="AE803" s="17" t="b">
        <f t="shared" si="77"/>
        <v>0</v>
      </c>
    </row>
    <row r="804" spans="1:31" x14ac:dyDescent="0.2">
      <c r="A804" s="16">
        <v>5000503631</v>
      </c>
      <c r="B804" t="s">
        <v>6</v>
      </c>
      <c r="C804" t="s">
        <v>6</v>
      </c>
      <c r="D804" t="s">
        <v>1</v>
      </c>
      <c r="E804" t="s">
        <v>358</v>
      </c>
      <c r="F804" t="s">
        <v>988</v>
      </c>
      <c r="G804" s="2">
        <v>1</v>
      </c>
      <c r="H804" t="s">
        <v>461</v>
      </c>
      <c r="I804" t="s">
        <v>3</v>
      </c>
      <c r="J804" t="s">
        <v>5</v>
      </c>
      <c r="K804" t="s">
        <v>605</v>
      </c>
      <c r="L804" t="s">
        <v>608</v>
      </c>
      <c r="M804" t="s">
        <v>1240</v>
      </c>
      <c r="N804" t="s">
        <v>602</v>
      </c>
      <c r="O804" t="s">
        <v>603</v>
      </c>
      <c r="P804" t="s">
        <v>602</v>
      </c>
      <c r="Q804" s="17">
        <f>IFERROR(VLOOKUP(A804,已除帳印單!B:C,1,0),0)*1</f>
        <v>0</v>
      </c>
      <c r="R804" s="67" t="str">
        <f>IFERROR(VLOOKUP(J804,線別!A:B,2,1),"")</f>
        <v>FM線</v>
      </c>
      <c r="S804" s="17" t="str">
        <f>IFERROR(VLOOKUP(A804,已除帳印單!B:C,2,0),"")</f>
        <v/>
      </c>
      <c r="T804" s="68">
        <f t="shared" si="78"/>
        <v>43893</v>
      </c>
      <c r="U804" s="69">
        <f t="shared" si="79"/>
        <v>84.168784722222213</v>
      </c>
      <c r="V804" s="68" t="str">
        <f>IFERROR(VLOOKUP(A804,已除帳印單!B:D,3,0),"")</f>
        <v/>
      </c>
      <c r="W804" s="69" t="str">
        <f>IFERROR(VLOOKUP(A804,已除帳印單!B:E,4,0),"")</f>
        <v/>
      </c>
      <c r="X804" s="68" t="str">
        <f>IFERROR(INDEX(刷條碼區!A:C,MATCH(點上線資訊!S804,刷條碼區!C:C,0),1),"")</f>
        <v/>
      </c>
      <c r="Y804" s="69" t="str">
        <f>IFERROR(INDEX(刷條碼區!A:C,MATCH(點上線資訊!S804,刷條碼區!C:C,0),2),"")</f>
        <v/>
      </c>
      <c r="Z804" s="70" t="str">
        <f>IFERROR(INDEX(刷條碼區!D:G,MATCH(點上線資訊!S804,刷條碼區!F:F,0),1),"")</f>
        <v/>
      </c>
      <c r="AA804" s="71" t="str">
        <f>IFERROR(INDEX(刷條碼區!D:G,MATCH(點上線資訊!S804,刷條碼區!F:F,0),2),"")</f>
        <v/>
      </c>
      <c r="AB804" s="20" t="b">
        <f t="shared" si="74"/>
        <v>0</v>
      </c>
      <c r="AC804" s="20" t="b">
        <f t="shared" si="75"/>
        <v>0</v>
      </c>
      <c r="AD804" s="17" t="b">
        <f t="shared" si="76"/>
        <v>0</v>
      </c>
      <c r="AE804" s="17" t="b">
        <f t="shared" si="77"/>
        <v>0</v>
      </c>
    </row>
    <row r="805" spans="1:31" x14ac:dyDescent="0.2">
      <c r="A805" s="16">
        <v>5000503632</v>
      </c>
      <c r="B805" t="s">
        <v>301</v>
      </c>
      <c r="C805" t="s">
        <v>301</v>
      </c>
      <c r="D805" t="s">
        <v>1</v>
      </c>
      <c r="E805" t="s">
        <v>358</v>
      </c>
      <c r="F805" t="s">
        <v>988</v>
      </c>
      <c r="G805" s="2">
        <v>1</v>
      </c>
      <c r="H805" t="s">
        <v>461</v>
      </c>
      <c r="I805" t="s">
        <v>3</v>
      </c>
      <c r="J805" t="s">
        <v>5</v>
      </c>
      <c r="K805" t="s">
        <v>605</v>
      </c>
      <c r="L805" t="s">
        <v>608</v>
      </c>
      <c r="M805" t="s">
        <v>449</v>
      </c>
      <c r="N805" t="s">
        <v>602</v>
      </c>
      <c r="O805" t="s">
        <v>603</v>
      </c>
      <c r="P805" t="s">
        <v>602</v>
      </c>
      <c r="Q805" s="17">
        <f>IFERROR(VLOOKUP(A805,已除帳印單!B:C,1,0),0)*1</f>
        <v>0</v>
      </c>
      <c r="R805" s="67" t="str">
        <f>IFERROR(VLOOKUP(J805,線別!A:B,2,1),"")</f>
        <v>FM線</v>
      </c>
      <c r="S805" s="17" t="str">
        <f>IFERROR(VLOOKUP(A805,已除帳印單!B:C,2,0),"")</f>
        <v/>
      </c>
      <c r="T805" s="68">
        <f t="shared" si="78"/>
        <v>43894</v>
      </c>
      <c r="U805" s="69">
        <f t="shared" si="79"/>
        <v>84.168796296296293</v>
      </c>
      <c r="V805" s="68" t="str">
        <f>IFERROR(VLOOKUP(A805,已除帳印單!B:D,3,0),"")</f>
        <v/>
      </c>
      <c r="W805" s="69" t="str">
        <f>IFERROR(VLOOKUP(A805,已除帳印單!B:E,4,0),"")</f>
        <v/>
      </c>
      <c r="X805" s="68" t="str">
        <f>IFERROR(INDEX(刷條碼區!A:C,MATCH(點上線資訊!S805,刷條碼區!C:C,0),1),"")</f>
        <v/>
      </c>
      <c r="Y805" s="69" t="str">
        <f>IFERROR(INDEX(刷條碼區!A:C,MATCH(點上線資訊!S805,刷條碼區!C:C,0),2),"")</f>
        <v/>
      </c>
      <c r="Z805" s="70" t="str">
        <f>IFERROR(INDEX(刷條碼區!D:G,MATCH(點上線資訊!S805,刷條碼區!F:F,0),1),"")</f>
        <v/>
      </c>
      <c r="AA805" s="71" t="str">
        <f>IFERROR(INDEX(刷條碼區!D:G,MATCH(點上線資訊!S805,刷條碼區!F:F,0),2),"")</f>
        <v/>
      </c>
      <c r="AB805" s="20" t="b">
        <f t="shared" si="74"/>
        <v>0</v>
      </c>
      <c r="AC805" s="20" t="b">
        <f t="shared" si="75"/>
        <v>0</v>
      </c>
      <c r="AD805" s="17" t="b">
        <f t="shared" si="76"/>
        <v>0</v>
      </c>
      <c r="AE805" s="17" t="b">
        <f t="shared" si="77"/>
        <v>0</v>
      </c>
    </row>
    <row r="806" spans="1:31" x14ac:dyDescent="0.2">
      <c r="A806" s="16">
        <v>5000503633</v>
      </c>
      <c r="B806" t="s">
        <v>301</v>
      </c>
      <c r="C806" t="s">
        <v>301</v>
      </c>
      <c r="D806" t="s">
        <v>1</v>
      </c>
      <c r="E806" t="s">
        <v>358</v>
      </c>
      <c r="F806" t="s">
        <v>988</v>
      </c>
      <c r="G806" s="2">
        <v>1</v>
      </c>
      <c r="H806" t="s">
        <v>461</v>
      </c>
      <c r="I806" t="s">
        <v>3</v>
      </c>
      <c r="J806" t="s">
        <v>5</v>
      </c>
      <c r="K806" t="s">
        <v>605</v>
      </c>
      <c r="L806" t="s">
        <v>608</v>
      </c>
      <c r="M806" t="s">
        <v>449</v>
      </c>
      <c r="N806" t="s">
        <v>602</v>
      </c>
      <c r="O806" t="s">
        <v>603</v>
      </c>
      <c r="P806" t="s">
        <v>602</v>
      </c>
      <c r="Q806" s="17">
        <f>IFERROR(VLOOKUP(A806,已除帳印單!B:C,1,0),0)*1</f>
        <v>0</v>
      </c>
      <c r="R806" s="67" t="str">
        <f>IFERROR(VLOOKUP(J806,線別!A:B,2,1),"")</f>
        <v>FM線</v>
      </c>
      <c r="S806" s="17" t="str">
        <f>IFERROR(VLOOKUP(A806,已除帳印單!B:C,2,0),"")</f>
        <v/>
      </c>
      <c r="T806" s="68">
        <f t="shared" si="78"/>
        <v>43894</v>
      </c>
      <c r="U806" s="69">
        <f t="shared" si="79"/>
        <v>84.168796296296293</v>
      </c>
      <c r="V806" s="68" t="str">
        <f>IFERROR(VLOOKUP(A806,已除帳印單!B:D,3,0),"")</f>
        <v/>
      </c>
      <c r="W806" s="69" t="str">
        <f>IFERROR(VLOOKUP(A806,已除帳印單!B:E,4,0),"")</f>
        <v/>
      </c>
      <c r="X806" s="68" t="str">
        <f>IFERROR(INDEX(刷條碼區!A:C,MATCH(點上線資訊!S806,刷條碼區!C:C,0),1),"")</f>
        <v/>
      </c>
      <c r="Y806" s="69" t="str">
        <f>IFERROR(INDEX(刷條碼區!A:C,MATCH(點上線資訊!S806,刷條碼區!C:C,0),2),"")</f>
        <v/>
      </c>
      <c r="Z806" s="70" t="str">
        <f>IFERROR(INDEX(刷條碼區!D:G,MATCH(點上線資訊!S806,刷條碼區!F:F,0),1),"")</f>
        <v/>
      </c>
      <c r="AA806" s="71" t="str">
        <f>IFERROR(INDEX(刷條碼區!D:G,MATCH(點上線資訊!S806,刷條碼區!F:F,0),2),"")</f>
        <v/>
      </c>
      <c r="AB806" s="20" t="b">
        <f t="shared" si="74"/>
        <v>0</v>
      </c>
      <c r="AC806" s="20" t="b">
        <f t="shared" si="75"/>
        <v>0</v>
      </c>
      <c r="AD806" s="17" t="b">
        <f t="shared" si="76"/>
        <v>0</v>
      </c>
      <c r="AE806" s="17" t="b">
        <f t="shared" si="77"/>
        <v>0</v>
      </c>
    </row>
    <row r="807" spans="1:31" x14ac:dyDescent="0.2">
      <c r="A807" s="16">
        <v>5000503634</v>
      </c>
      <c r="B807" t="s">
        <v>301</v>
      </c>
      <c r="C807" t="s">
        <v>301</v>
      </c>
      <c r="D807" t="s">
        <v>1</v>
      </c>
      <c r="E807" t="s">
        <v>358</v>
      </c>
      <c r="F807" t="s">
        <v>988</v>
      </c>
      <c r="G807" s="2">
        <v>1</v>
      </c>
      <c r="H807" t="s">
        <v>461</v>
      </c>
      <c r="I807" t="s">
        <v>3</v>
      </c>
      <c r="J807" t="s">
        <v>5</v>
      </c>
      <c r="K807" t="s">
        <v>605</v>
      </c>
      <c r="L807" t="s">
        <v>608</v>
      </c>
      <c r="M807" t="s">
        <v>449</v>
      </c>
      <c r="N807" t="s">
        <v>602</v>
      </c>
      <c r="O807" t="s">
        <v>603</v>
      </c>
      <c r="P807" t="s">
        <v>602</v>
      </c>
      <c r="Q807" s="17">
        <f>IFERROR(VLOOKUP(A807,已除帳印單!B:C,1,0),0)*1</f>
        <v>0</v>
      </c>
      <c r="R807" s="67" t="str">
        <f>IFERROR(VLOOKUP(J807,線別!A:B,2,1),"")</f>
        <v>FM線</v>
      </c>
      <c r="S807" s="17" t="str">
        <f>IFERROR(VLOOKUP(A807,已除帳印單!B:C,2,0),"")</f>
        <v/>
      </c>
      <c r="T807" s="68">
        <f t="shared" si="78"/>
        <v>43894</v>
      </c>
      <c r="U807" s="69">
        <f t="shared" si="79"/>
        <v>84.168796296296293</v>
      </c>
      <c r="V807" s="68" t="str">
        <f>IFERROR(VLOOKUP(A807,已除帳印單!B:D,3,0),"")</f>
        <v/>
      </c>
      <c r="W807" s="69" t="str">
        <f>IFERROR(VLOOKUP(A807,已除帳印單!B:E,4,0),"")</f>
        <v/>
      </c>
      <c r="X807" s="68" t="str">
        <f>IFERROR(INDEX(刷條碼區!A:C,MATCH(點上線資訊!S807,刷條碼區!C:C,0),1),"")</f>
        <v/>
      </c>
      <c r="Y807" s="69" t="str">
        <f>IFERROR(INDEX(刷條碼區!A:C,MATCH(點上線資訊!S807,刷條碼區!C:C,0),2),"")</f>
        <v/>
      </c>
      <c r="Z807" s="70" t="str">
        <f>IFERROR(INDEX(刷條碼區!D:G,MATCH(點上線資訊!S807,刷條碼區!F:F,0),1),"")</f>
        <v/>
      </c>
      <c r="AA807" s="71" t="str">
        <f>IFERROR(INDEX(刷條碼區!D:G,MATCH(點上線資訊!S807,刷條碼區!F:F,0),2),"")</f>
        <v/>
      </c>
      <c r="AB807" s="20" t="b">
        <f t="shared" si="74"/>
        <v>0</v>
      </c>
      <c r="AC807" s="20" t="b">
        <f t="shared" si="75"/>
        <v>0</v>
      </c>
      <c r="AD807" s="17" t="b">
        <f t="shared" si="76"/>
        <v>0</v>
      </c>
      <c r="AE807" s="17" t="b">
        <f t="shared" si="77"/>
        <v>0</v>
      </c>
    </row>
    <row r="808" spans="1:31" x14ac:dyDescent="0.2">
      <c r="A808" s="16">
        <v>5000503635</v>
      </c>
      <c r="B808" t="s">
        <v>301</v>
      </c>
      <c r="C808" t="s">
        <v>301</v>
      </c>
      <c r="D808" t="s">
        <v>1</v>
      </c>
      <c r="E808" t="s">
        <v>358</v>
      </c>
      <c r="F808" t="s">
        <v>988</v>
      </c>
      <c r="G808" s="2">
        <v>1</v>
      </c>
      <c r="H808" t="s">
        <v>461</v>
      </c>
      <c r="I808" t="s">
        <v>3</v>
      </c>
      <c r="J808" t="s">
        <v>5</v>
      </c>
      <c r="K808" t="s">
        <v>605</v>
      </c>
      <c r="L808" t="s">
        <v>608</v>
      </c>
      <c r="M808" t="s">
        <v>449</v>
      </c>
      <c r="N808" t="s">
        <v>602</v>
      </c>
      <c r="O808" t="s">
        <v>603</v>
      </c>
      <c r="P808" t="s">
        <v>602</v>
      </c>
      <c r="Q808" s="17">
        <f>IFERROR(VLOOKUP(A808,已除帳印單!B:C,1,0),0)*1</f>
        <v>0</v>
      </c>
      <c r="R808" s="67" t="str">
        <f>IFERROR(VLOOKUP(J808,線別!A:B,2,1),"")</f>
        <v>FM線</v>
      </c>
      <c r="S808" s="17" t="str">
        <f>IFERROR(VLOOKUP(A808,已除帳印單!B:C,2,0),"")</f>
        <v/>
      </c>
      <c r="T808" s="68">
        <f t="shared" si="78"/>
        <v>43894</v>
      </c>
      <c r="U808" s="69">
        <f t="shared" si="79"/>
        <v>84.168796296296293</v>
      </c>
      <c r="V808" s="68" t="str">
        <f>IFERROR(VLOOKUP(A808,已除帳印單!B:D,3,0),"")</f>
        <v/>
      </c>
      <c r="W808" s="69" t="str">
        <f>IFERROR(VLOOKUP(A808,已除帳印單!B:E,4,0),"")</f>
        <v/>
      </c>
      <c r="X808" s="68" t="str">
        <f>IFERROR(INDEX(刷條碼區!A:C,MATCH(點上線資訊!S808,刷條碼區!C:C,0),1),"")</f>
        <v/>
      </c>
      <c r="Y808" s="69" t="str">
        <f>IFERROR(INDEX(刷條碼區!A:C,MATCH(點上線資訊!S808,刷條碼區!C:C,0),2),"")</f>
        <v/>
      </c>
      <c r="Z808" s="70" t="str">
        <f>IFERROR(INDEX(刷條碼區!D:G,MATCH(點上線資訊!S808,刷條碼區!F:F,0),1),"")</f>
        <v/>
      </c>
      <c r="AA808" s="71" t="str">
        <f>IFERROR(INDEX(刷條碼區!D:G,MATCH(點上線資訊!S808,刷條碼區!F:F,0),2),"")</f>
        <v/>
      </c>
      <c r="AB808" s="20" t="b">
        <f t="shared" si="74"/>
        <v>0</v>
      </c>
      <c r="AC808" s="20" t="b">
        <f t="shared" si="75"/>
        <v>0</v>
      </c>
      <c r="AD808" s="17" t="b">
        <f t="shared" si="76"/>
        <v>0</v>
      </c>
      <c r="AE808" s="17" t="b">
        <f t="shared" si="77"/>
        <v>0</v>
      </c>
    </row>
    <row r="809" spans="1:31" x14ac:dyDescent="0.2">
      <c r="A809" s="16">
        <v>5000503636</v>
      </c>
      <c r="B809" t="s">
        <v>301</v>
      </c>
      <c r="C809" t="s">
        <v>301</v>
      </c>
      <c r="D809" t="s">
        <v>1</v>
      </c>
      <c r="E809" t="s">
        <v>358</v>
      </c>
      <c r="F809" t="s">
        <v>988</v>
      </c>
      <c r="G809" s="2">
        <v>1</v>
      </c>
      <c r="H809" t="s">
        <v>461</v>
      </c>
      <c r="I809" t="s">
        <v>3</v>
      </c>
      <c r="J809" t="s">
        <v>5</v>
      </c>
      <c r="K809" t="s">
        <v>605</v>
      </c>
      <c r="L809" t="s">
        <v>608</v>
      </c>
      <c r="M809" t="s">
        <v>449</v>
      </c>
      <c r="N809" t="s">
        <v>602</v>
      </c>
      <c r="O809" t="s">
        <v>603</v>
      </c>
      <c r="P809" t="s">
        <v>602</v>
      </c>
      <c r="Q809" s="17">
        <f>IFERROR(VLOOKUP(A809,已除帳印單!B:C,1,0),0)*1</f>
        <v>0</v>
      </c>
      <c r="R809" s="67" t="str">
        <f>IFERROR(VLOOKUP(J809,線別!A:B,2,1),"")</f>
        <v>FM線</v>
      </c>
      <c r="S809" s="17" t="str">
        <f>IFERROR(VLOOKUP(A809,已除帳印單!B:C,2,0),"")</f>
        <v/>
      </c>
      <c r="T809" s="68">
        <f t="shared" si="78"/>
        <v>43894</v>
      </c>
      <c r="U809" s="69">
        <f t="shared" si="79"/>
        <v>84.168796296296293</v>
      </c>
      <c r="V809" s="68" t="str">
        <f>IFERROR(VLOOKUP(A809,已除帳印單!B:D,3,0),"")</f>
        <v/>
      </c>
      <c r="W809" s="69" t="str">
        <f>IFERROR(VLOOKUP(A809,已除帳印單!B:E,4,0),"")</f>
        <v/>
      </c>
      <c r="X809" s="68" t="str">
        <f>IFERROR(INDEX(刷條碼區!A:C,MATCH(點上線資訊!S809,刷條碼區!C:C,0),1),"")</f>
        <v/>
      </c>
      <c r="Y809" s="69" t="str">
        <f>IFERROR(INDEX(刷條碼區!A:C,MATCH(點上線資訊!S809,刷條碼區!C:C,0),2),"")</f>
        <v/>
      </c>
      <c r="Z809" s="70" t="str">
        <f>IFERROR(INDEX(刷條碼區!D:G,MATCH(點上線資訊!S809,刷條碼區!F:F,0),1),"")</f>
        <v/>
      </c>
      <c r="AA809" s="71" t="str">
        <f>IFERROR(INDEX(刷條碼區!D:G,MATCH(點上線資訊!S809,刷條碼區!F:F,0),2),"")</f>
        <v/>
      </c>
      <c r="AB809" s="20" t="b">
        <f t="shared" si="74"/>
        <v>0</v>
      </c>
      <c r="AC809" s="20" t="b">
        <f t="shared" si="75"/>
        <v>0</v>
      </c>
      <c r="AD809" s="17" t="b">
        <f t="shared" si="76"/>
        <v>0</v>
      </c>
      <c r="AE809" s="17" t="b">
        <f t="shared" si="77"/>
        <v>0</v>
      </c>
    </row>
    <row r="810" spans="1:31" x14ac:dyDescent="0.2">
      <c r="A810" s="16">
        <v>5000503637</v>
      </c>
      <c r="B810" t="s">
        <v>301</v>
      </c>
      <c r="C810" t="s">
        <v>301</v>
      </c>
      <c r="D810" t="s">
        <v>1</v>
      </c>
      <c r="E810" t="s">
        <v>358</v>
      </c>
      <c r="F810" t="s">
        <v>988</v>
      </c>
      <c r="G810" s="2">
        <v>1</v>
      </c>
      <c r="H810" t="s">
        <v>461</v>
      </c>
      <c r="I810" t="s">
        <v>3</v>
      </c>
      <c r="J810" t="s">
        <v>5</v>
      </c>
      <c r="K810" t="s">
        <v>605</v>
      </c>
      <c r="L810" t="s">
        <v>608</v>
      </c>
      <c r="M810" t="s">
        <v>449</v>
      </c>
      <c r="N810" t="s">
        <v>602</v>
      </c>
      <c r="O810" t="s">
        <v>603</v>
      </c>
      <c r="P810" t="s">
        <v>602</v>
      </c>
      <c r="Q810" s="17">
        <f>IFERROR(VLOOKUP(A810,已除帳印單!B:C,1,0),0)*1</f>
        <v>0</v>
      </c>
      <c r="R810" s="67" t="str">
        <f>IFERROR(VLOOKUP(J810,線別!A:B,2,1),"")</f>
        <v>FM線</v>
      </c>
      <c r="S810" s="17" t="str">
        <f>IFERROR(VLOOKUP(A810,已除帳印單!B:C,2,0),"")</f>
        <v/>
      </c>
      <c r="T810" s="68">
        <f t="shared" si="78"/>
        <v>43894</v>
      </c>
      <c r="U810" s="69">
        <f t="shared" si="79"/>
        <v>84.168796296296293</v>
      </c>
      <c r="V810" s="68" t="str">
        <f>IFERROR(VLOOKUP(A810,已除帳印單!B:D,3,0),"")</f>
        <v/>
      </c>
      <c r="W810" s="69" t="str">
        <f>IFERROR(VLOOKUP(A810,已除帳印單!B:E,4,0),"")</f>
        <v/>
      </c>
      <c r="X810" s="68" t="str">
        <f>IFERROR(INDEX(刷條碼區!A:C,MATCH(點上線資訊!S810,刷條碼區!C:C,0),1),"")</f>
        <v/>
      </c>
      <c r="Y810" s="69" t="str">
        <f>IFERROR(INDEX(刷條碼區!A:C,MATCH(點上線資訊!S810,刷條碼區!C:C,0),2),"")</f>
        <v/>
      </c>
      <c r="Z810" s="70" t="str">
        <f>IFERROR(INDEX(刷條碼區!D:G,MATCH(點上線資訊!S810,刷條碼區!F:F,0),1),"")</f>
        <v/>
      </c>
      <c r="AA810" s="71" t="str">
        <f>IFERROR(INDEX(刷條碼區!D:G,MATCH(點上線資訊!S810,刷條碼區!F:F,0),2),"")</f>
        <v/>
      </c>
      <c r="AB810" s="20" t="b">
        <f t="shared" si="74"/>
        <v>0</v>
      </c>
      <c r="AC810" s="20" t="b">
        <f t="shared" si="75"/>
        <v>0</v>
      </c>
      <c r="AD810" s="17" t="b">
        <f t="shared" si="76"/>
        <v>0</v>
      </c>
      <c r="AE810" s="17" t="b">
        <f t="shared" si="77"/>
        <v>0</v>
      </c>
    </row>
    <row r="811" spans="1:31" x14ac:dyDescent="0.2">
      <c r="A811" s="16">
        <v>5000503638</v>
      </c>
      <c r="B811" t="s">
        <v>301</v>
      </c>
      <c r="C811" t="s">
        <v>301</v>
      </c>
      <c r="D811" t="s">
        <v>1</v>
      </c>
      <c r="E811" t="s">
        <v>358</v>
      </c>
      <c r="F811" t="s">
        <v>988</v>
      </c>
      <c r="G811" s="2">
        <v>1</v>
      </c>
      <c r="H811" t="s">
        <v>461</v>
      </c>
      <c r="I811" t="s">
        <v>3</v>
      </c>
      <c r="J811" t="s">
        <v>5</v>
      </c>
      <c r="K811" t="s">
        <v>605</v>
      </c>
      <c r="L811" t="s">
        <v>608</v>
      </c>
      <c r="M811" t="s">
        <v>449</v>
      </c>
      <c r="N811" t="s">
        <v>602</v>
      </c>
      <c r="O811" t="s">
        <v>603</v>
      </c>
      <c r="P811" t="s">
        <v>602</v>
      </c>
      <c r="Q811" s="17">
        <f>IFERROR(VLOOKUP(A811,已除帳印單!B:C,1,0),0)*1</f>
        <v>0</v>
      </c>
      <c r="R811" s="67" t="str">
        <f>IFERROR(VLOOKUP(J811,線別!A:B,2,1),"")</f>
        <v>FM線</v>
      </c>
      <c r="S811" s="17" t="str">
        <f>IFERROR(VLOOKUP(A811,已除帳印單!B:C,2,0),"")</f>
        <v/>
      </c>
      <c r="T811" s="68">
        <f t="shared" si="78"/>
        <v>43894</v>
      </c>
      <c r="U811" s="69">
        <f t="shared" si="79"/>
        <v>84.168796296296293</v>
      </c>
      <c r="V811" s="68" t="str">
        <f>IFERROR(VLOOKUP(A811,已除帳印單!B:D,3,0),"")</f>
        <v/>
      </c>
      <c r="W811" s="69" t="str">
        <f>IFERROR(VLOOKUP(A811,已除帳印單!B:E,4,0),"")</f>
        <v/>
      </c>
      <c r="X811" s="68" t="str">
        <f>IFERROR(INDEX(刷條碼區!A:C,MATCH(點上線資訊!S811,刷條碼區!C:C,0),1),"")</f>
        <v/>
      </c>
      <c r="Y811" s="69" t="str">
        <f>IFERROR(INDEX(刷條碼區!A:C,MATCH(點上線資訊!S811,刷條碼區!C:C,0),2),"")</f>
        <v/>
      </c>
      <c r="Z811" s="70" t="str">
        <f>IFERROR(INDEX(刷條碼區!D:G,MATCH(點上線資訊!S811,刷條碼區!F:F,0),1),"")</f>
        <v/>
      </c>
      <c r="AA811" s="71" t="str">
        <f>IFERROR(INDEX(刷條碼區!D:G,MATCH(點上線資訊!S811,刷條碼區!F:F,0),2),"")</f>
        <v/>
      </c>
      <c r="AB811" s="20" t="b">
        <f t="shared" si="74"/>
        <v>0</v>
      </c>
      <c r="AC811" s="20" t="b">
        <f t="shared" si="75"/>
        <v>0</v>
      </c>
      <c r="AD811" s="17" t="b">
        <f t="shared" si="76"/>
        <v>0</v>
      </c>
      <c r="AE811" s="17" t="b">
        <f t="shared" si="77"/>
        <v>0</v>
      </c>
    </row>
    <row r="812" spans="1:31" x14ac:dyDescent="0.2">
      <c r="A812" s="16">
        <v>5000503639</v>
      </c>
      <c r="B812" t="s">
        <v>301</v>
      </c>
      <c r="C812" t="s">
        <v>301</v>
      </c>
      <c r="D812" t="s">
        <v>1</v>
      </c>
      <c r="E812" t="s">
        <v>358</v>
      </c>
      <c r="F812" t="s">
        <v>988</v>
      </c>
      <c r="G812" s="2">
        <v>1</v>
      </c>
      <c r="H812" t="s">
        <v>461</v>
      </c>
      <c r="I812" t="s">
        <v>3</v>
      </c>
      <c r="J812" t="s">
        <v>5</v>
      </c>
      <c r="K812" t="s">
        <v>605</v>
      </c>
      <c r="L812" t="s">
        <v>608</v>
      </c>
      <c r="M812" t="s">
        <v>449</v>
      </c>
      <c r="N812" t="s">
        <v>602</v>
      </c>
      <c r="O812" t="s">
        <v>603</v>
      </c>
      <c r="P812" t="s">
        <v>602</v>
      </c>
      <c r="Q812" s="17">
        <f>IFERROR(VLOOKUP(A812,已除帳印單!B:C,1,0),0)*1</f>
        <v>0</v>
      </c>
      <c r="R812" s="67" t="str">
        <f>IFERROR(VLOOKUP(J812,線別!A:B,2,1),"")</f>
        <v>FM線</v>
      </c>
      <c r="S812" s="17" t="str">
        <f>IFERROR(VLOOKUP(A812,已除帳印單!B:C,2,0),"")</f>
        <v/>
      </c>
      <c r="T812" s="68">
        <f t="shared" si="78"/>
        <v>43894</v>
      </c>
      <c r="U812" s="69">
        <f t="shared" si="79"/>
        <v>84.168796296296293</v>
      </c>
      <c r="V812" s="68" t="str">
        <f>IFERROR(VLOOKUP(A812,已除帳印單!B:D,3,0),"")</f>
        <v/>
      </c>
      <c r="W812" s="69" t="str">
        <f>IFERROR(VLOOKUP(A812,已除帳印單!B:E,4,0),"")</f>
        <v/>
      </c>
      <c r="X812" s="68" t="str">
        <f>IFERROR(INDEX(刷條碼區!A:C,MATCH(點上線資訊!S812,刷條碼區!C:C,0),1),"")</f>
        <v/>
      </c>
      <c r="Y812" s="69" t="str">
        <f>IFERROR(INDEX(刷條碼區!A:C,MATCH(點上線資訊!S812,刷條碼區!C:C,0),2),"")</f>
        <v/>
      </c>
      <c r="Z812" s="70" t="str">
        <f>IFERROR(INDEX(刷條碼區!D:G,MATCH(點上線資訊!S812,刷條碼區!F:F,0),1),"")</f>
        <v/>
      </c>
      <c r="AA812" s="71" t="str">
        <f>IFERROR(INDEX(刷條碼區!D:G,MATCH(點上線資訊!S812,刷條碼區!F:F,0),2),"")</f>
        <v/>
      </c>
      <c r="AB812" s="20" t="b">
        <f t="shared" si="74"/>
        <v>0</v>
      </c>
      <c r="AC812" s="20" t="b">
        <f t="shared" si="75"/>
        <v>0</v>
      </c>
      <c r="AD812" s="17" t="b">
        <f t="shared" si="76"/>
        <v>0</v>
      </c>
      <c r="AE812" s="17" t="b">
        <f t="shared" si="77"/>
        <v>0</v>
      </c>
    </row>
    <row r="813" spans="1:31" x14ac:dyDescent="0.2">
      <c r="A813" s="16">
        <v>5000503640</v>
      </c>
      <c r="B813" t="s">
        <v>301</v>
      </c>
      <c r="C813" t="s">
        <v>301</v>
      </c>
      <c r="D813" t="s">
        <v>1</v>
      </c>
      <c r="E813" t="s">
        <v>358</v>
      </c>
      <c r="F813" t="s">
        <v>988</v>
      </c>
      <c r="G813" s="2">
        <v>1</v>
      </c>
      <c r="H813" t="s">
        <v>461</v>
      </c>
      <c r="I813" t="s">
        <v>3</v>
      </c>
      <c r="J813" t="s">
        <v>5</v>
      </c>
      <c r="K813" t="s">
        <v>605</v>
      </c>
      <c r="L813" t="s">
        <v>608</v>
      </c>
      <c r="M813" t="s">
        <v>449</v>
      </c>
      <c r="N813" t="s">
        <v>602</v>
      </c>
      <c r="O813" t="s">
        <v>603</v>
      </c>
      <c r="P813" t="s">
        <v>602</v>
      </c>
      <c r="Q813" s="17">
        <f>IFERROR(VLOOKUP(A813,已除帳印單!B:C,1,0),0)*1</f>
        <v>0</v>
      </c>
      <c r="R813" s="67" t="str">
        <f>IFERROR(VLOOKUP(J813,線別!A:B,2,1),"")</f>
        <v>FM線</v>
      </c>
      <c r="S813" s="17" t="str">
        <f>IFERROR(VLOOKUP(A813,已除帳印單!B:C,2,0),"")</f>
        <v/>
      </c>
      <c r="T813" s="68">
        <f t="shared" si="78"/>
        <v>43894</v>
      </c>
      <c r="U813" s="69">
        <f t="shared" si="79"/>
        <v>84.168796296296293</v>
      </c>
      <c r="V813" s="68" t="str">
        <f>IFERROR(VLOOKUP(A813,已除帳印單!B:D,3,0),"")</f>
        <v/>
      </c>
      <c r="W813" s="69" t="str">
        <f>IFERROR(VLOOKUP(A813,已除帳印單!B:E,4,0),"")</f>
        <v/>
      </c>
      <c r="X813" s="68" t="str">
        <f>IFERROR(INDEX(刷條碼區!A:C,MATCH(點上線資訊!S813,刷條碼區!C:C,0),1),"")</f>
        <v/>
      </c>
      <c r="Y813" s="69" t="str">
        <f>IFERROR(INDEX(刷條碼區!A:C,MATCH(點上線資訊!S813,刷條碼區!C:C,0),2),"")</f>
        <v/>
      </c>
      <c r="Z813" s="70" t="str">
        <f>IFERROR(INDEX(刷條碼區!D:G,MATCH(點上線資訊!S813,刷條碼區!F:F,0),1),"")</f>
        <v/>
      </c>
      <c r="AA813" s="71" t="str">
        <f>IFERROR(INDEX(刷條碼區!D:G,MATCH(點上線資訊!S813,刷條碼區!F:F,0),2),"")</f>
        <v/>
      </c>
      <c r="AB813" s="20" t="b">
        <f t="shared" si="74"/>
        <v>0</v>
      </c>
      <c r="AC813" s="20" t="b">
        <f t="shared" si="75"/>
        <v>0</v>
      </c>
      <c r="AD813" s="17" t="b">
        <f t="shared" si="76"/>
        <v>0</v>
      </c>
      <c r="AE813" s="17" t="b">
        <f t="shared" si="77"/>
        <v>0</v>
      </c>
    </row>
    <row r="814" spans="1:31" x14ac:dyDescent="0.2">
      <c r="A814" s="16">
        <v>5000503641</v>
      </c>
      <c r="B814" t="s">
        <v>301</v>
      </c>
      <c r="C814" t="s">
        <v>301</v>
      </c>
      <c r="D814" t="s">
        <v>1</v>
      </c>
      <c r="E814" t="s">
        <v>358</v>
      </c>
      <c r="F814" t="s">
        <v>988</v>
      </c>
      <c r="G814" s="2">
        <v>1</v>
      </c>
      <c r="H814" t="s">
        <v>461</v>
      </c>
      <c r="I814" t="s">
        <v>3</v>
      </c>
      <c r="J814" t="s">
        <v>5</v>
      </c>
      <c r="K814" t="s">
        <v>605</v>
      </c>
      <c r="L814" t="s">
        <v>608</v>
      </c>
      <c r="M814" t="s">
        <v>449</v>
      </c>
      <c r="N814" t="s">
        <v>602</v>
      </c>
      <c r="O814" t="s">
        <v>603</v>
      </c>
      <c r="P814" t="s">
        <v>602</v>
      </c>
      <c r="Q814" s="17">
        <f>IFERROR(VLOOKUP(A814,已除帳印單!B:C,1,0),0)*1</f>
        <v>0</v>
      </c>
      <c r="R814" s="67" t="str">
        <f>IFERROR(VLOOKUP(J814,線別!A:B,2,1),"")</f>
        <v>FM線</v>
      </c>
      <c r="S814" s="17" t="str">
        <f>IFERROR(VLOOKUP(A814,已除帳印單!B:C,2,0),"")</f>
        <v/>
      </c>
      <c r="T814" s="68">
        <f t="shared" si="78"/>
        <v>43894</v>
      </c>
      <c r="U814" s="69">
        <f t="shared" si="79"/>
        <v>84.168796296296293</v>
      </c>
      <c r="V814" s="68" t="str">
        <f>IFERROR(VLOOKUP(A814,已除帳印單!B:D,3,0),"")</f>
        <v/>
      </c>
      <c r="W814" s="69" t="str">
        <f>IFERROR(VLOOKUP(A814,已除帳印單!B:E,4,0),"")</f>
        <v/>
      </c>
      <c r="X814" s="68" t="str">
        <f>IFERROR(INDEX(刷條碼區!A:C,MATCH(點上線資訊!S814,刷條碼區!C:C,0),1),"")</f>
        <v/>
      </c>
      <c r="Y814" s="69" t="str">
        <f>IFERROR(INDEX(刷條碼區!A:C,MATCH(點上線資訊!S814,刷條碼區!C:C,0),2),"")</f>
        <v/>
      </c>
      <c r="Z814" s="70" t="str">
        <f>IFERROR(INDEX(刷條碼區!D:G,MATCH(點上線資訊!S814,刷條碼區!F:F,0),1),"")</f>
        <v/>
      </c>
      <c r="AA814" s="71" t="str">
        <f>IFERROR(INDEX(刷條碼區!D:G,MATCH(點上線資訊!S814,刷條碼區!F:F,0),2),"")</f>
        <v/>
      </c>
      <c r="AB814" s="20" t="b">
        <f t="shared" si="74"/>
        <v>0</v>
      </c>
      <c r="AC814" s="20" t="b">
        <f t="shared" si="75"/>
        <v>0</v>
      </c>
      <c r="AD814" s="17" t="b">
        <f t="shared" si="76"/>
        <v>0</v>
      </c>
      <c r="AE814" s="17" t="b">
        <f t="shared" si="77"/>
        <v>0</v>
      </c>
    </row>
    <row r="815" spans="1:31" x14ac:dyDescent="0.2">
      <c r="A815" s="16">
        <v>5000503642</v>
      </c>
      <c r="B815" t="s">
        <v>301</v>
      </c>
      <c r="C815" t="s">
        <v>301</v>
      </c>
      <c r="D815" t="s">
        <v>1</v>
      </c>
      <c r="E815" t="s">
        <v>362</v>
      </c>
      <c r="F815" t="s">
        <v>1245</v>
      </c>
      <c r="G815" s="2">
        <v>1</v>
      </c>
      <c r="H815" t="s">
        <v>461</v>
      </c>
      <c r="I815" t="s">
        <v>3</v>
      </c>
      <c r="J815" t="s">
        <v>19</v>
      </c>
      <c r="K815" t="s">
        <v>605</v>
      </c>
      <c r="L815" t="s">
        <v>608</v>
      </c>
      <c r="M815" t="s">
        <v>451</v>
      </c>
      <c r="N815" t="s">
        <v>602</v>
      </c>
      <c r="O815" t="s">
        <v>603</v>
      </c>
      <c r="P815" t="s">
        <v>602</v>
      </c>
      <c r="Q815" s="17">
        <f>IFERROR(VLOOKUP(A815,已除帳印單!B:C,1,0),0)*1</f>
        <v>0</v>
      </c>
      <c r="R815" s="67" t="str">
        <f>IFERROR(VLOOKUP(J815,線別!A:B,2,1),"")</f>
        <v>FM_IA預組</v>
      </c>
      <c r="S815" s="17" t="str">
        <f>IFERROR(VLOOKUP(A815,已除帳印單!B:C,2,0),"")</f>
        <v/>
      </c>
      <c r="T815" s="68">
        <f t="shared" si="78"/>
        <v>43894</v>
      </c>
      <c r="U815" s="69">
        <f t="shared" si="79"/>
        <v>84.168796296296293</v>
      </c>
      <c r="V815" s="68" t="str">
        <f>IFERROR(VLOOKUP(A815,已除帳印單!B:D,3,0),"")</f>
        <v/>
      </c>
      <c r="W815" s="69" t="str">
        <f>IFERROR(VLOOKUP(A815,已除帳印單!B:E,4,0),"")</f>
        <v/>
      </c>
      <c r="X815" s="68" t="str">
        <f>IFERROR(INDEX(刷條碼區!A:C,MATCH(點上線資訊!S815,刷條碼區!C:C,0),1),"")</f>
        <v/>
      </c>
      <c r="Y815" s="69" t="str">
        <f>IFERROR(INDEX(刷條碼區!A:C,MATCH(點上線資訊!S815,刷條碼區!C:C,0),2),"")</f>
        <v/>
      </c>
      <c r="Z815" s="70" t="str">
        <f>IFERROR(INDEX(刷條碼區!D:G,MATCH(點上線資訊!S815,刷條碼區!F:F,0),1),"")</f>
        <v/>
      </c>
      <c r="AA815" s="71" t="str">
        <f>IFERROR(INDEX(刷條碼區!D:G,MATCH(點上線資訊!S815,刷條碼區!F:F,0),2),"")</f>
        <v/>
      </c>
      <c r="AB815" s="20" t="b">
        <f t="shared" si="74"/>
        <v>0</v>
      </c>
      <c r="AC815" s="20" t="b">
        <f t="shared" si="75"/>
        <v>0</v>
      </c>
      <c r="AD815" s="17" t="b">
        <f t="shared" si="76"/>
        <v>0</v>
      </c>
      <c r="AE815" s="17" t="b">
        <f t="shared" si="77"/>
        <v>0</v>
      </c>
    </row>
    <row r="816" spans="1:31" x14ac:dyDescent="0.2">
      <c r="A816" s="16">
        <v>5000503643</v>
      </c>
      <c r="B816" t="s">
        <v>301</v>
      </c>
      <c r="C816" t="s">
        <v>301</v>
      </c>
      <c r="D816" t="s">
        <v>1</v>
      </c>
      <c r="E816" t="s">
        <v>362</v>
      </c>
      <c r="F816" t="s">
        <v>1245</v>
      </c>
      <c r="G816" s="2">
        <v>1</v>
      </c>
      <c r="H816" t="s">
        <v>461</v>
      </c>
      <c r="I816" t="s">
        <v>3</v>
      </c>
      <c r="J816" t="s">
        <v>19</v>
      </c>
      <c r="K816" t="s">
        <v>605</v>
      </c>
      <c r="L816" t="s">
        <v>608</v>
      </c>
      <c r="M816" t="s">
        <v>451</v>
      </c>
      <c r="N816" t="s">
        <v>602</v>
      </c>
      <c r="O816" t="s">
        <v>603</v>
      </c>
      <c r="P816" t="s">
        <v>602</v>
      </c>
      <c r="Q816" s="17">
        <f>IFERROR(VLOOKUP(A816,已除帳印單!B:C,1,0),0)*1</f>
        <v>0</v>
      </c>
      <c r="R816" s="67" t="str">
        <f>IFERROR(VLOOKUP(J816,線別!A:B,2,1),"")</f>
        <v>FM_IA預組</v>
      </c>
      <c r="S816" s="17" t="str">
        <f>IFERROR(VLOOKUP(A816,已除帳印單!B:C,2,0),"")</f>
        <v/>
      </c>
      <c r="T816" s="68">
        <f t="shared" si="78"/>
        <v>43894</v>
      </c>
      <c r="U816" s="69">
        <f t="shared" si="79"/>
        <v>84.168796296296293</v>
      </c>
      <c r="V816" s="68" t="str">
        <f>IFERROR(VLOOKUP(A816,已除帳印單!B:D,3,0),"")</f>
        <v/>
      </c>
      <c r="W816" s="69" t="str">
        <f>IFERROR(VLOOKUP(A816,已除帳印單!B:E,4,0),"")</f>
        <v/>
      </c>
      <c r="X816" s="68" t="str">
        <f>IFERROR(INDEX(刷條碼區!A:C,MATCH(點上線資訊!S816,刷條碼區!C:C,0),1),"")</f>
        <v/>
      </c>
      <c r="Y816" s="69" t="str">
        <f>IFERROR(INDEX(刷條碼區!A:C,MATCH(點上線資訊!S816,刷條碼區!C:C,0),2),"")</f>
        <v/>
      </c>
      <c r="Z816" s="70" t="str">
        <f>IFERROR(INDEX(刷條碼區!D:G,MATCH(點上線資訊!S816,刷條碼區!F:F,0),1),"")</f>
        <v/>
      </c>
      <c r="AA816" s="71" t="str">
        <f>IFERROR(INDEX(刷條碼區!D:G,MATCH(點上線資訊!S816,刷條碼區!F:F,0),2),"")</f>
        <v/>
      </c>
      <c r="AB816" s="20" t="b">
        <f t="shared" si="74"/>
        <v>0</v>
      </c>
      <c r="AC816" s="20" t="b">
        <f t="shared" si="75"/>
        <v>0</v>
      </c>
      <c r="AD816" s="17" t="b">
        <f t="shared" si="76"/>
        <v>0</v>
      </c>
      <c r="AE816" s="17" t="b">
        <f t="shared" si="77"/>
        <v>0</v>
      </c>
    </row>
    <row r="817" spans="1:31" x14ac:dyDescent="0.2">
      <c r="A817" s="16">
        <v>5000503644</v>
      </c>
      <c r="B817" t="s">
        <v>301</v>
      </c>
      <c r="C817" t="s">
        <v>301</v>
      </c>
      <c r="D817" t="s">
        <v>1</v>
      </c>
      <c r="E817" t="s">
        <v>362</v>
      </c>
      <c r="F817" t="s">
        <v>1245</v>
      </c>
      <c r="G817" s="2">
        <v>1</v>
      </c>
      <c r="H817" t="s">
        <v>461</v>
      </c>
      <c r="I817" t="s">
        <v>3</v>
      </c>
      <c r="J817" t="s">
        <v>19</v>
      </c>
      <c r="K817" t="s">
        <v>605</v>
      </c>
      <c r="L817" t="s">
        <v>608</v>
      </c>
      <c r="M817" t="s">
        <v>451</v>
      </c>
      <c r="N817" t="s">
        <v>602</v>
      </c>
      <c r="O817" t="s">
        <v>603</v>
      </c>
      <c r="P817" t="s">
        <v>602</v>
      </c>
      <c r="Q817" s="17">
        <f>IFERROR(VLOOKUP(A817,已除帳印單!B:C,1,0),0)*1</f>
        <v>0</v>
      </c>
      <c r="R817" s="67" t="str">
        <f>IFERROR(VLOOKUP(J817,線別!A:B,2,1),"")</f>
        <v>FM_IA預組</v>
      </c>
      <c r="S817" s="17" t="str">
        <f>IFERROR(VLOOKUP(A817,已除帳印單!B:C,2,0),"")</f>
        <v/>
      </c>
      <c r="T817" s="68">
        <f t="shared" si="78"/>
        <v>43894</v>
      </c>
      <c r="U817" s="69">
        <f t="shared" si="79"/>
        <v>84.168796296296293</v>
      </c>
      <c r="V817" s="68" t="str">
        <f>IFERROR(VLOOKUP(A817,已除帳印單!B:D,3,0),"")</f>
        <v/>
      </c>
      <c r="W817" s="69" t="str">
        <f>IFERROR(VLOOKUP(A817,已除帳印單!B:E,4,0),"")</f>
        <v/>
      </c>
      <c r="X817" s="68" t="str">
        <f>IFERROR(INDEX(刷條碼區!A:C,MATCH(點上線資訊!S817,刷條碼區!C:C,0),1),"")</f>
        <v/>
      </c>
      <c r="Y817" s="69" t="str">
        <f>IFERROR(INDEX(刷條碼區!A:C,MATCH(點上線資訊!S817,刷條碼區!C:C,0),2),"")</f>
        <v/>
      </c>
      <c r="Z817" s="70" t="str">
        <f>IFERROR(INDEX(刷條碼區!D:G,MATCH(點上線資訊!S817,刷條碼區!F:F,0),1),"")</f>
        <v/>
      </c>
      <c r="AA817" s="71" t="str">
        <f>IFERROR(INDEX(刷條碼區!D:G,MATCH(點上線資訊!S817,刷條碼區!F:F,0),2),"")</f>
        <v/>
      </c>
      <c r="AB817" s="20" t="b">
        <f t="shared" si="74"/>
        <v>0</v>
      </c>
      <c r="AC817" s="20" t="b">
        <f t="shared" si="75"/>
        <v>0</v>
      </c>
      <c r="AD817" s="17" t="b">
        <f t="shared" si="76"/>
        <v>0</v>
      </c>
      <c r="AE817" s="17" t="b">
        <f t="shared" si="77"/>
        <v>0</v>
      </c>
    </row>
    <row r="818" spans="1:31" x14ac:dyDescent="0.2">
      <c r="A818" s="16">
        <v>5000503645</v>
      </c>
      <c r="B818" t="s">
        <v>301</v>
      </c>
      <c r="C818" t="s">
        <v>301</v>
      </c>
      <c r="D818" t="s">
        <v>1</v>
      </c>
      <c r="E818" t="s">
        <v>362</v>
      </c>
      <c r="F818" t="s">
        <v>1245</v>
      </c>
      <c r="G818" s="2">
        <v>1</v>
      </c>
      <c r="H818" t="s">
        <v>461</v>
      </c>
      <c r="I818" t="s">
        <v>3</v>
      </c>
      <c r="J818" t="s">
        <v>19</v>
      </c>
      <c r="K818" t="s">
        <v>605</v>
      </c>
      <c r="L818" t="s">
        <v>608</v>
      </c>
      <c r="M818" t="s">
        <v>451</v>
      </c>
      <c r="N818" t="s">
        <v>602</v>
      </c>
      <c r="O818" t="s">
        <v>603</v>
      </c>
      <c r="P818" t="s">
        <v>602</v>
      </c>
      <c r="Q818" s="17">
        <f>IFERROR(VLOOKUP(A818,已除帳印單!B:C,1,0),0)*1</f>
        <v>0</v>
      </c>
      <c r="R818" s="67" t="str">
        <f>IFERROR(VLOOKUP(J818,線別!A:B,2,1),"")</f>
        <v>FM_IA預組</v>
      </c>
      <c r="S818" s="17" t="str">
        <f>IFERROR(VLOOKUP(A818,已除帳印單!B:C,2,0),"")</f>
        <v/>
      </c>
      <c r="T818" s="68">
        <f t="shared" si="78"/>
        <v>43894</v>
      </c>
      <c r="U818" s="69">
        <f t="shared" si="79"/>
        <v>84.168796296296293</v>
      </c>
      <c r="V818" s="68" t="str">
        <f>IFERROR(VLOOKUP(A818,已除帳印單!B:D,3,0),"")</f>
        <v/>
      </c>
      <c r="W818" s="69" t="str">
        <f>IFERROR(VLOOKUP(A818,已除帳印單!B:E,4,0),"")</f>
        <v/>
      </c>
      <c r="X818" s="68" t="str">
        <f>IFERROR(INDEX(刷條碼區!A:C,MATCH(點上線資訊!S818,刷條碼區!C:C,0),1),"")</f>
        <v/>
      </c>
      <c r="Y818" s="69" t="str">
        <f>IFERROR(INDEX(刷條碼區!A:C,MATCH(點上線資訊!S818,刷條碼區!C:C,0),2),"")</f>
        <v/>
      </c>
      <c r="Z818" s="70" t="str">
        <f>IFERROR(INDEX(刷條碼區!D:G,MATCH(點上線資訊!S818,刷條碼區!F:F,0),1),"")</f>
        <v/>
      </c>
      <c r="AA818" s="71" t="str">
        <f>IFERROR(INDEX(刷條碼區!D:G,MATCH(點上線資訊!S818,刷條碼區!F:F,0),2),"")</f>
        <v/>
      </c>
      <c r="AB818" s="20" t="b">
        <f t="shared" si="74"/>
        <v>0</v>
      </c>
      <c r="AC818" s="20" t="b">
        <f t="shared" si="75"/>
        <v>0</v>
      </c>
      <c r="AD818" s="17" t="b">
        <f t="shared" si="76"/>
        <v>0</v>
      </c>
      <c r="AE818" s="17" t="b">
        <f t="shared" si="77"/>
        <v>0</v>
      </c>
    </row>
    <row r="819" spans="1:31" x14ac:dyDescent="0.2">
      <c r="A819" s="16">
        <v>5000503646</v>
      </c>
      <c r="B819" t="s">
        <v>301</v>
      </c>
      <c r="C819" t="s">
        <v>301</v>
      </c>
      <c r="D819" t="s">
        <v>1</v>
      </c>
      <c r="E819" t="s">
        <v>362</v>
      </c>
      <c r="F819" t="s">
        <v>1245</v>
      </c>
      <c r="G819" s="2">
        <v>1</v>
      </c>
      <c r="H819" t="s">
        <v>461</v>
      </c>
      <c r="I819" t="s">
        <v>3</v>
      </c>
      <c r="J819" t="s">
        <v>19</v>
      </c>
      <c r="K819" t="s">
        <v>605</v>
      </c>
      <c r="L819" t="s">
        <v>608</v>
      </c>
      <c r="M819" t="s">
        <v>451</v>
      </c>
      <c r="N819" t="s">
        <v>602</v>
      </c>
      <c r="O819" t="s">
        <v>603</v>
      </c>
      <c r="P819" t="s">
        <v>602</v>
      </c>
      <c r="Q819" s="17">
        <f>IFERROR(VLOOKUP(A819,已除帳印單!B:C,1,0),0)*1</f>
        <v>0</v>
      </c>
      <c r="R819" s="67" t="str">
        <f>IFERROR(VLOOKUP(J819,線別!A:B,2,1),"")</f>
        <v>FM_IA預組</v>
      </c>
      <c r="S819" s="17" t="str">
        <f>IFERROR(VLOOKUP(A819,已除帳印單!B:C,2,0),"")</f>
        <v/>
      </c>
      <c r="T819" s="68">
        <f t="shared" si="78"/>
        <v>43894</v>
      </c>
      <c r="U819" s="69">
        <f t="shared" si="79"/>
        <v>84.168796296296293</v>
      </c>
      <c r="V819" s="68" t="str">
        <f>IFERROR(VLOOKUP(A819,已除帳印單!B:D,3,0),"")</f>
        <v/>
      </c>
      <c r="W819" s="69" t="str">
        <f>IFERROR(VLOOKUP(A819,已除帳印單!B:E,4,0),"")</f>
        <v/>
      </c>
      <c r="X819" s="68" t="str">
        <f>IFERROR(INDEX(刷條碼區!A:C,MATCH(點上線資訊!S819,刷條碼區!C:C,0),1),"")</f>
        <v/>
      </c>
      <c r="Y819" s="69" t="str">
        <f>IFERROR(INDEX(刷條碼區!A:C,MATCH(點上線資訊!S819,刷條碼區!C:C,0),2),"")</f>
        <v/>
      </c>
      <c r="Z819" s="70" t="str">
        <f>IFERROR(INDEX(刷條碼區!D:G,MATCH(點上線資訊!S819,刷條碼區!F:F,0),1),"")</f>
        <v/>
      </c>
      <c r="AA819" s="71" t="str">
        <f>IFERROR(INDEX(刷條碼區!D:G,MATCH(點上線資訊!S819,刷條碼區!F:F,0),2),"")</f>
        <v/>
      </c>
      <c r="AB819" s="20" t="b">
        <f t="shared" si="74"/>
        <v>0</v>
      </c>
      <c r="AC819" s="20" t="b">
        <f t="shared" si="75"/>
        <v>0</v>
      </c>
      <c r="AD819" s="17" t="b">
        <f t="shared" si="76"/>
        <v>0</v>
      </c>
      <c r="AE819" s="17" t="b">
        <f t="shared" si="77"/>
        <v>0</v>
      </c>
    </row>
    <row r="820" spans="1:31" x14ac:dyDescent="0.2">
      <c r="A820" s="16">
        <v>5000503647</v>
      </c>
      <c r="B820" t="s">
        <v>301</v>
      </c>
      <c r="C820" t="s">
        <v>301</v>
      </c>
      <c r="D820" t="s">
        <v>1</v>
      </c>
      <c r="E820" t="s">
        <v>362</v>
      </c>
      <c r="F820" t="s">
        <v>1245</v>
      </c>
      <c r="G820" s="2">
        <v>1</v>
      </c>
      <c r="H820" t="s">
        <v>461</v>
      </c>
      <c r="I820" t="s">
        <v>3</v>
      </c>
      <c r="J820" t="s">
        <v>19</v>
      </c>
      <c r="K820" t="s">
        <v>605</v>
      </c>
      <c r="L820" t="s">
        <v>608</v>
      </c>
      <c r="M820" t="s">
        <v>451</v>
      </c>
      <c r="N820" t="s">
        <v>602</v>
      </c>
      <c r="O820" t="s">
        <v>603</v>
      </c>
      <c r="P820" t="s">
        <v>602</v>
      </c>
      <c r="Q820" s="17">
        <f>IFERROR(VLOOKUP(A820,已除帳印單!B:C,1,0),0)*1</f>
        <v>0</v>
      </c>
      <c r="R820" s="67" t="str">
        <f>IFERROR(VLOOKUP(J820,線別!A:B,2,1),"")</f>
        <v>FM_IA預組</v>
      </c>
      <c r="S820" s="17" t="str">
        <f>IFERROR(VLOOKUP(A820,已除帳印單!B:C,2,0),"")</f>
        <v/>
      </c>
      <c r="T820" s="68">
        <f t="shared" si="78"/>
        <v>43894</v>
      </c>
      <c r="U820" s="69">
        <f t="shared" si="79"/>
        <v>84.168796296296293</v>
      </c>
      <c r="V820" s="68" t="str">
        <f>IFERROR(VLOOKUP(A820,已除帳印單!B:D,3,0),"")</f>
        <v/>
      </c>
      <c r="W820" s="69" t="str">
        <f>IFERROR(VLOOKUP(A820,已除帳印單!B:E,4,0),"")</f>
        <v/>
      </c>
      <c r="X820" s="68" t="str">
        <f>IFERROR(INDEX(刷條碼區!A:C,MATCH(點上線資訊!S820,刷條碼區!C:C,0),1),"")</f>
        <v/>
      </c>
      <c r="Y820" s="69" t="str">
        <f>IFERROR(INDEX(刷條碼區!A:C,MATCH(點上線資訊!S820,刷條碼區!C:C,0),2),"")</f>
        <v/>
      </c>
      <c r="Z820" s="70" t="str">
        <f>IFERROR(INDEX(刷條碼區!D:G,MATCH(點上線資訊!S820,刷條碼區!F:F,0),1),"")</f>
        <v/>
      </c>
      <c r="AA820" s="71" t="str">
        <f>IFERROR(INDEX(刷條碼區!D:G,MATCH(點上線資訊!S820,刷條碼區!F:F,0),2),"")</f>
        <v/>
      </c>
      <c r="AB820" s="20" t="b">
        <f t="shared" si="74"/>
        <v>0</v>
      </c>
      <c r="AC820" s="20" t="b">
        <f t="shared" si="75"/>
        <v>0</v>
      </c>
      <c r="AD820" s="17" t="b">
        <f t="shared" si="76"/>
        <v>0</v>
      </c>
      <c r="AE820" s="17" t="b">
        <f t="shared" si="77"/>
        <v>0</v>
      </c>
    </row>
    <row r="821" spans="1:31" x14ac:dyDescent="0.2">
      <c r="A821" s="16">
        <v>5000503648</v>
      </c>
      <c r="B821" t="s">
        <v>301</v>
      </c>
      <c r="C821" t="s">
        <v>301</v>
      </c>
      <c r="D821" t="s">
        <v>1</v>
      </c>
      <c r="E821" t="s">
        <v>362</v>
      </c>
      <c r="F821" t="s">
        <v>1245</v>
      </c>
      <c r="G821" s="2">
        <v>1</v>
      </c>
      <c r="H821" t="s">
        <v>461</v>
      </c>
      <c r="I821" t="s">
        <v>3</v>
      </c>
      <c r="J821" t="s">
        <v>19</v>
      </c>
      <c r="K821" t="s">
        <v>605</v>
      </c>
      <c r="L821" t="s">
        <v>608</v>
      </c>
      <c r="M821" t="s">
        <v>451</v>
      </c>
      <c r="N821" t="s">
        <v>602</v>
      </c>
      <c r="O821" t="s">
        <v>603</v>
      </c>
      <c r="P821" t="s">
        <v>602</v>
      </c>
      <c r="Q821" s="17">
        <f>IFERROR(VLOOKUP(A821,已除帳印單!B:C,1,0),0)*1</f>
        <v>0</v>
      </c>
      <c r="R821" s="67" t="str">
        <f>IFERROR(VLOOKUP(J821,線別!A:B,2,1),"")</f>
        <v>FM_IA預組</v>
      </c>
      <c r="S821" s="17" t="str">
        <f>IFERROR(VLOOKUP(A821,已除帳印單!B:C,2,0),"")</f>
        <v/>
      </c>
      <c r="T821" s="68">
        <f t="shared" si="78"/>
        <v>43894</v>
      </c>
      <c r="U821" s="69">
        <f t="shared" si="79"/>
        <v>84.168796296296293</v>
      </c>
      <c r="V821" s="68" t="str">
        <f>IFERROR(VLOOKUP(A821,已除帳印單!B:D,3,0),"")</f>
        <v/>
      </c>
      <c r="W821" s="69" t="str">
        <f>IFERROR(VLOOKUP(A821,已除帳印單!B:E,4,0),"")</f>
        <v/>
      </c>
      <c r="X821" s="68" t="str">
        <f>IFERROR(INDEX(刷條碼區!A:C,MATCH(點上線資訊!S821,刷條碼區!C:C,0),1),"")</f>
        <v/>
      </c>
      <c r="Y821" s="69" t="str">
        <f>IFERROR(INDEX(刷條碼區!A:C,MATCH(點上線資訊!S821,刷條碼區!C:C,0),2),"")</f>
        <v/>
      </c>
      <c r="Z821" s="70" t="str">
        <f>IFERROR(INDEX(刷條碼區!D:G,MATCH(點上線資訊!S821,刷條碼區!F:F,0),1),"")</f>
        <v/>
      </c>
      <c r="AA821" s="71" t="str">
        <f>IFERROR(INDEX(刷條碼區!D:G,MATCH(點上線資訊!S821,刷條碼區!F:F,0),2),"")</f>
        <v/>
      </c>
      <c r="AB821" s="20" t="b">
        <f t="shared" si="74"/>
        <v>0</v>
      </c>
      <c r="AC821" s="20" t="b">
        <f t="shared" si="75"/>
        <v>0</v>
      </c>
      <c r="AD821" s="17" t="b">
        <f t="shared" si="76"/>
        <v>0</v>
      </c>
      <c r="AE821" s="17" t="b">
        <f t="shared" si="77"/>
        <v>0</v>
      </c>
    </row>
    <row r="822" spans="1:31" x14ac:dyDescent="0.2">
      <c r="A822" s="16">
        <v>5000503651</v>
      </c>
      <c r="B822" t="s">
        <v>301</v>
      </c>
      <c r="C822" t="s">
        <v>301</v>
      </c>
      <c r="D822" t="s">
        <v>1</v>
      </c>
      <c r="E822" t="s">
        <v>376</v>
      </c>
      <c r="F822" t="s">
        <v>1246</v>
      </c>
      <c r="G822" s="2">
        <v>10</v>
      </c>
      <c r="H822" t="s">
        <v>461</v>
      </c>
      <c r="I822" t="s">
        <v>3</v>
      </c>
      <c r="J822" t="s">
        <v>5</v>
      </c>
      <c r="K822" t="s">
        <v>605</v>
      </c>
      <c r="L822" t="s">
        <v>608</v>
      </c>
      <c r="M822" t="s">
        <v>450</v>
      </c>
      <c r="N822" t="s">
        <v>602</v>
      </c>
      <c r="O822" t="s">
        <v>603</v>
      </c>
      <c r="P822" t="s">
        <v>602</v>
      </c>
      <c r="Q822" s="17">
        <f>IFERROR(VLOOKUP(A822,已除帳印單!B:C,1,0),0)*1</f>
        <v>0</v>
      </c>
      <c r="R822" s="67" t="str">
        <f>IFERROR(VLOOKUP(J822,線別!A:B,2,1),"")</f>
        <v>FM線</v>
      </c>
      <c r="S822" s="17" t="str">
        <f>IFERROR(VLOOKUP(A822,已除帳印單!B:C,2,0),"")</f>
        <v/>
      </c>
      <c r="T822" s="68">
        <f t="shared" si="78"/>
        <v>43894</v>
      </c>
      <c r="U822" s="69">
        <f t="shared" si="79"/>
        <v>84.168796296296293</v>
      </c>
      <c r="V822" s="68" t="str">
        <f>IFERROR(VLOOKUP(A822,已除帳印單!B:D,3,0),"")</f>
        <v/>
      </c>
      <c r="W822" s="69" t="str">
        <f>IFERROR(VLOOKUP(A822,已除帳印單!B:E,4,0),"")</f>
        <v/>
      </c>
      <c r="X822" s="68" t="str">
        <f>IFERROR(INDEX(刷條碼區!A:C,MATCH(點上線資訊!S822,刷條碼區!C:C,0),1),"")</f>
        <v/>
      </c>
      <c r="Y822" s="69" t="str">
        <f>IFERROR(INDEX(刷條碼區!A:C,MATCH(點上線資訊!S822,刷條碼區!C:C,0),2),"")</f>
        <v/>
      </c>
      <c r="Z822" s="70" t="str">
        <f>IFERROR(INDEX(刷條碼區!D:G,MATCH(點上線資訊!S822,刷條碼區!F:F,0),1),"")</f>
        <v/>
      </c>
      <c r="AA822" s="71" t="str">
        <f>IFERROR(INDEX(刷條碼區!D:G,MATCH(點上線資訊!S822,刷條碼區!F:F,0),2),"")</f>
        <v/>
      </c>
      <c r="AB822" s="20" t="b">
        <f t="shared" si="74"/>
        <v>0</v>
      </c>
      <c r="AC822" s="20" t="b">
        <f t="shared" si="75"/>
        <v>0</v>
      </c>
      <c r="AD822" s="17" t="b">
        <f t="shared" si="76"/>
        <v>0</v>
      </c>
      <c r="AE822" s="17" t="b">
        <f t="shared" si="77"/>
        <v>0</v>
      </c>
    </row>
    <row r="823" spans="1:31" x14ac:dyDescent="0.2">
      <c r="A823" s="16">
        <v>5000503661</v>
      </c>
      <c r="B823" t="s">
        <v>301</v>
      </c>
      <c r="C823" t="s">
        <v>301</v>
      </c>
      <c r="D823" t="s">
        <v>1</v>
      </c>
      <c r="E823" t="s">
        <v>1247</v>
      </c>
      <c r="F823" t="s">
        <v>1248</v>
      </c>
      <c r="G823" s="2">
        <v>3</v>
      </c>
      <c r="H823" t="s">
        <v>461</v>
      </c>
      <c r="I823" t="s">
        <v>3</v>
      </c>
      <c r="J823" t="s">
        <v>977</v>
      </c>
      <c r="K823" t="s">
        <v>605</v>
      </c>
      <c r="L823" t="s">
        <v>608</v>
      </c>
      <c r="M823" t="s">
        <v>1249</v>
      </c>
      <c r="N823" t="s">
        <v>602</v>
      </c>
      <c r="O823" t="s">
        <v>603</v>
      </c>
      <c r="P823" t="s">
        <v>602</v>
      </c>
      <c r="Q823" s="17">
        <f>IFERROR(VLOOKUP(A823,已除帳印單!B:C,1,0),0)*1</f>
        <v>0</v>
      </c>
      <c r="R823" s="67" t="str">
        <f>IFERROR(VLOOKUP(J823,線別!A:B,2,1),"")</f>
        <v>FM線</v>
      </c>
      <c r="S823" s="17" t="str">
        <f>IFERROR(VLOOKUP(A823,已除帳印單!B:C,2,0),"")</f>
        <v/>
      </c>
      <c r="T823" s="68">
        <f t="shared" si="78"/>
        <v>43894</v>
      </c>
      <c r="U823" s="69">
        <f t="shared" si="79"/>
        <v>84.168796296296293</v>
      </c>
      <c r="V823" s="68" t="str">
        <f>IFERROR(VLOOKUP(A823,已除帳印單!B:D,3,0),"")</f>
        <v/>
      </c>
      <c r="W823" s="69" t="str">
        <f>IFERROR(VLOOKUP(A823,已除帳印單!B:E,4,0),"")</f>
        <v/>
      </c>
      <c r="X823" s="68" t="str">
        <f>IFERROR(INDEX(刷條碼區!A:C,MATCH(點上線資訊!S823,刷條碼區!C:C,0),1),"")</f>
        <v/>
      </c>
      <c r="Y823" s="69" t="str">
        <f>IFERROR(INDEX(刷條碼區!A:C,MATCH(點上線資訊!S823,刷條碼區!C:C,0),2),"")</f>
        <v/>
      </c>
      <c r="Z823" s="70" t="str">
        <f>IFERROR(INDEX(刷條碼區!D:G,MATCH(點上線資訊!S823,刷條碼區!F:F,0),1),"")</f>
        <v/>
      </c>
      <c r="AA823" s="71" t="str">
        <f>IFERROR(INDEX(刷條碼區!D:G,MATCH(點上線資訊!S823,刷條碼區!F:F,0),2),"")</f>
        <v/>
      </c>
      <c r="AB823" s="20" t="b">
        <f t="shared" si="74"/>
        <v>0</v>
      </c>
      <c r="AC823" s="20" t="b">
        <f t="shared" si="75"/>
        <v>0</v>
      </c>
      <c r="AD823" s="17" t="b">
        <f t="shared" si="76"/>
        <v>0</v>
      </c>
      <c r="AE823" s="17" t="b">
        <f t="shared" si="77"/>
        <v>0</v>
      </c>
    </row>
    <row r="824" spans="1:31" x14ac:dyDescent="0.2">
      <c r="A824" s="16">
        <v>5000503829</v>
      </c>
      <c r="B824" t="s">
        <v>301</v>
      </c>
      <c r="C824" t="s">
        <v>301</v>
      </c>
      <c r="D824" t="s">
        <v>1</v>
      </c>
      <c r="E824" t="s">
        <v>1250</v>
      </c>
      <c r="F824" t="s">
        <v>1251</v>
      </c>
      <c r="G824" s="2">
        <v>1</v>
      </c>
      <c r="H824" t="s">
        <v>461</v>
      </c>
      <c r="I824" t="s">
        <v>3</v>
      </c>
      <c r="J824" t="s">
        <v>19</v>
      </c>
      <c r="K824" t="s">
        <v>605</v>
      </c>
      <c r="L824" t="s">
        <v>608</v>
      </c>
      <c r="M824" t="s">
        <v>432</v>
      </c>
      <c r="N824" t="s">
        <v>602</v>
      </c>
      <c r="O824" t="s">
        <v>603</v>
      </c>
      <c r="P824" t="s">
        <v>602</v>
      </c>
      <c r="Q824" s="17">
        <f>IFERROR(VLOOKUP(A824,已除帳印單!B:C,1,0),0)*1</f>
        <v>0</v>
      </c>
      <c r="R824" s="67" t="str">
        <f>IFERROR(VLOOKUP(J824,線別!A:B,2,1),"")</f>
        <v>FM_IA預組</v>
      </c>
      <c r="S824" s="17" t="str">
        <f>IFERROR(VLOOKUP(A824,已除帳印單!B:C,2,0),"")</f>
        <v/>
      </c>
      <c r="T824" s="68">
        <f t="shared" si="78"/>
        <v>43894</v>
      </c>
      <c r="U824" s="69">
        <f t="shared" si="79"/>
        <v>84.168796296296293</v>
      </c>
      <c r="V824" s="68" t="str">
        <f>IFERROR(VLOOKUP(A824,已除帳印單!B:D,3,0),"")</f>
        <v/>
      </c>
      <c r="W824" s="69" t="str">
        <f>IFERROR(VLOOKUP(A824,已除帳印單!B:E,4,0),"")</f>
        <v/>
      </c>
      <c r="X824" s="68" t="str">
        <f>IFERROR(INDEX(刷條碼區!A:C,MATCH(點上線資訊!S824,刷條碼區!C:C,0),1),"")</f>
        <v/>
      </c>
      <c r="Y824" s="69" t="str">
        <f>IFERROR(INDEX(刷條碼區!A:C,MATCH(點上線資訊!S824,刷條碼區!C:C,0),2),"")</f>
        <v/>
      </c>
      <c r="Z824" s="70" t="str">
        <f>IFERROR(INDEX(刷條碼區!D:G,MATCH(點上線資訊!S824,刷條碼區!F:F,0),1),"")</f>
        <v/>
      </c>
      <c r="AA824" s="71" t="str">
        <f>IFERROR(INDEX(刷條碼區!D:G,MATCH(點上線資訊!S824,刷條碼區!F:F,0),2),"")</f>
        <v/>
      </c>
      <c r="AB824" s="20" t="b">
        <f t="shared" si="74"/>
        <v>0</v>
      </c>
      <c r="AC824" s="20" t="b">
        <f t="shared" si="75"/>
        <v>0</v>
      </c>
      <c r="AD824" s="17" t="b">
        <f t="shared" si="76"/>
        <v>0</v>
      </c>
      <c r="AE824" s="17" t="b">
        <f t="shared" si="77"/>
        <v>0</v>
      </c>
    </row>
    <row r="825" spans="1:31" x14ac:dyDescent="0.2">
      <c r="A825" s="16">
        <v>5000503830</v>
      </c>
      <c r="B825" t="s">
        <v>301</v>
      </c>
      <c r="C825" t="s">
        <v>301</v>
      </c>
      <c r="D825" t="s">
        <v>1</v>
      </c>
      <c r="E825" t="s">
        <v>1250</v>
      </c>
      <c r="F825" t="s">
        <v>1251</v>
      </c>
      <c r="G825" s="2">
        <v>1</v>
      </c>
      <c r="H825" t="s">
        <v>461</v>
      </c>
      <c r="I825" t="s">
        <v>3</v>
      </c>
      <c r="J825" t="s">
        <v>19</v>
      </c>
      <c r="K825" t="s">
        <v>605</v>
      </c>
      <c r="L825" t="s">
        <v>608</v>
      </c>
      <c r="M825" t="s">
        <v>432</v>
      </c>
      <c r="N825" t="s">
        <v>602</v>
      </c>
      <c r="O825" t="s">
        <v>603</v>
      </c>
      <c r="P825" t="s">
        <v>602</v>
      </c>
      <c r="Q825" s="17">
        <f>IFERROR(VLOOKUP(A825,已除帳印單!B:C,1,0),0)*1</f>
        <v>0</v>
      </c>
      <c r="R825" s="67" t="str">
        <f>IFERROR(VLOOKUP(J825,線別!A:B,2,1),"")</f>
        <v>FM_IA預組</v>
      </c>
      <c r="S825" s="17" t="str">
        <f>IFERROR(VLOOKUP(A825,已除帳印單!B:C,2,0),"")</f>
        <v/>
      </c>
      <c r="T825" s="68">
        <f t="shared" si="78"/>
        <v>43894</v>
      </c>
      <c r="U825" s="69">
        <f t="shared" si="79"/>
        <v>84.168796296296293</v>
      </c>
      <c r="V825" s="68" t="str">
        <f>IFERROR(VLOOKUP(A825,已除帳印單!B:D,3,0),"")</f>
        <v/>
      </c>
      <c r="W825" s="69" t="str">
        <f>IFERROR(VLOOKUP(A825,已除帳印單!B:E,4,0),"")</f>
        <v/>
      </c>
      <c r="X825" s="68" t="str">
        <f>IFERROR(INDEX(刷條碼區!A:C,MATCH(點上線資訊!S825,刷條碼區!C:C,0),1),"")</f>
        <v/>
      </c>
      <c r="Y825" s="69" t="str">
        <f>IFERROR(INDEX(刷條碼區!A:C,MATCH(點上線資訊!S825,刷條碼區!C:C,0),2),"")</f>
        <v/>
      </c>
      <c r="Z825" s="70" t="str">
        <f>IFERROR(INDEX(刷條碼區!D:G,MATCH(點上線資訊!S825,刷條碼區!F:F,0),1),"")</f>
        <v/>
      </c>
      <c r="AA825" s="71" t="str">
        <f>IFERROR(INDEX(刷條碼區!D:G,MATCH(點上線資訊!S825,刷條碼區!F:F,0),2),"")</f>
        <v/>
      </c>
      <c r="AB825" s="20" t="b">
        <f t="shared" si="74"/>
        <v>0</v>
      </c>
      <c r="AC825" s="20" t="b">
        <f t="shared" si="75"/>
        <v>0</v>
      </c>
      <c r="AD825" s="17" t="b">
        <f t="shared" si="76"/>
        <v>0</v>
      </c>
      <c r="AE825" s="17" t="b">
        <f t="shared" si="77"/>
        <v>0</v>
      </c>
    </row>
    <row r="826" spans="1:31" x14ac:dyDescent="0.2">
      <c r="A826" s="16">
        <v>5000503831</v>
      </c>
      <c r="B826" t="s">
        <v>301</v>
      </c>
      <c r="C826" t="s">
        <v>301</v>
      </c>
      <c r="D826" t="s">
        <v>1</v>
      </c>
      <c r="E826" t="s">
        <v>372</v>
      </c>
      <c r="F826" t="s">
        <v>1252</v>
      </c>
      <c r="G826" s="2">
        <v>8</v>
      </c>
      <c r="H826" t="s">
        <v>461</v>
      </c>
      <c r="I826" t="s">
        <v>3</v>
      </c>
      <c r="J826" t="s">
        <v>5</v>
      </c>
      <c r="K826" t="s">
        <v>605</v>
      </c>
      <c r="L826" t="s">
        <v>608</v>
      </c>
      <c r="M826" t="s">
        <v>448</v>
      </c>
      <c r="N826" t="s">
        <v>602</v>
      </c>
      <c r="O826" t="s">
        <v>603</v>
      </c>
      <c r="P826" t="s">
        <v>602</v>
      </c>
      <c r="Q826" s="17">
        <f>IFERROR(VLOOKUP(A826,已除帳印單!B:C,1,0),0)*1</f>
        <v>0</v>
      </c>
      <c r="R826" s="67" t="str">
        <f>IFERROR(VLOOKUP(J826,線別!A:B,2,1),"")</f>
        <v>FM線</v>
      </c>
      <c r="S826" s="17" t="str">
        <f>IFERROR(VLOOKUP(A826,已除帳印單!B:C,2,0),"")</f>
        <v/>
      </c>
      <c r="T826" s="68">
        <f t="shared" si="78"/>
        <v>43894</v>
      </c>
      <c r="U826" s="69">
        <f t="shared" si="79"/>
        <v>84.168796296296293</v>
      </c>
      <c r="V826" s="68" t="str">
        <f>IFERROR(VLOOKUP(A826,已除帳印單!B:D,3,0),"")</f>
        <v/>
      </c>
      <c r="W826" s="69" t="str">
        <f>IFERROR(VLOOKUP(A826,已除帳印單!B:E,4,0),"")</f>
        <v/>
      </c>
      <c r="X826" s="68" t="str">
        <f>IFERROR(INDEX(刷條碼區!A:C,MATCH(點上線資訊!S826,刷條碼區!C:C,0),1),"")</f>
        <v/>
      </c>
      <c r="Y826" s="69" t="str">
        <f>IFERROR(INDEX(刷條碼區!A:C,MATCH(點上線資訊!S826,刷條碼區!C:C,0),2),"")</f>
        <v/>
      </c>
      <c r="Z826" s="70" t="str">
        <f>IFERROR(INDEX(刷條碼區!D:G,MATCH(點上線資訊!S826,刷條碼區!F:F,0),1),"")</f>
        <v/>
      </c>
      <c r="AA826" s="71" t="str">
        <f>IFERROR(INDEX(刷條碼區!D:G,MATCH(點上線資訊!S826,刷條碼區!F:F,0),2),"")</f>
        <v/>
      </c>
      <c r="AB826" s="20" t="b">
        <f t="shared" si="74"/>
        <v>0</v>
      </c>
      <c r="AC826" s="20" t="b">
        <f t="shared" si="75"/>
        <v>0</v>
      </c>
      <c r="AD826" s="17" t="b">
        <f t="shared" si="76"/>
        <v>0</v>
      </c>
      <c r="AE826" s="17" t="b">
        <f t="shared" si="77"/>
        <v>0</v>
      </c>
    </row>
    <row r="827" spans="1:31" x14ac:dyDescent="0.2">
      <c r="A827" s="16">
        <v>5000503833</v>
      </c>
      <c r="B827" t="s">
        <v>301</v>
      </c>
      <c r="C827" t="s">
        <v>301</v>
      </c>
      <c r="D827" t="s">
        <v>1</v>
      </c>
      <c r="E827" t="s">
        <v>374</v>
      </c>
      <c r="F827" t="s">
        <v>1253</v>
      </c>
      <c r="G827" s="2">
        <v>20</v>
      </c>
      <c r="H827" t="s">
        <v>461</v>
      </c>
      <c r="I827" t="s">
        <v>3</v>
      </c>
      <c r="J827" t="s">
        <v>5</v>
      </c>
      <c r="K827" t="s">
        <v>605</v>
      </c>
      <c r="L827" t="s">
        <v>608</v>
      </c>
      <c r="M827" t="s">
        <v>448</v>
      </c>
      <c r="N827" t="s">
        <v>602</v>
      </c>
      <c r="O827" t="s">
        <v>603</v>
      </c>
      <c r="P827" t="s">
        <v>602</v>
      </c>
      <c r="Q827" s="17">
        <f>IFERROR(VLOOKUP(A827,已除帳印單!B:C,1,0),0)*1</f>
        <v>0</v>
      </c>
      <c r="R827" s="67" t="str">
        <f>IFERROR(VLOOKUP(J827,線別!A:B,2,1),"")</f>
        <v>FM線</v>
      </c>
      <c r="S827" s="17" t="str">
        <f>IFERROR(VLOOKUP(A827,已除帳印單!B:C,2,0),"")</f>
        <v/>
      </c>
      <c r="T827" s="68">
        <f t="shared" si="78"/>
        <v>43894</v>
      </c>
      <c r="U827" s="69">
        <f t="shared" si="79"/>
        <v>84.168796296296293</v>
      </c>
      <c r="V827" s="68" t="str">
        <f>IFERROR(VLOOKUP(A827,已除帳印單!B:D,3,0),"")</f>
        <v/>
      </c>
      <c r="W827" s="69" t="str">
        <f>IFERROR(VLOOKUP(A827,已除帳印單!B:E,4,0),"")</f>
        <v/>
      </c>
      <c r="X827" s="68" t="str">
        <f>IFERROR(INDEX(刷條碼區!A:C,MATCH(點上線資訊!S827,刷條碼區!C:C,0),1),"")</f>
        <v/>
      </c>
      <c r="Y827" s="69" t="str">
        <f>IFERROR(INDEX(刷條碼區!A:C,MATCH(點上線資訊!S827,刷條碼區!C:C,0),2),"")</f>
        <v/>
      </c>
      <c r="Z827" s="70" t="str">
        <f>IFERROR(INDEX(刷條碼區!D:G,MATCH(點上線資訊!S827,刷條碼區!F:F,0),1),"")</f>
        <v/>
      </c>
      <c r="AA827" s="71" t="str">
        <f>IFERROR(INDEX(刷條碼區!D:G,MATCH(點上線資訊!S827,刷條碼區!F:F,0),2),"")</f>
        <v/>
      </c>
      <c r="AB827" s="20" t="b">
        <f t="shared" si="74"/>
        <v>0</v>
      </c>
      <c r="AC827" s="20" t="b">
        <f t="shared" si="75"/>
        <v>0</v>
      </c>
      <c r="AD827" s="17" t="b">
        <f t="shared" si="76"/>
        <v>0</v>
      </c>
      <c r="AE827" s="17" t="b">
        <f t="shared" si="77"/>
        <v>0</v>
      </c>
    </row>
    <row r="828" spans="1:31" x14ac:dyDescent="0.2">
      <c r="A828" s="16">
        <v>5000503842</v>
      </c>
      <c r="B828" t="s">
        <v>301</v>
      </c>
      <c r="C828" t="s">
        <v>301</v>
      </c>
      <c r="D828" t="s">
        <v>1</v>
      </c>
      <c r="E828" t="s">
        <v>1254</v>
      </c>
      <c r="F828" t="s">
        <v>1255</v>
      </c>
      <c r="G828" s="2">
        <v>1</v>
      </c>
      <c r="H828" t="s">
        <v>461</v>
      </c>
      <c r="I828" t="s">
        <v>3</v>
      </c>
      <c r="J828" t="s">
        <v>5</v>
      </c>
      <c r="K828" t="s">
        <v>605</v>
      </c>
      <c r="L828" t="s">
        <v>608</v>
      </c>
      <c r="M828" t="s">
        <v>439</v>
      </c>
      <c r="N828" t="s">
        <v>602</v>
      </c>
      <c r="O828" t="s">
        <v>603</v>
      </c>
      <c r="P828" t="s">
        <v>602</v>
      </c>
      <c r="Q828" s="17">
        <f>IFERROR(VLOOKUP(A828,已除帳印單!B:C,1,0),0)*1</f>
        <v>0</v>
      </c>
      <c r="R828" s="67" t="str">
        <f>IFERROR(VLOOKUP(J828,線別!A:B,2,1),"")</f>
        <v>FM線</v>
      </c>
      <c r="S828" s="17" t="str">
        <f>IFERROR(VLOOKUP(A828,已除帳印單!B:C,2,0),"")</f>
        <v/>
      </c>
      <c r="T828" s="68">
        <f t="shared" si="78"/>
        <v>43894</v>
      </c>
      <c r="U828" s="69">
        <f t="shared" si="79"/>
        <v>84.168796296296293</v>
      </c>
      <c r="V828" s="68" t="str">
        <f>IFERROR(VLOOKUP(A828,已除帳印單!B:D,3,0),"")</f>
        <v/>
      </c>
      <c r="W828" s="69" t="str">
        <f>IFERROR(VLOOKUP(A828,已除帳印單!B:E,4,0),"")</f>
        <v/>
      </c>
      <c r="X828" s="68" t="str">
        <f>IFERROR(INDEX(刷條碼區!A:C,MATCH(點上線資訊!S828,刷條碼區!C:C,0),1),"")</f>
        <v/>
      </c>
      <c r="Y828" s="69" t="str">
        <f>IFERROR(INDEX(刷條碼區!A:C,MATCH(點上線資訊!S828,刷條碼區!C:C,0),2),"")</f>
        <v/>
      </c>
      <c r="Z828" s="70" t="str">
        <f>IFERROR(INDEX(刷條碼區!D:G,MATCH(點上線資訊!S828,刷條碼區!F:F,0),1),"")</f>
        <v/>
      </c>
      <c r="AA828" s="71" t="str">
        <f>IFERROR(INDEX(刷條碼區!D:G,MATCH(點上線資訊!S828,刷條碼區!F:F,0),2),"")</f>
        <v/>
      </c>
      <c r="AB828" s="20" t="b">
        <f t="shared" si="74"/>
        <v>0</v>
      </c>
      <c r="AC828" s="20" t="b">
        <f t="shared" si="75"/>
        <v>0</v>
      </c>
      <c r="AD828" s="17" t="b">
        <f t="shared" si="76"/>
        <v>0</v>
      </c>
      <c r="AE828" s="17" t="b">
        <f t="shared" si="77"/>
        <v>0</v>
      </c>
    </row>
    <row r="829" spans="1:31" x14ac:dyDescent="0.2">
      <c r="A829" s="16">
        <v>5000503843</v>
      </c>
      <c r="B829" t="s">
        <v>301</v>
      </c>
      <c r="C829" t="s">
        <v>301</v>
      </c>
      <c r="D829" t="s">
        <v>1</v>
      </c>
      <c r="E829" t="s">
        <v>1256</v>
      </c>
      <c r="F829" t="s">
        <v>1257</v>
      </c>
      <c r="G829" s="2">
        <v>2</v>
      </c>
      <c r="H829" t="s">
        <v>461</v>
      </c>
      <c r="I829" t="s">
        <v>3</v>
      </c>
      <c r="J829" t="s">
        <v>19</v>
      </c>
      <c r="K829" t="s">
        <v>605</v>
      </c>
      <c r="L829" t="s">
        <v>608</v>
      </c>
      <c r="M829" t="s">
        <v>432</v>
      </c>
      <c r="N829" t="s">
        <v>602</v>
      </c>
      <c r="O829" t="s">
        <v>603</v>
      </c>
      <c r="P829" t="s">
        <v>602</v>
      </c>
      <c r="Q829" s="17">
        <f>IFERROR(VLOOKUP(A829,已除帳印單!B:C,1,0),0)*1</f>
        <v>0</v>
      </c>
      <c r="R829" s="67" t="str">
        <f>IFERROR(VLOOKUP(J829,線別!A:B,2,1),"")</f>
        <v>FM_IA預組</v>
      </c>
      <c r="S829" s="17" t="str">
        <f>IFERROR(VLOOKUP(A829,已除帳印單!B:C,2,0),"")</f>
        <v/>
      </c>
      <c r="T829" s="68">
        <f t="shared" si="78"/>
        <v>43894</v>
      </c>
      <c r="U829" s="69">
        <f t="shared" si="79"/>
        <v>84.168796296296293</v>
      </c>
      <c r="V829" s="68" t="str">
        <f>IFERROR(VLOOKUP(A829,已除帳印單!B:D,3,0),"")</f>
        <v/>
      </c>
      <c r="W829" s="69" t="str">
        <f>IFERROR(VLOOKUP(A829,已除帳印單!B:E,4,0),"")</f>
        <v/>
      </c>
      <c r="X829" s="68" t="str">
        <f>IFERROR(INDEX(刷條碼區!A:C,MATCH(點上線資訊!S829,刷條碼區!C:C,0),1),"")</f>
        <v/>
      </c>
      <c r="Y829" s="69" t="str">
        <f>IFERROR(INDEX(刷條碼區!A:C,MATCH(點上線資訊!S829,刷條碼區!C:C,0),2),"")</f>
        <v/>
      </c>
      <c r="Z829" s="70" t="str">
        <f>IFERROR(INDEX(刷條碼區!D:G,MATCH(點上線資訊!S829,刷條碼區!F:F,0),1),"")</f>
        <v/>
      </c>
      <c r="AA829" s="71" t="str">
        <f>IFERROR(INDEX(刷條碼區!D:G,MATCH(點上線資訊!S829,刷條碼區!F:F,0),2),"")</f>
        <v/>
      </c>
      <c r="AB829" s="20" t="b">
        <f t="shared" si="74"/>
        <v>0</v>
      </c>
      <c r="AC829" s="20" t="b">
        <f t="shared" si="75"/>
        <v>0</v>
      </c>
      <c r="AD829" s="17" t="b">
        <f t="shared" si="76"/>
        <v>0</v>
      </c>
      <c r="AE829" s="17" t="b">
        <f t="shared" si="77"/>
        <v>0</v>
      </c>
    </row>
    <row r="830" spans="1:31" x14ac:dyDescent="0.2">
      <c r="A830" s="16">
        <v>5000503845</v>
      </c>
      <c r="B830" t="s">
        <v>301</v>
      </c>
      <c r="C830" t="s">
        <v>301</v>
      </c>
      <c r="D830" t="s">
        <v>1</v>
      </c>
      <c r="E830" t="s">
        <v>1258</v>
      </c>
      <c r="F830" t="s">
        <v>1259</v>
      </c>
      <c r="G830" s="2">
        <v>2</v>
      </c>
      <c r="H830" t="s">
        <v>461</v>
      </c>
      <c r="I830" t="s">
        <v>3</v>
      </c>
      <c r="J830" t="s">
        <v>5</v>
      </c>
      <c r="K830" t="s">
        <v>605</v>
      </c>
      <c r="L830" t="s">
        <v>608</v>
      </c>
      <c r="M830" t="s">
        <v>439</v>
      </c>
      <c r="N830" t="s">
        <v>602</v>
      </c>
      <c r="O830" t="s">
        <v>603</v>
      </c>
      <c r="P830" t="s">
        <v>602</v>
      </c>
      <c r="Q830" s="17">
        <f>IFERROR(VLOOKUP(A830,已除帳印單!B:C,1,0),0)*1</f>
        <v>0</v>
      </c>
      <c r="R830" s="67" t="str">
        <f>IFERROR(VLOOKUP(J830,線別!A:B,2,1),"")</f>
        <v>FM線</v>
      </c>
      <c r="S830" s="17" t="str">
        <f>IFERROR(VLOOKUP(A830,已除帳印單!B:C,2,0),"")</f>
        <v/>
      </c>
      <c r="T830" s="68">
        <f t="shared" si="78"/>
        <v>43894</v>
      </c>
      <c r="U830" s="69">
        <f t="shared" si="79"/>
        <v>84.168796296296293</v>
      </c>
      <c r="V830" s="68" t="str">
        <f>IFERROR(VLOOKUP(A830,已除帳印單!B:D,3,0),"")</f>
        <v/>
      </c>
      <c r="W830" s="69" t="str">
        <f>IFERROR(VLOOKUP(A830,已除帳印單!B:E,4,0),"")</f>
        <v/>
      </c>
      <c r="X830" s="68" t="str">
        <f>IFERROR(INDEX(刷條碼區!A:C,MATCH(點上線資訊!S830,刷條碼區!C:C,0),1),"")</f>
        <v/>
      </c>
      <c r="Y830" s="69" t="str">
        <f>IFERROR(INDEX(刷條碼區!A:C,MATCH(點上線資訊!S830,刷條碼區!C:C,0),2),"")</f>
        <v/>
      </c>
      <c r="Z830" s="70" t="str">
        <f>IFERROR(INDEX(刷條碼區!D:G,MATCH(點上線資訊!S830,刷條碼區!F:F,0),1),"")</f>
        <v/>
      </c>
      <c r="AA830" s="71" t="str">
        <f>IFERROR(INDEX(刷條碼區!D:G,MATCH(點上線資訊!S830,刷條碼區!F:F,0),2),"")</f>
        <v/>
      </c>
      <c r="AB830" s="20" t="b">
        <f t="shared" si="74"/>
        <v>0</v>
      </c>
      <c r="AC830" s="20" t="b">
        <f t="shared" si="75"/>
        <v>0</v>
      </c>
      <c r="AD830" s="17" t="b">
        <f t="shared" si="76"/>
        <v>0</v>
      </c>
      <c r="AE830" s="17" t="b">
        <f t="shared" si="77"/>
        <v>0</v>
      </c>
    </row>
    <row r="831" spans="1:31" x14ac:dyDescent="0.2">
      <c r="A831" s="16">
        <v>5000503847</v>
      </c>
      <c r="B831" t="s">
        <v>6</v>
      </c>
      <c r="C831" t="s">
        <v>6</v>
      </c>
      <c r="D831" t="s">
        <v>1</v>
      </c>
      <c r="E831" t="s">
        <v>1260</v>
      </c>
      <c r="F831" t="s">
        <v>1257</v>
      </c>
      <c r="G831" s="2">
        <v>2</v>
      </c>
      <c r="H831" t="s">
        <v>461</v>
      </c>
      <c r="I831" t="s">
        <v>3</v>
      </c>
      <c r="J831" t="s">
        <v>19</v>
      </c>
      <c r="K831" t="s">
        <v>605</v>
      </c>
      <c r="L831" t="s">
        <v>608</v>
      </c>
      <c r="M831" t="s">
        <v>1063</v>
      </c>
      <c r="N831" t="s">
        <v>602</v>
      </c>
      <c r="O831" t="s">
        <v>603</v>
      </c>
      <c r="P831" t="s">
        <v>602</v>
      </c>
      <c r="Q831" s="17">
        <f>IFERROR(VLOOKUP(A831,已除帳印單!B:C,1,0),0)*1</f>
        <v>0</v>
      </c>
      <c r="R831" s="67" t="str">
        <f>IFERROR(VLOOKUP(J831,線別!A:B,2,1),"")</f>
        <v>FM_IA預組</v>
      </c>
      <c r="S831" s="17" t="str">
        <f>IFERROR(VLOOKUP(A831,已除帳印單!B:C,2,0),"")</f>
        <v/>
      </c>
      <c r="T831" s="68">
        <f t="shared" si="78"/>
        <v>43893</v>
      </c>
      <c r="U831" s="69">
        <f t="shared" si="79"/>
        <v>84.168784722222213</v>
      </c>
      <c r="V831" s="68" t="str">
        <f>IFERROR(VLOOKUP(A831,已除帳印單!B:D,3,0),"")</f>
        <v/>
      </c>
      <c r="W831" s="69" t="str">
        <f>IFERROR(VLOOKUP(A831,已除帳印單!B:E,4,0),"")</f>
        <v/>
      </c>
      <c r="X831" s="68" t="str">
        <f>IFERROR(INDEX(刷條碼區!A:C,MATCH(點上線資訊!S831,刷條碼區!C:C,0),1),"")</f>
        <v/>
      </c>
      <c r="Y831" s="69" t="str">
        <f>IFERROR(INDEX(刷條碼區!A:C,MATCH(點上線資訊!S831,刷條碼區!C:C,0),2),"")</f>
        <v/>
      </c>
      <c r="Z831" s="70" t="str">
        <f>IFERROR(INDEX(刷條碼區!D:G,MATCH(點上線資訊!S831,刷條碼區!F:F,0),1),"")</f>
        <v/>
      </c>
      <c r="AA831" s="71" t="str">
        <f>IFERROR(INDEX(刷條碼區!D:G,MATCH(點上線資訊!S831,刷條碼區!F:F,0),2),"")</f>
        <v/>
      </c>
      <c r="AB831" s="20" t="b">
        <f t="shared" si="74"/>
        <v>0</v>
      </c>
      <c r="AC831" s="20" t="b">
        <f t="shared" si="75"/>
        <v>0</v>
      </c>
      <c r="AD831" s="17" t="b">
        <f t="shared" si="76"/>
        <v>0</v>
      </c>
      <c r="AE831" s="17" t="b">
        <f t="shared" si="77"/>
        <v>0</v>
      </c>
    </row>
    <row r="832" spans="1:31" x14ac:dyDescent="0.2">
      <c r="A832" s="16">
        <v>5000503850</v>
      </c>
      <c r="B832" t="s">
        <v>301</v>
      </c>
      <c r="C832" t="s">
        <v>301</v>
      </c>
      <c r="D832" t="s">
        <v>1</v>
      </c>
      <c r="E832" t="s">
        <v>1140</v>
      </c>
      <c r="F832" t="s">
        <v>1141</v>
      </c>
      <c r="G832" s="2">
        <v>2</v>
      </c>
      <c r="H832" t="s">
        <v>461</v>
      </c>
      <c r="I832" t="s">
        <v>3</v>
      </c>
      <c r="J832" t="s">
        <v>19</v>
      </c>
      <c r="K832" t="s">
        <v>605</v>
      </c>
      <c r="L832" t="s">
        <v>608</v>
      </c>
      <c r="M832" t="s">
        <v>432</v>
      </c>
      <c r="N832" t="s">
        <v>602</v>
      </c>
      <c r="O832" t="s">
        <v>603</v>
      </c>
      <c r="P832" t="s">
        <v>602</v>
      </c>
      <c r="Q832" s="17">
        <f>IFERROR(VLOOKUP(A832,已除帳印單!B:C,1,0),0)*1</f>
        <v>0</v>
      </c>
      <c r="R832" s="67" t="str">
        <f>IFERROR(VLOOKUP(J832,線別!A:B,2,1),"")</f>
        <v>FM_IA預組</v>
      </c>
      <c r="S832" s="17" t="str">
        <f>IFERROR(VLOOKUP(A832,已除帳印單!B:C,2,0),"")</f>
        <v/>
      </c>
      <c r="T832" s="68">
        <f t="shared" si="78"/>
        <v>43894</v>
      </c>
      <c r="U832" s="69">
        <f t="shared" si="79"/>
        <v>84.168796296296293</v>
      </c>
      <c r="V832" s="68" t="str">
        <f>IFERROR(VLOOKUP(A832,已除帳印單!B:D,3,0),"")</f>
        <v/>
      </c>
      <c r="W832" s="69" t="str">
        <f>IFERROR(VLOOKUP(A832,已除帳印單!B:E,4,0),"")</f>
        <v/>
      </c>
      <c r="X832" s="68" t="str">
        <f>IFERROR(INDEX(刷條碼區!A:C,MATCH(點上線資訊!S832,刷條碼區!C:C,0),1),"")</f>
        <v/>
      </c>
      <c r="Y832" s="69" t="str">
        <f>IFERROR(INDEX(刷條碼區!A:C,MATCH(點上線資訊!S832,刷條碼區!C:C,0),2),"")</f>
        <v/>
      </c>
      <c r="Z832" s="70" t="str">
        <f>IFERROR(INDEX(刷條碼區!D:G,MATCH(點上線資訊!S832,刷條碼區!F:F,0),1),"")</f>
        <v/>
      </c>
      <c r="AA832" s="71" t="str">
        <f>IFERROR(INDEX(刷條碼區!D:G,MATCH(點上線資訊!S832,刷條碼區!F:F,0),2),"")</f>
        <v/>
      </c>
      <c r="AB832" s="20" t="b">
        <f t="shared" si="74"/>
        <v>0</v>
      </c>
      <c r="AC832" s="20" t="b">
        <f t="shared" si="75"/>
        <v>0</v>
      </c>
      <c r="AD832" s="17" t="b">
        <f t="shared" si="76"/>
        <v>0</v>
      </c>
      <c r="AE832" s="17" t="b">
        <f t="shared" si="77"/>
        <v>0</v>
      </c>
    </row>
    <row r="833" spans="1:31" x14ac:dyDescent="0.2">
      <c r="A833" s="16">
        <v>5000503854</v>
      </c>
      <c r="B833" t="s">
        <v>301</v>
      </c>
      <c r="C833" t="s">
        <v>301</v>
      </c>
      <c r="D833" t="s">
        <v>1</v>
      </c>
      <c r="E833" t="s">
        <v>1261</v>
      </c>
      <c r="F833" t="s">
        <v>1262</v>
      </c>
      <c r="G833" s="2">
        <v>2</v>
      </c>
      <c r="H833" t="s">
        <v>461</v>
      </c>
      <c r="I833" t="s">
        <v>3</v>
      </c>
      <c r="J833" t="s">
        <v>19</v>
      </c>
      <c r="K833" t="s">
        <v>605</v>
      </c>
      <c r="L833" t="s">
        <v>608</v>
      </c>
      <c r="M833" t="s">
        <v>440</v>
      </c>
      <c r="N833" t="s">
        <v>602</v>
      </c>
      <c r="O833" t="s">
        <v>603</v>
      </c>
      <c r="P833" t="s">
        <v>602</v>
      </c>
      <c r="Q833" s="17">
        <f>IFERROR(VLOOKUP(A833,已除帳印單!B:C,1,0),0)*1</f>
        <v>0</v>
      </c>
      <c r="R833" s="67" t="str">
        <f>IFERROR(VLOOKUP(J833,線別!A:B,2,1),"")</f>
        <v>FM_IA預組</v>
      </c>
      <c r="S833" s="17" t="str">
        <f>IFERROR(VLOOKUP(A833,已除帳印單!B:C,2,0),"")</f>
        <v/>
      </c>
      <c r="T833" s="68">
        <f t="shared" si="78"/>
        <v>43894</v>
      </c>
      <c r="U833" s="69">
        <f t="shared" si="79"/>
        <v>84.168796296296293</v>
      </c>
      <c r="V833" s="68" t="str">
        <f>IFERROR(VLOOKUP(A833,已除帳印單!B:D,3,0),"")</f>
        <v/>
      </c>
      <c r="W833" s="69" t="str">
        <f>IFERROR(VLOOKUP(A833,已除帳印單!B:E,4,0),"")</f>
        <v/>
      </c>
      <c r="X833" s="68" t="str">
        <f>IFERROR(INDEX(刷條碼區!A:C,MATCH(點上線資訊!S833,刷條碼區!C:C,0),1),"")</f>
        <v/>
      </c>
      <c r="Y833" s="69" t="str">
        <f>IFERROR(INDEX(刷條碼區!A:C,MATCH(點上線資訊!S833,刷條碼區!C:C,0),2),"")</f>
        <v/>
      </c>
      <c r="Z833" s="70" t="str">
        <f>IFERROR(INDEX(刷條碼區!D:G,MATCH(點上線資訊!S833,刷條碼區!F:F,0),1),"")</f>
        <v/>
      </c>
      <c r="AA833" s="71" t="str">
        <f>IFERROR(INDEX(刷條碼區!D:G,MATCH(點上線資訊!S833,刷條碼區!F:F,0),2),"")</f>
        <v/>
      </c>
      <c r="AB833" s="20" t="b">
        <f t="shared" si="74"/>
        <v>0</v>
      </c>
      <c r="AC833" s="20" t="b">
        <f t="shared" si="75"/>
        <v>0</v>
      </c>
      <c r="AD833" s="17" t="b">
        <f t="shared" si="76"/>
        <v>0</v>
      </c>
      <c r="AE833" s="17" t="b">
        <f t="shared" si="77"/>
        <v>0</v>
      </c>
    </row>
    <row r="834" spans="1:31" x14ac:dyDescent="0.2">
      <c r="A834" s="16">
        <v>5000503855</v>
      </c>
      <c r="B834" t="s">
        <v>301</v>
      </c>
      <c r="C834" t="s">
        <v>301</v>
      </c>
      <c r="D834" t="s">
        <v>1</v>
      </c>
      <c r="E834" t="s">
        <v>1146</v>
      </c>
      <c r="F834" t="s">
        <v>1143</v>
      </c>
      <c r="G834" s="2">
        <v>1</v>
      </c>
      <c r="H834" t="s">
        <v>461</v>
      </c>
      <c r="I834" t="s">
        <v>3</v>
      </c>
      <c r="J834" t="s">
        <v>5</v>
      </c>
      <c r="K834" t="s">
        <v>605</v>
      </c>
      <c r="L834" t="s">
        <v>608</v>
      </c>
      <c r="M834" t="s">
        <v>439</v>
      </c>
      <c r="N834" t="s">
        <v>602</v>
      </c>
      <c r="O834" t="s">
        <v>603</v>
      </c>
      <c r="P834" t="s">
        <v>602</v>
      </c>
      <c r="Q834" s="17">
        <f>IFERROR(VLOOKUP(A834,已除帳印單!B:C,1,0),0)*1</f>
        <v>0</v>
      </c>
      <c r="R834" s="67" t="str">
        <f>IFERROR(VLOOKUP(J834,線別!A:B,2,1),"")</f>
        <v>FM線</v>
      </c>
      <c r="S834" s="17" t="str">
        <f>IFERROR(VLOOKUP(A834,已除帳印單!B:C,2,0),"")</f>
        <v/>
      </c>
      <c r="T834" s="68">
        <f t="shared" si="78"/>
        <v>43894</v>
      </c>
      <c r="U834" s="69">
        <f t="shared" si="79"/>
        <v>84.168796296296293</v>
      </c>
      <c r="V834" s="68" t="str">
        <f>IFERROR(VLOOKUP(A834,已除帳印單!B:D,3,0),"")</f>
        <v/>
      </c>
      <c r="W834" s="69" t="str">
        <f>IFERROR(VLOOKUP(A834,已除帳印單!B:E,4,0),"")</f>
        <v/>
      </c>
      <c r="X834" s="68" t="str">
        <f>IFERROR(INDEX(刷條碼區!A:C,MATCH(點上線資訊!S834,刷條碼區!C:C,0),1),"")</f>
        <v/>
      </c>
      <c r="Y834" s="69" t="str">
        <f>IFERROR(INDEX(刷條碼區!A:C,MATCH(點上線資訊!S834,刷條碼區!C:C,0),2),"")</f>
        <v/>
      </c>
      <c r="Z834" s="70" t="str">
        <f>IFERROR(INDEX(刷條碼區!D:G,MATCH(點上線資訊!S834,刷條碼區!F:F,0),1),"")</f>
        <v/>
      </c>
      <c r="AA834" s="71" t="str">
        <f>IFERROR(INDEX(刷條碼區!D:G,MATCH(點上線資訊!S834,刷條碼區!F:F,0),2),"")</f>
        <v/>
      </c>
      <c r="AB834" s="20" t="b">
        <f t="shared" si="74"/>
        <v>0</v>
      </c>
      <c r="AC834" s="20" t="b">
        <f t="shared" si="75"/>
        <v>0</v>
      </c>
      <c r="AD834" s="17" t="b">
        <f t="shared" si="76"/>
        <v>0</v>
      </c>
      <c r="AE834" s="17" t="b">
        <f t="shared" si="77"/>
        <v>0</v>
      </c>
    </row>
    <row r="835" spans="1:31" x14ac:dyDescent="0.2">
      <c r="A835" s="16">
        <v>5000505095</v>
      </c>
      <c r="B835" t="s">
        <v>6</v>
      </c>
      <c r="C835" t="s">
        <v>6</v>
      </c>
      <c r="D835" t="s">
        <v>1</v>
      </c>
      <c r="E835" t="s">
        <v>1263</v>
      </c>
      <c r="F835" t="s">
        <v>1264</v>
      </c>
      <c r="G835" s="2">
        <v>7</v>
      </c>
      <c r="H835" t="s">
        <v>461</v>
      </c>
      <c r="I835" t="s">
        <v>3</v>
      </c>
      <c r="J835" t="s">
        <v>19</v>
      </c>
      <c r="K835" t="s">
        <v>605</v>
      </c>
      <c r="L835" t="s">
        <v>608</v>
      </c>
      <c r="M835" t="s">
        <v>1265</v>
      </c>
      <c r="N835" t="s">
        <v>602</v>
      </c>
      <c r="O835" t="s">
        <v>603</v>
      </c>
      <c r="P835" t="s">
        <v>602</v>
      </c>
      <c r="Q835" s="17">
        <f>IFERROR(VLOOKUP(A835,已除帳印單!B:C,1,0),0)*1</f>
        <v>0</v>
      </c>
      <c r="R835" s="67" t="str">
        <f>IFERROR(VLOOKUP(J835,線別!A:B,2,1),"")</f>
        <v>FM_IA預組</v>
      </c>
      <c r="S835" s="17" t="str">
        <f>IFERROR(VLOOKUP(A835,已除帳印單!B:C,2,0),"")</f>
        <v/>
      </c>
      <c r="T835" s="68">
        <f t="shared" si="78"/>
        <v>43893</v>
      </c>
      <c r="U835" s="69">
        <f t="shared" si="79"/>
        <v>84.168784722222213</v>
      </c>
      <c r="V835" s="68" t="str">
        <f>IFERROR(VLOOKUP(A835,已除帳印單!B:D,3,0),"")</f>
        <v/>
      </c>
      <c r="W835" s="69" t="str">
        <f>IFERROR(VLOOKUP(A835,已除帳印單!B:E,4,0),"")</f>
        <v/>
      </c>
      <c r="X835" s="68" t="str">
        <f>IFERROR(INDEX(刷條碼區!A:C,MATCH(點上線資訊!S835,刷條碼區!C:C,0),1),"")</f>
        <v/>
      </c>
      <c r="Y835" s="69" t="str">
        <f>IFERROR(INDEX(刷條碼區!A:C,MATCH(點上線資訊!S835,刷條碼區!C:C,0),2),"")</f>
        <v/>
      </c>
      <c r="Z835" s="70" t="str">
        <f>IFERROR(INDEX(刷條碼區!D:G,MATCH(點上線資訊!S835,刷條碼區!F:F,0),1),"")</f>
        <v/>
      </c>
      <c r="AA835" s="71" t="str">
        <f>IFERROR(INDEX(刷條碼區!D:G,MATCH(點上線資訊!S835,刷條碼區!F:F,0),2),"")</f>
        <v/>
      </c>
      <c r="AB835" s="20" t="b">
        <f t="shared" ref="AB835:AB898" si="80">IF(K835&amp;N835="",G835)</f>
        <v>0</v>
      </c>
      <c r="AC835" s="20" t="b">
        <f t="shared" ref="AC835:AC898" si="81">IF(S835&lt;&gt;"",G835)</f>
        <v>0</v>
      </c>
      <c r="AD835" s="17" t="b">
        <f t="shared" ref="AD835:AD898" si="82">IF(X835&lt;&gt;"",G835)</f>
        <v>0</v>
      </c>
      <c r="AE835" s="17" t="b">
        <f t="shared" ref="AE835:AE898" si="83">IF(Z835&lt;&gt;"",G835)</f>
        <v>0</v>
      </c>
    </row>
    <row r="836" spans="1:31" x14ac:dyDescent="0.2">
      <c r="A836" s="16">
        <v>5000506871</v>
      </c>
      <c r="B836" t="s">
        <v>301</v>
      </c>
      <c r="C836" t="s">
        <v>301</v>
      </c>
      <c r="D836" t="s">
        <v>1</v>
      </c>
      <c r="E836" t="s">
        <v>1266</v>
      </c>
      <c r="F836" t="s">
        <v>1267</v>
      </c>
      <c r="G836" s="2">
        <v>5</v>
      </c>
      <c r="H836" t="s">
        <v>461</v>
      </c>
      <c r="I836" t="s">
        <v>3</v>
      </c>
      <c r="J836" t="s">
        <v>977</v>
      </c>
      <c r="K836" t="s">
        <v>605</v>
      </c>
      <c r="L836" t="s">
        <v>608</v>
      </c>
      <c r="M836" t="s">
        <v>1249</v>
      </c>
      <c r="N836" t="s">
        <v>602</v>
      </c>
      <c r="O836" t="s">
        <v>603</v>
      </c>
      <c r="P836" t="s">
        <v>602</v>
      </c>
      <c r="Q836" s="17">
        <f>IFERROR(VLOOKUP(A836,已除帳印單!B:C,1,0),0)*1</f>
        <v>0</v>
      </c>
      <c r="R836" s="67" t="str">
        <f>IFERROR(VLOOKUP(J836,線別!A:B,2,1),"")</f>
        <v>FM線</v>
      </c>
      <c r="S836" s="17" t="str">
        <f>IFERROR(VLOOKUP(A836,已除帳印單!B:C,2,0),"")</f>
        <v/>
      </c>
      <c r="T836" s="68">
        <f t="shared" si="78"/>
        <v>43894</v>
      </c>
      <c r="U836" s="69">
        <f t="shared" si="79"/>
        <v>84.168796296296293</v>
      </c>
      <c r="V836" s="68" t="str">
        <f>IFERROR(VLOOKUP(A836,已除帳印單!B:D,3,0),"")</f>
        <v/>
      </c>
      <c r="W836" s="69" t="str">
        <f>IFERROR(VLOOKUP(A836,已除帳印單!B:E,4,0),"")</f>
        <v/>
      </c>
      <c r="X836" s="68" t="str">
        <f>IFERROR(INDEX(刷條碼區!A:C,MATCH(點上線資訊!S836,刷條碼區!C:C,0),1),"")</f>
        <v/>
      </c>
      <c r="Y836" s="69" t="str">
        <f>IFERROR(INDEX(刷條碼區!A:C,MATCH(點上線資訊!S836,刷條碼區!C:C,0),2),"")</f>
        <v/>
      </c>
      <c r="Z836" s="70" t="str">
        <f>IFERROR(INDEX(刷條碼區!D:G,MATCH(點上線資訊!S836,刷條碼區!F:F,0),1),"")</f>
        <v/>
      </c>
      <c r="AA836" s="71" t="str">
        <f>IFERROR(INDEX(刷條碼區!D:G,MATCH(點上線資訊!S836,刷條碼區!F:F,0),2),"")</f>
        <v/>
      </c>
      <c r="AB836" s="20" t="b">
        <f t="shared" si="80"/>
        <v>0</v>
      </c>
      <c r="AC836" s="20" t="b">
        <f t="shared" si="81"/>
        <v>0</v>
      </c>
      <c r="AD836" s="17" t="b">
        <f t="shared" si="82"/>
        <v>0</v>
      </c>
      <c r="AE836" s="17" t="b">
        <f t="shared" si="83"/>
        <v>0</v>
      </c>
    </row>
    <row r="837" spans="1:31" x14ac:dyDescent="0.2">
      <c r="A837" s="16">
        <v>5000506951</v>
      </c>
      <c r="B837" t="s">
        <v>301</v>
      </c>
      <c r="C837" t="s">
        <v>301</v>
      </c>
      <c r="D837" t="s">
        <v>1</v>
      </c>
      <c r="E837" t="s">
        <v>359</v>
      </c>
      <c r="F837" t="s">
        <v>360</v>
      </c>
      <c r="G837" s="2">
        <v>3</v>
      </c>
      <c r="H837" t="s">
        <v>461</v>
      </c>
      <c r="I837" t="s">
        <v>3</v>
      </c>
      <c r="J837" t="s">
        <v>5</v>
      </c>
      <c r="K837" t="s">
        <v>605</v>
      </c>
      <c r="L837" t="s">
        <v>608</v>
      </c>
      <c r="M837" t="s">
        <v>442</v>
      </c>
      <c r="N837" t="s">
        <v>602</v>
      </c>
      <c r="O837" t="s">
        <v>603</v>
      </c>
      <c r="P837" t="s">
        <v>602</v>
      </c>
      <c r="Q837" s="17">
        <f>IFERROR(VLOOKUP(A837,已除帳印單!B:C,1,0),0)*1</f>
        <v>0</v>
      </c>
      <c r="R837" s="67" t="str">
        <f>IFERROR(VLOOKUP(J837,線別!A:B,2,1),"")</f>
        <v>FM線</v>
      </c>
      <c r="S837" s="17" t="str">
        <f>IFERROR(VLOOKUP(A837,已除帳印單!B:C,2,0),"")</f>
        <v/>
      </c>
      <c r="T837" s="68">
        <f t="shared" si="78"/>
        <v>43894</v>
      </c>
      <c r="U837" s="69">
        <f t="shared" si="79"/>
        <v>84.168796296296293</v>
      </c>
      <c r="V837" s="68" t="str">
        <f>IFERROR(VLOOKUP(A837,已除帳印單!B:D,3,0),"")</f>
        <v/>
      </c>
      <c r="W837" s="69" t="str">
        <f>IFERROR(VLOOKUP(A837,已除帳印單!B:E,4,0),"")</f>
        <v/>
      </c>
      <c r="X837" s="68" t="str">
        <f>IFERROR(INDEX(刷條碼區!A:C,MATCH(點上線資訊!S837,刷條碼區!C:C,0),1),"")</f>
        <v/>
      </c>
      <c r="Y837" s="69" t="str">
        <f>IFERROR(INDEX(刷條碼區!A:C,MATCH(點上線資訊!S837,刷條碼區!C:C,0),2),"")</f>
        <v/>
      </c>
      <c r="Z837" s="70" t="str">
        <f>IFERROR(INDEX(刷條碼區!D:G,MATCH(點上線資訊!S837,刷條碼區!F:F,0),1),"")</f>
        <v/>
      </c>
      <c r="AA837" s="71" t="str">
        <f>IFERROR(INDEX(刷條碼區!D:G,MATCH(點上線資訊!S837,刷條碼區!F:F,0),2),"")</f>
        <v/>
      </c>
      <c r="AB837" s="20" t="b">
        <f t="shared" si="80"/>
        <v>0</v>
      </c>
      <c r="AC837" s="20" t="b">
        <f t="shared" si="81"/>
        <v>0</v>
      </c>
      <c r="AD837" s="17" t="b">
        <f t="shared" si="82"/>
        <v>0</v>
      </c>
      <c r="AE837" s="17" t="b">
        <f t="shared" si="83"/>
        <v>0</v>
      </c>
    </row>
    <row r="838" spans="1:31" x14ac:dyDescent="0.2">
      <c r="A838" s="16">
        <v>5000506952</v>
      </c>
      <c r="B838" t="s">
        <v>301</v>
      </c>
      <c r="C838" t="s">
        <v>301</v>
      </c>
      <c r="D838" t="s">
        <v>1</v>
      </c>
      <c r="E838" t="s">
        <v>359</v>
      </c>
      <c r="F838" t="s">
        <v>360</v>
      </c>
      <c r="G838" s="2">
        <v>5</v>
      </c>
      <c r="H838" t="s">
        <v>461</v>
      </c>
      <c r="I838" t="s">
        <v>3</v>
      </c>
      <c r="J838" t="s">
        <v>5</v>
      </c>
      <c r="K838" t="s">
        <v>605</v>
      </c>
      <c r="L838" t="s">
        <v>608</v>
      </c>
      <c r="M838" t="s">
        <v>442</v>
      </c>
      <c r="N838" t="s">
        <v>602</v>
      </c>
      <c r="O838" t="s">
        <v>603</v>
      </c>
      <c r="P838" t="s">
        <v>602</v>
      </c>
      <c r="Q838" s="17">
        <f>IFERROR(VLOOKUP(A838,已除帳印單!B:C,1,0),0)*1</f>
        <v>0</v>
      </c>
      <c r="R838" s="67" t="str">
        <f>IFERROR(VLOOKUP(J838,線別!A:B,2,1),"")</f>
        <v>FM線</v>
      </c>
      <c r="S838" s="17" t="str">
        <f>IFERROR(VLOOKUP(A838,已除帳印單!B:C,2,0),"")</f>
        <v/>
      </c>
      <c r="T838" s="68">
        <f t="shared" si="78"/>
        <v>43894</v>
      </c>
      <c r="U838" s="69">
        <f t="shared" si="79"/>
        <v>84.168796296296293</v>
      </c>
      <c r="V838" s="68" t="str">
        <f>IFERROR(VLOOKUP(A838,已除帳印單!B:D,3,0),"")</f>
        <v/>
      </c>
      <c r="W838" s="69" t="str">
        <f>IFERROR(VLOOKUP(A838,已除帳印單!B:E,4,0),"")</f>
        <v/>
      </c>
      <c r="X838" s="68" t="str">
        <f>IFERROR(INDEX(刷條碼區!A:C,MATCH(點上線資訊!S838,刷條碼區!C:C,0),1),"")</f>
        <v/>
      </c>
      <c r="Y838" s="69" t="str">
        <f>IFERROR(INDEX(刷條碼區!A:C,MATCH(點上線資訊!S838,刷條碼區!C:C,0),2),"")</f>
        <v/>
      </c>
      <c r="Z838" s="70" t="str">
        <f>IFERROR(INDEX(刷條碼區!D:G,MATCH(點上線資訊!S838,刷條碼區!F:F,0),1),"")</f>
        <v/>
      </c>
      <c r="AA838" s="71" t="str">
        <f>IFERROR(INDEX(刷條碼區!D:G,MATCH(點上線資訊!S838,刷條碼區!F:F,0),2),"")</f>
        <v/>
      </c>
      <c r="AB838" s="20" t="b">
        <f t="shared" si="80"/>
        <v>0</v>
      </c>
      <c r="AC838" s="20" t="b">
        <f t="shared" si="81"/>
        <v>0</v>
      </c>
      <c r="AD838" s="17" t="b">
        <f t="shared" si="82"/>
        <v>0</v>
      </c>
      <c r="AE838" s="17" t="b">
        <f t="shared" si="83"/>
        <v>0</v>
      </c>
    </row>
    <row r="839" spans="1:31" x14ac:dyDescent="0.2">
      <c r="A839" s="16">
        <v>5000506953</v>
      </c>
      <c r="B839" t="s">
        <v>301</v>
      </c>
      <c r="C839" t="s">
        <v>301</v>
      </c>
      <c r="D839" t="s">
        <v>1</v>
      </c>
      <c r="E839" t="s">
        <v>371</v>
      </c>
      <c r="F839" t="s">
        <v>1268</v>
      </c>
      <c r="G839" s="2">
        <v>1</v>
      </c>
      <c r="H839" t="s">
        <v>461</v>
      </c>
      <c r="I839" t="s">
        <v>3</v>
      </c>
      <c r="J839" t="s">
        <v>19</v>
      </c>
      <c r="K839" t="s">
        <v>605</v>
      </c>
      <c r="L839" t="s">
        <v>608</v>
      </c>
      <c r="M839" t="s">
        <v>446</v>
      </c>
      <c r="N839" t="s">
        <v>602</v>
      </c>
      <c r="O839" t="s">
        <v>603</v>
      </c>
      <c r="P839" t="s">
        <v>602</v>
      </c>
      <c r="Q839" s="17">
        <f>IFERROR(VLOOKUP(A839,已除帳印單!B:C,1,0),0)*1</f>
        <v>0</v>
      </c>
      <c r="R839" s="67" t="str">
        <f>IFERROR(VLOOKUP(J839,線別!A:B,2,1),"")</f>
        <v>FM_IA預組</v>
      </c>
      <c r="S839" s="17" t="str">
        <f>IFERROR(VLOOKUP(A839,已除帳印單!B:C,2,0),"")</f>
        <v/>
      </c>
      <c r="T839" s="68">
        <f t="shared" si="78"/>
        <v>43894</v>
      </c>
      <c r="U839" s="69">
        <f t="shared" si="79"/>
        <v>84.168796296296293</v>
      </c>
      <c r="V839" s="68" t="str">
        <f>IFERROR(VLOOKUP(A839,已除帳印單!B:D,3,0),"")</f>
        <v/>
      </c>
      <c r="W839" s="69" t="str">
        <f>IFERROR(VLOOKUP(A839,已除帳印單!B:E,4,0),"")</f>
        <v/>
      </c>
      <c r="X839" s="68" t="str">
        <f>IFERROR(INDEX(刷條碼區!A:C,MATCH(點上線資訊!S839,刷條碼區!C:C,0),1),"")</f>
        <v/>
      </c>
      <c r="Y839" s="69" t="str">
        <f>IFERROR(INDEX(刷條碼區!A:C,MATCH(點上線資訊!S839,刷條碼區!C:C,0),2),"")</f>
        <v/>
      </c>
      <c r="Z839" s="70" t="str">
        <f>IFERROR(INDEX(刷條碼區!D:G,MATCH(點上線資訊!S839,刷條碼區!F:F,0),1),"")</f>
        <v/>
      </c>
      <c r="AA839" s="71" t="str">
        <f>IFERROR(INDEX(刷條碼區!D:G,MATCH(點上線資訊!S839,刷條碼區!F:F,0),2),"")</f>
        <v/>
      </c>
      <c r="AB839" s="20" t="b">
        <f t="shared" si="80"/>
        <v>0</v>
      </c>
      <c r="AC839" s="20" t="b">
        <f t="shared" si="81"/>
        <v>0</v>
      </c>
      <c r="AD839" s="17" t="b">
        <f t="shared" si="82"/>
        <v>0</v>
      </c>
      <c r="AE839" s="17" t="b">
        <f t="shared" si="83"/>
        <v>0</v>
      </c>
    </row>
    <row r="840" spans="1:31" x14ac:dyDescent="0.2">
      <c r="A840" s="16">
        <v>5000507026</v>
      </c>
      <c r="B840" t="s">
        <v>301</v>
      </c>
      <c r="C840" t="s">
        <v>301</v>
      </c>
      <c r="D840" t="s">
        <v>1</v>
      </c>
      <c r="E840" t="s">
        <v>1172</v>
      </c>
      <c r="F840" t="s">
        <v>1173</v>
      </c>
      <c r="G840" s="2">
        <v>4</v>
      </c>
      <c r="H840" t="s">
        <v>461</v>
      </c>
      <c r="I840" t="s">
        <v>3</v>
      </c>
      <c r="J840" t="s">
        <v>19</v>
      </c>
      <c r="K840" t="s">
        <v>605</v>
      </c>
      <c r="L840" t="s">
        <v>608</v>
      </c>
      <c r="M840" t="s">
        <v>431</v>
      </c>
      <c r="N840" t="s">
        <v>602</v>
      </c>
      <c r="O840" t="s">
        <v>603</v>
      </c>
      <c r="P840" t="s">
        <v>602</v>
      </c>
      <c r="Q840" s="17">
        <f>IFERROR(VLOOKUP(A840,已除帳印單!B:C,1,0),0)*1</f>
        <v>0</v>
      </c>
      <c r="R840" s="67" t="str">
        <f>IFERROR(VLOOKUP(J840,線別!A:B,2,1),"")</f>
        <v>FM_IA預組</v>
      </c>
      <c r="S840" s="17" t="str">
        <f>IFERROR(VLOOKUP(A840,已除帳印單!B:C,2,0),"")</f>
        <v/>
      </c>
      <c r="T840" s="68">
        <f t="shared" si="78"/>
        <v>43894</v>
      </c>
      <c r="U840" s="69">
        <f t="shared" si="79"/>
        <v>84.168796296296293</v>
      </c>
      <c r="V840" s="68" t="str">
        <f>IFERROR(VLOOKUP(A840,已除帳印單!B:D,3,0),"")</f>
        <v/>
      </c>
      <c r="W840" s="69" t="str">
        <f>IFERROR(VLOOKUP(A840,已除帳印單!B:E,4,0),"")</f>
        <v/>
      </c>
      <c r="X840" s="68" t="str">
        <f>IFERROR(INDEX(刷條碼區!A:C,MATCH(點上線資訊!S840,刷條碼區!C:C,0),1),"")</f>
        <v/>
      </c>
      <c r="Y840" s="69" t="str">
        <f>IFERROR(INDEX(刷條碼區!A:C,MATCH(點上線資訊!S840,刷條碼區!C:C,0),2),"")</f>
        <v/>
      </c>
      <c r="Z840" s="70" t="str">
        <f>IFERROR(INDEX(刷條碼區!D:G,MATCH(點上線資訊!S840,刷條碼區!F:F,0),1),"")</f>
        <v/>
      </c>
      <c r="AA840" s="71" t="str">
        <f>IFERROR(INDEX(刷條碼區!D:G,MATCH(點上線資訊!S840,刷條碼區!F:F,0),2),"")</f>
        <v/>
      </c>
      <c r="AB840" s="20" t="b">
        <f t="shared" si="80"/>
        <v>0</v>
      </c>
      <c r="AC840" s="20" t="b">
        <f t="shared" si="81"/>
        <v>0</v>
      </c>
      <c r="AD840" s="17" t="b">
        <f t="shared" si="82"/>
        <v>0</v>
      </c>
      <c r="AE840" s="17" t="b">
        <f t="shared" si="83"/>
        <v>0</v>
      </c>
    </row>
    <row r="841" spans="1:31" x14ac:dyDescent="0.2">
      <c r="A841" s="16">
        <v>6000018237</v>
      </c>
      <c r="B841" t="s">
        <v>301</v>
      </c>
      <c r="C841" t="s">
        <v>301</v>
      </c>
      <c r="D841" t="s">
        <v>1</v>
      </c>
      <c r="E841" t="s">
        <v>1269</v>
      </c>
      <c r="F841" t="s">
        <v>321</v>
      </c>
      <c r="G841" s="2">
        <v>2</v>
      </c>
      <c r="H841" t="s">
        <v>461</v>
      </c>
      <c r="I841" t="s">
        <v>3</v>
      </c>
      <c r="J841" t="s">
        <v>19</v>
      </c>
      <c r="K841" t="s">
        <v>605</v>
      </c>
      <c r="L841" t="s">
        <v>603</v>
      </c>
      <c r="M841" t="s">
        <v>602</v>
      </c>
      <c r="N841" t="s">
        <v>602</v>
      </c>
      <c r="O841" t="s">
        <v>603</v>
      </c>
      <c r="P841" t="s">
        <v>602</v>
      </c>
      <c r="Q841" s="17">
        <f>IFERROR(VLOOKUP(A841,已除帳印單!B:C,1,0),0)*1</f>
        <v>0</v>
      </c>
      <c r="R841" s="67" t="str">
        <f>IFERROR(VLOOKUP(J841,線別!A:B,2,1),"")</f>
        <v>FM_IA預組</v>
      </c>
      <c r="S841" s="17" t="str">
        <f>IFERROR(VLOOKUP(A841,已除帳印單!B:C,2,0),"")</f>
        <v/>
      </c>
      <c r="T841" s="68">
        <f t="shared" si="78"/>
        <v>43894</v>
      </c>
      <c r="U841" s="69">
        <f t="shared" si="79"/>
        <v>84.168796296296293</v>
      </c>
      <c r="V841" s="68" t="str">
        <f>IFERROR(VLOOKUP(A841,已除帳印單!B:D,3,0),"")</f>
        <v/>
      </c>
      <c r="W841" s="69" t="str">
        <f>IFERROR(VLOOKUP(A841,已除帳印單!B:E,4,0),"")</f>
        <v/>
      </c>
      <c r="X841" s="68" t="str">
        <f>IFERROR(INDEX(刷條碼區!A:C,MATCH(點上線資訊!S841,刷條碼區!C:C,0),1),"")</f>
        <v/>
      </c>
      <c r="Y841" s="69" t="str">
        <f>IFERROR(INDEX(刷條碼區!A:C,MATCH(點上線資訊!S841,刷條碼區!C:C,0),2),"")</f>
        <v/>
      </c>
      <c r="Z841" s="70" t="str">
        <f>IFERROR(INDEX(刷條碼區!D:G,MATCH(點上線資訊!S841,刷條碼區!F:F,0),1),"")</f>
        <v/>
      </c>
      <c r="AA841" s="71" t="str">
        <f>IFERROR(INDEX(刷條碼區!D:G,MATCH(點上線資訊!S841,刷條碼區!F:F,0),2),"")</f>
        <v/>
      </c>
      <c r="AB841" s="20" t="b">
        <f t="shared" si="80"/>
        <v>0</v>
      </c>
      <c r="AC841" s="20" t="b">
        <f t="shared" si="81"/>
        <v>0</v>
      </c>
      <c r="AD841" s="17" t="b">
        <f t="shared" si="82"/>
        <v>0</v>
      </c>
      <c r="AE841" s="17" t="b">
        <f t="shared" si="83"/>
        <v>0</v>
      </c>
    </row>
    <row r="842" spans="1:31" x14ac:dyDescent="0.2">
      <c r="A842" s="16">
        <v>6000020319</v>
      </c>
      <c r="B842" t="s">
        <v>301</v>
      </c>
      <c r="C842" t="s">
        <v>301</v>
      </c>
      <c r="D842" t="s">
        <v>1</v>
      </c>
      <c r="E842" t="s">
        <v>318</v>
      </c>
      <c r="F842" t="s">
        <v>319</v>
      </c>
      <c r="G842" s="2">
        <v>2</v>
      </c>
      <c r="H842" t="s">
        <v>461</v>
      </c>
      <c r="I842" t="s">
        <v>3</v>
      </c>
      <c r="J842" t="s">
        <v>94</v>
      </c>
      <c r="K842" t="s">
        <v>602</v>
      </c>
      <c r="L842" t="s">
        <v>603</v>
      </c>
      <c r="M842" t="s">
        <v>602</v>
      </c>
      <c r="N842" t="s">
        <v>602</v>
      </c>
      <c r="O842" t="s">
        <v>603</v>
      </c>
      <c r="P842" t="s">
        <v>602</v>
      </c>
      <c r="Q842" s="17">
        <f>IFERROR(VLOOKUP(A842,已除帳印單!B:C,1,0),0)*1</f>
        <v>0</v>
      </c>
      <c r="R842" s="67" t="str">
        <f>IFERROR(VLOOKUP(J842,線別!A:B,2,1),"")</f>
        <v>塗二組</v>
      </c>
      <c r="S842" s="17" t="str">
        <f>IFERROR(VLOOKUP(A842,已除帳印單!B:C,2,0),"")</f>
        <v/>
      </c>
      <c r="T842" s="68">
        <f t="shared" ref="T842:T905" si="84">--TEXT(B842,"0000-00-00")</f>
        <v>43894</v>
      </c>
      <c r="U842" s="69">
        <f t="shared" ref="U842:U905" si="85">--TEXT(C842,"00\:00\:00")</f>
        <v>84.168796296296293</v>
      </c>
      <c r="V842" s="68" t="str">
        <f>IFERROR(VLOOKUP(A842,已除帳印單!B:D,3,0),"")</f>
        <v/>
      </c>
      <c r="W842" s="69" t="str">
        <f>IFERROR(VLOOKUP(A842,已除帳印單!B:E,4,0),"")</f>
        <v/>
      </c>
      <c r="X842" s="68" t="str">
        <f>IFERROR(INDEX(刷條碼區!A:C,MATCH(點上線資訊!S842,刷條碼區!C:C,0),1),"")</f>
        <v/>
      </c>
      <c r="Y842" s="69" t="str">
        <f>IFERROR(INDEX(刷條碼區!A:C,MATCH(點上線資訊!S842,刷條碼區!C:C,0),2),"")</f>
        <v/>
      </c>
      <c r="Z842" s="70" t="str">
        <f>IFERROR(INDEX(刷條碼區!D:G,MATCH(點上線資訊!S842,刷條碼區!F:F,0),1),"")</f>
        <v/>
      </c>
      <c r="AA842" s="71" t="str">
        <f>IFERROR(INDEX(刷條碼區!D:G,MATCH(點上線資訊!S842,刷條碼區!F:F,0),2),"")</f>
        <v/>
      </c>
      <c r="AB842" s="20">
        <f t="shared" si="80"/>
        <v>2</v>
      </c>
      <c r="AC842" s="20" t="b">
        <f t="shared" si="81"/>
        <v>0</v>
      </c>
      <c r="AD842" s="17" t="b">
        <f t="shared" si="82"/>
        <v>0</v>
      </c>
      <c r="AE842" s="17" t="b">
        <f t="shared" si="83"/>
        <v>0</v>
      </c>
    </row>
    <row r="843" spans="1:31" x14ac:dyDescent="0.2">
      <c r="A843" s="16">
        <v>6000022456</v>
      </c>
      <c r="B843" t="s">
        <v>301</v>
      </c>
      <c r="C843" t="s">
        <v>301</v>
      </c>
      <c r="D843" t="s">
        <v>1</v>
      </c>
      <c r="E843" t="s">
        <v>1270</v>
      </c>
      <c r="F843" t="s">
        <v>319</v>
      </c>
      <c r="G843" s="2">
        <v>2</v>
      </c>
      <c r="H843" t="s">
        <v>461</v>
      </c>
      <c r="I843" t="s">
        <v>3</v>
      </c>
      <c r="J843" t="s">
        <v>19</v>
      </c>
      <c r="K843" t="s">
        <v>605</v>
      </c>
      <c r="L843" t="s">
        <v>603</v>
      </c>
      <c r="M843" t="s">
        <v>602</v>
      </c>
      <c r="N843" t="s">
        <v>602</v>
      </c>
      <c r="O843" t="s">
        <v>603</v>
      </c>
      <c r="P843" t="s">
        <v>602</v>
      </c>
      <c r="Q843" s="17">
        <f>IFERROR(VLOOKUP(A843,已除帳印單!B:C,1,0),0)*1</f>
        <v>0</v>
      </c>
      <c r="R843" s="67" t="str">
        <f>IFERROR(VLOOKUP(J843,線別!A:B,2,1),"")</f>
        <v>FM_IA預組</v>
      </c>
      <c r="S843" s="17" t="str">
        <f>IFERROR(VLOOKUP(A843,已除帳印單!B:C,2,0),"")</f>
        <v/>
      </c>
      <c r="T843" s="68">
        <f t="shared" si="84"/>
        <v>43894</v>
      </c>
      <c r="U843" s="69">
        <f t="shared" si="85"/>
        <v>84.168796296296293</v>
      </c>
      <c r="V843" s="68" t="str">
        <f>IFERROR(VLOOKUP(A843,已除帳印單!B:D,3,0),"")</f>
        <v/>
      </c>
      <c r="W843" s="69" t="str">
        <f>IFERROR(VLOOKUP(A843,已除帳印單!B:E,4,0),"")</f>
        <v/>
      </c>
      <c r="X843" s="68" t="str">
        <f>IFERROR(INDEX(刷條碼區!A:C,MATCH(點上線資訊!S843,刷條碼區!C:C,0),1),"")</f>
        <v/>
      </c>
      <c r="Y843" s="69" t="str">
        <f>IFERROR(INDEX(刷條碼區!A:C,MATCH(點上線資訊!S843,刷條碼區!C:C,0),2),"")</f>
        <v/>
      </c>
      <c r="Z843" s="70" t="str">
        <f>IFERROR(INDEX(刷條碼區!D:G,MATCH(點上線資訊!S843,刷條碼區!F:F,0),1),"")</f>
        <v/>
      </c>
      <c r="AA843" s="71" t="str">
        <f>IFERROR(INDEX(刷條碼區!D:G,MATCH(點上線資訊!S843,刷條碼區!F:F,0),2),"")</f>
        <v/>
      </c>
      <c r="AB843" s="20" t="b">
        <f t="shared" si="80"/>
        <v>0</v>
      </c>
      <c r="AC843" s="20" t="b">
        <f t="shared" si="81"/>
        <v>0</v>
      </c>
      <c r="AD843" s="17" t="b">
        <f t="shared" si="82"/>
        <v>0</v>
      </c>
      <c r="AE843" s="17" t="b">
        <f t="shared" si="83"/>
        <v>0</v>
      </c>
    </row>
    <row r="844" spans="1:31" x14ac:dyDescent="0.2">
      <c r="A844" s="16">
        <v>6000025118</v>
      </c>
      <c r="B844" t="s">
        <v>301</v>
      </c>
      <c r="C844" t="s">
        <v>301</v>
      </c>
      <c r="D844" t="s">
        <v>1</v>
      </c>
      <c r="E844" t="s">
        <v>320</v>
      </c>
      <c r="F844" t="s">
        <v>321</v>
      </c>
      <c r="G844" s="2">
        <v>2</v>
      </c>
      <c r="H844" t="s">
        <v>461</v>
      </c>
      <c r="I844" t="s">
        <v>3</v>
      </c>
      <c r="J844" t="s">
        <v>94</v>
      </c>
      <c r="K844" t="s">
        <v>602</v>
      </c>
      <c r="L844" t="s">
        <v>603</v>
      </c>
      <c r="M844" t="s">
        <v>602</v>
      </c>
      <c r="N844" t="s">
        <v>602</v>
      </c>
      <c r="O844" t="s">
        <v>603</v>
      </c>
      <c r="P844" t="s">
        <v>602</v>
      </c>
      <c r="Q844" s="17">
        <f>IFERROR(VLOOKUP(A844,已除帳印單!B:C,1,0),0)*1</f>
        <v>0</v>
      </c>
      <c r="R844" s="67" t="str">
        <f>IFERROR(VLOOKUP(J844,線別!A:B,2,1),"")</f>
        <v>塗二組</v>
      </c>
      <c r="S844" s="17" t="str">
        <f>IFERROR(VLOOKUP(A844,已除帳印單!B:C,2,0),"")</f>
        <v/>
      </c>
      <c r="T844" s="68">
        <f t="shared" si="84"/>
        <v>43894</v>
      </c>
      <c r="U844" s="69">
        <f t="shared" si="85"/>
        <v>84.168796296296293</v>
      </c>
      <c r="V844" s="68" t="str">
        <f>IFERROR(VLOOKUP(A844,已除帳印單!B:D,3,0),"")</f>
        <v/>
      </c>
      <c r="W844" s="69" t="str">
        <f>IFERROR(VLOOKUP(A844,已除帳印單!B:E,4,0),"")</f>
        <v/>
      </c>
      <c r="X844" s="68" t="str">
        <f>IFERROR(INDEX(刷條碼區!A:C,MATCH(點上線資訊!S844,刷條碼區!C:C,0),1),"")</f>
        <v/>
      </c>
      <c r="Y844" s="69" t="str">
        <f>IFERROR(INDEX(刷條碼區!A:C,MATCH(點上線資訊!S844,刷條碼區!C:C,0),2),"")</f>
        <v/>
      </c>
      <c r="Z844" s="70" t="str">
        <f>IFERROR(INDEX(刷條碼區!D:G,MATCH(點上線資訊!S844,刷條碼區!F:F,0),1),"")</f>
        <v/>
      </c>
      <c r="AA844" s="71" t="str">
        <f>IFERROR(INDEX(刷條碼區!D:G,MATCH(點上線資訊!S844,刷條碼區!F:F,0),2),"")</f>
        <v/>
      </c>
      <c r="AB844" s="20">
        <f t="shared" si="80"/>
        <v>2</v>
      </c>
      <c r="AC844" s="20" t="b">
        <f t="shared" si="81"/>
        <v>0</v>
      </c>
      <c r="AD844" s="17" t="b">
        <f t="shared" si="82"/>
        <v>0</v>
      </c>
      <c r="AE844" s="17" t="b">
        <f t="shared" si="83"/>
        <v>0</v>
      </c>
    </row>
    <row r="845" spans="1:31" x14ac:dyDescent="0.2">
      <c r="A845" s="16">
        <v>6000025602</v>
      </c>
      <c r="B845" t="s">
        <v>0</v>
      </c>
      <c r="C845" t="s">
        <v>0</v>
      </c>
      <c r="D845" t="s">
        <v>1</v>
      </c>
      <c r="E845" t="s">
        <v>92</v>
      </c>
      <c r="F845" t="s">
        <v>93</v>
      </c>
      <c r="G845" s="2">
        <v>2</v>
      </c>
      <c r="H845" t="s">
        <v>461</v>
      </c>
      <c r="I845" t="s">
        <v>3</v>
      </c>
      <c r="J845" t="s">
        <v>94</v>
      </c>
      <c r="K845" t="s">
        <v>602</v>
      </c>
      <c r="L845" t="s">
        <v>603</v>
      </c>
      <c r="M845" t="s">
        <v>602</v>
      </c>
      <c r="N845" t="s">
        <v>602</v>
      </c>
      <c r="O845" t="s">
        <v>603</v>
      </c>
      <c r="P845" t="s">
        <v>602</v>
      </c>
      <c r="Q845" s="17">
        <f>IFERROR(VLOOKUP(A845,已除帳印單!B:C,1,0),0)*1</f>
        <v>0</v>
      </c>
      <c r="R845" s="67" t="str">
        <f>IFERROR(VLOOKUP(J845,線別!A:B,2,1),"")</f>
        <v>塗二組</v>
      </c>
      <c r="S845" s="17" t="str">
        <f>IFERROR(VLOOKUP(A845,已除帳印單!B:C,2,0),"")</f>
        <v/>
      </c>
      <c r="T845" s="68">
        <f t="shared" si="84"/>
        <v>43892</v>
      </c>
      <c r="U845" s="69">
        <f t="shared" si="85"/>
        <v>84.168773148148148</v>
      </c>
      <c r="V845" s="68" t="str">
        <f>IFERROR(VLOOKUP(A845,已除帳印單!B:D,3,0),"")</f>
        <v/>
      </c>
      <c r="W845" s="69" t="str">
        <f>IFERROR(VLOOKUP(A845,已除帳印單!B:E,4,0),"")</f>
        <v/>
      </c>
      <c r="X845" s="68" t="str">
        <f>IFERROR(INDEX(刷條碼區!A:C,MATCH(點上線資訊!S845,刷條碼區!C:C,0),1),"")</f>
        <v/>
      </c>
      <c r="Y845" s="69" t="str">
        <f>IFERROR(INDEX(刷條碼區!A:C,MATCH(點上線資訊!S845,刷條碼區!C:C,0),2),"")</f>
        <v/>
      </c>
      <c r="Z845" s="70" t="str">
        <f>IFERROR(INDEX(刷條碼區!D:G,MATCH(點上線資訊!S845,刷條碼區!F:F,0),1),"")</f>
        <v/>
      </c>
      <c r="AA845" s="71" t="str">
        <f>IFERROR(INDEX(刷條碼區!D:G,MATCH(點上線資訊!S845,刷條碼區!F:F,0),2),"")</f>
        <v/>
      </c>
      <c r="AB845" s="20">
        <f t="shared" si="80"/>
        <v>2</v>
      </c>
      <c r="AC845" s="20" t="b">
        <f t="shared" si="81"/>
        <v>0</v>
      </c>
      <c r="AD845" s="17" t="b">
        <f t="shared" si="82"/>
        <v>0</v>
      </c>
      <c r="AE845" s="17" t="b">
        <f t="shared" si="83"/>
        <v>0</v>
      </c>
    </row>
    <row r="846" spans="1:31" x14ac:dyDescent="0.2">
      <c r="A846" s="16">
        <v>6000025840</v>
      </c>
      <c r="B846" t="s">
        <v>6</v>
      </c>
      <c r="C846" t="s">
        <v>6</v>
      </c>
      <c r="D846" t="s">
        <v>1</v>
      </c>
      <c r="E846" t="s">
        <v>287</v>
      </c>
      <c r="F846" t="s">
        <v>288</v>
      </c>
      <c r="G846" s="2">
        <v>3</v>
      </c>
      <c r="H846" t="s">
        <v>461</v>
      </c>
      <c r="I846" t="s">
        <v>3</v>
      </c>
      <c r="J846" t="s">
        <v>94</v>
      </c>
      <c r="K846" t="s">
        <v>602</v>
      </c>
      <c r="L846" t="s">
        <v>603</v>
      </c>
      <c r="M846" t="s">
        <v>602</v>
      </c>
      <c r="N846" t="s">
        <v>602</v>
      </c>
      <c r="O846" t="s">
        <v>603</v>
      </c>
      <c r="P846" t="s">
        <v>602</v>
      </c>
      <c r="Q846" s="17">
        <f>IFERROR(VLOOKUP(A846,已除帳印單!B:C,1,0),0)*1</f>
        <v>0</v>
      </c>
      <c r="R846" s="67" t="str">
        <f>IFERROR(VLOOKUP(J846,線別!A:B,2,1),"")</f>
        <v>塗二組</v>
      </c>
      <c r="S846" s="17" t="str">
        <f>IFERROR(VLOOKUP(A846,已除帳印單!B:C,2,0),"")</f>
        <v/>
      </c>
      <c r="T846" s="68">
        <f t="shared" si="84"/>
        <v>43893</v>
      </c>
      <c r="U846" s="69">
        <f t="shared" si="85"/>
        <v>84.168784722222213</v>
      </c>
      <c r="V846" s="68" t="str">
        <f>IFERROR(VLOOKUP(A846,已除帳印單!B:D,3,0),"")</f>
        <v/>
      </c>
      <c r="W846" s="69" t="str">
        <f>IFERROR(VLOOKUP(A846,已除帳印單!B:E,4,0),"")</f>
        <v/>
      </c>
      <c r="X846" s="68" t="str">
        <f>IFERROR(INDEX(刷條碼區!A:C,MATCH(點上線資訊!S846,刷條碼區!C:C,0),1),"")</f>
        <v/>
      </c>
      <c r="Y846" s="69" t="str">
        <f>IFERROR(INDEX(刷條碼區!A:C,MATCH(點上線資訊!S846,刷條碼區!C:C,0),2),"")</f>
        <v/>
      </c>
      <c r="Z846" s="70" t="str">
        <f>IFERROR(INDEX(刷條碼區!D:G,MATCH(點上線資訊!S846,刷條碼區!F:F,0),1),"")</f>
        <v/>
      </c>
      <c r="AA846" s="71" t="str">
        <f>IFERROR(INDEX(刷條碼區!D:G,MATCH(點上線資訊!S846,刷條碼區!F:F,0),2),"")</f>
        <v/>
      </c>
      <c r="AB846" s="20">
        <f t="shared" si="80"/>
        <v>3</v>
      </c>
      <c r="AC846" s="20" t="b">
        <f t="shared" si="81"/>
        <v>0</v>
      </c>
      <c r="AD846" s="17" t="b">
        <f t="shared" si="82"/>
        <v>0</v>
      </c>
      <c r="AE846" s="17" t="b">
        <f t="shared" si="83"/>
        <v>0</v>
      </c>
    </row>
    <row r="847" spans="1:31" x14ac:dyDescent="0.2">
      <c r="A847" s="16">
        <v>6000025843</v>
      </c>
      <c r="B847" t="s">
        <v>6</v>
      </c>
      <c r="C847" t="s">
        <v>6</v>
      </c>
      <c r="D847" t="s">
        <v>1</v>
      </c>
      <c r="E847" t="s">
        <v>289</v>
      </c>
      <c r="F847" t="s">
        <v>588</v>
      </c>
      <c r="G847" s="2">
        <v>3</v>
      </c>
      <c r="H847" t="s">
        <v>461</v>
      </c>
      <c r="I847" t="s">
        <v>3</v>
      </c>
      <c r="J847" t="s">
        <v>94</v>
      </c>
      <c r="K847" t="s">
        <v>602</v>
      </c>
      <c r="L847" t="s">
        <v>603</v>
      </c>
      <c r="M847" t="s">
        <v>602</v>
      </c>
      <c r="N847" t="s">
        <v>602</v>
      </c>
      <c r="O847" t="s">
        <v>603</v>
      </c>
      <c r="P847" t="s">
        <v>602</v>
      </c>
      <c r="Q847" s="17">
        <f>IFERROR(VLOOKUP(A847,已除帳印單!B:C,1,0),0)*1</f>
        <v>0</v>
      </c>
      <c r="R847" s="67" t="str">
        <f>IFERROR(VLOOKUP(J847,線別!A:B,2,1),"")</f>
        <v>塗二組</v>
      </c>
      <c r="S847" s="17" t="str">
        <f>IFERROR(VLOOKUP(A847,已除帳印單!B:C,2,0),"")</f>
        <v/>
      </c>
      <c r="T847" s="68">
        <f t="shared" si="84"/>
        <v>43893</v>
      </c>
      <c r="U847" s="69">
        <f t="shared" si="85"/>
        <v>84.168784722222213</v>
      </c>
      <c r="V847" s="68" t="str">
        <f>IFERROR(VLOOKUP(A847,已除帳印單!B:D,3,0),"")</f>
        <v/>
      </c>
      <c r="W847" s="69" t="str">
        <f>IFERROR(VLOOKUP(A847,已除帳印單!B:E,4,0),"")</f>
        <v/>
      </c>
      <c r="X847" s="68" t="str">
        <f>IFERROR(INDEX(刷條碼區!A:C,MATCH(點上線資訊!S847,刷條碼區!C:C,0),1),"")</f>
        <v/>
      </c>
      <c r="Y847" s="69" t="str">
        <f>IFERROR(INDEX(刷條碼區!A:C,MATCH(點上線資訊!S847,刷條碼區!C:C,0),2),"")</f>
        <v/>
      </c>
      <c r="Z847" s="70" t="str">
        <f>IFERROR(INDEX(刷條碼區!D:G,MATCH(點上線資訊!S847,刷條碼區!F:F,0),1),"")</f>
        <v/>
      </c>
      <c r="AA847" s="71" t="str">
        <f>IFERROR(INDEX(刷條碼區!D:G,MATCH(點上線資訊!S847,刷條碼區!F:F,0),2),"")</f>
        <v/>
      </c>
      <c r="AB847" s="20">
        <f t="shared" si="80"/>
        <v>3</v>
      </c>
      <c r="AC847" s="20" t="b">
        <f t="shared" si="81"/>
        <v>0</v>
      </c>
      <c r="AD847" s="17" t="b">
        <f t="shared" si="82"/>
        <v>0</v>
      </c>
      <c r="AE847" s="17" t="b">
        <f t="shared" si="83"/>
        <v>0</v>
      </c>
    </row>
    <row r="848" spans="1:31" x14ac:dyDescent="0.2">
      <c r="A848" s="16">
        <v>6000025846</v>
      </c>
      <c r="B848" t="s">
        <v>6</v>
      </c>
      <c r="C848" t="s">
        <v>6</v>
      </c>
      <c r="D848" t="s">
        <v>1</v>
      </c>
      <c r="E848" t="s">
        <v>289</v>
      </c>
      <c r="F848" t="s">
        <v>588</v>
      </c>
      <c r="G848" s="2">
        <v>2</v>
      </c>
      <c r="H848" t="s">
        <v>461</v>
      </c>
      <c r="I848" t="s">
        <v>3</v>
      </c>
      <c r="J848" t="s">
        <v>94</v>
      </c>
      <c r="K848" t="s">
        <v>602</v>
      </c>
      <c r="L848" t="s">
        <v>603</v>
      </c>
      <c r="M848" t="s">
        <v>602</v>
      </c>
      <c r="N848" t="s">
        <v>602</v>
      </c>
      <c r="O848" t="s">
        <v>603</v>
      </c>
      <c r="P848" t="s">
        <v>602</v>
      </c>
      <c r="Q848" s="17">
        <f>IFERROR(VLOOKUP(A848,已除帳印單!B:C,1,0),0)*1</f>
        <v>0</v>
      </c>
      <c r="R848" s="67" t="str">
        <f>IFERROR(VLOOKUP(J848,線別!A:B,2,1),"")</f>
        <v>塗二組</v>
      </c>
      <c r="S848" s="17" t="str">
        <f>IFERROR(VLOOKUP(A848,已除帳印單!B:C,2,0),"")</f>
        <v/>
      </c>
      <c r="T848" s="68">
        <f t="shared" si="84"/>
        <v>43893</v>
      </c>
      <c r="U848" s="69">
        <f t="shared" si="85"/>
        <v>84.168784722222213</v>
      </c>
      <c r="V848" s="68" t="str">
        <f>IFERROR(VLOOKUP(A848,已除帳印單!B:D,3,0),"")</f>
        <v/>
      </c>
      <c r="W848" s="69" t="str">
        <f>IFERROR(VLOOKUP(A848,已除帳印單!B:E,4,0),"")</f>
        <v/>
      </c>
      <c r="X848" s="68" t="str">
        <f>IFERROR(INDEX(刷條碼區!A:C,MATCH(點上線資訊!S848,刷條碼區!C:C,0),1),"")</f>
        <v/>
      </c>
      <c r="Y848" s="69" t="str">
        <f>IFERROR(INDEX(刷條碼區!A:C,MATCH(點上線資訊!S848,刷條碼區!C:C,0),2),"")</f>
        <v/>
      </c>
      <c r="Z848" s="70" t="str">
        <f>IFERROR(INDEX(刷條碼區!D:G,MATCH(點上線資訊!S848,刷條碼區!F:F,0),1),"")</f>
        <v/>
      </c>
      <c r="AA848" s="71" t="str">
        <f>IFERROR(INDEX(刷條碼區!D:G,MATCH(點上線資訊!S848,刷條碼區!F:F,0),2),"")</f>
        <v/>
      </c>
      <c r="AB848" s="20">
        <f t="shared" si="80"/>
        <v>2</v>
      </c>
      <c r="AC848" s="20" t="b">
        <f t="shared" si="81"/>
        <v>0</v>
      </c>
      <c r="AD848" s="17" t="b">
        <f t="shared" si="82"/>
        <v>0</v>
      </c>
      <c r="AE848" s="17" t="b">
        <f t="shared" si="83"/>
        <v>0</v>
      </c>
    </row>
    <row r="849" spans="1:31" x14ac:dyDescent="0.2">
      <c r="A849" s="16">
        <v>6000026746</v>
      </c>
      <c r="B849" t="s">
        <v>301</v>
      </c>
      <c r="C849" t="s">
        <v>301</v>
      </c>
      <c r="D849" t="s">
        <v>1</v>
      </c>
      <c r="E849" t="s">
        <v>1269</v>
      </c>
      <c r="F849" t="s">
        <v>321</v>
      </c>
      <c r="G849" s="2">
        <v>2</v>
      </c>
      <c r="H849" t="s">
        <v>461</v>
      </c>
      <c r="I849" t="s">
        <v>3</v>
      </c>
      <c r="J849" t="s">
        <v>19</v>
      </c>
      <c r="K849" t="s">
        <v>605</v>
      </c>
      <c r="L849" t="s">
        <v>603</v>
      </c>
      <c r="M849" t="s">
        <v>602</v>
      </c>
      <c r="N849" t="s">
        <v>602</v>
      </c>
      <c r="O849" t="s">
        <v>603</v>
      </c>
      <c r="P849" t="s">
        <v>602</v>
      </c>
      <c r="Q849" s="17">
        <f>IFERROR(VLOOKUP(A849,已除帳印單!B:C,1,0),0)*1</f>
        <v>0</v>
      </c>
      <c r="R849" s="67" t="str">
        <f>IFERROR(VLOOKUP(J849,線別!A:B,2,1),"")</f>
        <v>FM_IA預組</v>
      </c>
      <c r="S849" s="17" t="str">
        <f>IFERROR(VLOOKUP(A849,已除帳印單!B:C,2,0),"")</f>
        <v/>
      </c>
      <c r="T849" s="68">
        <f t="shared" si="84"/>
        <v>43894</v>
      </c>
      <c r="U849" s="69">
        <f t="shared" si="85"/>
        <v>84.168796296296293</v>
      </c>
      <c r="V849" s="68" t="str">
        <f>IFERROR(VLOOKUP(A849,已除帳印單!B:D,3,0),"")</f>
        <v/>
      </c>
      <c r="W849" s="69" t="str">
        <f>IFERROR(VLOOKUP(A849,已除帳印單!B:E,4,0),"")</f>
        <v/>
      </c>
      <c r="X849" s="68" t="str">
        <f>IFERROR(INDEX(刷條碼區!A:C,MATCH(點上線資訊!S849,刷條碼區!C:C,0),1),"")</f>
        <v/>
      </c>
      <c r="Y849" s="69" t="str">
        <f>IFERROR(INDEX(刷條碼區!A:C,MATCH(點上線資訊!S849,刷條碼區!C:C,0),2),"")</f>
        <v/>
      </c>
      <c r="Z849" s="70" t="str">
        <f>IFERROR(INDEX(刷條碼區!D:G,MATCH(點上線資訊!S849,刷條碼區!F:F,0),1),"")</f>
        <v/>
      </c>
      <c r="AA849" s="71" t="str">
        <f>IFERROR(INDEX(刷條碼區!D:G,MATCH(點上線資訊!S849,刷條碼區!F:F,0),2),"")</f>
        <v/>
      </c>
      <c r="AB849" s="20" t="b">
        <f t="shared" si="80"/>
        <v>0</v>
      </c>
      <c r="AC849" s="20" t="b">
        <f t="shared" si="81"/>
        <v>0</v>
      </c>
      <c r="AD849" s="17" t="b">
        <f t="shared" si="82"/>
        <v>0</v>
      </c>
      <c r="AE849" s="17" t="b">
        <f t="shared" si="83"/>
        <v>0</v>
      </c>
    </row>
    <row r="850" spans="1:31" x14ac:dyDescent="0.2">
      <c r="A850" s="16">
        <v>6000026754</v>
      </c>
      <c r="B850" t="s">
        <v>6</v>
      </c>
      <c r="C850" t="s">
        <v>6</v>
      </c>
      <c r="D850" t="s">
        <v>1</v>
      </c>
      <c r="E850" t="s">
        <v>1271</v>
      </c>
      <c r="F850" t="s">
        <v>588</v>
      </c>
      <c r="G850" s="2">
        <v>3</v>
      </c>
      <c r="H850" t="s">
        <v>461</v>
      </c>
      <c r="I850" t="s">
        <v>3</v>
      </c>
      <c r="J850" t="s">
        <v>19</v>
      </c>
      <c r="K850" t="s">
        <v>605</v>
      </c>
      <c r="L850" t="s">
        <v>603</v>
      </c>
      <c r="M850" t="s">
        <v>602</v>
      </c>
      <c r="N850" t="s">
        <v>602</v>
      </c>
      <c r="O850" t="s">
        <v>603</v>
      </c>
      <c r="P850" t="s">
        <v>602</v>
      </c>
      <c r="Q850" s="17">
        <f>IFERROR(VLOOKUP(A850,已除帳印單!B:C,1,0),0)*1</f>
        <v>0</v>
      </c>
      <c r="R850" s="67" t="str">
        <f>IFERROR(VLOOKUP(J850,線別!A:B,2,1),"")</f>
        <v>FM_IA預組</v>
      </c>
      <c r="S850" s="17" t="str">
        <f>IFERROR(VLOOKUP(A850,已除帳印單!B:C,2,0),"")</f>
        <v/>
      </c>
      <c r="T850" s="68">
        <f t="shared" si="84"/>
        <v>43893</v>
      </c>
      <c r="U850" s="69">
        <f t="shared" si="85"/>
        <v>84.168784722222213</v>
      </c>
      <c r="V850" s="68" t="str">
        <f>IFERROR(VLOOKUP(A850,已除帳印單!B:D,3,0),"")</f>
        <v/>
      </c>
      <c r="W850" s="69" t="str">
        <f>IFERROR(VLOOKUP(A850,已除帳印單!B:E,4,0),"")</f>
        <v/>
      </c>
      <c r="X850" s="68" t="str">
        <f>IFERROR(INDEX(刷條碼區!A:C,MATCH(點上線資訊!S850,刷條碼區!C:C,0),1),"")</f>
        <v/>
      </c>
      <c r="Y850" s="69" t="str">
        <f>IFERROR(INDEX(刷條碼區!A:C,MATCH(點上線資訊!S850,刷條碼區!C:C,0),2),"")</f>
        <v/>
      </c>
      <c r="Z850" s="70" t="str">
        <f>IFERROR(INDEX(刷條碼區!D:G,MATCH(點上線資訊!S850,刷條碼區!F:F,0),1),"")</f>
        <v/>
      </c>
      <c r="AA850" s="71" t="str">
        <f>IFERROR(INDEX(刷條碼區!D:G,MATCH(點上線資訊!S850,刷條碼區!F:F,0),2),"")</f>
        <v/>
      </c>
      <c r="AB850" s="20" t="b">
        <f t="shared" si="80"/>
        <v>0</v>
      </c>
      <c r="AC850" s="20" t="b">
        <f t="shared" si="81"/>
        <v>0</v>
      </c>
      <c r="AD850" s="17" t="b">
        <f t="shared" si="82"/>
        <v>0</v>
      </c>
      <c r="AE850" s="17" t="b">
        <f t="shared" si="83"/>
        <v>0</v>
      </c>
    </row>
    <row r="851" spans="1:31" x14ac:dyDescent="0.2">
      <c r="A851" s="16">
        <v>6000026755</v>
      </c>
      <c r="B851" t="s">
        <v>6</v>
      </c>
      <c r="C851" t="s">
        <v>6</v>
      </c>
      <c r="D851" t="s">
        <v>1</v>
      </c>
      <c r="E851" t="s">
        <v>1272</v>
      </c>
      <c r="F851" t="s">
        <v>288</v>
      </c>
      <c r="G851" s="2">
        <v>3</v>
      </c>
      <c r="H851" t="s">
        <v>461</v>
      </c>
      <c r="I851" t="s">
        <v>3</v>
      </c>
      <c r="J851" t="s">
        <v>19</v>
      </c>
      <c r="K851" t="s">
        <v>605</v>
      </c>
      <c r="L851" t="s">
        <v>603</v>
      </c>
      <c r="M851" t="s">
        <v>602</v>
      </c>
      <c r="N851" t="s">
        <v>602</v>
      </c>
      <c r="O851" t="s">
        <v>603</v>
      </c>
      <c r="P851" t="s">
        <v>602</v>
      </c>
      <c r="Q851" s="17">
        <f>IFERROR(VLOOKUP(A851,已除帳印單!B:C,1,0),0)*1</f>
        <v>0</v>
      </c>
      <c r="R851" s="67" t="str">
        <f>IFERROR(VLOOKUP(J851,線別!A:B,2,1),"")</f>
        <v>FM_IA預組</v>
      </c>
      <c r="S851" s="17" t="str">
        <f>IFERROR(VLOOKUP(A851,已除帳印單!B:C,2,0),"")</f>
        <v/>
      </c>
      <c r="T851" s="68">
        <f t="shared" si="84"/>
        <v>43893</v>
      </c>
      <c r="U851" s="69">
        <f t="shared" si="85"/>
        <v>84.168784722222213</v>
      </c>
      <c r="V851" s="68" t="str">
        <f>IFERROR(VLOOKUP(A851,已除帳印單!B:D,3,0),"")</f>
        <v/>
      </c>
      <c r="W851" s="69" t="str">
        <f>IFERROR(VLOOKUP(A851,已除帳印單!B:E,4,0),"")</f>
        <v/>
      </c>
      <c r="X851" s="68" t="str">
        <f>IFERROR(INDEX(刷條碼區!A:C,MATCH(點上線資訊!S851,刷條碼區!C:C,0),1),"")</f>
        <v/>
      </c>
      <c r="Y851" s="69" t="str">
        <f>IFERROR(INDEX(刷條碼區!A:C,MATCH(點上線資訊!S851,刷條碼區!C:C,0),2),"")</f>
        <v/>
      </c>
      <c r="Z851" s="70" t="str">
        <f>IFERROR(INDEX(刷條碼區!D:G,MATCH(點上線資訊!S851,刷條碼區!F:F,0),1),"")</f>
        <v/>
      </c>
      <c r="AA851" s="71" t="str">
        <f>IFERROR(INDEX(刷條碼區!D:G,MATCH(點上線資訊!S851,刷條碼區!F:F,0),2),"")</f>
        <v/>
      </c>
      <c r="AB851" s="20" t="b">
        <f t="shared" si="80"/>
        <v>0</v>
      </c>
      <c r="AC851" s="20" t="b">
        <f t="shared" si="81"/>
        <v>0</v>
      </c>
      <c r="AD851" s="17" t="b">
        <f t="shared" si="82"/>
        <v>0</v>
      </c>
      <c r="AE851" s="17" t="b">
        <f t="shared" si="83"/>
        <v>0</v>
      </c>
    </row>
    <row r="852" spans="1:31" x14ac:dyDescent="0.2">
      <c r="A852" s="16">
        <v>6000026756</v>
      </c>
      <c r="B852" t="s">
        <v>6</v>
      </c>
      <c r="C852" t="s">
        <v>6</v>
      </c>
      <c r="D852" t="s">
        <v>1</v>
      </c>
      <c r="E852" t="s">
        <v>1271</v>
      </c>
      <c r="F852" t="s">
        <v>588</v>
      </c>
      <c r="G852" s="2">
        <v>2</v>
      </c>
      <c r="H852" t="s">
        <v>461</v>
      </c>
      <c r="I852" t="s">
        <v>3</v>
      </c>
      <c r="J852" t="s">
        <v>19</v>
      </c>
      <c r="K852" t="s">
        <v>605</v>
      </c>
      <c r="L852" t="s">
        <v>603</v>
      </c>
      <c r="M852" t="s">
        <v>602</v>
      </c>
      <c r="N852" t="s">
        <v>602</v>
      </c>
      <c r="O852" t="s">
        <v>603</v>
      </c>
      <c r="P852" t="s">
        <v>602</v>
      </c>
      <c r="Q852" s="17">
        <f>IFERROR(VLOOKUP(A852,已除帳印單!B:C,1,0),0)*1</f>
        <v>0</v>
      </c>
      <c r="R852" s="67" t="str">
        <f>IFERROR(VLOOKUP(J852,線別!A:B,2,1),"")</f>
        <v>FM_IA預組</v>
      </c>
      <c r="S852" s="17" t="str">
        <f>IFERROR(VLOOKUP(A852,已除帳印單!B:C,2,0),"")</f>
        <v/>
      </c>
      <c r="T852" s="68">
        <f t="shared" si="84"/>
        <v>43893</v>
      </c>
      <c r="U852" s="69">
        <f t="shared" si="85"/>
        <v>84.168784722222213</v>
      </c>
      <c r="V852" s="68" t="str">
        <f>IFERROR(VLOOKUP(A852,已除帳印單!B:D,3,0),"")</f>
        <v/>
      </c>
      <c r="W852" s="69" t="str">
        <f>IFERROR(VLOOKUP(A852,已除帳印單!B:E,4,0),"")</f>
        <v/>
      </c>
      <c r="X852" s="68" t="str">
        <f>IFERROR(INDEX(刷條碼區!A:C,MATCH(點上線資訊!S852,刷條碼區!C:C,0),1),"")</f>
        <v/>
      </c>
      <c r="Y852" s="69" t="str">
        <f>IFERROR(INDEX(刷條碼區!A:C,MATCH(點上線資訊!S852,刷條碼區!C:C,0),2),"")</f>
        <v/>
      </c>
      <c r="Z852" s="70" t="str">
        <f>IFERROR(INDEX(刷條碼區!D:G,MATCH(點上線資訊!S852,刷條碼區!F:F,0),1),"")</f>
        <v/>
      </c>
      <c r="AA852" s="71" t="str">
        <f>IFERROR(INDEX(刷條碼區!D:G,MATCH(點上線資訊!S852,刷條碼區!F:F,0),2),"")</f>
        <v/>
      </c>
      <c r="AB852" s="20" t="b">
        <f t="shared" si="80"/>
        <v>0</v>
      </c>
      <c r="AC852" s="20" t="b">
        <f t="shared" si="81"/>
        <v>0</v>
      </c>
      <c r="AD852" s="17" t="b">
        <f t="shared" si="82"/>
        <v>0</v>
      </c>
      <c r="AE852" s="17" t="b">
        <f t="shared" si="83"/>
        <v>0</v>
      </c>
    </row>
    <row r="853" spans="1:31" x14ac:dyDescent="0.2">
      <c r="A853" s="16">
        <v>6000026933</v>
      </c>
      <c r="B853" t="s">
        <v>301</v>
      </c>
      <c r="C853" t="s">
        <v>301</v>
      </c>
      <c r="D853" t="s">
        <v>1</v>
      </c>
      <c r="E853" t="s">
        <v>1273</v>
      </c>
      <c r="F853" t="s">
        <v>1274</v>
      </c>
      <c r="G853" s="2">
        <v>5</v>
      </c>
      <c r="H853" t="s">
        <v>461</v>
      </c>
      <c r="I853" t="s">
        <v>3</v>
      </c>
      <c r="J853" t="s">
        <v>19</v>
      </c>
      <c r="K853" t="s">
        <v>605</v>
      </c>
      <c r="L853" t="s">
        <v>603</v>
      </c>
      <c r="M853" t="s">
        <v>602</v>
      </c>
      <c r="N853" t="s">
        <v>602</v>
      </c>
      <c r="O853" t="s">
        <v>603</v>
      </c>
      <c r="P853" t="s">
        <v>602</v>
      </c>
      <c r="Q853" s="17">
        <f>IFERROR(VLOOKUP(A853,已除帳印單!B:C,1,0),0)*1</f>
        <v>0</v>
      </c>
      <c r="R853" s="67" t="str">
        <f>IFERROR(VLOOKUP(J853,線別!A:B,2,1),"")</f>
        <v>FM_IA預組</v>
      </c>
      <c r="S853" s="17" t="str">
        <f>IFERROR(VLOOKUP(A853,已除帳印單!B:C,2,0),"")</f>
        <v/>
      </c>
      <c r="T853" s="68">
        <f t="shared" si="84"/>
        <v>43894</v>
      </c>
      <c r="U853" s="69">
        <f t="shared" si="85"/>
        <v>84.168796296296293</v>
      </c>
      <c r="V853" s="68" t="str">
        <f>IFERROR(VLOOKUP(A853,已除帳印單!B:D,3,0),"")</f>
        <v/>
      </c>
      <c r="W853" s="69" t="str">
        <f>IFERROR(VLOOKUP(A853,已除帳印單!B:E,4,0),"")</f>
        <v/>
      </c>
      <c r="X853" s="68" t="str">
        <f>IFERROR(INDEX(刷條碼區!A:C,MATCH(點上線資訊!S853,刷條碼區!C:C,0),1),"")</f>
        <v/>
      </c>
      <c r="Y853" s="69" t="str">
        <f>IFERROR(INDEX(刷條碼區!A:C,MATCH(點上線資訊!S853,刷條碼區!C:C,0),2),"")</f>
        <v/>
      </c>
      <c r="Z853" s="70" t="str">
        <f>IFERROR(INDEX(刷條碼區!D:G,MATCH(點上線資訊!S853,刷條碼區!F:F,0),1),"")</f>
        <v/>
      </c>
      <c r="AA853" s="71" t="str">
        <f>IFERROR(INDEX(刷條碼區!D:G,MATCH(點上線資訊!S853,刷條碼區!F:F,0),2),"")</f>
        <v/>
      </c>
      <c r="AB853" s="20" t="b">
        <f t="shared" si="80"/>
        <v>0</v>
      </c>
      <c r="AC853" s="20" t="b">
        <f t="shared" si="81"/>
        <v>0</v>
      </c>
      <c r="AD853" s="17" t="b">
        <f t="shared" si="82"/>
        <v>0</v>
      </c>
      <c r="AE853" s="17" t="b">
        <f t="shared" si="83"/>
        <v>0</v>
      </c>
    </row>
    <row r="854" spans="1:31" x14ac:dyDescent="0.2">
      <c r="A854" s="16">
        <v>6000026934</v>
      </c>
      <c r="B854" t="s">
        <v>0</v>
      </c>
      <c r="C854" t="s">
        <v>0</v>
      </c>
      <c r="D854" t="s">
        <v>1</v>
      </c>
      <c r="E854" t="s">
        <v>604</v>
      </c>
      <c r="F854" t="s">
        <v>93</v>
      </c>
      <c r="G854" s="2">
        <v>5</v>
      </c>
      <c r="H854" t="s">
        <v>461</v>
      </c>
      <c r="I854" t="s">
        <v>3</v>
      </c>
      <c r="J854" t="s">
        <v>19</v>
      </c>
      <c r="K854" t="s">
        <v>605</v>
      </c>
      <c r="L854" t="s">
        <v>603</v>
      </c>
      <c r="M854" t="s">
        <v>602</v>
      </c>
      <c r="N854" t="s">
        <v>602</v>
      </c>
      <c r="O854" t="s">
        <v>603</v>
      </c>
      <c r="P854" t="s">
        <v>602</v>
      </c>
      <c r="Q854" s="17">
        <f>IFERROR(VLOOKUP(A854,已除帳印單!B:C,1,0),0)*1</f>
        <v>0</v>
      </c>
      <c r="R854" s="67" t="str">
        <f>IFERROR(VLOOKUP(J854,線別!A:B,2,1),"")</f>
        <v>FM_IA預組</v>
      </c>
      <c r="S854" s="17" t="str">
        <f>IFERROR(VLOOKUP(A854,已除帳印單!B:C,2,0),"")</f>
        <v/>
      </c>
      <c r="T854" s="68">
        <f t="shared" si="84"/>
        <v>43892</v>
      </c>
      <c r="U854" s="69">
        <f t="shared" si="85"/>
        <v>84.168773148148148</v>
      </c>
      <c r="V854" s="68" t="str">
        <f>IFERROR(VLOOKUP(A854,已除帳印單!B:D,3,0),"")</f>
        <v/>
      </c>
      <c r="W854" s="69" t="str">
        <f>IFERROR(VLOOKUP(A854,已除帳印單!B:E,4,0),"")</f>
        <v/>
      </c>
      <c r="X854" s="68" t="str">
        <f>IFERROR(INDEX(刷條碼區!A:C,MATCH(點上線資訊!S854,刷條碼區!C:C,0),1),"")</f>
        <v/>
      </c>
      <c r="Y854" s="69" t="str">
        <f>IFERROR(INDEX(刷條碼區!A:C,MATCH(點上線資訊!S854,刷條碼區!C:C,0),2),"")</f>
        <v/>
      </c>
      <c r="Z854" s="70" t="str">
        <f>IFERROR(INDEX(刷條碼區!D:G,MATCH(點上線資訊!S854,刷條碼區!F:F,0),1),"")</f>
        <v/>
      </c>
      <c r="AA854" s="71" t="str">
        <f>IFERROR(INDEX(刷條碼區!D:G,MATCH(點上線資訊!S854,刷條碼區!F:F,0),2),"")</f>
        <v/>
      </c>
      <c r="AB854" s="20" t="b">
        <f t="shared" si="80"/>
        <v>0</v>
      </c>
      <c r="AC854" s="20" t="b">
        <f t="shared" si="81"/>
        <v>0</v>
      </c>
      <c r="AD854" s="17" t="b">
        <f t="shared" si="82"/>
        <v>0</v>
      </c>
      <c r="AE854" s="17" t="b">
        <f t="shared" si="83"/>
        <v>0</v>
      </c>
    </row>
    <row r="855" spans="1:31" x14ac:dyDescent="0.2">
      <c r="A855" s="16">
        <v>6000026940</v>
      </c>
      <c r="B855" t="s">
        <v>0</v>
      </c>
      <c r="C855" t="s">
        <v>0</v>
      </c>
      <c r="D855" t="s">
        <v>1</v>
      </c>
      <c r="E855" t="s">
        <v>604</v>
      </c>
      <c r="F855" t="s">
        <v>93</v>
      </c>
      <c r="G855" s="2">
        <v>2</v>
      </c>
      <c r="H855" t="s">
        <v>461</v>
      </c>
      <c r="I855" t="s">
        <v>3</v>
      </c>
      <c r="J855" t="s">
        <v>19</v>
      </c>
      <c r="K855" t="s">
        <v>605</v>
      </c>
      <c r="L855" t="s">
        <v>603</v>
      </c>
      <c r="M855" t="s">
        <v>602</v>
      </c>
      <c r="N855" t="s">
        <v>602</v>
      </c>
      <c r="O855" t="s">
        <v>603</v>
      </c>
      <c r="P855" t="s">
        <v>602</v>
      </c>
      <c r="Q855" s="17">
        <f>IFERROR(VLOOKUP(A855,已除帳印單!B:C,1,0),0)*1</f>
        <v>0</v>
      </c>
      <c r="R855" s="67" t="str">
        <f>IFERROR(VLOOKUP(J855,線別!A:B,2,1),"")</f>
        <v>FM_IA預組</v>
      </c>
      <c r="S855" s="17" t="str">
        <f>IFERROR(VLOOKUP(A855,已除帳印單!B:C,2,0),"")</f>
        <v/>
      </c>
      <c r="T855" s="68">
        <f t="shared" si="84"/>
        <v>43892</v>
      </c>
      <c r="U855" s="69">
        <f t="shared" si="85"/>
        <v>84.168773148148148</v>
      </c>
      <c r="V855" s="68" t="str">
        <f>IFERROR(VLOOKUP(A855,已除帳印單!B:D,3,0),"")</f>
        <v/>
      </c>
      <c r="W855" s="69" t="str">
        <f>IFERROR(VLOOKUP(A855,已除帳印單!B:E,4,0),"")</f>
        <v/>
      </c>
      <c r="X855" s="68" t="str">
        <f>IFERROR(INDEX(刷條碼區!A:C,MATCH(點上線資訊!S855,刷條碼區!C:C,0),1),"")</f>
        <v/>
      </c>
      <c r="Y855" s="69" t="str">
        <f>IFERROR(INDEX(刷條碼區!A:C,MATCH(點上線資訊!S855,刷條碼區!C:C,0),2),"")</f>
        <v/>
      </c>
      <c r="Z855" s="70" t="str">
        <f>IFERROR(INDEX(刷條碼區!D:G,MATCH(點上線資訊!S855,刷條碼區!F:F,0),1),"")</f>
        <v/>
      </c>
      <c r="AA855" s="71" t="str">
        <f>IFERROR(INDEX(刷條碼區!D:G,MATCH(點上線資訊!S855,刷條碼區!F:F,0),2),"")</f>
        <v/>
      </c>
      <c r="AB855" s="20" t="b">
        <f t="shared" si="80"/>
        <v>0</v>
      </c>
      <c r="AC855" s="20" t="b">
        <f t="shared" si="81"/>
        <v>0</v>
      </c>
      <c r="AD855" s="17" t="b">
        <f t="shared" si="82"/>
        <v>0</v>
      </c>
      <c r="AE855" s="17" t="b">
        <f t="shared" si="83"/>
        <v>0</v>
      </c>
    </row>
    <row r="856" spans="1:31" x14ac:dyDescent="0.2">
      <c r="A856" s="16">
        <v>6000027125</v>
      </c>
      <c r="B856" t="s">
        <v>6</v>
      </c>
      <c r="C856" t="s">
        <v>6</v>
      </c>
      <c r="D856" t="s">
        <v>1</v>
      </c>
      <c r="E856" t="s">
        <v>75</v>
      </c>
      <c r="F856" t="s">
        <v>76</v>
      </c>
      <c r="G856" s="2">
        <v>1</v>
      </c>
      <c r="H856" t="s">
        <v>461</v>
      </c>
      <c r="I856" t="s">
        <v>3</v>
      </c>
      <c r="J856" t="s">
        <v>63</v>
      </c>
      <c r="K856" t="s">
        <v>602</v>
      </c>
      <c r="L856" t="s">
        <v>603</v>
      </c>
      <c r="M856" t="s">
        <v>602</v>
      </c>
      <c r="N856" t="s">
        <v>602</v>
      </c>
      <c r="O856" t="s">
        <v>603</v>
      </c>
      <c r="P856" t="s">
        <v>602</v>
      </c>
      <c r="Q856" s="17">
        <f>IFERROR(VLOOKUP(A856,已除帳印單!B:C,1,0),0)*1</f>
        <v>0</v>
      </c>
      <c r="R856" s="67" t="str">
        <f>IFERROR(VLOOKUP(J856,線別!A:B,2,1),"")</f>
        <v>塗一組</v>
      </c>
      <c r="S856" s="17" t="str">
        <f>IFERROR(VLOOKUP(A856,已除帳印單!B:C,2,0),"")</f>
        <v/>
      </c>
      <c r="T856" s="68">
        <f t="shared" si="84"/>
        <v>43893</v>
      </c>
      <c r="U856" s="69">
        <f t="shared" si="85"/>
        <v>84.168784722222213</v>
      </c>
      <c r="V856" s="68" t="str">
        <f>IFERROR(VLOOKUP(A856,已除帳印單!B:D,3,0),"")</f>
        <v/>
      </c>
      <c r="W856" s="69" t="str">
        <f>IFERROR(VLOOKUP(A856,已除帳印單!B:E,4,0),"")</f>
        <v/>
      </c>
      <c r="X856" s="68" t="str">
        <f>IFERROR(INDEX(刷條碼區!A:C,MATCH(點上線資訊!S856,刷條碼區!C:C,0),1),"")</f>
        <v/>
      </c>
      <c r="Y856" s="69" t="str">
        <f>IFERROR(INDEX(刷條碼區!A:C,MATCH(點上線資訊!S856,刷條碼區!C:C,0),2),"")</f>
        <v/>
      </c>
      <c r="Z856" s="70" t="str">
        <f>IFERROR(INDEX(刷條碼區!D:G,MATCH(點上線資訊!S856,刷條碼區!F:F,0),1),"")</f>
        <v/>
      </c>
      <c r="AA856" s="71" t="str">
        <f>IFERROR(INDEX(刷條碼區!D:G,MATCH(點上線資訊!S856,刷條碼區!F:F,0),2),"")</f>
        <v/>
      </c>
      <c r="AB856" s="20">
        <f t="shared" si="80"/>
        <v>1</v>
      </c>
      <c r="AC856" s="20" t="b">
        <f t="shared" si="81"/>
        <v>0</v>
      </c>
      <c r="AD856" s="17" t="b">
        <f t="shared" si="82"/>
        <v>0</v>
      </c>
      <c r="AE856" s="17" t="b">
        <f t="shared" si="83"/>
        <v>0</v>
      </c>
    </row>
    <row r="857" spans="1:31" x14ac:dyDescent="0.2">
      <c r="A857" s="16">
        <v>6000027486</v>
      </c>
      <c r="B857" t="s">
        <v>301</v>
      </c>
      <c r="C857" t="s">
        <v>301</v>
      </c>
      <c r="D857" t="s">
        <v>1</v>
      </c>
      <c r="E857" t="s">
        <v>305</v>
      </c>
      <c r="F857" t="s">
        <v>589</v>
      </c>
      <c r="G857" s="2">
        <v>10</v>
      </c>
      <c r="H857" t="s">
        <v>461</v>
      </c>
      <c r="I857" t="s">
        <v>3</v>
      </c>
      <c r="J857" t="s">
        <v>304</v>
      </c>
      <c r="K857" t="s">
        <v>602</v>
      </c>
      <c r="L857" t="s">
        <v>603</v>
      </c>
      <c r="M857" t="s">
        <v>602</v>
      </c>
      <c r="N857" t="s">
        <v>602</v>
      </c>
      <c r="O857" t="s">
        <v>603</v>
      </c>
      <c r="P857" t="s">
        <v>602</v>
      </c>
      <c r="Q857" s="17">
        <f>IFERROR(VLOOKUP(A857,已除帳印單!B:C,1,0),0)*1</f>
        <v>0</v>
      </c>
      <c r="R857" s="67" t="str">
        <f>IFERROR(VLOOKUP(J857,線別!A:B,2,1),"")</f>
        <v>塗一組</v>
      </c>
      <c r="S857" s="17" t="str">
        <f>IFERROR(VLOOKUP(A857,已除帳印單!B:C,2,0),"")</f>
        <v/>
      </c>
      <c r="T857" s="68">
        <f t="shared" si="84"/>
        <v>43894</v>
      </c>
      <c r="U857" s="69">
        <f t="shared" si="85"/>
        <v>84.168796296296293</v>
      </c>
      <c r="V857" s="68" t="str">
        <f>IFERROR(VLOOKUP(A857,已除帳印單!B:D,3,0),"")</f>
        <v/>
      </c>
      <c r="W857" s="69" t="str">
        <f>IFERROR(VLOOKUP(A857,已除帳印單!B:E,4,0),"")</f>
        <v/>
      </c>
      <c r="X857" s="68" t="str">
        <f>IFERROR(INDEX(刷條碼區!A:C,MATCH(點上線資訊!S857,刷條碼區!C:C,0),1),"")</f>
        <v/>
      </c>
      <c r="Y857" s="69" t="str">
        <f>IFERROR(INDEX(刷條碼區!A:C,MATCH(點上線資訊!S857,刷條碼區!C:C,0),2),"")</f>
        <v/>
      </c>
      <c r="Z857" s="70" t="str">
        <f>IFERROR(INDEX(刷條碼區!D:G,MATCH(點上線資訊!S857,刷條碼區!F:F,0),1),"")</f>
        <v/>
      </c>
      <c r="AA857" s="71" t="str">
        <f>IFERROR(INDEX(刷條碼區!D:G,MATCH(點上線資訊!S857,刷條碼區!F:F,0),2),"")</f>
        <v/>
      </c>
      <c r="AB857" s="20">
        <f t="shared" si="80"/>
        <v>10</v>
      </c>
      <c r="AC857" s="20" t="b">
        <f t="shared" si="81"/>
        <v>0</v>
      </c>
      <c r="AD857" s="17" t="b">
        <f t="shared" si="82"/>
        <v>0</v>
      </c>
      <c r="AE857" s="17" t="b">
        <f t="shared" si="83"/>
        <v>0</v>
      </c>
    </row>
    <row r="858" spans="1:31" x14ac:dyDescent="0.2">
      <c r="A858" s="16">
        <v>6000027487</v>
      </c>
      <c r="B858" t="s">
        <v>301</v>
      </c>
      <c r="C858" t="s">
        <v>301</v>
      </c>
      <c r="D858" t="s">
        <v>1</v>
      </c>
      <c r="E858" t="s">
        <v>305</v>
      </c>
      <c r="F858" t="s">
        <v>589</v>
      </c>
      <c r="G858" s="2">
        <v>20</v>
      </c>
      <c r="H858" t="s">
        <v>461</v>
      </c>
      <c r="I858" t="s">
        <v>3</v>
      </c>
      <c r="J858" t="s">
        <v>304</v>
      </c>
      <c r="K858" t="s">
        <v>602</v>
      </c>
      <c r="L858" t="s">
        <v>603</v>
      </c>
      <c r="M858" t="s">
        <v>602</v>
      </c>
      <c r="N858" t="s">
        <v>602</v>
      </c>
      <c r="O858" t="s">
        <v>603</v>
      </c>
      <c r="P858" t="s">
        <v>602</v>
      </c>
      <c r="Q858" s="17">
        <f>IFERROR(VLOOKUP(A858,已除帳印單!B:C,1,0),0)*1</f>
        <v>0</v>
      </c>
      <c r="R858" s="67" t="str">
        <f>IFERROR(VLOOKUP(J858,線別!A:B,2,1),"")</f>
        <v>塗一組</v>
      </c>
      <c r="S858" s="17" t="str">
        <f>IFERROR(VLOOKUP(A858,已除帳印單!B:C,2,0),"")</f>
        <v/>
      </c>
      <c r="T858" s="68">
        <f t="shared" si="84"/>
        <v>43894</v>
      </c>
      <c r="U858" s="69">
        <f t="shared" si="85"/>
        <v>84.168796296296293</v>
      </c>
      <c r="V858" s="68" t="str">
        <f>IFERROR(VLOOKUP(A858,已除帳印單!B:D,3,0),"")</f>
        <v/>
      </c>
      <c r="W858" s="69" t="str">
        <f>IFERROR(VLOOKUP(A858,已除帳印單!B:E,4,0),"")</f>
        <v/>
      </c>
      <c r="X858" s="68" t="str">
        <f>IFERROR(INDEX(刷條碼區!A:C,MATCH(點上線資訊!S858,刷條碼區!C:C,0),1),"")</f>
        <v/>
      </c>
      <c r="Y858" s="69" t="str">
        <f>IFERROR(INDEX(刷條碼區!A:C,MATCH(點上線資訊!S858,刷條碼區!C:C,0),2),"")</f>
        <v/>
      </c>
      <c r="Z858" s="70" t="str">
        <f>IFERROR(INDEX(刷條碼區!D:G,MATCH(點上線資訊!S858,刷條碼區!F:F,0),1),"")</f>
        <v/>
      </c>
      <c r="AA858" s="71" t="str">
        <f>IFERROR(INDEX(刷條碼區!D:G,MATCH(點上線資訊!S858,刷條碼區!F:F,0),2),"")</f>
        <v/>
      </c>
      <c r="AB858" s="20">
        <f t="shared" si="80"/>
        <v>20</v>
      </c>
      <c r="AC858" s="20" t="b">
        <f t="shared" si="81"/>
        <v>0</v>
      </c>
      <c r="AD858" s="17" t="b">
        <f t="shared" si="82"/>
        <v>0</v>
      </c>
      <c r="AE858" s="17" t="b">
        <f t="shared" si="83"/>
        <v>0</v>
      </c>
    </row>
    <row r="859" spans="1:31" x14ac:dyDescent="0.2">
      <c r="A859" s="16">
        <v>6000027967</v>
      </c>
      <c r="B859" t="s">
        <v>301</v>
      </c>
      <c r="C859" t="s">
        <v>301</v>
      </c>
      <c r="D859" t="s">
        <v>1</v>
      </c>
      <c r="E859" t="s">
        <v>324</v>
      </c>
      <c r="F859" t="s">
        <v>1275</v>
      </c>
      <c r="G859" s="2">
        <v>1</v>
      </c>
      <c r="H859" t="s">
        <v>461</v>
      </c>
      <c r="I859" t="s">
        <v>3</v>
      </c>
      <c r="J859" t="s">
        <v>19</v>
      </c>
      <c r="K859" t="s">
        <v>605</v>
      </c>
      <c r="L859" t="s">
        <v>603</v>
      </c>
      <c r="M859" t="s">
        <v>602</v>
      </c>
      <c r="N859" t="s">
        <v>602</v>
      </c>
      <c r="O859" t="s">
        <v>603</v>
      </c>
      <c r="P859" t="s">
        <v>602</v>
      </c>
      <c r="Q859" s="17">
        <f>IFERROR(VLOOKUP(A859,已除帳印單!B:C,1,0),0)*1</f>
        <v>0</v>
      </c>
      <c r="R859" s="67" t="str">
        <f>IFERROR(VLOOKUP(J859,線別!A:B,2,1),"")</f>
        <v>FM_IA預組</v>
      </c>
      <c r="S859" s="17" t="str">
        <f>IFERROR(VLOOKUP(A859,已除帳印單!B:C,2,0),"")</f>
        <v/>
      </c>
      <c r="T859" s="68">
        <f t="shared" si="84"/>
        <v>43894</v>
      </c>
      <c r="U859" s="69">
        <f t="shared" si="85"/>
        <v>84.168796296296293</v>
      </c>
      <c r="V859" s="68" t="str">
        <f>IFERROR(VLOOKUP(A859,已除帳印單!B:D,3,0),"")</f>
        <v/>
      </c>
      <c r="W859" s="69" t="str">
        <f>IFERROR(VLOOKUP(A859,已除帳印單!B:E,4,0),"")</f>
        <v/>
      </c>
      <c r="X859" s="68" t="str">
        <f>IFERROR(INDEX(刷條碼區!A:C,MATCH(點上線資訊!S859,刷條碼區!C:C,0),1),"")</f>
        <v/>
      </c>
      <c r="Y859" s="69" t="str">
        <f>IFERROR(INDEX(刷條碼區!A:C,MATCH(點上線資訊!S859,刷條碼區!C:C,0),2),"")</f>
        <v/>
      </c>
      <c r="Z859" s="70" t="str">
        <f>IFERROR(INDEX(刷條碼區!D:G,MATCH(點上線資訊!S859,刷條碼區!F:F,0),1),"")</f>
        <v/>
      </c>
      <c r="AA859" s="71" t="str">
        <f>IFERROR(INDEX(刷條碼區!D:G,MATCH(點上線資訊!S859,刷條碼區!F:F,0),2),"")</f>
        <v/>
      </c>
      <c r="AB859" s="20" t="b">
        <f t="shared" si="80"/>
        <v>0</v>
      </c>
      <c r="AC859" s="20" t="b">
        <f t="shared" si="81"/>
        <v>0</v>
      </c>
      <c r="AD859" s="17" t="b">
        <f t="shared" si="82"/>
        <v>0</v>
      </c>
      <c r="AE859" s="17" t="b">
        <f t="shared" si="83"/>
        <v>0</v>
      </c>
    </row>
    <row r="860" spans="1:31" x14ac:dyDescent="0.2">
      <c r="A860" s="16">
        <v>6000027969</v>
      </c>
      <c r="B860" t="s">
        <v>301</v>
      </c>
      <c r="C860" t="s">
        <v>301</v>
      </c>
      <c r="D860" t="s">
        <v>1</v>
      </c>
      <c r="E860" t="s">
        <v>328</v>
      </c>
      <c r="F860" t="s">
        <v>1276</v>
      </c>
      <c r="G860" s="2">
        <v>1</v>
      </c>
      <c r="H860" t="s">
        <v>461</v>
      </c>
      <c r="I860" t="s">
        <v>3</v>
      </c>
      <c r="J860" t="s">
        <v>19</v>
      </c>
      <c r="K860" t="s">
        <v>605</v>
      </c>
      <c r="L860" t="s">
        <v>603</v>
      </c>
      <c r="M860" t="s">
        <v>602</v>
      </c>
      <c r="N860" t="s">
        <v>602</v>
      </c>
      <c r="O860" t="s">
        <v>603</v>
      </c>
      <c r="P860" t="s">
        <v>602</v>
      </c>
      <c r="Q860" s="17">
        <f>IFERROR(VLOOKUP(A860,已除帳印單!B:C,1,0),0)*1</f>
        <v>0</v>
      </c>
      <c r="R860" s="67" t="str">
        <f>IFERROR(VLOOKUP(J860,線別!A:B,2,1),"")</f>
        <v>FM_IA預組</v>
      </c>
      <c r="S860" s="17" t="str">
        <f>IFERROR(VLOOKUP(A860,已除帳印單!B:C,2,0),"")</f>
        <v/>
      </c>
      <c r="T860" s="68">
        <f t="shared" si="84"/>
        <v>43894</v>
      </c>
      <c r="U860" s="69">
        <f t="shared" si="85"/>
        <v>84.168796296296293</v>
      </c>
      <c r="V860" s="68" t="str">
        <f>IFERROR(VLOOKUP(A860,已除帳印單!B:D,3,0),"")</f>
        <v/>
      </c>
      <c r="W860" s="69" t="str">
        <f>IFERROR(VLOOKUP(A860,已除帳印單!B:E,4,0),"")</f>
        <v/>
      </c>
      <c r="X860" s="68" t="str">
        <f>IFERROR(INDEX(刷條碼區!A:C,MATCH(點上線資訊!S860,刷條碼區!C:C,0),1),"")</f>
        <v/>
      </c>
      <c r="Y860" s="69" t="str">
        <f>IFERROR(INDEX(刷條碼區!A:C,MATCH(點上線資訊!S860,刷條碼區!C:C,0),2),"")</f>
        <v/>
      </c>
      <c r="Z860" s="70" t="str">
        <f>IFERROR(INDEX(刷條碼區!D:G,MATCH(點上線資訊!S860,刷條碼區!F:F,0),1),"")</f>
        <v/>
      </c>
      <c r="AA860" s="71" t="str">
        <f>IFERROR(INDEX(刷條碼區!D:G,MATCH(點上線資訊!S860,刷條碼區!F:F,0),2),"")</f>
        <v/>
      </c>
      <c r="AB860" s="20" t="b">
        <f t="shared" si="80"/>
        <v>0</v>
      </c>
      <c r="AC860" s="20" t="b">
        <f t="shared" si="81"/>
        <v>0</v>
      </c>
      <c r="AD860" s="17" t="b">
        <f t="shared" si="82"/>
        <v>0</v>
      </c>
      <c r="AE860" s="17" t="b">
        <f t="shared" si="83"/>
        <v>0</v>
      </c>
    </row>
    <row r="861" spans="1:31" x14ac:dyDescent="0.2">
      <c r="A861" s="16">
        <v>6000027971</v>
      </c>
      <c r="B861" t="s">
        <v>301</v>
      </c>
      <c r="C861" t="s">
        <v>301</v>
      </c>
      <c r="D861" t="s">
        <v>1</v>
      </c>
      <c r="E861" t="s">
        <v>325</v>
      </c>
      <c r="F861" t="s">
        <v>1277</v>
      </c>
      <c r="G861" s="2">
        <v>1</v>
      </c>
      <c r="H861" t="s">
        <v>461</v>
      </c>
      <c r="I861" t="s">
        <v>3</v>
      </c>
      <c r="J861" t="s">
        <v>19</v>
      </c>
      <c r="K861" t="s">
        <v>605</v>
      </c>
      <c r="L861" t="s">
        <v>603</v>
      </c>
      <c r="M861" t="s">
        <v>602</v>
      </c>
      <c r="N861" t="s">
        <v>602</v>
      </c>
      <c r="O861" t="s">
        <v>603</v>
      </c>
      <c r="P861" t="s">
        <v>602</v>
      </c>
      <c r="Q861" s="17">
        <f>IFERROR(VLOOKUP(A861,已除帳印單!B:C,1,0),0)*1</f>
        <v>0</v>
      </c>
      <c r="R861" s="67" t="str">
        <f>IFERROR(VLOOKUP(J861,線別!A:B,2,1),"")</f>
        <v>FM_IA預組</v>
      </c>
      <c r="S861" s="17" t="str">
        <f>IFERROR(VLOOKUP(A861,已除帳印單!B:C,2,0),"")</f>
        <v/>
      </c>
      <c r="T861" s="68">
        <f t="shared" si="84"/>
        <v>43894</v>
      </c>
      <c r="U861" s="69">
        <f t="shared" si="85"/>
        <v>84.168796296296293</v>
      </c>
      <c r="V861" s="68" t="str">
        <f>IFERROR(VLOOKUP(A861,已除帳印單!B:D,3,0),"")</f>
        <v/>
      </c>
      <c r="W861" s="69" t="str">
        <f>IFERROR(VLOOKUP(A861,已除帳印單!B:E,4,0),"")</f>
        <v/>
      </c>
      <c r="X861" s="68" t="str">
        <f>IFERROR(INDEX(刷條碼區!A:C,MATCH(點上線資訊!S861,刷條碼區!C:C,0),1),"")</f>
        <v/>
      </c>
      <c r="Y861" s="69" t="str">
        <f>IFERROR(INDEX(刷條碼區!A:C,MATCH(點上線資訊!S861,刷條碼區!C:C,0),2),"")</f>
        <v/>
      </c>
      <c r="Z861" s="70" t="str">
        <f>IFERROR(INDEX(刷條碼區!D:G,MATCH(點上線資訊!S861,刷條碼區!F:F,0),1),"")</f>
        <v/>
      </c>
      <c r="AA861" s="71" t="str">
        <f>IFERROR(INDEX(刷條碼區!D:G,MATCH(點上線資訊!S861,刷條碼區!F:F,0),2),"")</f>
        <v/>
      </c>
      <c r="AB861" s="20" t="b">
        <f t="shared" si="80"/>
        <v>0</v>
      </c>
      <c r="AC861" s="20" t="b">
        <f t="shared" si="81"/>
        <v>0</v>
      </c>
      <c r="AD861" s="17" t="b">
        <f t="shared" si="82"/>
        <v>0</v>
      </c>
      <c r="AE861" s="17" t="b">
        <f t="shared" si="83"/>
        <v>0</v>
      </c>
    </row>
    <row r="862" spans="1:31" x14ac:dyDescent="0.2">
      <c r="A862" s="16">
        <v>6000028114</v>
      </c>
      <c r="B862" t="s">
        <v>0</v>
      </c>
      <c r="C862" t="s">
        <v>0</v>
      </c>
      <c r="D862" t="s">
        <v>1</v>
      </c>
      <c r="E862" t="s">
        <v>85</v>
      </c>
      <c r="F862" t="s">
        <v>86</v>
      </c>
      <c r="G862" s="2">
        <v>6</v>
      </c>
      <c r="H862" t="s">
        <v>461</v>
      </c>
      <c r="I862" t="s">
        <v>3</v>
      </c>
      <c r="J862" t="s">
        <v>63</v>
      </c>
      <c r="K862" t="s">
        <v>602</v>
      </c>
      <c r="L862" t="s">
        <v>603</v>
      </c>
      <c r="M862" t="s">
        <v>602</v>
      </c>
      <c r="N862" t="s">
        <v>602</v>
      </c>
      <c r="O862" t="s">
        <v>603</v>
      </c>
      <c r="P862" t="s">
        <v>602</v>
      </c>
      <c r="Q862" s="17">
        <f>IFERROR(VLOOKUP(A862,已除帳印單!B:C,1,0),0)*1</f>
        <v>0</v>
      </c>
      <c r="R862" s="67" t="str">
        <f>IFERROR(VLOOKUP(J862,線別!A:B,2,1),"")</f>
        <v>塗一組</v>
      </c>
      <c r="S862" s="17" t="str">
        <f>IFERROR(VLOOKUP(A862,已除帳印單!B:C,2,0),"")</f>
        <v/>
      </c>
      <c r="T862" s="68">
        <f t="shared" si="84"/>
        <v>43892</v>
      </c>
      <c r="U862" s="69">
        <f t="shared" si="85"/>
        <v>84.168773148148148</v>
      </c>
      <c r="V862" s="68" t="str">
        <f>IFERROR(VLOOKUP(A862,已除帳印單!B:D,3,0),"")</f>
        <v/>
      </c>
      <c r="W862" s="69" t="str">
        <f>IFERROR(VLOOKUP(A862,已除帳印單!B:E,4,0),"")</f>
        <v/>
      </c>
      <c r="X862" s="68" t="str">
        <f>IFERROR(INDEX(刷條碼區!A:C,MATCH(點上線資訊!S862,刷條碼區!C:C,0),1),"")</f>
        <v/>
      </c>
      <c r="Y862" s="69" t="str">
        <f>IFERROR(INDEX(刷條碼區!A:C,MATCH(點上線資訊!S862,刷條碼區!C:C,0),2),"")</f>
        <v/>
      </c>
      <c r="Z862" s="70" t="str">
        <f>IFERROR(INDEX(刷條碼區!D:G,MATCH(點上線資訊!S862,刷條碼區!F:F,0),1),"")</f>
        <v/>
      </c>
      <c r="AA862" s="71" t="str">
        <f>IFERROR(INDEX(刷條碼區!D:G,MATCH(點上線資訊!S862,刷條碼區!F:F,0),2),"")</f>
        <v/>
      </c>
      <c r="AB862" s="20">
        <f t="shared" si="80"/>
        <v>6</v>
      </c>
      <c r="AC862" s="20" t="b">
        <f t="shared" si="81"/>
        <v>0</v>
      </c>
      <c r="AD862" s="17" t="b">
        <f t="shared" si="82"/>
        <v>0</v>
      </c>
      <c r="AE862" s="17" t="b">
        <f t="shared" si="83"/>
        <v>0</v>
      </c>
    </row>
    <row r="863" spans="1:31" x14ac:dyDescent="0.2">
      <c r="A863" s="16">
        <v>6000028220</v>
      </c>
      <c r="B863" t="s">
        <v>6</v>
      </c>
      <c r="C863" t="s">
        <v>6</v>
      </c>
      <c r="D863" t="s">
        <v>1</v>
      </c>
      <c r="E863" t="s">
        <v>295</v>
      </c>
      <c r="F863" t="s">
        <v>296</v>
      </c>
      <c r="G863" s="2">
        <v>4</v>
      </c>
      <c r="H863" t="s">
        <v>461</v>
      </c>
      <c r="I863" t="s">
        <v>3</v>
      </c>
      <c r="J863" t="s">
        <v>63</v>
      </c>
      <c r="K863" t="s">
        <v>602</v>
      </c>
      <c r="L863" t="s">
        <v>603</v>
      </c>
      <c r="M863" t="s">
        <v>602</v>
      </c>
      <c r="N863" t="s">
        <v>602</v>
      </c>
      <c r="O863" t="s">
        <v>603</v>
      </c>
      <c r="P863" t="s">
        <v>602</v>
      </c>
      <c r="Q863" s="17">
        <f>IFERROR(VLOOKUP(A863,已除帳印單!B:C,1,0),0)*1</f>
        <v>0</v>
      </c>
      <c r="R863" s="67" t="str">
        <f>IFERROR(VLOOKUP(J863,線別!A:B,2,1),"")</f>
        <v>塗一組</v>
      </c>
      <c r="S863" s="17" t="str">
        <f>IFERROR(VLOOKUP(A863,已除帳印單!B:C,2,0),"")</f>
        <v/>
      </c>
      <c r="T863" s="68">
        <f t="shared" si="84"/>
        <v>43893</v>
      </c>
      <c r="U863" s="69">
        <f t="shared" si="85"/>
        <v>84.168784722222213</v>
      </c>
      <c r="V863" s="68" t="str">
        <f>IFERROR(VLOOKUP(A863,已除帳印單!B:D,3,0),"")</f>
        <v/>
      </c>
      <c r="W863" s="69" t="str">
        <f>IFERROR(VLOOKUP(A863,已除帳印單!B:E,4,0),"")</f>
        <v/>
      </c>
      <c r="X863" s="68" t="str">
        <f>IFERROR(INDEX(刷條碼區!A:C,MATCH(點上線資訊!S863,刷條碼區!C:C,0),1),"")</f>
        <v/>
      </c>
      <c r="Y863" s="69" t="str">
        <f>IFERROR(INDEX(刷條碼區!A:C,MATCH(點上線資訊!S863,刷條碼區!C:C,0),2),"")</f>
        <v/>
      </c>
      <c r="Z863" s="70" t="str">
        <f>IFERROR(INDEX(刷條碼區!D:G,MATCH(點上線資訊!S863,刷條碼區!F:F,0),1),"")</f>
        <v/>
      </c>
      <c r="AA863" s="71" t="str">
        <f>IFERROR(INDEX(刷條碼區!D:G,MATCH(點上線資訊!S863,刷條碼區!F:F,0),2),"")</f>
        <v/>
      </c>
      <c r="AB863" s="20">
        <f t="shared" si="80"/>
        <v>4</v>
      </c>
      <c r="AC863" s="20" t="b">
        <f t="shared" si="81"/>
        <v>0</v>
      </c>
      <c r="AD863" s="17" t="b">
        <f t="shared" si="82"/>
        <v>0</v>
      </c>
      <c r="AE863" s="17" t="b">
        <f t="shared" si="83"/>
        <v>0</v>
      </c>
    </row>
    <row r="864" spans="1:31" x14ac:dyDescent="0.2">
      <c r="A864" s="16">
        <v>6000028222</v>
      </c>
      <c r="B864" t="s">
        <v>0</v>
      </c>
      <c r="C864" t="s">
        <v>0</v>
      </c>
      <c r="D864" t="s">
        <v>1</v>
      </c>
      <c r="E864" t="s">
        <v>61</v>
      </c>
      <c r="F864" t="s">
        <v>62</v>
      </c>
      <c r="G864" s="2">
        <v>6</v>
      </c>
      <c r="H864" t="s">
        <v>461</v>
      </c>
      <c r="I864" t="s">
        <v>3</v>
      </c>
      <c r="J864" t="s">
        <v>63</v>
      </c>
      <c r="K864" t="s">
        <v>602</v>
      </c>
      <c r="L864" t="s">
        <v>603</v>
      </c>
      <c r="M864" t="s">
        <v>602</v>
      </c>
      <c r="N864" t="s">
        <v>602</v>
      </c>
      <c r="O864" t="s">
        <v>603</v>
      </c>
      <c r="P864" t="s">
        <v>602</v>
      </c>
      <c r="Q864" s="17">
        <f>IFERROR(VLOOKUP(A864,已除帳印單!B:C,1,0),0)*1</f>
        <v>0</v>
      </c>
      <c r="R864" s="67" t="str">
        <f>IFERROR(VLOOKUP(J864,線別!A:B,2,1),"")</f>
        <v>塗一組</v>
      </c>
      <c r="S864" s="17" t="str">
        <f>IFERROR(VLOOKUP(A864,已除帳印單!B:C,2,0),"")</f>
        <v/>
      </c>
      <c r="T864" s="68">
        <f t="shared" si="84"/>
        <v>43892</v>
      </c>
      <c r="U864" s="69">
        <f t="shared" si="85"/>
        <v>84.168773148148148</v>
      </c>
      <c r="V864" s="68" t="str">
        <f>IFERROR(VLOOKUP(A864,已除帳印單!B:D,3,0),"")</f>
        <v/>
      </c>
      <c r="W864" s="69" t="str">
        <f>IFERROR(VLOOKUP(A864,已除帳印單!B:E,4,0),"")</f>
        <v/>
      </c>
      <c r="X864" s="68" t="str">
        <f>IFERROR(INDEX(刷條碼區!A:C,MATCH(點上線資訊!S864,刷條碼區!C:C,0),1),"")</f>
        <v/>
      </c>
      <c r="Y864" s="69" t="str">
        <f>IFERROR(INDEX(刷條碼區!A:C,MATCH(點上線資訊!S864,刷條碼區!C:C,0),2),"")</f>
        <v/>
      </c>
      <c r="Z864" s="70" t="str">
        <f>IFERROR(INDEX(刷條碼區!D:G,MATCH(點上線資訊!S864,刷條碼區!F:F,0),1),"")</f>
        <v/>
      </c>
      <c r="AA864" s="71" t="str">
        <f>IFERROR(INDEX(刷條碼區!D:G,MATCH(點上線資訊!S864,刷條碼區!F:F,0),2),"")</f>
        <v/>
      </c>
      <c r="AB864" s="20">
        <f t="shared" si="80"/>
        <v>6</v>
      </c>
      <c r="AC864" s="20" t="b">
        <f t="shared" si="81"/>
        <v>0</v>
      </c>
      <c r="AD864" s="17" t="b">
        <f t="shared" si="82"/>
        <v>0</v>
      </c>
      <c r="AE864" s="17" t="b">
        <f t="shared" si="83"/>
        <v>0</v>
      </c>
    </row>
    <row r="865" spans="1:31" x14ac:dyDescent="0.2">
      <c r="A865" s="16">
        <v>6000028223</v>
      </c>
      <c r="B865" t="s">
        <v>0</v>
      </c>
      <c r="C865" t="s">
        <v>0</v>
      </c>
      <c r="D865" t="s">
        <v>1</v>
      </c>
      <c r="E865" t="s">
        <v>64</v>
      </c>
      <c r="F865" t="s">
        <v>65</v>
      </c>
      <c r="G865" s="2">
        <v>4</v>
      </c>
      <c r="H865" t="s">
        <v>461</v>
      </c>
      <c r="I865" t="s">
        <v>3</v>
      </c>
      <c r="J865" t="s">
        <v>63</v>
      </c>
      <c r="K865" t="s">
        <v>602</v>
      </c>
      <c r="L865" t="s">
        <v>603</v>
      </c>
      <c r="M865" t="s">
        <v>602</v>
      </c>
      <c r="N865" t="s">
        <v>602</v>
      </c>
      <c r="O865" t="s">
        <v>603</v>
      </c>
      <c r="P865" t="s">
        <v>602</v>
      </c>
      <c r="Q865" s="17">
        <f>IFERROR(VLOOKUP(A865,已除帳印單!B:C,1,0),0)*1</f>
        <v>0</v>
      </c>
      <c r="R865" s="67" t="str">
        <f>IFERROR(VLOOKUP(J865,線別!A:B,2,1),"")</f>
        <v>塗一組</v>
      </c>
      <c r="S865" s="17" t="str">
        <f>IFERROR(VLOOKUP(A865,已除帳印單!B:C,2,0),"")</f>
        <v/>
      </c>
      <c r="T865" s="68">
        <f t="shared" si="84"/>
        <v>43892</v>
      </c>
      <c r="U865" s="69">
        <f t="shared" si="85"/>
        <v>84.168773148148148</v>
      </c>
      <c r="V865" s="68" t="str">
        <f>IFERROR(VLOOKUP(A865,已除帳印單!B:D,3,0),"")</f>
        <v/>
      </c>
      <c r="W865" s="69" t="str">
        <f>IFERROR(VLOOKUP(A865,已除帳印單!B:E,4,0),"")</f>
        <v/>
      </c>
      <c r="X865" s="68" t="str">
        <f>IFERROR(INDEX(刷條碼區!A:C,MATCH(點上線資訊!S865,刷條碼區!C:C,0),1),"")</f>
        <v/>
      </c>
      <c r="Y865" s="69" t="str">
        <f>IFERROR(INDEX(刷條碼區!A:C,MATCH(點上線資訊!S865,刷條碼區!C:C,0),2),"")</f>
        <v/>
      </c>
      <c r="Z865" s="70" t="str">
        <f>IFERROR(INDEX(刷條碼區!D:G,MATCH(點上線資訊!S865,刷條碼區!F:F,0),1),"")</f>
        <v/>
      </c>
      <c r="AA865" s="71" t="str">
        <f>IFERROR(INDEX(刷條碼區!D:G,MATCH(點上線資訊!S865,刷條碼區!F:F,0),2),"")</f>
        <v/>
      </c>
      <c r="AB865" s="20">
        <f t="shared" si="80"/>
        <v>4</v>
      </c>
      <c r="AC865" s="20" t="b">
        <f t="shared" si="81"/>
        <v>0</v>
      </c>
      <c r="AD865" s="17" t="b">
        <f t="shared" si="82"/>
        <v>0</v>
      </c>
      <c r="AE865" s="17" t="b">
        <f t="shared" si="83"/>
        <v>0</v>
      </c>
    </row>
    <row r="866" spans="1:31" x14ac:dyDescent="0.2">
      <c r="A866" s="16">
        <v>6000028224</v>
      </c>
      <c r="B866" t="s">
        <v>6</v>
      </c>
      <c r="C866" t="s">
        <v>6</v>
      </c>
      <c r="D866" t="s">
        <v>1</v>
      </c>
      <c r="E866" t="s">
        <v>297</v>
      </c>
      <c r="F866" t="s">
        <v>298</v>
      </c>
      <c r="G866" s="2">
        <v>8</v>
      </c>
      <c r="H866" t="s">
        <v>461</v>
      </c>
      <c r="I866" t="s">
        <v>3</v>
      </c>
      <c r="J866" t="s">
        <v>63</v>
      </c>
      <c r="K866" t="s">
        <v>602</v>
      </c>
      <c r="L866" t="s">
        <v>603</v>
      </c>
      <c r="M866" t="s">
        <v>602</v>
      </c>
      <c r="N866" t="s">
        <v>602</v>
      </c>
      <c r="O866" t="s">
        <v>603</v>
      </c>
      <c r="P866" t="s">
        <v>602</v>
      </c>
      <c r="Q866" s="17">
        <f>IFERROR(VLOOKUP(A866,已除帳印單!B:C,1,0),0)*1</f>
        <v>0</v>
      </c>
      <c r="R866" s="67" t="str">
        <f>IFERROR(VLOOKUP(J866,線別!A:B,2,1),"")</f>
        <v>塗一組</v>
      </c>
      <c r="S866" s="17" t="str">
        <f>IFERROR(VLOOKUP(A866,已除帳印單!B:C,2,0),"")</f>
        <v/>
      </c>
      <c r="T866" s="68">
        <f t="shared" si="84"/>
        <v>43893</v>
      </c>
      <c r="U866" s="69">
        <f t="shared" si="85"/>
        <v>84.168784722222213</v>
      </c>
      <c r="V866" s="68" t="str">
        <f>IFERROR(VLOOKUP(A866,已除帳印單!B:D,3,0),"")</f>
        <v/>
      </c>
      <c r="W866" s="69" t="str">
        <f>IFERROR(VLOOKUP(A866,已除帳印單!B:E,4,0),"")</f>
        <v/>
      </c>
      <c r="X866" s="68" t="str">
        <f>IFERROR(INDEX(刷條碼區!A:C,MATCH(點上線資訊!S866,刷條碼區!C:C,0),1),"")</f>
        <v/>
      </c>
      <c r="Y866" s="69" t="str">
        <f>IFERROR(INDEX(刷條碼區!A:C,MATCH(點上線資訊!S866,刷條碼區!C:C,0),2),"")</f>
        <v/>
      </c>
      <c r="Z866" s="70" t="str">
        <f>IFERROR(INDEX(刷條碼區!D:G,MATCH(點上線資訊!S866,刷條碼區!F:F,0),1),"")</f>
        <v/>
      </c>
      <c r="AA866" s="71" t="str">
        <f>IFERROR(INDEX(刷條碼區!D:G,MATCH(點上線資訊!S866,刷條碼區!F:F,0),2),"")</f>
        <v/>
      </c>
      <c r="AB866" s="20">
        <f t="shared" si="80"/>
        <v>8</v>
      </c>
      <c r="AC866" s="20" t="b">
        <f t="shared" si="81"/>
        <v>0</v>
      </c>
      <c r="AD866" s="17" t="b">
        <f t="shared" si="82"/>
        <v>0</v>
      </c>
      <c r="AE866" s="17" t="b">
        <f t="shared" si="83"/>
        <v>0</v>
      </c>
    </row>
    <row r="867" spans="1:31" x14ac:dyDescent="0.2">
      <c r="A867" s="16">
        <v>6000028228</v>
      </c>
      <c r="B867" t="s">
        <v>0</v>
      </c>
      <c r="C867" t="s">
        <v>0</v>
      </c>
      <c r="D867" t="s">
        <v>1</v>
      </c>
      <c r="E867" t="s">
        <v>66</v>
      </c>
      <c r="F867" t="s">
        <v>67</v>
      </c>
      <c r="G867" s="2">
        <v>6</v>
      </c>
      <c r="H867" t="s">
        <v>461</v>
      </c>
      <c r="I867" t="s">
        <v>3</v>
      </c>
      <c r="J867" t="s">
        <v>63</v>
      </c>
      <c r="K867" t="s">
        <v>602</v>
      </c>
      <c r="L867" t="s">
        <v>603</v>
      </c>
      <c r="M867" t="s">
        <v>602</v>
      </c>
      <c r="N867" t="s">
        <v>602</v>
      </c>
      <c r="O867" t="s">
        <v>603</v>
      </c>
      <c r="P867" t="s">
        <v>602</v>
      </c>
      <c r="Q867" s="17">
        <f>IFERROR(VLOOKUP(A867,已除帳印單!B:C,1,0),0)*1</f>
        <v>0</v>
      </c>
      <c r="R867" s="67" t="str">
        <f>IFERROR(VLOOKUP(J867,線別!A:B,2,1),"")</f>
        <v>塗一組</v>
      </c>
      <c r="S867" s="17" t="str">
        <f>IFERROR(VLOOKUP(A867,已除帳印單!B:C,2,0),"")</f>
        <v/>
      </c>
      <c r="T867" s="68">
        <f t="shared" si="84"/>
        <v>43892</v>
      </c>
      <c r="U867" s="69">
        <f t="shared" si="85"/>
        <v>84.168773148148148</v>
      </c>
      <c r="V867" s="68" t="str">
        <f>IFERROR(VLOOKUP(A867,已除帳印單!B:D,3,0),"")</f>
        <v/>
      </c>
      <c r="W867" s="69" t="str">
        <f>IFERROR(VLOOKUP(A867,已除帳印單!B:E,4,0),"")</f>
        <v/>
      </c>
      <c r="X867" s="68" t="str">
        <f>IFERROR(INDEX(刷條碼區!A:C,MATCH(點上線資訊!S867,刷條碼區!C:C,0),1),"")</f>
        <v/>
      </c>
      <c r="Y867" s="69" t="str">
        <f>IFERROR(INDEX(刷條碼區!A:C,MATCH(點上線資訊!S867,刷條碼區!C:C,0),2),"")</f>
        <v/>
      </c>
      <c r="Z867" s="70" t="str">
        <f>IFERROR(INDEX(刷條碼區!D:G,MATCH(點上線資訊!S867,刷條碼區!F:F,0),1),"")</f>
        <v/>
      </c>
      <c r="AA867" s="71" t="str">
        <f>IFERROR(INDEX(刷條碼區!D:G,MATCH(點上線資訊!S867,刷條碼區!F:F,0),2),"")</f>
        <v/>
      </c>
      <c r="AB867" s="20">
        <f t="shared" si="80"/>
        <v>6</v>
      </c>
      <c r="AC867" s="20" t="b">
        <f t="shared" si="81"/>
        <v>0</v>
      </c>
      <c r="AD867" s="17" t="b">
        <f t="shared" si="82"/>
        <v>0</v>
      </c>
      <c r="AE867" s="17" t="b">
        <f t="shared" si="83"/>
        <v>0</v>
      </c>
    </row>
    <row r="868" spans="1:31" x14ac:dyDescent="0.2">
      <c r="A868" s="16">
        <v>6000028237</v>
      </c>
      <c r="B868" t="s">
        <v>0</v>
      </c>
      <c r="C868" t="s">
        <v>0</v>
      </c>
      <c r="D868" t="s">
        <v>1</v>
      </c>
      <c r="E868" t="s">
        <v>133</v>
      </c>
      <c r="F868" t="s">
        <v>590</v>
      </c>
      <c r="G868" s="2">
        <v>4</v>
      </c>
      <c r="H868" t="s">
        <v>461</v>
      </c>
      <c r="I868" t="s">
        <v>3</v>
      </c>
      <c r="J868" t="s">
        <v>63</v>
      </c>
      <c r="K868" t="s">
        <v>602</v>
      </c>
      <c r="L868" t="s">
        <v>603</v>
      </c>
      <c r="M868" t="s">
        <v>602</v>
      </c>
      <c r="N868" t="s">
        <v>602</v>
      </c>
      <c r="O868" t="s">
        <v>603</v>
      </c>
      <c r="P868" t="s">
        <v>602</v>
      </c>
      <c r="Q868" s="17">
        <f>IFERROR(VLOOKUP(A868,已除帳印單!B:C,1,0),0)*1</f>
        <v>0</v>
      </c>
      <c r="R868" s="67" t="str">
        <f>IFERROR(VLOOKUP(J868,線別!A:B,2,1),"")</f>
        <v>塗一組</v>
      </c>
      <c r="S868" s="17" t="str">
        <f>IFERROR(VLOOKUP(A868,已除帳印單!B:C,2,0),"")</f>
        <v/>
      </c>
      <c r="T868" s="68">
        <f t="shared" si="84"/>
        <v>43892</v>
      </c>
      <c r="U868" s="69">
        <f t="shared" si="85"/>
        <v>84.168773148148148</v>
      </c>
      <c r="V868" s="68" t="str">
        <f>IFERROR(VLOOKUP(A868,已除帳印單!B:D,3,0),"")</f>
        <v/>
      </c>
      <c r="W868" s="69" t="str">
        <f>IFERROR(VLOOKUP(A868,已除帳印單!B:E,4,0),"")</f>
        <v/>
      </c>
      <c r="X868" s="68" t="str">
        <f>IFERROR(INDEX(刷條碼區!A:C,MATCH(點上線資訊!S868,刷條碼區!C:C,0),1),"")</f>
        <v/>
      </c>
      <c r="Y868" s="69" t="str">
        <f>IFERROR(INDEX(刷條碼區!A:C,MATCH(點上線資訊!S868,刷條碼區!C:C,0),2),"")</f>
        <v/>
      </c>
      <c r="Z868" s="70" t="str">
        <f>IFERROR(INDEX(刷條碼區!D:G,MATCH(點上線資訊!S868,刷條碼區!F:F,0),1),"")</f>
        <v/>
      </c>
      <c r="AA868" s="71" t="str">
        <f>IFERROR(INDEX(刷條碼區!D:G,MATCH(點上線資訊!S868,刷條碼區!F:F,0),2),"")</f>
        <v/>
      </c>
      <c r="AB868" s="20">
        <f t="shared" si="80"/>
        <v>4</v>
      </c>
      <c r="AC868" s="20" t="b">
        <f t="shared" si="81"/>
        <v>0</v>
      </c>
      <c r="AD868" s="17" t="b">
        <f t="shared" si="82"/>
        <v>0</v>
      </c>
      <c r="AE868" s="17" t="b">
        <f t="shared" si="83"/>
        <v>0</v>
      </c>
    </row>
    <row r="869" spans="1:31" x14ac:dyDescent="0.2">
      <c r="A869" s="16">
        <v>6000028244</v>
      </c>
      <c r="B869" t="s">
        <v>0</v>
      </c>
      <c r="C869" t="s">
        <v>0</v>
      </c>
      <c r="D869" t="s">
        <v>1</v>
      </c>
      <c r="E869" t="s">
        <v>131</v>
      </c>
      <c r="F869" t="s">
        <v>132</v>
      </c>
      <c r="G869" s="2">
        <v>4</v>
      </c>
      <c r="H869" t="s">
        <v>461</v>
      </c>
      <c r="I869" t="s">
        <v>3</v>
      </c>
      <c r="J869" t="s">
        <v>63</v>
      </c>
      <c r="K869" t="s">
        <v>602</v>
      </c>
      <c r="L869" t="s">
        <v>603</v>
      </c>
      <c r="M869" t="s">
        <v>602</v>
      </c>
      <c r="N869" t="s">
        <v>602</v>
      </c>
      <c r="O869" t="s">
        <v>603</v>
      </c>
      <c r="P869" t="s">
        <v>602</v>
      </c>
      <c r="Q869" s="17">
        <f>IFERROR(VLOOKUP(A869,已除帳印單!B:C,1,0),0)*1</f>
        <v>0</v>
      </c>
      <c r="R869" s="67" t="str">
        <f>IFERROR(VLOOKUP(J869,線別!A:B,2,1),"")</f>
        <v>塗一組</v>
      </c>
      <c r="S869" s="17" t="str">
        <f>IFERROR(VLOOKUP(A869,已除帳印單!B:C,2,0),"")</f>
        <v/>
      </c>
      <c r="T869" s="68">
        <f t="shared" si="84"/>
        <v>43892</v>
      </c>
      <c r="U869" s="69">
        <f t="shared" si="85"/>
        <v>84.168773148148148</v>
      </c>
      <c r="V869" s="68" t="str">
        <f>IFERROR(VLOOKUP(A869,已除帳印單!B:D,3,0),"")</f>
        <v/>
      </c>
      <c r="W869" s="69" t="str">
        <f>IFERROR(VLOOKUP(A869,已除帳印單!B:E,4,0),"")</f>
        <v/>
      </c>
      <c r="X869" s="68" t="str">
        <f>IFERROR(INDEX(刷條碼區!A:C,MATCH(點上線資訊!S869,刷條碼區!C:C,0),1),"")</f>
        <v/>
      </c>
      <c r="Y869" s="69" t="str">
        <f>IFERROR(INDEX(刷條碼區!A:C,MATCH(點上線資訊!S869,刷條碼區!C:C,0),2),"")</f>
        <v/>
      </c>
      <c r="Z869" s="70" t="str">
        <f>IFERROR(INDEX(刷條碼區!D:G,MATCH(點上線資訊!S869,刷條碼區!F:F,0),1),"")</f>
        <v/>
      </c>
      <c r="AA869" s="71" t="str">
        <f>IFERROR(INDEX(刷條碼區!D:G,MATCH(點上線資訊!S869,刷條碼區!F:F,0),2),"")</f>
        <v/>
      </c>
      <c r="AB869" s="20">
        <f t="shared" si="80"/>
        <v>4</v>
      </c>
      <c r="AC869" s="20" t="b">
        <f t="shared" si="81"/>
        <v>0</v>
      </c>
      <c r="AD869" s="17" t="b">
        <f t="shared" si="82"/>
        <v>0</v>
      </c>
      <c r="AE869" s="17" t="b">
        <f t="shared" si="83"/>
        <v>0</v>
      </c>
    </row>
    <row r="870" spans="1:31" x14ac:dyDescent="0.2">
      <c r="A870" s="16">
        <v>6000028249</v>
      </c>
      <c r="B870" t="s">
        <v>0</v>
      </c>
      <c r="C870" t="s">
        <v>0</v>
      </c>
      <c r="D870" t="s">
        <v>1</v>
      </c>
      <c r="E870" t="s">
        <v>83</v>
      </c>
      <c r="F870" t="s">
        <v>84</v>
      </c>
      <c r="G870" s="2">
        <v>3</v>
      </c>
      <c r="H870" t="s">
        <v>461</v>
      </c>
      <c r="I870" t="s">
        <v>3</v>
      </c>
      <c r="J870" t="s">
        <v>63</v>
      </c>
      <c r="K870" t="s">
        <v>602</v>
      </c>
      <c r="L870" t="s">
        <v>603</v>
      </c>
      <c r="M870" t="s">
        <v>602</v>
      </c>
      <c r="N870" t="s">
        <v>602</v>
      </c>
      <c r="O870" t="s">
        <v>603</v>
      </c>
      <c r="P870" t="s">
        <v>602</v>
      </c>
      <c r="Q870" s="17">
        <f>IFERROR(VLOOKUP(A870,已除帳印單!B:C,1,0),0)*1</f>
        <v>0</v>
      </c>
      <c r="R870" s="67" t="str">
        <f>IFERROR(VLOOKUP(J870,線別!A:B,2,1),"")</f>
        <v>塗一組</v>
      </c>
      <c r="S870" s="17" t="str">
        <f>IFERROR(VLOOKUP(A870,已除帳印單!B:C,2,0),"")</f>
        <v/>
      </c>
      <c r="T870" s="68">
        <f t="shared" si="84"/>
        <v>43892</v>
      </c>
      <c r="U870" s="69">
        <f t="shared" si="85"/>
        <v>84.168773148148148</v>
      </c>
      <c r="V870" s="68" t="str">
        <f>IFERROR(VLOOKUP(A870,已除帳印單!B:D,3,0),"")</f>
        <v/>
      </c>
      <c r="W870" s="69" t="str">
        <f>IFERROR(VLOOKUP(A870,已除帳印單!B:E,4,0),"")</f>
        <v/>
      </c>
      <c r="X870" s="68" t="str">
        <f>IFERROR(INDEX(刷條碼區!A:C,MATCH(點上線資訊!S870,刷條碼區!C:C,0),1),"")</f>
        <v/>
      </c>
      <c r="Y870" s="69" t="str">
        <f>IFERROR(INDEX(刷條碼區!A:C,MATCH(點上線資訊!S870,刷條碼區!C:C,0),2),"")</f>
        <v/>
      </c>
      <c r="Z870" s="70" t="str">
        <f>IFERROR(INDEX(刷條碼區!D:G,MATCH(點上線資訊!S870,刷條碼區!F:F,0),1),"")</f>
        <v/>
      </c>
      <c r="AA870" s="71" t="str">
        <f>IFERROR(INDEX(刷條碼區!D:G,MATCH(點上線資訊!S870,刷條碼區!F:F,0),2),"")</f>
        <v/>
      </c>
      <c r="AB870" s="20">
        <f t="shared" si="80"/>
        <v>3</v>
      </c>
      <c r="AC870" s="20" t="b">
        <f t="shared" si="81"/>
        <v>0</v>
      </c>
      <c r="AD870" s="17" t="b">
        <f t="shared" si="82"/>
        <v>0</v>
      </c>
      <c r="AE870" s="17" t="b">
        <f t="shared" si="83"/>
        <v>0</v>
      </c>
    </row>
    <row r="871" spans="1:31" x14ac:dyDescent="0.2">
      <c r="A871" s="16">
        <v>6000028351</v>
      </c>
      <c r="B871" t="s">
        <v>301</v>
      </c>
      <c r="C871" t="s">
        <v>301</v>
      </c>
      <c r="D871" t="s">
        <v>1</v>
      </c>
      <c r="E871" t="s">
        <v>328</v>
      </c>
      <c r="F871" t="s">
        <v>1276</v>
      </c>
      <c r="G871" s="2">
        <v>1</v>
      </c>
      <c r="H871" t="s">
        <v>461</v>
      </c>
      <c r="I871" t="s">
        <v>3</v>
      </c>
      <c r="J871" t="s">
        <v>19</v>
      </c>
      <c r="K871" t="s">
        <v>605</v>
      </c>
      <c r="L871" t="s">
        <v>603</v>
      </c>
      <c r="M871" t="s">
        <v>602</v>
      </c>
      <c r="N871" t="s">
        <v>602</v>
      </c>
      <c r="O871" t="s">
        <v>603</v>
      </c>
      <c r="P871" t="s">
        <v>602</v>
      </c>
      <c r="Q871" s="17">
        <f>IFERROR(VLOOKUP(A871,已除帳印單!B:C,1,0),0)*1</f>
        <v>0</v>
      </c>
      <c r="R871" s="67" t="str">
        <f>IFERROR(VLOOKUP(J871,線別!A:B,2,1),"")</f>
        <v>FM_IA預組</v>
      </c>
      <c r="S871" s="17" t="str">
        <f>IFERROR(VLOOKUP(A871,已除帳印單!B:C,2,0),"")</f>
        <v/>
      </c>
      <c r="T871" s="68">
        <f t="shared" si="84"/>
        <v>43894</v>
      </c>
      <c r="U871" s="69">
        <f t="shared" si="85"/>
        <v>84.168796296296293</v>
      </c>
      <c r="V871" s="68" t="str">
        <f>IFERROR(VLOOKUP(A871,已除帳印單!B:D,3,0),"")</f>
        <v/>
      </c>
      <c r="W871" s="69" t="str">
        <f>IFERROR(VLOOKUP(A871,已除帳印單!B:E,4,0),"")</f>
        <v/>
      </c>
      <c r="X871" s="68" t="str">
        <f>IFERROR(INDEX(刷條碼區!A:C,MATCH(點上線資訊!S871,刷條碼區!C:C,0),1),"")</f>
        <v/>
      </c>
      <c r="Y871" s="69" t="str">
        <f>IFERROR(INDEX(刷條碼區!A:C,MATCH(點上線資訊!S871,刷條碼區!C:C,0),2),"")</f>
        <v/>
      </c>
      <c r="Z871" s="70" t="str">
        <f>IFERROR(INDEX(刷條碼區!D:G,MATCH(點上線資訊!S871,刷條碼區!F:F,0),1),"")</f>
        <v/>
      </c>
      <c r="AA871" s="71" t="str">
        <f>IFERROR(INDEX(刷條碼區!D:G,MATCH(點上線資訊!S871,刷條碼區!F:F,0),2),"")</f>
        <v/>
      </c>
      <c r="AB871" s="20" t="b">
        <f t="shared" si="80"/>
        <v>0</v>
      </c>
      <c r="AC871" s="20" t="b">
        <f t="shared" si="81"/>
        <v>0</v>
      </c>
      <c r="AD871" s="17" t="b">
        <f t="shared" si="82"/>
        <v>0</v>
      </c>
      <c r="AE871" s="17" t="b">
        <f t="shared" si="83"/>
        <v>0</v>
      </c>
    </row>
    <row r="872" spans="1:31" x14ac:dyDescent="0.2">
      <c r="A872" s="16">
        <v>6000028457</v>
      </c>
      <c r="B872" t="s">
        <v>301</v>
      </c>
      <c r="C872" t="s">
        <v>301</v>
      </c>
      <c r="D872" t="s">
        <v>1</v>
      </c>
      <c r="E872" t="s">
        <v>1278</v>
      </c>
      <c r="F872" t="s">
        <v>1279</v>
      </c>
      <c r="G872" s="2">
        <v>1</v>
      </c>
      <c r="H872" t="s">
        <v>461</v>
      </c>
      <c r="I872" t="s">
        <v>3</v>
      </c>
      <c r="J872" t="s">
        <v>5</v>
      </c>
      <c r="K872" t="s">
        <v>605</v>
      </c>
      <c r="L872" t="s">
        <v>608</v>
      </c>
      <c r="M872" t="s">
        <v>1249</v>
      </c>
      <c r="N872" t="s">
        <v>602</v>
      </c>
      <c r="O872" t="s">
        <v>603</v>
      </c>
      <c r="P872" t="s">
        <v>602</v>
      </c>
      <c r="Q872" s="17">
        <f>IFERROR(VLOOKUP(A872,已除帳印單!B:C,1,0),0)*1</f>
        <v>0</v>
      </c>
      <c r="R872" s="67" t="str">
        <f>IFERROR(VLOOKUP(J872,線別!A:B,2,1),"")</f>
        <v>FM線</v>
      </c>
      <c r="S872" s="17" t="str">
        <f>IFERROR(VLOOKUP(A872,已除帳印單!B:C,2,0),"")</f>
        <v/>
      </c>
      <c r="T872" s="68">
        <f t="shared" si="84"/>
        <v>43894</v>
      </c>
      <c r="U872" s="69">
        <f t="shared" si="85"/>
        <v>84.168796296296293</v>
      </c>
      <c r="V872" s="68" t="str">
        <f>IFERROR(VLOOKUP(A872,已除帳印單!B:D,3,0),"")</f>
        <v/>
      </c>
      <c r="W872" s="69" t="str">
        <f>IFERROR(VLOOKUP(A872,已除帳印單!B:E,4,0),"")</f>
        <v/>
      </c>
      <c r="X872" s="68" t="str">
        <f>IFERROR(INDEX(刷條碼區!A:C,MATCH(點上線資訊!S872,刷條碼區!C:C,0),1),"")</f>
        <v/>
      </c>
      <c r="Y872" s="69" t="str">
        <f>IFERROR(INDEX(刷條碼區!A:C,MATCH(點上線資訊!S872,刷條碼區!C:C,0),2),"")</f>
        <v/>
      </c>
      <c r="Z872" s="70" t="str">
        <f>IFERROR(INDEX(刷條碼區!D:G,MATCH(點上線資訊!S872,刷條碼區!F:F,0),1),"")</f>
        <v/>
      </c>
      <c r="AA872" s="71" t="str">
        <f>IFERROR(INDEX(刷條碼區!D:G,MATCH(點上線資訊!S872,刷條碼區!F:F,0),2),"")</f>
        <v/>
      </c>
      <c r="AB872" s="20" t="b">
        <f t="shared" si="80"/>
        <v>0</v>
      </c>
      <c r="AC872" s="20" t="b">
        <f t="shared" si="81"/>
        <v>0</v>
      </c>
      <c r="AD872" s="17" t="b">
        <f t="shared" si="82"/>
        <v>0</v>
      </c>
      <c r="AE872" s="17" t="b">
        <f t="shared" si="83"/>
        <v>0</v>
      </c>
    </row>
    <row r="873" spans="1:31" x14ac:dyDescent="0.2">
      <c r="A873" s="16">
        <v>6000028567</v>
      </c>
      <c r="B873" t="s">
        <v>0</v>
      </c>
      <c r="C873" t="s">
        <v>0</v>
      </c>
      <c r="D873" t="s">
        <v>1</v>
      </c>
      <c r="E873" t="s">
        <v>1280</v>
      </c>
      <c r="F873" t="s">
        <v>1281</v>
      </c>
      <c r="G873" s="2">
        <v>3</v>
      </c>
      <c r="H873" t="s">
        <v>461</v>
      </c>
      <c r="I873" t="s">
        <v>3</v>
      </c>
      <c r="J873" t="s">
        <v>5</v>
      </c>
      <c r="K873" t="s">
        <v>605</v>
      </c>
      <c r="L873" t="s">
        <v>608</v>
      </c>
      <c r="M873" t="s">
        <v>1282</v>
      </c>
      <c r="N873" t="s">
        <v>602</v>
      </c>
      <c r="O873" t="s">
        <v>603</v>
      </c>
      <c r="P873" t="s">
        <v>602</v>
      </c>
      <c r="Q873" s="17">
        <f>IFERROR(VLOOKUP(A873,已除帳印單!B:C,1,0),0)*1</f>
        <v>0</v>
      </c>
      <c r="R873" s="67" t="str">
        <f>IFERROR(VLOOKUP(J873,線別!A:B,2,1),"")</f>
        <v>FM線</v>
      </c>
      <c r="S873" s="17" t="str">
        <f>IFERROR(VLOOKUP(A873,已除帳印單!B:C,2,0),"")</f>
        <v/>
      </c>
      <c r="T873" s="68">
        <f t="shared" si="84"/>
        <v>43892</v>
      </c>
      <c r="U873" s="69">
        <f t="shared" si="85"/>
        <v>84.168773148148148</v>
      </c>
      <c r="V873" s="68" t="str">
        <f>IFERROR(VLOOKUP(A873,已除帳印單!B:D,3,0),"")</f>
        <v/>
      </c>
      <c r="W873" s="69" t="str">
        <f>IFERROR(VLOOKUP(A873,已除帳印單!B:E,4,0),"")</f>
        <v/>
      </c>
      <c r="X873" s="68" t="str">
        <f>IFERROR(INDEX(刷條碼區!A:C,MATCH(點上線資訊!S873,刷條碼區!C:C,0),1),"")</f>
        <v/>
      </c>
      <c r="Y873" s="69" t="str">
        <f>IFERROR(INDEX(刷條碼區!A:C,MATCH(點上線資訊!S873,刷條碼區!C:C,0),2),"")</f>
        <v/>
      </c>
      <c r="Z873" s="70" t="str">
        <f>IFERROR(INDEX(刷條碼區!D:G,MATCH(點上線資訊!S873,刷條碼區!F:F,0),1),"")</f>
        <v/>
      </c>
      <c r="AA873" s="71" t="str">
        <f>IFERROR(INDEX(刷條碼區!D:G,MATCH(點上線資訊!S873,刷條碼區!F:F,0),2),"")</f>
        <v/>
      </c>
      <c r="AB873" s="20" t="b">
        <f t="shared" si="80"/>
        <v>0</v>
      </c>
      <c r="AC873" s="20" t="b">
        <f t="shared" si="81"/>
        <v>0</v>
      </c>
      <c r="AD873" s="17" t="b">
        <f t="shared" si="82"/>
        <v>0</v>
      </c>
      <c r="AE873" s="17" t="b">
        <f t="shared" si="83"/>
        <v>0</v>
      </c>
    </row>
    <row r="874" spans="1:31" x14ac:dyDescent="0.2">
      <c r="A874" s="16">
        <v>6000028587</v>
      </c>
      <c r="B874" t="s">
        <v>6</v>
      </c>
      <c r="C874" t="s">
        <v>6</v>
      </c>
      <c r="D874" t="s">
        <v>1</v>
      </c>
      <c r="E874" t="s">
        <v>1283</v>
      </c>
      <c r="F874" t="s">
        <v>1284</v>
      </c>
      <c r="G874" s="2">
        <v>2</v>
      </c>
      <c r="H874" t="s">
        <v>461</v>
      </c>
      <c r="I874" t="s">
        <v>3</v>
      </c>
      <c r="J874" t="s">
        <v>5</v>
      </c>
      <c r="K874" t="s">
        <v>605</v>
      </c>
      <c r="L874" t="s">
        <v>608</v>
      </c>
      <c r="M874" t="s">
        <v>1285</v>
      </c>
      <c r="N874" t="s">
        <v>602</v>
      </c>
      <c r="O874" t="s">
        <v>603</v>
      </c>
      <c r="P874" t="s">
        <v>602</v>
      </c>
      <c r="Q874" s="17">
        <f>IFERROR(VLOOKUP(A874,已除帳印單!B:C,1,0),0)*1</f>
        <v>0</v>
      </c>
      <c r="R874" s="67" t="str">
        <f>IFERROR(VLOOKUP(J874,線別!A:B,2,1),"")</f>
        <v>FM線</v>
      </c>
      <c r="S874" s="17" t="str">
        <f>IFERROR(VLOOKUP(A874,已除帳印單!B:C,2,0),"")</f>
        <v/>
      </c>
      <c r="T874" s="68">
        <f t="shared" si="84"/>
        <v>43893</v>
      </c>
      <c r="U874" s="69">
        <f t="shared" si="85"/>
        <v>84.168784722222213</v>
      </c>
      <c r="V874" s="68" t="str">
        <f>IFERROR(VLOOKUP(A874,已除帳印單!B:D,3,0),"")</f>
        <v/>
      </c>
      <c r="W874" s="69" t="str">
        <f>IFERROR(VLOOKUP(A874,已除帳印單!B:E,4,0),"")</f>
        <v/>
      </c>
      <c r="X874" s="68" t="str">
        <f>IFERROR(INDEX(刷條碼區!A:C,MATCH(點上線資訊!S874,刷條碼區!C:C,0),1),"")</f>
        <v/>
      </c>
      <c r="Y874" s="69" t="str">
        <f>IFERROR(INDEX(刷條碼區!A:C,MATCH(點上線資訊!S874,刷條碼區!C:C,0),2),"")</f>
        <v/>
      </c>
      <c r="Z874" s="70" t="str">
        <f>IFERROR(INDEX(刷條碼區!D:G,MATCH(點上線資訊!S874,刷條碼區!F:F,0),1),"")</f>
        <v/>
      </c>
      <c r="AA874" s="71" t="str">
        <f>IFERROR(INDEX(刷條碼區!D:G,MATCH(點上線資訊!S874,刷條碼區!F:F,0),2),"")</f>
        <v/>
      </c>
      <c r="AB874" s="20" t="b">
        <f t="shared" si="80"/>
        <v>0</v>
      </c>
      <c r="AC874" s="20" t="b">
        <f t="shared" si="81"/>
        <v>0</v>
      </c>
      <c r="AD874" s="17" t="b">
        <f t="shared" si="82"/>
        <v>0</v>
      </c>
      <c r="AE874" s="17" t="b">
        <f t="shared" si="83"/>
        <v>0</v>
      </c>
    </row>
    <row r="875" spans="1:31" x14ac:dyDescent="0.2">
      <c r="A875" s="16">
        <v>6000028686</v>
      </c>
      <c r="B875" t="s">
        <v>6</v>
      </c>
      <c r="C875" t="s">
        <v>6</v>
      </c>
      <c r="D875" t="s">
        <v>1</v>
      </c>
      <c r="E875" t="s">
        <v>1286</v>
      </c>
      <c r="F875" t="s">
        <v>1287</v>
      </c>
      <c r="G875" s="2">
        <v>2</v>
      </c>
      <c r="H875" t="s">
        <v>461</v>
      </c>
      <c r="I875" t="s">
        <v>3</v>
      </c>
      <c r="J875" t="s">
        <v>5</v>
      </c>
      <c r="K875" t="s">
        <v>605</v>
      </c>
      <c r="L875" t="s">
        <v>608</v>
      </c>
      <c r="M875" t="s">
        <v>434</v>
      </c>
      <c r="N875" t="s">
        <v>602</v>
      </c>
      <c r="O875" t="s">
        <v>603</v>
      </c>
      <c r="P875" t="s">
        <v>602</v>
      </c>
      <c r="Q875" s="17">
        <f>IFERROR(VLOOKUP(A875,已除帳印單!B:C,1,0),0)*1</f>
        <v>0</v>
      </c>
      <c r="R875" s="67" t="str">
        <f>IFERROR(VLOOKUP(J875,線別!A:B,2,1),"")</f>
        <v>FM線</v>
      </c>
      <c r="S875" s="17" t="str">
        <f>IFERROR(VLOOKUP(A875,已除帳印單!B:C,2,0),"")</f>
        <v/>
      </c>
      <c r="T875" s="68">
        <f t="shared" si="84"/>
        <v>43893</v>
      </c>
      <c r="U875" s="69">
        <f t="shared" si="85"/>
        <v>84.168784722222213</v>
      </c>
      <c r="V875" s="68" t="str">
        <f>IFERROR(VLOOKUP(A875,已除帳印單!B:D,3,0),"")</f>
        <v/>
      </c>
      <c r="W875" s="69" t="str">
        <f>IFERROR(VLOOKUP(A875,已除帳印單!B:E,4,0),"")</f>
        <v/>
      </c>
      <c r="X875" s="68" t="str">
        <f>IFERROR(INDEX(刷條碼區!A:C,MATCH(點上線資訊!S875,刷條碼區!C:C,0),1),"")</f>
        <v/>
      </c>
      <c r="Y875" s="69" t="str">
        <f>IFERROR(INDEX(刷條碼區!A:C,MATCH(點上線資訊!S875,刷條碼區!C:C,0),2),"")</f>
        <v/>
      </c>
      <c r="Z875" s="70" t="str">
        <f>IFERROR(INDEX(刷條碼區!D:G,MATCH(點上線資訊!S875,刷條碼區!F:F,0),1),"")</f>
        <v/>
      </c>
      <c r="AA875" s="71" t="str">
        <f>IFERROR(INDEX(刷條碼區!D:G,MATCH(點上線資訊!S875,刷條碼區!F:F,0),2),"")</f>
        <v/>
      </c>
      <c r="AB875" s="20" t="b">
        <f t="shared" si="80"/>
        <v>0</v>
      </c>
      <c r="AC875" s="20" t="b">
        <f t="shared" si="81"/>
        <v>0</v>
      </c>
      <c r="AD875" s="17" t="b">
        <f t="shared" si="82"/>
        <v>0</v>
      </c>
      <c r="AE875" s="17" t="b">
        <f t="shared" si="83"/>
        <v>0</v>
      </c>
    </row>
    <row r="876" spans="1:31" x14ac:dyDescent="0.2">
      <c r="A876" s="16">
        <v>6000028694</v>
      </c>
      <c r="B876" t="s">
        <v>301</v>
      </c>
      <c r="C876" t="s">
        <v>301</v>
      </c>
      <c r="D876" t="s">
        <v>1</v>
      </c>
      <c r="E876" t="s">
        <v>394</v>
      </c>
      <c r="F876" t="s">
        <v>1288</v>
      </c>
      <c r="G876" s="2">
        <v>5</v>
      </c>
      <c r="H876" t="s">
        <v>461</v>
      </c>
      <c r="I876" t="s">
        <v>3</v>
      </c>
      <c r="J876" t="s">
        <v>19</v>
      </c>
      <c r="K876" t="s">
        <v>605</v>
      </c>
      <c r="L876" t="s">
        <v>608</v>
      </c>
      <c r="M876" t="s">
        <v>1289</v>
      </c>
      <c r="N876" t="s">
        <v>602</v>
      </c>
      <c r="O876" t="s">
        <v>603</v>
      </c>
      <c r="P876" t="s">
        <v>602</v>
      </c>
      <c r="Q876" s="17">
        <f>IFERROR(VLOOKUP(A876,已除帳印單!B:C,1,0),0)*1</f>
        <v>0</v>
      </c>
      <c r="R876" s="67" t="str">
        <f>IFERROR(VLOOKUP(J876,線別!A:B,2,1),"")</f>
        <v>FM_IA預組</v>
      </c>
      <c r="S876" s="17" t="str">
        <f>IFERROR(VLOOKUP(A876,已除帳印單!B:C,2,0),"")</f>
        <v/>
      </c>
      <c r="T876" s="68">
        <f t="shared" si="84"/>
        <v>43894</v>
      </c>
      <c r="U876" s="69">
        <f t="shared" si="85"/>
        <v>84.168796296296293</v>
      </c>
      <c r="V876" s="68" t="str">
        <f>IFERROR(VLOOKUP(A876,已除帳印單!B:D,3,0),"")</f>
        <v/>
      </c>
      <c r="W876" s="69" t="str">
        <f>IFERROR(VLOOKUP(A876,已除帳印單!B:E,4,0),"")</f>
        <v/>
      </c>
      <c r="X876" s="68" t="str">
        <f>IFERROR(INDEX(刷條碼區!A:C,MATCH(點上線資訊!S876,刷條碼區!C:C,0),1),"")</f>
        <v/>
      </c>
      <c r="Y876" s="69" t="str">
        <f>IFERROR(INDEX(刷條碼區!A:C,MATCH(點上線資訊!S876,刷條碼區!C:C,0),2),"")</f>
        <v/>
      </c>
      <c r="Z876" s="70" t="str">
        <f>IFERROR(INDEX(刷條碼區!D:G,MATCH(點上線資訊!S876,刷條碼區!F:F,0),1),"")</f>
        <v/>
      </c>
      <c r="AA876" s="71" t="str">
        <f>IFERROR(INDEX(刷條碼區!D:G,MATCH(點上線資訊!S876,刷條碼區!F:F,0),2),"")</f>
        <v/>
      </c>
      <c r="AB876" s="20" t="b">
        <f t="shared" si="80"/>
        <v>0</v>
      </c>
      <c r="AC876" s="20" t="b">
        <f t="shared" si="81"/>
        <v>0</v>
      </c>
      <c r="AD876" s="17" t="b">
        <f t="shared" si="82"/>
        <v>0</v>
      </c>
      <c r="AE876" s="17" t="b">
        <f t="shared" si="83"/>
        <v>0</v>
      </c>
    </row>
    <row r="877" spans="1:31" x14ac:dyDescent="0.2">
      <c r="A877" s="16">
        <v>6000028700</v>
      </c>
      <c r="B877" t="s">
        <v>6</v>
      </c>
      <c r="C877" t="s">
        <v>6</v>
      </c>
      <c r="D877" t="s">
        <v>1</v>
      </c>
      <c r="E877" t="s">
        <v>1290</v>
      </c>
      <c r="F877" t="s">
        <v>1291</v>
      </c>
      <c r="G877" s="2">
        <v>1</v>
      </c>
      <c r="H877" t="s">
        <v>461</v>
      </c>
      <c r="I877" t="s">
        <v>3</v>
      </c>
      <c r="J877" t="s">
        <v>5</v>
      </c>
      <c r="K877" t="s">
        <v>605</v>
      </c>
      <c r="L877" t="s">
        <v>608</v>
      </c>
      <c r="M877" t="s">
        <v>1292</v>
      </c>
      <c r="N877" t="s">
        <v>602</v>
      </c>
      <c r="O877" t="s">
        <v>603</v>
      </c>
      <c r="P877" t="s">
        <v>602</v>
      </c>
      <c r="Q877" s="17">
        <f>IFERROR(VLOOKUP(A877,已除帳印單!B:C,1,0),0)*1</f>
        <v>0</v>
      </c>
      <c r="R877" s="67" t="str">
        <f>IFERROR(VLOOKUP(J877,線別!A:B,2,1),"")</f>
        <v>FM線</v>
      </c>
      <c r="S877" s="17" t="str">
        <f>IFERROR(VLOOKUP(A877,已除帳印單!B:C,2,0),"")</f>
        <v/>
      </c>
      <c r="T877" s="68">
        <f t="shared" si="84"/>
        <v>43893</v>
      </c>
      <c r="U877" s="69">
        <f t="shared" si="85"/>
        <v>84.168784722222213</v>
      </c>
      <c r="V877" s="68" t="str">
        <f>IFERROR(VLOOKUP(A877,已除帳印單!B:D,3,0),"")</f>
        <v/>
      </c>
      <c r="W877" s="69" t="str">
        <f>IFERROR(VLOOKUP(A877,已除帳印單!B:E,4,0),"")</f>
        <v/>
      </c>
      <c r="X877" s="68" t="str">
        <f>IFERROR(INDEX(刷條碼區!A:C,MATCH(點上線資訊!S877,刷條碼區!C:C,0),1),"")</f>
        <v/>
      </c>
      <c r="Y877" s="69" t="str">
        <f>IFERROR(INDEX(刷條碼區!A:C,MATCH(點上線資訊!S877,刷條碼區!C:C,0),2),"")</f>
        <v/>
      </c>
      <c r="Z877" s="70" t="str">
        <f>IFERROR(INDEX(刷條碼區!D:G,MATCH(點上線資訊!S877,刷條碼區!F:F,0),1),"")</f>
        <v/>
      </c>
      <c r="AA877" s="71" t="str">
        <f>IFERROR(INDEX(刷條碼區!D:G,MATCH(點上線資訊!S877,刷條碼區!F:F,0),2),"")</f>
        <v/>
      </c>
      <c r="AB877" s="20" t="b">
        <f t="shared" si="80"/>
        <v>0</v>
      </c>
      <c r="AC877" s="20" t="b">
        <f t="shared" si="81"/>
        <v>0</v>
      </c>
      <c r="AD877" s="17" t="b">
        <f t="shared" si="82"/>
        <v>0</v>
      </c>
      <c r="AE877" s="17" t="b">
        <f t="shared" si="83"/>
        <v>0</v>
      </c>
    </row>
    <row r="878" spans="1:31" x14ac:dyDescent="0.2">
      <c r="A878" s="16">
        <v>6000028701</v>
      </c>
      <c r="B878" t="s">
        <v>301</v>
      </c>
      <c r="C878" t="s">
        <v>301</v>
      </c>
      <c r="D878" t="s">
        <v>1</v>
      </c>
      <c r="E878" t="s">
        <v>1293</v>
      </c>
      <c r="F878" t="s">
        <v>1294</v>
      </c>
      <c r="G878" s="2">
        <v>3</v>
      </c>
      <c r="H878" t="s">
        <v>461</v>
      </c>
      <c r="I878" t="s">
        <v>3</v>
      </c>
      <c r="J878" t="s">
        <v>19</v>
      </c>
      <c r="K878" t="s">
        <v>605</v>
      </c>
      <c r="L878" t="s">
        <v>608</v>
      </c>
      <c r="M878" t="s">
        <v>1295</v>
      </c>
      <c r="N878" t="s">
        <v>602</v>
      </c>
      <c r="O878" t="s">
        <v>603</v>
      </c>
      <c r="P878" t="s">
        <v>602</v>
      </c>
      <c r="Q878" s="17">
        <f>IFERROR(VLOOKUP(A878,已除帳印單!B:C,1,0),0)*1</f>
        <v>0</v>
      </c>
      <c r="R878" s="67" t="str">
        <f>IFERROR(VLOOKUP(J878,線別!A:B,2,1),"")</f>
        <v>FM_IA預組</v>
      </c>
      <c r="S878" s="17" t="str">
        <f>IFERROR(VLOOKUP(A878,已除帳印單!B:C,2,0),"")</f>
        <v/>
      </c>
      <c r="T878" s="68">
        <f t="shared" si="84"/>
        <v>43894</v>
      </c>
      <c r="U878" s="69">
        <f t="shared" si="85"/>
        <v>84.168796296296293</v>
      </c>
      <c r="V878" s="68" t="str">
        <f>IFERROR(VLOOKUP(A878,已除帳印單!B:D,3,0),"")</f>
        <v/>
      </c>
      <c r="W878" s="69" t="str">
        <f>IFERROR(VLOOKUP(A878,已除帳印單!B:E,4,0),"")</f>
        <v/>
      </c>
      <c r="X878" s="68" t="str">
        <f>IFERROR(INDEX(刷條碼區!A:C,MATCH(點上線資訊!S878,刷條碼區!C:C,0),1),"")</f>
        <v/>
      </c>
      <c r="Y878" s="69" t="str">
        <f>IFERROR(INDEX(刷條碼區!A:C,MATCH(點上線資訊!S878,刷條碼區!C:C,0),2),"")</f>
        <v/>
      </c>
      <c r="Z878" s="70" t="str">
        <f>IFERROR(INDEX(刷條碼區!D:G,MATCH(點上線資訊!S878,刷條碼區!F:F,0),1),"")</f>
        <v/>
      </c>
      <c r="AA878" s="71" t="str">
        <f>IFERROR(INDEX(刷條碼區!D:G,MATCH(點上線資訊!S878,刷條碼區!F:F,0),2),"")</f>
        <v/>
      </c>
      <c r="AB878" s="20" t="b">
        <f t="shared" si="80"/>
        <v>0</v>
      </c>
      <c r="AC878" s="20" t="b">
        <f t="shared" si="81"/>
        <v>0</v>
      </c>
      <c r="AD878" s="17" t="b">
        <f t="shared" si="82"/>
        <v>0</v>
      </c>
      <c r="AE878" s="17" t="b">
        <f t="shared" si="83"/>
        <v>0</v>
      </c>
    </row>
    <row r="879" spans="1:31" x14ac:dyDescent="0.2">
      <c r="A879" s="16">
        <v>6000028702</v>
      </c>
      <c r="B879" t="s">
        <v>301</v>
      </c>
      <c r="C879" t="s">
        <v>301</v>
      </c>
      <c r="D879" t="s">
        <v>1</v>
      </c>
      <c r="E879" t="s">
        <v>1296</v>
      </c>
      <c r="F879" t="s">
        <v>1297</v>
      </c>
      <c r="G879" s="2">
        <v>1</v>
      </c>
      <c r="H879" t="s">
        <v>461</v>
      </c>
      <c r="I879" t="s">
        <v>3</v>
      </c>
      <c r="J879" t="s">
        <v>19</v>
      </c>
      <c r="K879" t="s">
        <v>605</v>
      </c>
      <c r="L879" t="s">
        <v>608</v>
      </c>
      <c r="M879" t="s">
        <v>1298</v>
      </c>
      <c r="N879" t="s">
        <v>602</v>
      </c>
      <c r="O879" t="s">
        <v>603</v>
      </c>
      <c r="P879" t="s">
        <v>602</v>
      </c>
      <c r="Q879" s="17">
        <f>IFERROR(VLOOKUP(A879,已除帳印單!B:C,1,0),0)*1</f>
        <v>0</v>
      </c>
      <c r="R879" s="67" t="str">
        <f>IFERROR(VLOOKUP(J879,線別!A:B,2,1),"")</f>
        <v>FM_IA預組</v>
      </c>
      <c r="S879" s="17" t="str">
        <f>IFERROR(VLOOKUP(A879,已除帳印單!B:C,2,0),"")</f>
        <v/>
      </c>
      <c r="T879" s="68">
        <f t="shared" si="84"/>
        <v>43894</v>
      </c>
      <c r="U879" s="69">
        <f t="shared" si="85"/>
        <v>84.168796296296293</v>
      </c>
      <c r="V879" s="68" t="str">
        <f>IFERROR(VLOOKUP(A879,已除帳印單!B:D,3,0),"")</f>
        <v/>
      </c>
      <c r="W879" s="69" t="str">
        <f>IFERROR(VLOOKUP(A879,已除帳印單!B:E,4,0),"")</f>
        <v/>
      </c>
      <c r="X879" s="68" t="str">
        <f>IFERROR(INDEX(刷條碼區!A:C,MATCH(點上線資訊!S879,刷條碼區!C:C,0),1),"")</f>
        <v/>
      </c>
      <c r="Y879" s="69" t="str">
        <f>IFERROR(INDEX(刷條碼區!A:C,MATCH(點上線資訊!S879,刷條碼區!C:C,0),2),"")</f>
        <v/>
      </c>
      <c r="Z879" s="70" t="str">
        <f>IFERROR(INDEX(刷條碼區!D:G,MATCH(點上線資訊!S879,刷條碼區!F:F,0),1),"")</f>
        <v/>
      </c>
      <c r="AA879" s="71" t="str">
        <f>IFERROR(INDEX(刷條碼區!D:G,MATCH(點上線資訊!S879,刷條碼區!F:F,0),2),"")</f>
        <v/>
      </c>
      <c r="AB879" s="20" t="b">
        <f t="shared" si="80"/>
        <v>0</v>
      </c>
      <c r="AC879" s="20" t="b">
        <f t="shared" si="81"/>
        <v>0</v>
      </c>
      <c r="AD879" s="17" t="b">
        <f t="shared" si="82"/>
        <v>0</v>
      </c>
      <c r="AE879" s="17" t="b">
        <f t="shared" si="83"/>
        <v>0</v>
      </c>
    </row>
    <row r="880" spans="1:31" x14ac:dyDescent="0.2">
      <c r="A880" s="16">
        <v>6000028704</v>
      </c>
      <c r="B880" t="s">
        <v>301</v>
      </c>
      <c r="C880" t="s">
        <v>301</v>
      </c>
      <c r="D880" t="s">
        <v>1</v>
      </c>
      <c r="E880" t="s">
        <v>1299</v>
      </c>
      <c r="F880" t="s">
        <v>1300</v>
      </c>
      <c r="G880" s="2">
        <v>1</v>
      </c>
      <c r="H880" t="s">
        <v>461</v>
      </c>
      <c r="I880" t="s">
        <v>3</v>
      </c>
      <c r="J880" t="s">
        <v>19</v>
      </c>
      <c r="K880" t="s">
        <v>605</v>
      </c>
      <c r="L880" t="s">
        <v>608</v>
      </c>
      <c r="M880" t="s">
        <v>1298</v>
      </c>
      <c r="N880" t="s">
        <v>602</v>
      </c>
      <c r="O880" t="s">
        <v>603</v>
      </c>
      <c r="P880" t="s">
        <v>602</v>
      </c>
      <c r="Q880" s="17">
        <f>IFERROR(VLOOKUP(A880,已除帳印單!B:C,1,0),0)*1</f>
        <v>0</v>
      </c>
      <c r="R880" s="67" t="str">
        <f>IFERROR(VLOOKUP(J880,線別!A:B,2,1),"")</f>
        <v>FM_IA預組</v>
      </c>
      <c r="S880" s="17" t="str">
        <f>IFERROR(VLOOKUP(A880,已除帳印單!B:C,2,0),"")</f>
        <v/>
      </c>
      <c r="T880" s="68">
        <f t="shared" si="84"/>
        <v>43894</v>
      </c>
      <c r="U880" s="69">
        <f t="shared" si="85"/>
        <v>84.168796296296293</v>
      </c>
      <c r="V880" s="68" t="str">
        <f>IFERROR(VLOOKUP(A880,已除帳印單!B:D,3,0),"")</f>
        <v/>
      </c>
      <c r="W880" s="69" t="str">
        <f>IFERROR(VLOOKUP(A880,已除帳印單!B:E,4,0),"")</f>
        <v/>
      </c>
      <c r="X880" s="68" t="str">
        <f>IFERROR(INDEX(刷條碼區!A:C,MATCH(點上線資訊!S880,刷條碼區!C:C,0),1),"")</f>
        <v/>
      </c>
      <c r="Y880" s="69" t="str">
        <f>IFERROR(INDEX(刷條碼區!A:C,MATCH(點上線資訊!S880,刷條碼區!C:C,0),2),"")</f>
        <v/>
      </c>
      <c r="Z880" s="70" t="str">
        <f>IFERROR(INDEX(刷條碼區!D:G,MATCH(點上線資訊!S880,刷條碼區!F:F,0),1),"")</f>
        <v/>
      </c>
      <c r="AA880" s="71" t="str">
        <f>IFERROR(INDEX(刷條碼區!D:G,MATCH(點上線資訊!S880,刷條碼區!F:F,0),2),"")</f>
        <v/>
      </c>
      <c r="AB880" s="20" t="b">
        <f t="shared" si="80"/>
        <v>0</v>
      </c>
      <c r="AC880" s="20" t="b">
        <f t="shared" si="81"/>
        <v>0</v>
      </c>
      <c r="AD880" s="17" t="b">
        <f t="shared" si="82"/>
        <v>0</v>
      </c>
      <c r="AE880" s="17" t="b">
        <f t="shared" si="83"/>
        <v>0</v>
      </c>
    </row>
    <row r="881" spans="1:31" x14ac:dyDescent="0.2">
      <c r="A881" s="16">
        <v>6000028705</v>
      </c>
      <c r="B881" t="s">
        <v>301</v>
      </c>
      <c r="C881" t="s">
        <v>301</v>
      </c>
      <c r="D881" t="s">
        <v>1</v>
      </c>
      <c r="E881" t="s">
        <v>1301</v>
      </c>
      <c r="F881" t="s">
        <v>1302</v>
      </c>
      <c r="G881" s="2">
        <v>5</v>
      </c>
      <c r="H881" t="s">
        <v>461</v>
      </c>
      <c r="I881" t="s">
        <v>3</v>
      </c>
      <c r="J881" t="s">
        <v>5</v>
      </c>
      <c r="K881" t="s">
        <v>605</v>
      </c>
      <c r="L881" t="s">
        <v>608</v>
      </c>
      <c r="M881" t="s">
        <v>1303</v>
      </c>
      <c r="N881" t="s">
        <v>602</v>
      </c>
      <c r="O881" t="s">
        <v>603</v>
      </c>
      <c r="P881" t="s">
        <v>602</v>
      </c>
      <c r="Q881" s="17">
        <f>IFERROR(VLOOKUP(A881,已除帳印單!B:C,1,0),0)*1</f>
        <v>0</v>
      </c>
      <c r="R881" s="67" t="str">
        <f>IFERROR(VLOOKUP(J881,線別!A:B,2,1),"")</f>
        <v>FM線</v>
      </c>
      <c r="S881" s="17" t="str">
        <f>IFERROR(VLOOKUP(A881,已除帳印單!B:C,2,0),"")</f>
        <v/>
      </c>
      <c r="T881" s="68">
        <f t="shared" si="84"/>
        <v>43894</v>
      </c>
      <c r="U881" s="69">
        <f t="shared" si="85"/>
        <v>84.168796296296293</v>
      </c>
      <c r="V881" s="68" t="str">
        <f>IFERROR(VLOOKUP(A881,已除帳印單!B:D,3,0),"")</f>
        <v/>
      </c>
      <c r="W881" s="69" t="str">
        <f>IFERROR(VLOOKUP(A881,已除帳印單!B:E,4,0),"")</f>
        <v/>
      </c>
      <c r="X881" s="68" t="str">
        <f>IFERROR(INDEX(刷條碼區!A:C,MATCH(點上線資訊!S881,刷條碼區!C:C,0),1),"")</f>
        <v/>
      </c>
      <c r="Y881" s="69" t="str">
        <f>IFERROR(INDEX(刷條碼區!A:C,MATCH(點上線資訊!S881,刷條碼區!C:C,0),2),"")</f>
        <v/>
      </c>
      <c r="Z881" s="70" t="str">
        <f>IFERROR(INDEX(刷條碼區!D:G,MATCH(點上線資訊!S881,刷條碼區!F:F,0),1),"")</f>
        <v/>
      </c>
      <c r="AA881" s="71" t="str">
        <f>IFERROR(INDEX(刷條碼區!D:G,MATCH(點上線資訊!S881,刷條碼區!F:F,0),2),"")</f>
        <v/>
      </c>
      <c r="AB881" s="20" t="b">
        <f t="shared" si="80"/>
        <v>0</v>
      </c>
      <c r="AC881" s="20" t="b">
        <f t="shared" si="81"/>
        <v>0</v>
      </c>
      <c r="AD881" s="17" t="b">
        <f t="shared" si="82"/>
        <v>0</v>
      </c>
      <c r="AE881" s="17" t="b">
        <f t="shared" si="83"/>
        <v>0</v>
      </c>
    </row>
    <row r="882" spans="1:31" x14ac:dyDescent="0.2">
      <c r="A882" s="16">
        <v>6000028707</v>
      </c>
      <c r="B882" t="s">
        <v>301</v>
      </c>
      <c r="C882" t="s">
        <v>301</v>
      </c>
      <c r="D882" t="s">
        <v>1</v>
      </c>
      <c r="E882" t="s">
        <v>1296</v>
      </c>
      <c r="F882" t="s">
        <v>1297</v>
      </c>
      <c r="G882" s="2">
        <v>1</v>
      </c>
      <c r="H882" t="s">
        <v>461</v>
      </c>
      <c r="I882" t="s">
        <v>3</v>
      </c>
      <c r="J882" t="s">
        <v>19</v>
      </c>
      <c r="K882" t="s">
        <v>605</v>
      </c>
      <c r="L882" t="s">
        <v>608</v>
      </c>
      <c r="M882" t="s">
        <v>1298</v>
      </c>
      <c r="N882" t="s">
        <v>602</v>
      </c>
      <c r="O882" t="s">
        <v>603</v>
      </c>
      <c r="P882" t="s">
        <v>602</v>
      </c>
      <c r="Q882" s="17">
        <f>IFERROR(VLOOKUP(A882,已除帳印單!B:C,1,0),0)*1</f>
        <v>0</v>
      </c>
      <c r="R882" s="67" t="str">
        <f>IFERROR(VLOOKUP(J882,線別!A:B,2,1),"")</f>
        <v>FM_IA預組</v>
      </c>
      <c r="S882" s="17" t="str">
        <f>IFERROR(VLOOKUP(A882,已除帳印單!B:C,2,0),"")</f>
        <v/>
      </c>
      <c r="T882" s="68">
        <f t="shared" si="84"/>
        <v>43894</v>
      </c>
      <c r="U882" s="69">
        <f t="shared" si="85"/>
        <v>84.168796296296293</v>
      </c>
      <c r="V882" s="68" t="str">
        <f>IFERROR(VLOOKUP(A882,已除帳印單!B:D,3,0),"")</f>
        <v/>
      </c>
      <c r="W882" s="69" t="str">
        <f>IFERROR(VLOOKUP(A882,已除帳印單!B:E,4,0),"")</f>
        <v/>
      </c>
      <c r="X882" s="68" t="str">
        <f>IFERROR(INDEX(刷條碼區!A:C,MATCH(點上線資訊!S882,刷條碼區!C:C,0),1),"")</f>
        <v/>
      </c>
      <c r="Y882" s="69" t="str">
        <f>IFERROR(INDEX(刷條碼區!A:C,MATCH(點上線資訊!S882,刷條碼區!C:C,0),2),"")</f>
        <v/>
      </c>
      <c r="Z882" s="70" t="str">
        <f>IFERROR(INDEX(刷條碼區!D:G,MATCH(點上線資訊!S882,刷條碼區!F:F,0),1),"")</f>
        <v/>
      </c>
      <c r="AA882" s="71" t="str">
        <f>IFERROR(INDEX(刷條碼區!D:G,MATCH(點上線資訊!S882,刷條碼區!F:F,0),2),"")</f>
        <v/>
      </c>
      <c r="AB882" s="20" t="b">
        <f t="shared" si="80"/>
        <v>0</v>
      </c>
      <c r="AC882" s="20" t="b">
        <f t="shared" si="81"/>
        <v>0</v>
      </c>
      <c r="AD882" s="17" t="b">
        <f t="shared" si="82"/>
        <v>0</v>
      </c>
      <c r="AE882" s="17" t="b">
        <f t="shared" si="83"/>
        <v>0</v>
      </c>
    </row>
    <row r="883" spans="1:31" x14ac:dyDescent="0.2">
      <c r="A883" s="16">
        <v>6000028708</v>
      </c>
      <c r="B883" t="s">
        <v>301</v>
      </c>
      <c r="C883" t="s">
        <v>301</v>
      </c>
      <c r="D883" t="s">
        <v>1</v>
      </c>
      <c r="E883" t="s">
        <v>1304</v>
      </c>
      <c r="F883" t="s">
        <v>1305</v>
      </c>
      <c r="G883" s="2">
        <v>1</v>
      </c>
      <c r="H883" t="s">
        <v>461</v>
      </c>
      <c r="I883" t="s">
        <v>3</v>
      </c>
      <c r="J883" t="s">
        <v>5</v>
      </c>
      <c r="K883" t="s">
        <v>605</v>
      </c>
      <c r="L883" t="s">
        <v>608</v>
      </c>
      <c r="M883" t="s">
        <v>1303</v>
      </c>
      <c r="N883" t="s">
        <v>602</v>
      </c>
      <c r="O883" t="s">
        <v>603</v>
      </c>
      <c r="P883" t="s">
        <v>602</v>
      </c>
      <c r="Q883" s="17">
        <f>IFERROR(VLOOKUP(A883,已除帳印單!B:C,1,0),0)*1</f>
        <v>0</v>
      </c>
      <c r="R883" s="67" t="str">
        <f>IFERROR(VLOOKUP(J883,線別!A:B,2,1),"")</f>
        <v>FM線</v>
      </c>
      <c r="S883" s="17" t="str">
        <f>IFERROR(VLOOKUP(A883,已除帳印單!B:C,2,0),"")</f>
        <v/>
      </c>
      <c r="T883" s="68">
        <f t="shared" si="84"/>
        <v>43894</v>
      </c>
      <c r="U883" s="69">
        <f t="shared" si="85"/>
        <v>84.168796296296293</v>
      </c>
      <c r="V883" s="68" t="str">
        <f>IFERROR(VLOOKUP(A883,已除帳印單!B:D,3,0),"")</f>
        <v/>
      </c>
      <c r="W883" s="69" t="str">
        <f>IFERROR(VLOOKUP(A883,已除帳印單!B:E,4,0),"")</f>
        <v/>
      </c>
      <c r="X883" s="68" t="str">
        <f>IFERROR(INDEX(刷條碼區!A:C,MATCH(點上線資訊!S883,刷條碼區!C:C,0),1),"")</f>
        <v/>
      </c>
      <c r="Y883" s="69" t="str">
        <f>IFERROR(INDEX(刷條碼區!A:C,MATCH(點上線資訊!S883,刷條碼區!C:C,0),2),"")</f>
        <v/>
      </c>
      <c r="Z883" s="70" t="str">
        <f>IFERROR(INDEX(刷條碼區!D:G,MATCH(點上線資訊!S883,刷條碼區!F:F,0),1),"")</f>
        <v/>
      </c>
      <c r="AA883" s="71" t="str">
        <f>IFERROR(INDEX(刷條碼區!D:G,MATCH(點上線資訊!S883,刷條碼區!F:F,0),2),"")</f>
        <v/>
      </c>
      <c r="AB883" s="20" t="b">
        <f t="shared" si="80"/>
        <v>0</v>
      </c>
      <c r="AC883" s="20" t="b">
        <f t="shared" si="81"/>
        <v>0</v>
      </c>
      <c r="AD883" s="17" t="b">
        <f t="shared" si="82"/>
        <v>0</v>
      </c>
      <c r="AE883" s="17" t="b">
        <f t="shared" si="83"/>
        <v>0</v>
      </c>
    </row>
    <row r="884" spans="1:31" x14ac:dyDescent="0.2">
      <c r="A884" s="16">
        <v>6000028710</v>
      </c>
      <c r="B884" t="s">
        <v>6</v>
      </c>
      <c r="C884" t="s">
        <v>6</v>
      </c>
      <c r="D884" t="s">
        <v>1</v>
      </c>
      <c r="E884" t="s">
        <v>1306</v>
      </c>
      <c r="F884" t="s">
        <v>1307</v>
      </c>
      <c r="G884" s="2">
        <v>1</v>
      </c>
      <c r="H884" t="s">
        <v>461</v>
      </c>
      <c r="I884" t="s">
        <v>3</v>
      </c>
      <c r="J884" t="s">
        <v>5</v>
      </c>
      <c r="K884" t="s">
        <v>605</v>
      </c>
      <c r="L884" t="s">
        <v>608</v>
      </c>
      <c r="M884" t="s">
        <v>1308</v>
      </c>
      <c r="N884" t="s">
        <v>602</v>
      </c>
      <c r="O884" t="s">
        <v>603</v>
      </c>
      <c r="P884" t="s">
        <v>602</v>
      </c>
      <c r="Q884" s="17">
        <f>IFERROR(VLOOKUP(A884,已除帳印單!B:C,1,0),0)*1</f>
        <v>0</v>
      </c>
      <c r="R884" s="67" t="str">
        <f>IFERROR(VLOOKUP(J884,線別!A:B,2,1),"")</f>
        <v>FM線</v>
      </c>
      <c r="S884" s="17" t="str">
        <f>IFERROR(VLOOKUP(A884,已除帳印單!B:C,2,0),"")</f>
        <v/>
      </c>
      <c r="T884" s="68">
        <f t="shared" si="84"/>
        <v>43893</v>
      </c>
      <c r="U884" s="69">
        <f t="shared" si="85"/>
        <v>84.168784722222213</v>
      </c>
      <c r="V884" s="68" t="str">
        <f>IFERROR(VLOOKUP(A884,已除帳印單!B:D,3,0),"")</f>
        <v/>
      </c>
      <c r="W884" s="69" t="str">
        <f>IFERROR(VLOOKUP(A884,已除帳印單!B:E,4,0),"")</f>
        <v/>
      </c>
      <c r="X884" s="68" t="str">
        <f>IFERROR(INDEX(刷條碼區!A:C,MATCH(點上線資訊!S884,刷條碼區!C:C,0),1),"")</f>
        <v/>
      </c>
      <c r="Y884" s="69" t="str">
        <f>IFERROR(INDEX(刷條碼區!A:C,MATCH(點上線資訊!S884,刷條碼區!C:C,0),2),"")</f>
        <v/>
      </c>
      <c r="Z884" s="70" t="str">
        <f>IFERROR(INDEX(刷條碼區!D:G,MATCH(點上線資訊!S884,刷條碼區!F:F,0),1),"")</f>
        <v/>
      </c>
      <c r="AA884" s="71" t="str">
        <f>IFERROR(INDEX(刷條碼區!D:G,MATCH(點上線資訊!S884,刷條碼區!F:F,0),2),"")</f>
        <v/>
      </c>
      <c r="AB884" s="20" t="b">
        <f t="shared" si="80"/>
        <v>0</v>
      </c>
      <c r="AC884" s="20" t="b">
        <f t="shared" si="81"/>
        <v>0</v>
      </c>
      <c r="AD884" s="17" t="b">
        <f t="shared" si="82"/>
        <v>0</v>
      </c>
      <c r="AE884" s="17" t="b">
        <f t="shared" si="83"/>
        <v>0</v>
      </c>
    </row>
    <row r="885" spans="1:31" x14ac:dyDescent="0.2">
      <c r="A885" s="16">
        <v>6000028711</v>
      </c>
      <c r="B885" t="s">
        <v>6</v>
      </c>
      <c r="C885" t="s">
        <v>6</v>
      </c>
      <c r="D885" t="s">
        <v>1</v>
      </c>
      <c r="E885" t="s">
        <v>1309</v>
      </c>
      <c r="F885" t="s">
        <v>1310</v>
      </c>
      <c r="G885" s="2">
        <v>8</v>
      </c>
      <c r="H885" t="s">
        <v>461</v>
      </c>
      <c r="I885" t="s">
        <v>3</v>
      </c>
      <c r="J885" t="s">
        <v>5</v>
      </c>
      <c r="K885" t="s">
        <v>605</v>
      </c>
      <c r="L885" t="s">
        <v>608</v>
      </c>
      <c r="M885" t="s">
        <v>1308</v>
      </c>
      <c r="N885" t="s">
        <v>602</v>
      </c>
      <c r="O885" t="s">
        <v>603</v>
      </c>
      <c r="P885" t="s">
        <v>602</v>
      </c>
      <c r="Q885" s="17">
        <f>IFERROR(VLOOKUP(A885,已除帳印單!B:C,1,0),0)*1</f>
        <v>0</v>
      </c>
      <c r="R885" s="67" t="str">
        <f>IFERROR(VLOOKUP(J885,線別!A:B,2,1),"")</f>
        <v>FM線</v>
      </c>
      <c r="S885" s="17" t="str">
        <f>IFERROR(VLOOKUP(A885,已除帳印單!B:C,2,0),"")</f>
        <v/>
      </c>
      <c r="T885" s="68">
        <f t="shared" si="84"/>
        <v>43893</v>
      </c>
      <c r="U885" s="69">
        <f t="shared" si="85"/>
        <v>84.168784722222213</v>
      </c>
      <c r="V885" s="68" t="str">
        <f>IFERROR(VLOOKUP(A885,已除帳印單!B:D,3,0),"")</f>
        <v/>
      </c>
      <c r="W885" s="69" t="str">
        <f>IFERROR(VLOOKUP(A885,已除帳印單!B:E,4,0),"")</f>
        <v/>
      </c>
      <c r="X885" s="68" t="str">
        <f>IFERROR(INDEX(刷條碼區!A:C,MATCH(點上線資訊!S885,刷條碼區!C:C,0),1),"")</f>
        <v/>
      </c>
      <c r="Y885" s="69" t="str">
        <f>IFERROR(INDEX(刷條碼區!A:C,MATCH(點上線資訊!S885,刷條碼區!C:C,0),2),"")</f>
        <v/>
      </c>
      <c r="Z885" s="70" t="str">
        <f>IFERROR(INDEX(刷條碼區!D:G,MATCH(點上線資訊!S885,刷條碼區!F:F,0),1),"")</f>
        <v/>
      </c>
      <c r="AA885" s="71" t="str">
        <f>IFERROR(INDEX(刷條碼區!D:G,MATCH(點上線資訊!S885,刷條碼區!F:F,0),2),"")</f>
        <v/>
      </c>
      <c r="AB885" s="20" t="b">
        <f t="shared" si="80"/>
        <v>0</v>
      </c>
      <c r="AC885" s="20" t="b">
        <f t="shared" si="81"/>
        <v>0</v>
      </c>
      <c r="AD885" s="17" t="b">
        <f t="shared" si="82"/>
        <v>0</v>
      </c>
      <c r="AE885" s="17" t="b">
        <f t="shared" si="83"/>
        <v>0</v>
      </c>
    </row>
    <row r="886" spans="1:31" x14ac:dyDescent="0.2">
      <c r="A886" s="16">
        <v>6000028712</v>
      </c>
      <c r="B886" t="s">
        <v>6</v>
      </c>
      <c r="C886" t="s">
        <v>6</v>
      </c>
      <c r="D886" t="s">
        <v>1</v>
      </c>
      <c r="E886" t="s">
        <v>1311</v>
      </c>
      <c r="F886" t="s">
        <v>1312</v>
      </c>
      <c r="G886" s="2">
        <v>1</v>
      </c>
      <c r="H886" t="s">
        <v>461</v>
      </c>
      <c r="I886" t="s">
        <v>3</v>
      </c>
      <c r="J886" t="s">
        <v>5</v>
      </c>
      <c r="K886" t="s">
        <v>605</v>
      </c>
      <c r="L886" t="s">
        <v>608</v>
      </c>
      <c r="M886" t="s">
        <v>1308</v>
      </c>
      <c r="N886" t="s">
        <v>602</v>
      </c>
      <c r="O886" t="s">
        <v>603</v>
      </c>
      <c r="P886" t="s">
        <v>602</v>
      </c>
      <c r="Q886" s="17">
        <f>IFERROR(VLOOKUP(A886,已除帳印單!B:C,1,0),0)*1</f>
        <v>0</v>
      </c>
      <c r="R886" s="67" t="str">
        <f>IFERROR(VLOOKUP(J886,線別!A:B,2,1),"")</f>
        <v>FM線</v>
      </c>
      <c r="S886" s="17" t="str">
        <f>IFERROR(VLOOKUP(A886,已除帳印單!B:C,2,0),"")</f>
        <v/>
      </c>
      <c r="T886" s="68">
        <f t="shared" si="84"/>
        <v>43893</v>
      </c>
      <c r="U886" s="69">
        <f t="shared" si="85"/>
        <v>84.168784722222213</v>
      </c>
      <c r="V886" s="68" t="str">
        <f>IFERROR(VLOOKUP(A886,已除帳印單!B:D,3,0),"")</f>
        <v/>
      </c>
      <c r="W886" s="69" t="str">
        <f>IFERROR(VLOOKUP(A886,已除帳印單!B:E,4,0),"")</f>
        <v/>
      </c>
      <c r="X886" s="68" t="str">
        <f>IFERROR(INDEX(刷條碼區!A:C,MATCH(點上線資訊!S886,刷條碼區!C:C,0),1),"")</f>
        <v/>
      </c>
      <c r="Y886" s="69" t="str">
        <f>IFERROR(INDEX(刷條碼區!A:C,MATCH(點上線資訊!S886,刷條碼區!C:C,0),2),"")</f>
        <v/>
      </c>
      <c r="Z886" s="70" t="str">
        <f>IFERROR(INDEX(刷條碼區!D:G,MATCH(點上線資訊!S886,刷條碼區!F:F,0),1),"")</f>
        <v/>
      </c>
      <c r="AA886" s="71" t="str">
        <f>IFERROR(INDEX(刷條碼區!D:G,MATCH(點上線資訊!S886,刷條碼區!F:F,0),2),"")</f>
        <v/>
      </c>
      <c r="AB886" s="20" t="b">
        <f t="shared" si="80"/>
        <v>0</v>
      </c>
      <c r="AC886" s="20" t="b">
        <f t="shared" si="81"/>
        <v>0</v>
      </c>
      <c r="AD886" s="17" t="b">
        <f t="shared" si="82"/>
        <v>0</v>
      </c>
      <c r="AE886" s="17" t="b">
        <f t="shared" si="83"/>
        <v>0</v>
      </c>
    </row>
    <row r="887" spans="1:31" x14ac:dyDescent="0.2">
      <c r="A887" s="16">
        <v>6000028713</v>
      </c>
      <c r="B887" t="s">
        <v>301</v>
      </c>
      <c r="C887" t="s">
        <v>301</v>
      </c>
      <c r="D887" t="s">
        <v>1</v>
      </c>
      <c r="E887" t="s">
        <v>1313</v>
      </c>
      <c r="F887" t="s">
        <v>1314</v>
      </c>
      <c r="G887" s="2">
        <v>1</v>
      </c>
      <c r="H887" t="s">
        <v>461</v>
      </c>
      <c r="I887" t="s">
        <v>3</v>
      </c>
      <c r="J887" t="s">
        <v>5</v>
      </c>
      <c r="K887" t="s">
        <v>605</v>
      </c>
      <c r="L887" t="s">
        <v>608</v>
      </c>
      <c r="M887" t="s">
        <v>1315</v>
      </c>
      <c r="N887" t="s">
        <v>602</v>
      </c>
      <c r="O887" t="s">
        <v>603</v>
      </c>
      <c r="P887" t="s">
        <v>602</v>
      </c>
      <c r="Q887" s="17">
        <f>IFERROR(VLOOKUP(A887,已除帳印單!B:C,1,0),0)*1</f>
        <v>0</v>
      </c>
      <c r="R887" s="67" t="str">
        <f>IFERROR(VLOOKUP(J887,線別!A:B,2,1),"")</f>
        <v>FM線</v>
      </c>
      <c r="S887" s="17" t="str">
        <f>IFERROR(VLOOKUP(A887,已除帳印單!B:C,2,0),"")</f>
        <v/>
      </c>
      <c r="T887" s="68">
        <f t="shared" si="84"/>
        <v>43894</v>
      </c>
      <c r="U887" s="69">
        <f t="shared" si="85"/>
        <v>84.168796296296293</v>
      </c>
      <c r="V887" s="68" t="str">
        <f>IFERROR(VLOOKUP(A887,已除帳印單!B:D,3,0),"")</f>
        <v/>
      </c>
      <c r="W887" s="69" t="str">
        <f>IFERROR(VLOOKUP(A887,已除帳印單!B:E,4,0),"")</f>
        <v/>
      </c>
      <c r="X887" s="68" t="str">
        <f>IFERROR(INDEX(刷條碼區!A:C,MATCH(點上線資訊!S887,刷條碼區!C:C,0),1),"")</f>
        <v/>
      </c>
      <c r="Y887" s="69" t="str">
        <f>IFERROR(INDEX(刷條碼區!A:C,MATCH(點上線資訊!S887,刷條碼區!C:C,0),2),"")</f>
        <v/>
      </c>
      <c r="Z887" s="70" t="str">
        <f>IFERROR(INDEX(刷條碼區!D:G,MATCH(點上線資訊!S887,刷條碼區!F:F,0),1),"")</f>
        <v/>
      </c>
      <c r="AA887" s="71" t="str">
        <f>IFERROR(INDEX(刷條碼區!D:G,MATCH(點上線資訊!S887,刷條碼區!F:F,0),2),"")</f>
        <v/>
      </c>
      <c r="AB887" s="20" t="b">
        <f t="shared" si="80"/>
        <v>0</v>
      </c>
      <c r="AC887" s="20" t="b">
        <f t="shared" si="81"/>
        <v>0</v>
      </c>
      <c r="AD887" s="17" t="b">
        <f t="shared" si="82"/>
        <v>0</v>
      </c>
      <c r="AE887" s="17" t="b">
        <f t="shared" si="83"/>
        <v>0</v>
      </c>
    </row>
    <row r="888" spans="1:31" x14ac:dyDescent="0.2">
      <c r="A888" s="16">
        <v>6000028714</v>
      </c>
      <c r="B888" t="s">
        <v>301</v>
      </c>
      <c r="C888" t="s">
        <v>301</v>
      </c>
      <c r="D888" t="s">
        <v>1</v>
      </c>
      <c r="E888" t="s">
        <v>1316</v>
      </c>
      <c r="F888" t="s">
        <v>1317</v>
      </c>
      <c r="G888" s="2">
        <v>4</v>
      </c>
      <c r="H888" t="s">
        <v>461</v>
      </c>
      <c r="I888" t="s">
        <v>3</v>
      </c>
      <c r="J888" t="s">
        <v>5</v>
      </c>
      <c r="K888" t="s">
        <v>605</v>
      </c>
      <c r="L888" t="s">
        <v>608</v>
      </c>
      <c r="M888" t="s">
        <v>1303</v>
      </c>
      <c r="N888" t="s">
        <v>602</v>
      </c>
      <c r="O888" t="s">
        <v>603</v>
      </c>
      <c r="P888" t="s">
        <v>602</v>
      </c>
      <c r="Q888" s="17">
        <f>IFERROR(VLOOKUP(A888,已除帳印單!B:C,1,0),0)*1</f>
        <v>0</v>
      </c>
      <c r="R888" s="67" t="str">
        <f>IFERROR(VLOOKUP(J888,線別!A:B,2,1),"")</f>
        <v>FM線</v>
      </c>
      <c r="S888" s="17" t="str">
        <f>IFERROR(VLOOKUP(A888,已除帳印單!B:C,2,0),"")</f>
        <v/>
      </c>
      <c r="T888" s="68">
        <f t="shared" si="84"/>
        <v>43894</v>
      </c>
      <c r="U888" s="69">
        <f t="shared" si="85"/>
        <v>84.168796296296293</v>
      </c>
      <c r="V888" s="68" t="str">
        <f>IFERROR(VLOOKUP(A888,已除帳印單!B:D,3,0),"")</f>
        <v/>
      </c>
      <c r="W888" s="69" t="str">
        <f>IFERROR(VLOOKUP(A888,已除帳印單!B:E,4,0),"")</f>
        <v/>
      </c>
      <c r="X888" s="68" t="str">
        <f>IFERROR(INDEX(刷條碼區!A:C,MATCH(點上線資訊!S888,刷條碼區!C:C,0),1),"")</f>
        <v/>
      </c>
      <c r="Y888" s="69" t="str">
        <f>IFERROR(INDEX(刷條碼區!A:C,MATCH(點上線資訊!S888,刷條碼區!C:C,0),2),"")</f>
        <v/>
      </c>
      <c r="Z888" s="70" t="str">
        <f>IFERROR(INDEX(刷條碼區!D:G,MATCH(點上線資訊!S888,刷條碼區!F:F,0),1),"")</f>
        <v/>
      </c>
      <c r="AA888" s="71" t="str">
        <f>IFERROR(INDEX(刷條碼區!D:G,MATCH(點上線資訊!S888,刷條碼區!F:F,0),2),"")</f>
        <v/>
      </c>
      <c r="AB888" s="20" t="b">
        <f t="shared" si="80"/>
        <v>0</v>
      </c>
      <c r="AC888" s="20" t="b">
        <f t="shared" si="81"/>
        <v>0</v>
      </c>
      <c r="AD888" s="17" t="b">
        <f t="shared" si="82"/>
        <v>0</v>
      </c>
      <c r="AE888" s="17" t="b">
        <f t="shared" si="83"/>
        <v>0</v>
      </c>
    </row>
    <row r="889" spans="1:31" x14ac:dyDescent="0.2">
      <c r="A889" s="16">
        <v>6000028716</v>
      </c>
      <c r="B889" t="s">
        <v>301</v>
      </c>
      <c r="C889" t="s">
        <v>301</v>
      </c>
      <c r="D889" t="s">
        <v>1</v>
      </c>
      <c r="E889" t="s">
        <v>1318</v>
      </c>
      <c r="F889" t="s">
        <v>1319</v>
      </c>
      <c r="G889" s="2">
        <v>1</v>
      </c>
      <c r="H889" t="s">
        <v>461</v>
      </c>
      <c r="I889" t="s">
        <v>3</v>
      </c>
      <c r="J889" t="s">
        <v>5</v>
      </c>
      <c r="K889" t="s">
        <v>605</v>
      </c>
      <c r="L889" t="s">
        <v>608</v>
      </c>
      <c r="M889" t="s">
        <v>1249</v>
      </c>
      <c r="N889" t="s">
        <v>602</v>
      </c>
      <c r="O889" t="s">
        <v>603</v>
      </c>
      <c r="P889" t="s">
        <v>602</v>
      </c>
      <c r="Q889" s="17">
        <f>IFERROR(VLOOKUP(A889,已除帳印單!B:C,1,0),0)*1</f>
        <v>0</v>
      </c>
      <c r="R889" s="67" t="str">
        <f>IFERROR(VLOOKUP(J889,線別!A:B,2,1),"")</f>
        <v>FM線</v>
      </c>
      <c r="S889" s="17" t="str">
        <f>IFERROR(VLOOKUP(A889,已除帳印單!B:C,2,0),"")</f>
        <v/>
      </c>
      <c r="T889" s="68">
        <f t="shared" si="84"/>
        <v>43894</v>
      </c>
      <c r="U889" s="69">
        <f t="shared" si="85"/>
        <v>84.168796296296293</v>
      </c>
      <c r="V889" s="68" t="str">
        <f>IFERROR(VLOOKUP(A889,已除帳印單!B:D,3,0),"")</f>
        <v/>
      </c>
      <c r="W889" s="69" t="str">
        <f>IFERROR(VLOOKUP(A889,已除帳印單!B:E,4,0),"")</f>
        <v/>
      </c>
      <c r="X889" s="68" t="str">
        <f>IFERROR(INDEX(刷條碼區!A:C,MATCH(點上線資訊!S889,刷條碼區!C:C,0),1),"")</f>
        <v/>
      </c>
      <c r="Y889" s="69" t="str">
        <f>IFERROR(INDEX(刷條碼區!A:C,MATCH(點上線資訊!S889,刷條碼區!C:C,0),2),"")</f>
        <v/>
      </c>
      <c r="Z889" s="70" t="str">
        <f>IFERROR(INDEX(刷條碼區!D:G,MATCH(點上線資訊!S889,刷條碼區!F:F,0),1),"")</f>
        <v/>
      </c>
      <c r="AA889" s="71" t="str">
        <f>IFERROR(INDEX(刷條碼區!D:G,MATCH(點上線資訊!S889,刷條碼區!F:F,0),2),"")</f>
        <v/>
      </c>
      <c r="AB889" s="20" t="b">
        <f t="shared" si="80"/>
        <v>0</v>
      </c>
      <c r="AC889" s="20" t="b">
        <f t="shared" si="81"/>
        <v>0</v>
      </c>
      <c r="AD889" s="17" t="b">
        <f t="shared" si="82"/>
        <v>0</v>
      </c>
      <c r="AE889" s="17" t="b">
        <f t="shared" si="83"/>
        <v>0</v>
      </c>
    </row>
    <row r="890" spans="1:31" x14ac:dyDescent="0.2">
      <c r="A890" s="16">
        <v>6000028719</v>
      </c>
      <c r="B890" t="s">
        <v>301</v>
      </c>
      <c r="C890" t="s">
        <v>301</v>
      </c>
      <c r="D890" t="s">
        <v>1</v>
      </c>
      <c r="E890" t="s">
        <v>1320</v>
      </c>
      <c r="F890" t="s">
        <v>1321</v>
      </c>
      <c r="G890" s="2">
        <v>2</v>
      </c>
      <c r="H890" t="s">
        <v>461</v>
      </c>
      <c r="I890" t="s">
        <v>3</v>
      </c>
      <c r="J890" t="s">
        <v>5</v>
      </c>
      <c r="K890" t="s">
        <v>605</v>
      </c>
      <c r="L890" t="s">
        <v>608</v>
      </c>
      <c r="M890" t="s">
        <v>1322</v>
      </c>
      <c r="N890" t="s">
        <v>602</v>
      </c>
      <c r="O890" t="s">
        <v>603</v>
      </c>
      <c r="P890" t="s">
        <v>602</v>
      </c>
      <c r="Q890" s="17">
        <f>IFERROR(VLOOKUP(A890,已除帳印單!B:C,1,0),0)*1</f>
        <v>0</v>
      </c>
      <c r="R890" s="67" t="str">
        <f>IFERROR(VLOOKUP(J890,線別!A:B,2,1),"")</f>
        <v>FM線</v>
      </c>
      <c r="S890" s="17" t="str">
        <f>IFERROR(VLOOKUP(A890,已除帳印單!B:C,2,0),"")</f>
        <v/>
      </c>
      <c r="T890" s="68">
        <f t="shared" si="84"/>
        <v>43894</v>
      </c>
      <c r="U890" s="69">
        <f t="shared" si="85"/>
        <v>84.168796296296293</v>
      </c>
      <c r="V890" s="68" t="str">
        <f>IFERROR(VLOOKUP(A890,已除帳印單!B:D,3,0),"")</f>
        <v/>
      </c>
      <c r="W890" s="69" t="str">
        <f>IFERROR(VLOOKUP(A890,已除帳印單!B:E,4,0),"")</f>
        <v/>
      </c>
      <c r="X890" s="68" t="str">
        <f>IFERROR(INDEX(刷條碼區!A:C,MATCH(點上線資訊!S890,刷條碼區!C:C,0),1),"")</f>
        <v/>
      </c>
      <c r="Y890" s="69" t="str">
        <f>IFERROR(INDEX(刷條碼區!A:C,MATCH(點上線資訊!S890,刷條碼區!C:C,0),2),"")</f>
        <v/>
      </c>
      <c r="Z890" s="70" t="str">
        <f>IFERROR(INDEX(刷條碼區!D:G,MATCH(點上線資訊!S890,刷條碼區!F:F,0),1),"")</f>
        <v/>
      </c>
      <c r="AA890" s="71" t="str">
        <f>IFERROR(INDEX(刷條碼區!D:G,MATCH(點上線資訊!S890,刷條碼區!F:F,0),2),"")</f>
        <v/>
      </c>
      <c r="AB890" s="20" t="b">
        <f t="shared" si="80"/>
        <v>0</v>
      </c>
      <c r="AC890" s="20" t="b">
        <f t="shared" si="81"/>
        <v>0</v>
      </c>
      <c r="AD890" s="17" t="b">
        <f t="shared" si="82"/>
        <v>0</v>
      </c>
      <c r="AE890" s="17" t="b">
        <f t="shared" si="83"/>
        <v>0</v>
      </c>
    </row>
    <row r="891" spans="1:31" x14ac:dyDescent="0.2">
      <c r="A891" s="16">
        <v>6000028724</v>
      </c>
      <c r="B891" t="s">
        <v>6</v>
      </c>
      <c r="C891" t="s">
        <v>6</v>
      </c>
      <c r="D891" t="s">
        <v>1</v>
      </c>
      <c r="E891" t="s">
        <v>1323</v>
      </c>
      <c r="F891" t="s">
        <v>1324</v>
      </c>
      <c r="G891" s="2">
        <v>2</v>
      </c>
      <c r="H891" t="s">
        <v>461</v>
      </c>
      <c r="I891" t="s">
        <v>3</v>
      </c>
      <c r="J891" t="s">
        <v>5</v>
      </c>
      <c r="K891" t="s">
        <v>605</v>
      </c>
      <c r="L891" t="s">
        <v>608</v>
      </c>
      <c r="M891" t="s">
        <v>1325</v>
      </c>
      <c r="N891" t="s">
        <v>602</v>
      </c>
      <c r="O891" t="s">
        <v>603</v>
      </c>
      <c r="P891" t="s">
        <v>602</v>
      </c>
      <c r="Q891" s="17">
        <f>IFERROR(VLOOKUP(A891,已除帳印單!B:C,1,0),0)*1</f>
        <v>0</v>
      </c>
      <c r="R891" s="67" t="str">
        <f>IFERROR(VLOOKUP(J891,線別!A:B,2,1),"")</f>
        <v>FM線</v>
      </c>
      <c r="S891" s="17" t="str">
        <f>IFERROR(VLOOKUP(A891,已除帳印單!B:C,2,0),"")</f>
        <v/>
      </c>
      <c r="T891" s="68">
        <f t="shared" si="84"/>
        <v>43893</v>
      </c>
      <c r="U891" s="69">
        <f t="shared" si="85"/>
        <v>84.168784722222213</v>
      </c>
      <c r="V891" s="68" t="str">
        <f>IFERROR(VLOOKUP(A891,已除帳印單!B:D,3,0),"")</f>
        <v/>
      </c>
      <c r="W891" s="69" t="str">
        <f>IFERROR(VLOOKUP(A891,已除帳印單!B:E,4,0),"")</f>
        <v/>
      </c>
      <c r="X891" s="68" t="str">
        <f>IFERROR(INDEX(刷條碼區!A:C,MATCH(點上線資訊!S891,刷條碼區!C:C,0),1),"")</f>
        <v/>
      </c>
      <c r="Y891" s="69" t="str">
        <f>IFERROR(INDEX(刷條碼區!A:C,MATCH(點上線資訊!S891,刷條碼區!C:C,0),2),"")</f>
        <v/>
      </c>
      <c r="Z891" s="70" t="str">
        <f>IFERROR(INDEX(刷條碼區!D:G,MATCH(點上線資訊!S891,刷條碼區!F:F,0),1),"")</f>
        <v/>
      </c>
      <c r="AA891" s="71" t="str">
        <f>IFERROR(INDEX(刷條碼區!D:G,MATCH(點上線資訊!S891,刷條碼區!F:F,0),2),"")</f>
        <v/>
      </c>
      <c r="AB891" s="20" t="b">
        <f t="shared" si="80"/>
        <v>0</v>
      </c>
      <c r="AC891" s="20" t="b">
        <f t="shared" si="81"/>
        <v>0</v>
      </c>
      <c r="AD891" s="17" t="b">
        <f t="shared" si="82"/>
        <v>0</v>
      </c>
      <c r="AE891" s="17" t="b">
        <f t="shared" si="83"/>
        <v>0</v>
      </c>
    </row>
    <row r="892" spans="1:31" x14ac:dyDescent="0.2">
      <c r="A892" s="16">
        <v>6000029214</v>
      </c>
      <c r="B892" t="s">
        <v>6</v>
      </c>
      <c r="C892" t="s">
        <v>6</v>
      </c>
      <c r="D892" t="s">
        <v>1</v>
      </c>
      <c r="E892" t="s">
        <v>1326</v>
      </c>
      <c r="F892" t="s">
        <v>1327</v>
      </c>
      <c r="G892" s="2">
        <v>3</v>
      </c>
      <c r="H892" t="s">
        <v>461</v>
      </c>
      <c r="I892" t="s">
        <v>3</v>
      </c>
      <c r="J892" t="s">
        <v>19</v>
      </c>
      <c r="K892" t="s">
        <v>605</v>
      </c>
      <c r="L892" t="s">
        <v>608</v>
      </c>
      <c r="M892" t="s">
        <v>1328</v>
      </c>
      <c r="N892" t="s">
        <v>602</v>
      </c>
      <c r="O892" t="s">
        <v>603</v>
      </c>
      <c r="P892" t="s">
        <v>602</v>
      </c>
      <c r="Q892" s="17">
        <f>IFERROR(VLOOKUP(A892,已除帳印單!B:C,1,0),0)*1</f>
        <v>0</v>
      </c>
      <c r="R892" s="67" t="str">
        <f>IFERROR(VLOOKUP(J892,線別!A:B,2,1),"")</f>
        <v>FM_IA預組</v>
      </c>
      <c r="S892" s="17" t="str">
        <f>IFERROR(VLOOKUP(A892,已除帳印單!B:C,2,0),"")</f>
        <v/>
      </c>
      <c r="T892" s="68">
        <f t="shared" si="84"/>
        <v>43893</v>
      </c>
      <c r="U892" s="69">
        <f t="shared" si="85"/>
        <v>84.168784722222213</v>
      </c>
      <c r="V892" s="68" t="str">
        <f>IFERROR(VLOOKUP(A892,已除帳印單!B:D,3,0),"")</f>
        <v/>
      </c>
      <c r="W892" s="69" t="str">
        <f>IFERROR(VLOOKUP(A892,已除帳印單!B:E,4,0),"")</f>
        <v/>
      </c>
      <c r="X892" s="68" t="str">
        <f>IFERROR(INDEX(刷條碼區!A:C,MATCH(點上線資訊!S892,刷條碼區!C:C,0),1),"")</f>
        <v/>
      </c>
      <c r="Y892" s="69" t="str">
        <f>IFERROR(INDEX(刷條碼區!A:C,MATCH(點上線資訊!S892,刷條碼區!C:C,0),2),"")</f>
        <v/>
      </c>
      <c r="Z892" s="70" t="str">
        <f>IFERROR(INDEX(刷條碼區!D:G,MATCH(點上線資訊!S892,刷條碼區!F:F,0),1),"")</f>
        <v/>
      </c>
      <c r="AA892" s="71" t="str">
        <f>IFERROR(INDEX(刷條碼區!D:G,MATCH(點上線資訊!S892,刷條碼區!F:F,0),2),"")</f>
        <v/>
      </c>
      <c r="AB892" s="20" t="b">
        <f t="shared" si="80"/>
        <v>0</v>
      </c>
      <c r="AC892" s="20" t="b">
        <f t="shared" si="81"/>
        <v>0</v>
      </c>
      <c r="AD892" s="17" t="b">
        <f t="shared" si="82"/>
        <v>0</v>
      </c>
      <c r="AE892" s="17" t="b">
        <f t="shared" si="83"/>
        <v>0</v>
      </c>
    </row>
    <row r="893" spans="1:31" x14ac:dyDescent="0.2">
      <c r="A893" s="16">
        <v>6000029378</v>
      </c>
      <c r="B893" t="s">
        <v>301</v>
      </c>
      <c r="C893" t="s">
        <v>301</v>
      </c>
      <c r="D893" t="s">
        <v>1</v>
      </c>
      <c r="E893" t="s">
        <v>606</v>
      </c>
      <c r="F893" t="s">
        <v>607</v>
      </c>
      <c r="G893" s="2">
        <v>7</v>
      </c>
      <c r="H893" t="s">
        <v>461</v>
      </c>
      <c r="I893" t="s">
        <v>3</v>
      </c>
      <c r="J893" t="s">
        <v>5</v>
      </c>
      <c r="K893" t="s">
        <v>605</v>
      </c>
      <c r="L893" t="s">
        <v>608</v>
      </c>
      <c r="M893" t="s">
        <v>1249</v>
      </c>
      <c r="N893" t="s">
        <v>602</v>
      </c>
      <c r="O893" t="s">
        <v>603</v>
      </c>
      <c r="P893" t="s">
        <v>602</v>
      </c>
      <c r="Q893" s="17">
        <f>IFERROR(VLOOKUP(A893,已除帳印單!B:C,1,0),0)*1</f>
        <v>0</v>
      </c>
      <c r="R893" s="67" t="str">
        <f>IFERROR(VLOOKUP(J893,線別!A:B,2,1),"")</f>
        <v>FM線</v>
      </c>
      <c r="S893" s="17" t="str">
        <f>IFERROR(VLOOKUP(A893,已除帳印單!B:C,2,0),"")</f>
        <v/>
      </c>
      <c r="T893" s="68">
        <f t="shared" si="84"/>
        <v>43894</v>
      </c>
      <c r="U893" s="69">
        <f t="shared" si="85"/>
        <v>84.168796296296293</v>
      </c>
      <c r="V893" s="68" t="str">
        <f>IFERROR(VLOOKUP(A893,已除帳印單!B:D,3,0),"")</f>
        <v/>
      </c>
      <c r="W893" s="69" t="str">
        <f>IFERROR(VLOOKUP(A893,已除帳印單!B:E,4,0),"")</f>
        <v/>
      </c>
      <c r="X893" s="68" t="str">
        <f>IFERROR(INDEX(刷條碼區!A:C,MATCH(點上線資訊!S893,刷條碼區!C:C,0),1),"")</f>
        <v/>
      </c>
      <c r="Y893" s="69" t="str">
        <f>IFERROR(INDEX(刷條碼區!A:C,MATCH(點上線資訊!S893,刷條碼區!C:C,0),2),"")</f>
        <v/>
      </c>
      <c r="Z893" s="70" t="str">
        <f>IFERROR(INDEX(刷條碼區!D:G,MATCH(點上線資訊!S893,刷條碼區!F:F,0),1),"")</f>
        <v/>
      </c>
      <c r="AA893" s="71" t="str">
        <f>IFERROR(INDEX(刷條碼區!D:G,MATCH(點上線資訊!S893,刷條碼區!F:F,0),2),"")</f>
        <v/>
      </c>
      <c r="AB893" s="20" t="b">
        <f t="shared" si="80"/>
        <v>0</v>
      </c>
      <c r="AC893" s="20" t="b">
        <f t="shared" si="81"/>
        <v>0</v>
      </c>
      <c r="AD893" s="17" t="b">
        <f t="shared" si="82"/>
        <v>0</v>
      </c>
      <c r="AE893" s="17" t="b">
        <f t="shared" si="83"/>
        <v>0</v>
      </c>
    </row>
    <row r="894" spans="1:31" x14ac:dyDescent="0.2">
      <c r="A894" s="16">
        <v>6000029446</v>
      </c>
      <c r="B894" t="s">
        <v>6</v>
      </c>
      <c r="C894" t="s">
        <v>6</v>
      </c>
      <c r="D894" t="s">
        <v>1</v>
      </c>
      <c r="E894" t="s">
        <v>1329</v>
      </c>
      <c r="F894" t="s">
        <v>1330</v>
      </c>
      <c r="G894" s="2">
        <v>7</v>
      </c>
      <c r="H894" t="s">
        <v>461</v>
      </c>
      <c r="I894" t="s">
        <v>3</v>
      </c>
      <c r="J894" t="s">
        <v>19</v>
      </c>
      <c r="K894" t="s">
        <v>605</v>
      </c>
      <c r="L894" t="s">
        <v>608</v>
      </c>
      <c r="M894" t="s">
        <v>441</v>
      </c>
      <c r="N894" t="s">
        <v>602</v>
      </c>
      <c r="O894" t="s">
        <v>603</v>
      </c>
      <c r="P894" t="s">
        <v>602</v>
      </c>
      <c r="Q894" s="17">
        <f>IFERROR(VLOOKUP(A894,已除帳印單!B:C,1,0),0)*1</f>
        <v>0</v>
      </c>
      <c r="R894" s="67" t="str">
        <f>IFERROR(VLOOKUP(J894,線別!A:B,2,1),"")</f>
        <v>FM_IA預組</v>
      </c>
      <c r="S894" s="17" t="str">
        <f>IFERROR(VLOOKUP(A894,已除帳印單!B:C,2,0),"")</f>
        <v/>
      </c>
      <c r="T894" s="68">
        <f t="shared" si="84"/>
        <v>43893</v>
      </c>
      <c r="U894" s="69">
        <f t="shared" si="85"/>
        <v>84.168784722222213</v>
      </c>
      <c r="V894" s="68" t="str">
        <f>IFERROR(VLOOKUP(A894,已除帳印單!B:D,3,0),"")</f>
        <v/>
      </c>
      <c r="W894" s="69" t="str">
        <f>IFERROR(VLOOKUP(A894,已除帳印單!B:E,4,0),"")</f>
        <v/>
      </c>
      <c r="X894" s="68" t="str">
        <f>IFERROR(INDEX(刷條碼區!A:C,MATCH(點上線資訊!S894,刷條碼區!C:C,0),1),"")</f>
        <v/>
      </c>
      <c r="Y894" s="69" t="str">
        <f>IFERROR(INDEX(刷條碼區!A:C,MATCH(點上線資訊!S894,刷條碼區!C:C,0),2),"")</f>
        <v/>
      </c>
      <c r="Z894" s="70" t="str">
        <f>IFERROR(INDEX(刷條碼區!D:G,MATCH(點上線資訊!S894,刷條碼區!F:F,0),1),"")</f>
        <v/>
      </c>
      <c r="AA894" s="71" t="str">
        <f>IFERROR(INDEX(刷條碼區!D:G,MATCH(點上線資訊!S894,刷條碼區!F:F,0),2),"")</f>
        <v/>
      </c>
      <c r="AB894" s="20" t="b">
        <f t="shared" si="80"/>
        <v>0</v>
      </c>
      <c r="AC894" s="20" t="b">
        <f t="shared" si="81"/>
        <v>0</v>
      </c>
      <c r="AD894" s="17" t="b">
        <f t="shared" si="82"/>
        <v>0</v>
      </c>
      <c r="AE894" s="17" t="b">
        <f t="shared" si="83"/>
        <v>0</v>
      </c>
    </row>
    <row r="895" spans="1:31" x14ac:dyDescent="0.2">
      <c r="A895" s="16">
        <v>6000029516</v>
      </c>
      <c r="B895" t="s">
        <v>301</v>
      </c>
      <c r="C895" t="s">
        <v>301</v>
      </c>
      <c r="D895" t="s">
        <v>1</v>
      </c>
      <c r="E895" t="s">
        <v>381</v>
      </c>
      <c r="F895" t="s">
        <v>382</v>
      </c>
      <c r="G895" s="2">
        <v>4</v>
      </c>
      <c r="H895" t="s">
        <v>461</v>
      </c>
      <c r="I895" t="s">
        <v>3</v>
      </c>
      <c r="J895" t="s">
        <v>19</v>
      </c>
      <c r="K895" t="s">
        <v>605</v>
      </c>
      <c r="L895" t="s">
        <v>608</v>
      </c>
      <c r="M895" t="s">
        <v>443</v>
      </c>
      <c r="N895" t="s">
        <v>602</v>
      </c>
      <c r="O895" t="s">
        <v>603</v>
      </c>
      <c r="P895" t="s">
        <v>602</v>
      </c>
      <c r="Q895" s="17">
        <f>IFERROR(VLOOKUP(A895,已除帳印單!B:C,1,0),0)*1</f>
        <v>0</v>
      </c>
      <c r="R895" s="67" t="str">
        <f>IFERROR(VLOOKUP(J895,線別!A:B,2,1),"")</f>
        <v>FM_IA預組</v>
      </c>
      <c r="S895" s="17" t="str">
        <f>IFERROR(VLOOKUP(A895,已除帳印單!B:C,2,0),"")</f>
        <v/>
      </c>
      <c r="T895" s="68">
        <f t="shared" si="84"/>
        <v>43894</v>
      </c>
      <c r="U895" s="69">
        <f t="shared" si="85"/>
        <v>84.168796296296293</v>
      </c>
      <c r="V895" s="68" t="str">
        <f>IFERROR(VLOOKUP(A895,已除帳印單!B:D,3,0),"")</f>
        <v/>
      </c>
      <c r="W895" s="69" t="str">
        <f>IFERROR(VLOOKUP(A895,已除帳印單!B:E,4,0),"")</f>
        <v/>
      </c>
      <c r="X895" s="68" t="str">
        <f>IFERROR(INDEX(刷條碼區!A:C,MATCH(點上線資訊!S895,刷條碼區!C:C,0),1),"")</f>
        <v/>
      </c>
      <c r="Y895" s="69" t="str">
        <f>IFERROR(INDEX(刷條碼區!A:C,MATCH(點上線資訊!S895,刷條碼區!C:C,0),2),"")</f>
        <v/>
      </c>
      <c r="Z895" s="70" t="str">
        <f>IFERROR(INDEX(刷條碼區!D:G,MATCH(點上線資訊!S895,刷條碼區!F:F,0),1),"")</f>
        <v/>
      </c>
      <c r="AA895" s="71" t="str">
        <f>IFERROR(INDEX(刷條碼區!D:G,MATCH(點上線資訊!S895,刷條碼區!F:F,0),2),"")</f>
        <v/>
      </c>
      <c r="AB895" s="20" t="b">
        <f t="shared" si="80"/>
        <v>0</v>
      </c>
      <c r="AC895" s="20" t="b">
        <f t="shared" si="81"/>
        <v>0</v>
      </c>
      <c r="AD895" s="17" t="b">
        <f t="shared" si="82"/>
        <v>0</v>
      </c>
      <c r="AE895" s="17" t="b">
        <f t="shared" si="83"/>
        <v>0</v>
      </c>
    </row>
    <row r="896" spans="1:31" x14ac:dyDescent="0.2">
      <c r="A896" s="16">
        <v>6000029517</v>
      </c>
      <c r="B896" t="s">
        <v>301</v>
      </c>
      <c r="C896" t="s">
        <v>301</v>
      </c>
      <c r="D896" t="s">
        <v>1</v>
      </c>
      <c r="E896" t="s">
        <v>392</v>
      </c>
      <c r="F896" t="s">
        <v>393</v>
      </c>
      <c r="G896" s="2">
        <v>5</v>
      </c>
      <c r="H896" t="s">
        <v>461</v>
      </c>
      <c r="I896" t="s">
        <v>3</v>
      </c>
      <c r="J896" t="s">
        <v>19</v>
      </c>
      <c r="K896" t="s">
        <v>605</v>
      </c>
      <c r="L896" t="s">
        <v>608</v>
      </c>
      <c r="M896" t="s">
        <v>1289</v>
      </c>
      <c r="N896" t="s">
        <v>602</v>
      </c>
      <c r="O896" t="s">
        <v>603</v>
      </c>
      <c r="P896" t="s">
        <v>602</v>
      </c>
      <c r="Q896" s="17">
        <f>IFERROR(VLOOKUP(A896,已除帳印單!B:C,1,0),0)*1</f>
        <v>0</v>
      </c>
      <c r="R896" s="67" t="str">
        <f>IFERROR(VLOOKUP(J896,線別!A:B,2,1),"")</f>
        <v>FM_IA預組</v>
      </c>
      <c r="S896" s="17" t="str">
        <f>IFERROR(VLOOKUP(A896,已除帳印單!B:C,2,0),"")</f>
        <v/>
      </c>
      <c r="T896" s="68">
        <f t="shared" si="84"/>
        <v>43894</v>
      </c>
      <c r="U896" s="69">
        <f t="shared" si="85"/>
        <v>84.168796296296293</v>
      </c>
      <c r="V896" s="68" t="str">
        <f>IFERROR(VLOOKUP(A896,已除帳印單!B:D,3,0),"")</f>
        <v/>
      </c>
      <c r="W896" s="69" t="str">
        <f>IFERROR(VLOOKUP(A896,已除帳印單!B:E,4,0),"")</f>
        <v/>
      </c>
      <c r="X896" s="68" t="str">
        <f>IFERROR(INDEX(刷條碼區!A:C,MATCH(點上線資訊!S896,刷條碼區!C:C,0),1),"")</f>
        <v/>
      </c>
      <c r="Y896" s="69" t="str">
        <f>IFERROR(INDEX(刷條碼區!A:C,MATCH(點上線資訊!S896,刷條碼區!C:C,0),2),"")</f>
        <v/>
      </c>
      <c r="Z896" s="70" t="str">
        <f>IFERROR(INDEX(刷條碼區!D:G,MATCH(點上線資訊!S896,刷條碼區!F:F,0),1),"")</f>
        <v/>
      </c>
      <c r="AA896" s="71" t="str">
        <f>IFERROR(INDEX(刷條碼區!D:G,MATCH(點上線資訊!S896,刷條碼區!F:F,0),2),"")</f>
        <v/>
      </c>
      <c r="AB896" s="20" t="b">
        <f t="shared" si="80"/>
        <v>0</v>
      </c>
      <c r="AC896" s="20" t="b">
        <f t="shared" si="81"/>
        <v>0</v>
      </c>
      <c r="AD896" s="17" t="b">
        <f t="shared" si="82"/>
        <v>0</v>
      </c>
      <c r="AE896" s="17" t="b">
        <f t="shared" si="83"/>
        <v>0</v>
      </c>
    </row>
    <row r="897" spans="16:31" x14ac:dyDescent="0.2">
      <c r="P897" t="s">
        <v>602</v>
      </c>
      <c r="Q897" s="17">
        <f>IFERROR(VLOOKUP(A897,已除帳印單!B:C,1,0),0)*1</f>
        <v>0</v>
      </c>
      <c r="R897" s="67" t="str">
        <f>IFERROR(VLOOKUP(J897,線別!A:B,2,1),"")</f>
        <v/>
      </c>
      <c r="S897" s="17" t="str">
        <f>IFERROR(VLOOKUP(A897,已除帳印單!B:C,2,0),"")</f>
        <v/>
      </c>
      <c r="T897" s="68" t="e">
        <f t="shared" si="84"/>
        <v>#VALUE!</v>
      </c>
      <c r="U897" s="69">
        <f t="shared" si="85"/>
        <v>0</v>
      </c>
      <c r="V897" s="68" t="str">
        <f>IFERROR(VLOOKUP(A897,已除帳印單!B:D,3,0),"")</f>
        <v/>
      </c>
      <c r="W897" s="69" t="str">
        <f>IFERROR(VLOOKUP(A897,已除帳印單!B:E,4,0),"")</f>
        <v/>
      </c>
      <c r="X897" s="68" t="str">
        <f>IFERROR(INDEX(刷條碼區!A:C,MATCH(點上線資訊!S897,刷條碼區!C:C,0),1),"")</f>
        <v/>
      </c>
      <c r="Y897" s="69" t="str">
        <f>IFERROR(INDEX(刷條碼區!A:C,MATCH(點上線資訊!S897,刷條碼區!C:C,0),2),"")</f>
        <v/>
      </c>
      <c r="Z897" s="70" t="str">
        <f>IFERROR(INDEX(刷條碼區!D:G,MATCH(點上線資訊!S897,刷條碼區!F:F,0),1),"")</f>
        <v/>
      </c>
      <c r="AA897" s="71" t="str">
        <f>IFERROR(INDEX(刷條碼區!D:G,MATCH(點上線資訊!S897,刷條碼區!F:F,0),2),"")</f>
        <v/>
      </c>
      <c r="AB897" s="20">
        <f t="shared" si="80"/>
        <v>0</v>
      </c>
      <c r="AC897" s="20" t="b">
        <f t="shared" si="81"/>
        <v>0</v>
      </c>
      <c r="AD897" s="17" t="b">
        <f t="shared" si="82"/>
        <v>0</v>
      </c>
      <c r="AE897" s="17" t="b">
        <f t="shared" si="83"/>
        <v>0</v>
      </c>
    </row>
    <row r="898" spans="16:31" x14ac:dyDescent="0.2">
      <c r="P898" t="s">
        <v>602</v>
      </c>
      <c r="Q898" s="17">
        <f>IFERROR(VLOOKUP(A898,已除帳印單!B:C,1,0),0)*1</f>
        <v>0</v>
      </c>
      <c r="R898" s="67" t="str">
        <f>IFERROR(VLOOKUP(J898,線別!A:B,2,1),"")</f>
        <v/>
      </c>
      <c r="S898" s="17" t="str">
        <f>IFERROR(VLOOKUP(A898,已除帳印單!B:C,2,0),"")</f>
        <v/>
      </c>
      <c r="T898" s="68" t="e">
        <f t="shared" si="84"/>
        <v>#VALUE!</v>
      </c>
      <c r="U898" s="69">
        <f t="shared" si="85"/>
        <v>0</v>
      </c>
      <c r="V898" s="68" t="str">
        <f>IFERROR(VLOOKUP(A898,已除帳印單!B:D,3,0),"")</f>
        <v/>
      </c>
      <c r="W898" s="69" t="str">
        <f>IFERROR(VLOOKUP(A898,已除帳印單!B:E,4,0),"")</f>
        <v/>
      </c>
      <c r="X898" s="68" t="str">
        <f>IFERROR(INDEX(刷條碼區!A:C,MATCH(點上線資訊!S898,刷條碼區!C:C,0),1),"")</f>
        <v/>
      </c>
      <c r="Y898" s="69" t="str">
        <f>IFERROR(INDEX(刷條碼區!A:C,MATCH(點上線資訊!S898,刷條碼區!C:C,0),2),"")</f>
        <v/>
      </c>
      <c r="Z898" s="70" t="str">
        <f>IFERROR(INDEX(刷條碼區!D:G,MATCH(點上線資訊!S898,刷條碼區!F:F,0),1),"")</f>
        <v/>
      </c>
      <c r="AA898" s="71" t="str">
        <f>IFERROR(INDEX(刷條碼區!D:G,MATCH(點上線資訊!S898,刷條碼區!F:F,0),2),"")</f>
        <v/>
      </c>
      <c r="AB898" s="20">
        <f t="shared" si="80"/>
        <v>0</v>
      </c>
      <c r="AC898" s="20" t="b">
        <f t="shared" si="81"/>
        <v>0</v>
      </c>
      <c r="AD898" s="17" t="b">
        <f t="shared" si="82"/>
        <v>0</v>
      </c>
      <c r="AE898" s="17" t="b">
        <f t="shared" si="83"/>
        <v>0</v>
      </c>
    </row>
    <row r="899" spans="16:31" x14ac:dyDescent="0.2">
      <c r="P899" t="s">
        <v>602</v>
      </c>
      <c r="Q899" s="17">
        <f>IFERROR(VLOOKUP(A899,已除帳印單!B:C,1,0),0)*1</f>
        <v>0</v>
      </c>
      <c r="R899" s="67" t="str">
        <f>IFERROR(VLOOKUP(J899,線別!A:B,2,1),"")</f>
        <v/>
      </c>
      <c r="S899" s="17" t="str">
        <f>IFERROR(VLOOKUP(A899,已除帳印單!B:C,2,0),"")</f>
        <v/>
      </c>
      <c r="T899" s="68" t="e">
        <f t="shared" si="84"/>
        <v>#VALUE!</v>
      </c>
      <c r="U899" s="69">
        <f t="shared" si="85"/>
        <v>0</v>
      </c>
      <c r="V899" s="68" t="str">
        <f>IFERROR(VLOOKUP(A899,已除帳印單!B:D,3,0),"")</f>
        <v/>
      </c>
      <c r="W899" s="69" t="str">
        <f>IFERROR(VLOOKUP(A899,已除帳印單!B:E,4,0),"")</f>
        <v/>
      </c>
      <c r="X899" s="68" t="str">
        <f>IFERROR(INDEX(刷條碼區!A:C,MATCH(點上線資訊!S899,刷條碼區!C:C,0),1),"")</f>
        <v/>
      </c>
      <c r="Y899" s="69" t="str">
        <f>IFERROR(INDEX(刷條碼區!A:C,MATCH(點上線資訊!S899,刷條碼區!C:C,0),2),"")</f>
        <v/>
      </c>
      <c r="Z899" s="70" t="str">
        <f>IFERROR(INDEX(刷條碼區!D:G,MATCH(點上線資訊!S899,刷條碼區!F:F,0),1),"")</f>
        <v/>
      </c>
      <c r="AA899" s="71" t="str">
        <f>IFERROR(INDEX(刷條碼區!D:G,MATCH(點上線資訊!S899,刷條碼區!F:F,0),2),"")</f>
        <v/>
      </c>
      <c r="AB899" s="20">
        <f t="shared" ref="AB899:AB948" si="86">IF(K899&amp;N899="",G899)</f>
        <v>0</v>
      </c>
      <c r="AC899" s="20" t="b">
        <f t="shared" ref="AC899:AC948" si="87">IF(S899&lt;&gt;"",G899)</f>
        <v>0</v>
      </c>
      <c r="AD899" s="17" t="b">
        <f t="shared" ref="AD899:AD948" si="88">IF(X899&lt;&gt;"",G899)</f>
        <v>0</v>
      </c>
      <c r="AE899" s="17" t="b">
        <f t="shared" ref="AE899:AE948" si="89">IF(Z899&lt;&gt;"",G899)</f>
        <v>0</v>
      </c>
    </row>
    <row r="900" spans="16:31" x14ac:dyDescent="0.2">
      <c r="P900" t="s">
        <v>602</v>
      </c>
      <c r="Q900" s="17">
        <f>IFERROR(VLOOKUP(A900,已除帳印單!B:C,1,0),0)*1</f>
        <v>0</v>
      </c>
      <c r="R900" s="67" t="str">
        <f>IFERROR(VLOOKUP(J900,線別!A:B,2,1),"")</f>
        <v/>
      </c>
      <c r="S900" s="17" t="str">
        <f>IFERROR(VLOOKUP(A900,已除帳印單!B:C,2,0),"")</f>
        <v/>
      </c>
      <c r="T900" s="68" t="e">
        <f t="shared" si="84"/>
        <v>#VALUE!</v>
      </c>
      <c r="U900" s="69">
        <f t="shared" si="85"/>
        <v>0</v>
      </c>
      <c r="V900" s="68" t="str">
        <f>IFERROR(VLOOKUP(A900,已除帳印單!B:D,3,0),"")</f>
        <v/>
      </c>
      <c r="W900" s="69" t="str">
        <f>IFERROR(VLOOKUP(A900,已除帳印單!B:E,4,0),"")</f>
        <v/>
      </c>
      <c r="X900" s="68" t="str">
        <f>IFERROR(INDEX(刷條碼區!A:C,MATCH(點上線資訊!S900,刷條碼區!C:C,0),1),"")</f>
        <v/>
      </c>
      <c r="Y900" s="69" t="str">
        <f>IFERROR(INDEX(刷條碼區!A:C,MATCH(點上線資訊!S900,刷條碼區!C:C,0),2),"")</f>
        <v/>
      </c>
      <c r="Z900" s="70" t="str">
        <f>IFERROR(INDEX(刷條碼區!D:G,MATCH(點上線資訊!S900,刷條碼區!F:F,0),1),"")</f>
        <v/>
      </c>
      <c r="AA900" s="71" t="str">
        <f>IFERROR(INDEX(刷條碼區!D:G,MATCH(點上線資訊!S900,刷條碼區!F:F,0),2),"")</f>
        <v/>
      </c>
      <c r="AB900" s="20">
        <f t="shared" si="86"/>
        <v>0</v>
      </c>
      <c r="AC900" s="20" t="b">
        <f t="shared" si="87"/>
        <v>0</v>
      </c>
      <c r="AD900" s="17" t="b">
        <f t="shared" si="88"/>
        <v>0</v>
      </c>
      <c r="AE900" s="17" t="b">
        <f t="shared" si="89"/>
        <v>0</v>
      </c>
    </row>
    <row r="901" spans="16:31" x14ac:dyDescent="0.2">
      <c r="P901" t="s">
        <v>602</v>
      </c>
      <c r="Q901" s="17">
        <f>IFERROR(VLOOKUP(A901,已除帳印單!B:C,1,0),0)*1</f>
        <v>0</v>
      </c>
      <c r="R901" s="67" t="str">
        <f>IFERROR(VLOOKUP(J901,線別!A:B,2,1),"")</f>
        <v/>
      </c>
      <c r="S901" s="17" t="str">
        <f>IFERROR(VLOOKUP(A901,已除帳印單!B:C,2,0),"")</f>
        <v/>
      </c>
      <c r="T901" s="68" t="e">
        <f t="shared" si="84"/>
        <v>#VALUE!</v>
      </c>
      <c r="U901" s="69">
        <f t="shared" si="85"/>
        <v>0</v>
      </c>
      <c r="V901" s="68" t="str">
        <f>IFERROR(VLOOKUP(A901,已除帳印單!B:D,3,0),"")</f>
        <v/>
      </c>
      <c r="W901" s="69" t="str">
        <f>IFERROR(VLOOKUP(A901,已除帳印單!B:E,4,0),"")</f>
        <v/>
      </c>
      <c r="X901" s="68" t="str">
        <f>IFERROR(INDEX(刷條碼區!A:C,MATCH(點上線資訊!S901,刷條碼區!C:C,0),1),"")</f>
        <v/>
      </c>
      <c r="Y901" s="69" t="str">
        <f>IFERROR(INDEX(刷條碼區!A:C,MATCH(點上線資訊!S901,刷條碼區!C:C,0),2),"")</f>
        <v/>
      </c>
      <c r="Z901" s="70" t="str">
        <f>IFERROR(INDEX(刷條碼區!D:G,MATCH(點上線資訊!S901,刷條碼區!F:F,0),1),"")</f>
        <v/>
      </c>
      <c r="AA901" s="71" t="str">
        <f>IFERROR(INDEX(刷條碼區!D:G,MATCH(點上線資訊!S901,刷條碼區!F:F,0),2),"")</f>
        <v/>
      </c>
      <c r="AB901" s="20">
        <f t="shared" si="86"/>
        <v>0</v>
      </c>
      <c r="AC901" s="20" t="b">
        <f t="shared" si="87"/>
        <v>0</v>
      </c>
      <c r="AD901" s="17" t="b">
        <f t="shared" si="88"/>
        <v>0</v>
      </c>
      <c r="AE901" s="17" t="b">
        <f t="shared" si="89"/>
        <v>0</v>
      </c>
    </row>
    <row r="902" spans="16:31" x14ac:dyDescent="0.2">
      <c r="P902" t="s">
        <v>602</v>
      </c>
      <c r="Q902" s="17">
        <f>IFERROR(VLOOKUP(A902,已除帳印單!B:C,1,0),0)*1</f>
        <v>0</v>
      </c>
      <c r="R902" s="67" t="str">
        <f>IFERROR(VLOOKUP(J902,線別!A:B,2,1),"")</f>
        <v/>
      </c>
      <c r="S902" s="17" t="str">
        <f>IFERROR(VLOOKUP(A902,已除帳印單!B:C,2,0),"")</f>
        <v/>
      </c>
      <c r="T902" s="68" t="e">
        <f t="shared" si="84"/>
        <v>#VALUE!</v>
      </c>
      <c r="U902" s="69">
        <f t="shared" si="85"/>
        <v>0</v>
      </c>
      <c r="V902" s="68" t="str">
        <f>IFERROR(VLOOKUP(A902,已除帳印單!B:D,3,0),"")</f>
        <v/>
      </c>
      <c r="W902" s="69" t="str">
        <f>IFERROR(VLOOKUP(A902,已除帳印單!B:E,4,0),"")</f>
        <v/>
      </c>
      <c r="X902" s="68" t="str">
        <f>IFERROR(INDEX(刷條碼區!A:C,MATCH(點上線資訊!S902,刷條碼區!C:C,0),1),"")</f>
        <v/>
      </c>
      <c r="Y902" s="69" t="str">
        <f>IFERROR(INDEX(刷條碼區!A:C,MATCH(點上線資訊!S902,刷條碼區!C:C,0),2),"")</f>
        <v/>
      </c>
      <c r="Z902" s="70" t="str">
        <f>IFERROR(INDEX(刷條碼區!D:G,MATCH(點上線資訊!S902,刷條碼區!F:F,0),1),"")</f>
        <v/>
      </c>
      <c r="AA902" s="71" t="str">
        <f>IFERROR(INDEX(刷條碼區!D:G,MATCH(點上線資訊!S902,刷條碼區!F:F,0),2),"")</f>
        <v/>
      </c>
      <c r="AB902" s="20">
        <f t="shared" si="86"/>
        <v>0</v>
      </c>
      <c r="AC902" s="20" t="b">
        <f t="shared" si="87"/>
        <v>0</v>
      </c>
      <c r="AD902" s="17" t="b">
        <f t="shared" si="88"/>
        <v>0</v>
      </c>
      <c r="AE902" s="17" t="b">
        <f t="shared" si="89"/>
        <v>0</v>
      </c>
    </row>
    <row r="903" spans="16:31" x14ac:dyDescent="0.2">
      <c r="P903" t="s">
        <v>602</v>
      </c>
      <c r="Q903" s="17">
        <f>IFERROR(VLOOKUP(A903,已除帳印單!B:C,1,0),0)*1</f>
        <v>0</v>
      </c>
      <c r="R903" s="67" t="str">
        <f>IFERROR(VLOOKUP(J903,線別!A:B,2,1),"")</f>
        <v/>
      </c>
      <c r="S903" s="17" t="str">
        <f>IFERROR(VLOOKUP(A903,已除帳印單!B:C,2,0),"")</f>
        <v/>
      </c>
      <c r="T903" s="68" t="e">
        <f t="shared" si="84"/>
        <v>#VALUE!</v>
      </c>
      <c r="U903" s="69">
        <f t="shared" si="85"/>
        <v>0</v>
      </c>
      <c r="V903" s="68" t="str">
        <f>IFERROR(VLOOKUP(A903,已除帳印單!B:D,3,0),"")</f>
        <v/>
      </c>
      <c r="W903" s="69" t="str">
        <f>IFERROR(VLOOKUP(A903,已除帳印單!B:E,4,0),"")</f>
        <v/>
      </c>
      <c r="X903" s="68" t="str">
        <f>IFERROR(INDEX(刷條碼區!A:C,MATCH(點上線資訊!S903,刷條碼區!C:C,0),1),"")</f>
        <v/>
      </c>
      <c r="Y903" s="69" t="str">
        <f>IFERROR(INDEX(刷條碼區!A:C,MATCH(點上線資訊!S903,刷條碼區!C:C,0),2),"")</f>
        <v/>
      </c>
      <c r="Z903" s="70" t="str">
        <f>IFERROR(INDEX(刷條碼區!D:G,MATCH(點上線資訊!S903,刷條碼區!F:F,0),1),"")</f>
        <v/>
      </c>
      <c r="AA903" s="71" t="str">
        <f>IFERROR(INDEX(刷條碼區!D:G,MATCH(點上線資訊!S903,刷條碼區!F:F,0),2),"")</f>
        <v/>
      </c>
      <c r="AB903" s="20">
        <f t="shared" si="86"/>
        <v>0</v>
      </c>
      <c r="AC903" s="20" t="b">
        <f t="shared" si="87"/>
        <v>0</v>
      </c>
      <c r="AD903" s="17" t="b">
        <f t="shared" si="88"/>
        <v>0</v>
      </c>
      <c r="AE903" s="17" t="b">
        <f t="shared" si="89"/>
        <v>0</v>
      </c>
    </row>
    <row r="904" spans="16:31" x14ac:dyDescent="0.2">
      <c r="P904" t="s">
        <v>602</v>
      </c>
      <c r="Q904" s="17">
        <f>IFERROR(VLOOKUP(A904,已除帳印單!B:C,1,0),0)*1</f>
        <v>0</v>
      </c>
      <c r="R904" s="67" t="str">
        <f>IFERROR(VLOOKUP(J904,線別!A:B,2,1),"")</f>
        <v/>
      </c>
      <c r="S904" s="17" t="str">
        <f>IFERROR(VLOOKUP(A904,已除帳印單!B:C,2,0),"")</f>
        <v/>
      </c>
      <c r="T904" s="68" t="e">
        <f t="shared" si="84"/>
        <v>#VALUE!</v>
      </c>
      <c r="U904" s="69">
        <f t="shared" si="85"/>
        <v>0</v>
      </c>
      <c r="V904" s="68" t="str">
        <f>IFERROR(VLOOKUP(A904,已除帳印單!B:D,3,0),"")</f>
        <v/>
      </c>
      <c r="W904" s="69" t="str">
        <f>IFERROR(VLOOKUP(A904,已除帳印單!B:E,4,0),"")</f>
        <v/>
      </c>
      <c r="X904" s="68" t="str">
        <f>IFERROR(INDEX(刷條碼區!A:C,MATCH(點上線資訊!S904,刷條碼區!C:C,0),1),"")</f>
        <v/>
      </c>
      <c r="Y904" s="69" t="str">
        <f>IFERROR(INDEX(刷條碼區!A:C,MATCH(點上線資訊!S904,刷條碼區!C:C,0),2),"")</f>
        <v/>
      </c>
      <c r="Z904" s="70" t="str">
        <f>IFERROR(INDEX(刷條碼區!D:G,MATCH(點上線資訊!S904,刷條碼區!F:F,0),1),"")</f>
        <v/>
      </c>
      <c r="AA904" s="71" t="str">
        <f>IFERROR(INDEX(刷條碼區!D:G,MATCH(點上線資訊!S904,刷條碼區!F:F,0),2),"")</f>
        <v/>
      </c>
      <c r="AB904" s="20">
        <f t="shared" si="86"/>
        <v>0</v>
      </c>
      <c r="AC904" s="20" t="b">
        <f t="shared" si="87"/>
        <v>0</v>
      </c>
      <c r="AD904" s="17" t="b">
        <f t="shared" si="88"/>
        <v>0</v>
      </c>
      <c r="AE904" s="17" t="b">
        <f t="shared" si="89"/>
        <v>0</v>
      </c>
    </row>
    <row r="905" spans="16:31" x14ac:dyDescent="0.2">
      <c r="P905" t="s">
        <v>602</v>
      </c>
      <c r="Q905" s="17">
        <f>IFERROR(VLOOKUP(A905,已除帳印單!B:C,1,0),0)*1</f>
        <v>0</v>
      </c>
      <c r="R905" s="67" t="str">
        <f>IFERROR(VLOOKUP(J905,線別!A:B,2,1),"")</f>
        <v/>
      </c>
      <c r="S905" s="17" t="str">
        <f>IFERROR(VLOOKUP(A905,已除帳印單!B:C,2,0),"")</f>
        <v/>
      </c>
      <c r="T905" s="68" t="e">
        <f t="shared" si="84"/>
        <v>#VALUE!</v>
      </c>
      <c r="U905" s="69">
        <f t="shared" si="85"/>
        <v>0</v>
      </c>
      <c r="V905" s="68" t="str">
        <f>IFERROR(VLOOKUP(A905,已除帳印單!B:D,3,0),"")</f>
        <v/>
      </c>
      <c r="W905" s="69" t="str">
        <f>IFERROR(VLOOKUP(A905,已除帳印單!B:E,4,0),"")</f>
        <v/>
      </c>
      <c r="X905" s="68" t="str">
        <f>IFERROR(INDEX(刷條碼區!A:C,MATCH(點上線資訊!S905,刷條碼區!C:C,0),1),"")</f>
        <v/>
      </c>
      <c r="Y905" s="69" t="str">
        <f>IFERROR(INDEX(刷條碼區!A:C,MATCH(點上線資訊!S905,刷條碼區!C:C,0),2),"")</f>
        <v/>
      </c>
      <c r="Z905" s="70" t="str">
        <f>IFERROR(INDEX(刷條碼區!D:G,MATCH(點上線資訊!S905,刷條碼區!F:F,0),1),"")</f>
        <v/>
      </c>
      <c r="AA905" s="71" t="str">
        <f>IFERROR(INDEX(刷條碼區!D:G,MATCH(點上線資訊!S905,刷條碼區!F:F,0),2),"")</f>
        <v/>
      </c>
      <c r="AB905" s="20">
        <f t="shared" si="86"/>
        <v>0</v>
      </c>
      <c r="AC905" s="20" t="b">
        <f t="shared" si="87"/>
        <v>0</v>
      </c>
      <c r="AD905" s="17" t="b">
        <f t="shared" si="88"/>
        <v>0</v>
      </c>
      <c r="AE905" s="17" t="b">
        <f t="shared" si="89"/>
        <v>0</v>
      </c>
    </row>
    <row r="906" spans="16:31" x14ac:dyDescent="0.2">
      <c r="P906" t="s">
        <v>602</v>
      </c>
      <c r="Q906" s="17">
        <f>IFERROR(VLOOKUP(A906,已除帳印單!B:C,1,0),0)*1</f>
        <v>0</v>
      </c>
      <c r="R906" s="67" t="str">
        <f>IFERROR(VLOOKUP(J906,線別!A:B,2,1),"")</f>
        <v/>
      </c>
      <c r="S906" s="17" t="str">
        <f>IFERROR(VLOOKUP(A906,已除帳印單!B:C,2,0),"")</f>
        <v/>
      </c>
      <c r="T906" s="68" t="e">
        <f t="shared" ref="T906:T948" si="90">--TEXT(B906,"0000-00-00")</f>
        <v>#VALUE!</v>
      </c>
      <c r="U906" s="69">
        <f t="shared" ref="U906:U948" si="91">--TEXT(C906,"00\:00\:00")</f>
        <v>0</v>
      </c>
      <c r="V906" s="68" t="str">
        <f>IFERROR(VLOOKUP(A906,已除帳印單!B:D,3,0),"")</f>
        <v/>
      </c>
      <c r="W906" s="69" t="str">
        <f>IFERROR(VLOOKUP(A906,已除帳印單!B:E,4,0),"")</f>
        <v/>
      </c>
      <c r="X906" s="68" t="str">
        <f>IFERROR(INDEX(刷條碼區!A:C,MATCH(點上線資訊!S906,刷條碼區!C:C,0),1),"")</f>
        <v/>
      </c>
      <c r="Y906" s="69" t="str">
        <f>IFERROR(INDEX(刷條碼區!A:C,MATCH(點上線資訊!S906,刷條碼區!C:C,0),2),"")</f>
        <v/>
      </c>
      <c r="Z906" s="70" t="str">
        <f>IFERROR(INDEX(刷條碼區!D:G,MATCH(點上線資訊!S906,刷條碼區!F:F,0),1),"")</f>
        <v/>
      </c>
      <c r="AA906" s="71" t="str">
        <f>IFERROR(INDEX(刷條碼區!D:G,MATCH(點上線資訊!S906,刷條碼區!F:F,0),2),"")</f>
        <v/>
      </c>
      <c r="AB906" s="20">
        <f t="shared" si="86"/>
        <v>0</v>
      </c>
      <c r="AC906" s="20" t="b">
        <f t="shared" si="87"/>
        <v>0</v>
      </c>
      <c r="AD906" s="17" t="b">
        <f t="shared" si="88"/>
        <v>0</v>
      </c>
      <c r="AE906" s="17" t="b">
        <f t="shared" si="89"/>
        <v>0</v>
      </c>
    </row>
    <row r="907" spans="16:31" x14ac:dyDescent="0.2">
      <c r="P907" t="s">
        <v>602</v>
      </c>
      <c r="Q907" s="17">
        <f>IFERROR(VLOOKUP(A907,已除帳印單!B:C,1,0),0)*1</f>
        <v>0</v>
      </c>
      <c r="R907" s="67" t="str">
        <f>IFERROR(VLOOKUP(J907,線別!A:B,2,1),"")</f>
        <v/>
      </c>
      <c r="S907" s="17" t="str">
        <f>IFERROR(VLOOKUP(A907,已除帳印單!B:C,2,0),"")</f>
        <v/>
      </c>
      <c r="T907" s="68" t="e">
        <f t="shared" si="90"/>
        <v>#VALUE!</v>
      </c>
      <c r="U907" s="69">
        <f t="shared" si="91"/>
        <v>0</v>
      </c>
      <c r="V907" s="68" t="str">
        <f>IFERROR(VLOOKUP(A907,已除帳印單!B:D,3,0),"")</f>
        <v/>
      </c>
      <c r="W907" s="69" t="str">
        <f>IFERROR(VLOOKUP(A907,已除帳印單!B:E,4,0),"")</f>
        <v/>
      </c>
      <c r="X907" s="68" t="str">
        <f>IFERROR(INDEX(刷條碼區!A:C,MATCH(點上線資訊!S907,刷條碼區!C:C,0),1),"")</f>
        <v/>
      </c>
      <c r="Y907" s="69" t="str">
        <f>IFERROR(INDEX(刷條碼區!A:C,MATCH(點上線資訊!S907,刷條碼區!C:C,0),2),"")</f>
        <v/>
      </c>
      <c r="Z907" s="70" t="str">
        <f>IFERROR(INDEX(刷條碼區!D:G,MATCH(點上線資訊!S907,刷條碼區!F:F,0),1),"")</f>
        <v/>
      </c>
      <c r="AA907" s="71" t="str">
        <f>IFERROR(INDEX(刷條碼區!D:G,MATCH(點上線資訊!S907,刷條碼區!F:F,0),2),"")</f>
        <v/>
      </c>
      <c r="AB907" s="20">
        <f t="shared" si="86"/>
        <v>0</v>
      </c>
      <c r="AC907" s="20" t="b">
        <f t="shared" si="87"/>
        <v>0</v>
      </c>
      <c r="AD907" s="17" t="b">
        <f t="shared" si="88"/>
        <v>0</v>
      </c>
      <c r="AE907" s="17" t="b">
        <f t="shared" si="89"/>
        <v>0</v>
      </c>
    </row>
    <row r="908" spans="16:31" x14ac:dyDescent="0.2">
      <c r="P908" t="s">
        <v>602</v>
      </c>
      <c r="Q908" s="17">
        <f>IFERROR(VLOOKUP(A908,已除帳印單!B:C,1,0),0)*1</f>
        <v>0</v>
      </c>
      <c r="R908" s="67" t="str">
        <f>IFERROR(VLOOKUP(J908,線別!A:B,2,1),"")</f>
        <v/>
      </c>
      <c r="S908" s="17" t="str">
        <f>IFERROR(VLOOKUP(A908,已除帳印單!B:C,2,0),"")</f>
        <v/>
      </c>
      <c r="T908" s="68" t="e">
        <f t="shared" si="90"/>
        <v>#VALUE!</v>
      </c>
      <c r="U908" s="69">
        <f t="shared" si="91"/>
        <v>0</v>
      </c>
      <c r="V908" s="68" t="str">
        <f>IFERROR(VLOOKUP(A908,已除帳印單!B:D,3,0),"")</f>
        <v/>
      </c>
      <c r="W908" s="69" t="str">
        <f>IFERROR(VLOOKUP(A908,已除帳印單!B:E,4,0),"")</f>
        <v/>
      </c>
      <c r="X908" s="68" t="str">
        <f>IFERROR(INDEX(刷條碼區!A:C,MATCH(點上線資訊!S908,刷條碼區!C:C,0),1),"")</f>
        <v/>
      </c>
      <c r="Y908" s="69" t="str">
        <f>IFERROR(INDEX(刷條碼區!A:C,MATCH(點上線資訊!S908,刷條碼區!C:C,0),2),"")</f>
        <v/>
      </c>
      <c r="Z908" s="70" t="str">
        <f>IFERROR(INDEX(刷條碼區!D:G,MATCH(點上線資訊!S908,刷條碼區!F:F,0),1),"")</f>
        <v/>
      </c>
      <c r="AA908" s="71" t="str">
        <f>IFERROR(INDEX(刷條碼區!D:G,MATCH(點上線資訊!S908,刷條碼區!F:F,0),2),"")</f>
        <v/>
      </c>
      <c r="AB908" s="20">
        <f t="shared" si="86"/>
        <v>0</v>
      </c>
      <c r="AC908" s="20" t="b">
        <f t="shared" si="87"/>
        <v>0</v>
      </c>
      <c r="AD908" s="17" t="b">
        <f t="shared" si="88"/>
        <v>0</v>
      </c>
      <c r="AE908" s="17" t="b">
        <f t="shared" si="89"/>
        <v>0</v>
      </c>
    </row>
    <row r="909" spans="16:31" x14ac:dyDescent="0.2">
      <c r="P909" t="s">
        <v>602</v>
      </c>
      <c r="Q909" s="17">
        <f>IFERROR(VLOOKUP(A909,已除帳印單!B:C,1,0),0)*1</f>
        <v>0</v>
      </c>
      <c r="R909" s="67" t="str">
        <f>IFERROR(VLOOKUP(J909,線別!A:B,2,1),"")</f>
        <v/>
      </c>
      <c r="S909" s="17" t="str">
        <f>IFERROR(VLOOKUP(A909,已除帳印單!B:C,2,0),"")</f>
        <v/>
      </c>
      <c r="T909" s="68" t="e">
        <f t="shared" si="90"/>
        <v>#VALUE!</v>
      </c>
      <c r="U909" s="69">
        <f t="shared" si="91"/>
        <v>0</v>
      </c>
      <c r="V909" s="68" t="str">
        <f>IFERROR(VLOOKUP(A909,已除帳印單!B:D,3,0),"")</f>
        <v/>
      </c>
      <c r="W909" s="69" t="str">
        <f>IFERROR(VLOOKUP(A909,已除帳印單!B:E,4,0),"")</f>
        <v/>
      </c>
      <c r="X909" s="68" t="str">
        <f>IFERROR(INDEX(刷條碼區!A:C,MATCH(點上線資訊!S909,刷條碼區!C:C,0),1),"")</f>
        <v/>
      </c>
      <c r="Y909" s="69" t="str">
        <f>IFERROR(INDEX(刷條碼區!A:C,MATCH(點上線資訊!S909,刷條碼區!C:C,0),2),"")</f>
        <v/>
      </c>
      <c r="Z909" s="70" t="str">
        <f>IFERROR(INDEX(刷條碼區!D:G,MATCH(點上線資訊!S909,刷條碼區!F:F,0),1),"")</f>
        <v/>
      </c>
      <c r="AA909" s="71" t="str">
        <f>IFERROR(INDEX(刷條碼區!D:G,MATCH(點上線資訊!S909,刷條碼區!F:F,0),2),"")</f>
        <v/>
      </c>
      <c r="AB909" s="20">
        <f t="shared" si="86"/>
        <v>0</v>
      </c>
      <c r="AC909" s="20" t="b">
        <f t="shared" si="87"/>
        <v>0</v>
      </c>
      <c r="AD909" s="17" t="b">
        <f t="shared" si="88"/>
        <v>0</v>
      </c>
      <c r="AE909" s="17" t="b">
        <f t="shared" si="89"/>
        <v>0</v>
      </c>
    </row>
    <row r="910" spans="16:31" x14ac:dyDescent="0.2">
      <c r="P910" t="s">
        <v>602</v>
      </c>
      <c r="Q910" s="17">
        <f>IFERROR(VLOOKUP(A910,已除帳印單!B:C,1,0),0)*1</f>
        <v>0</v>
      </c>
      <c r="R910" s="67" t="str">
        <f>IFERROR(VLOOKUP(J910,線別!A:B,2,1),"")</f>
        <v/>
      </c>
      <c r="S910" s="17" t="str">
        <f>IFERROR(VLOOKUP(A910,已除帳印單!B:C,2,0),"")</f>
        <v/>
      </c>
      <c r="T910" s="68" t="e">
        <f t="shared" si="90"/>
        <v>#VALUE!</v>
      </c>
      <c r="U910" s="69">
        <f t="shared" si="91"/>
        <v>0</v>
      </c>
      <c r="V910" s="68" t="str">
        <f>IFERROR(VLOOKUP(A910,已除帳印單!B:D,3,0),"")</f>
        <v/>
      </c>
      <c r="W910" s="69" t="str">
        <f>IFERROR(VLOOKUP(A910,已除帳印單!B:E,4,0),"")</f>
        <v/>
      </c>
      <c r="X910" s="68" t="str">
        <f>IFERROR(INDEX(刷條碼區!A:C,MATCH(點上線資訊!S910,刷條碼區!C:C,0),1),"")</f>
        <v/>
      </c>
      <c r="Y910" s="69" t="str">
        <f>IFERROR(INDEX(刷條碼區!A:C,MATCH(點上線資訊!S910,刷條碼區!C:C,0),2),"")</f>
        <v/>
      </c>
      <c r="Z910" s="70" t="str">
        <f>IFERROR(INDEX(刷條碼區!D:G,MATCH(點上線資訊!S910,刷條碼區!F:F,0),1),"")</f>
        <v/>
      </c>
      <c r="AA910" s="71" t="str">
        <f>IFERROR(INDEX(刷條碼區!D:G,MATCH(點上線資訊!S910,刷條碼區!F:F,0),2),"")</f>
        <v/>
      </c>
      <c r="AB910" s="20">
        <f t="shared" si="86"/>
        <v>0</v>
      </c>
      <c r="AC910" s="20" t="b">
        <f t="shared" si="87"/>
        <v>0</v>
      </c>
      <c r="AD910" s="17" t="b">
        <f t="shared" si="88"/>
        <v>0</v>
      </c>
      <c r="AE910" s="17" t="b">
        <f t="shared" si="89"/>
        <v>0</v>
      </c>
    </row>
    <row r="911" spans="16:31" x14ac:dyDescent="0.2">
      <c r="P911" t="s">
        <v>602</v>
      </c>
      <c r="Q911" s="17">
        <f>IFERROR(VLOOKUP(A911,已除帳印單!B:C,1,0),0)*1</f>
        <v>0</v>
      </c>
      <c r="R911" s="67" t="str">
        <f>IFERROR(VLOOKUP(J911,線別!A:B,2,1),"")</f>
        <v/>
      </c>
      <c r="S911" s="17" t="str">
        <f>IFERROR(VLOOKUP(A911,已除帳印單!B:C,2,0),"")</f>
        <v/>
      </c>
      <c r="T911" s="68" t="e">
        <f t="shared" si="90"/>
        <v>#VALUE!</v>
      </c>
      <c r="U911" s="69">
        <f t="shared" si="91"/>
        <v>0</v>
      </c>
      <c r="V911" s="68" t="str">
        <f>IFERROR(VLOOKUP(A911,已除帳印單!B:D,3,0),"")</f>
        <v/>
      </c>
      <c r="W911" s="69" t="str">
        <f>IFERROR(VLOOKUP(A911,已除帳印單!B:E,4,0),"")</f>
        <v/>
      </c>
      <c r="X911" s="68" t="str">
        <f>IFERROR(INDEX(刷條碼區!A:C,MATCH(點上線資訊!S911,刷條碼區!C:C,0),1),"")</f>
        <v/>
      </c>
      <c r="Y911" s="69" t="str">
        <f>IFERROR(INDEX(刷條碼區!A:C,MATCH(點上線資訊!S911,刷條碼區!C:C,0),2),"")</f>
        <v/>
      </c>
      <c r="Z911" s="70" t="str">
        <f>IFERROR(INDEX(刷條碼區!D:G,MATCH(點上線資訊!S911,刷條碼區!F:F,0),1),"")</f>
        <v/>
      </c>
      <c r="AA911" s="71" t="str">
        <f>IFERROR(INDEX(刷條碼區!D:G,MATCH(點上線資訊!S911,刷條碼區!F:F,0),2),"")</f>
        <v/>
      </c>
      <c r="AB911" s="20">
        <f t="shared" si="86"/>
        <v>0</v>
      </c>
      <c r="AC911" s="20" t="b">
        <f t="shared" si="87"/>
        <v>0</v>
      </c>
      <c r="AD911" s="17" t="b">
        <f t="shared" si="88"/>
        <v>0</v>
      </c>
      <c r="AE911" s="17" t="b">
        <f t="shared" si="89"/>
        <v>0</v>
      </c>
    </row>
    <row r="912" spans="16:31" x14ac:dyDescent="0.2">
      <c r="P912" t="s">
        <v>602</v>
      </c>
      <c r="Q912" s="17">
        <f>IFERROR(VLOOKUP(A912,已除帳印單!B:C,1,0),0)*1</f>
        <v>0</v>
      </c>
      <c r="R912" s="67" t="str">
        <f>IFERROR(VLOOKUP(J912,線別!A:B,2,1),"")</f>
        <v/>
      </c>
      <c r="S912" s="17" t="str">
        <f>IFERROR(VLOOKUP(A912,已除帳印單!B:C,2,0),"")</f>
        <v/>
      </c>
      <c r="T912" s="68" t="e">
        <f t="shared" si="90"/>
        <v>#VALUE!</v>
      </c>
      <c r="U912" s="69">
        <f t="shared" si="91"/>
        <v>0</v>
      </c>
      <c r="V912" s="68" t="str">
        <f>IFERROR(VLOOKUP(A912,已除帳印單!B:D,3,0),"")</f>
        <v/>
      </c>
      <c r="W912" s="69" t="str">
        <f>IFERROR(VLOOKUP(A912,已除帳印單!B:E,4,0),"")</f>
        <v/>
      </c>
      <c r="X912" s="68" t="str">
        <f>IFERROR(INDEX(刷條碼區!A:C,MATCH(點上線資訊!S912,刷條碼區!C:C,0),1),"")</f>
        <v/>
      </c>
      <c r="Y912" s="69" t="str">
        <f>IFERROR(INDEX(刷條碼區!A:C,MATCH(點上線資訊!S912,刷條碼區!C:C,0),2),"")</f>
        <v/>
      </c>
      <c r="Z912" s="70" t="str">
        <f>IFERROR(INDEX(刷條碼區!D:G,MATCH(點上線資訊!S912,刷條碼區!F:F,0),1),"")</f>
        <v/>
      </c>
      <c r="AA912" s="71" t="str">
        <f>IFERROR(INDEX(刷條碼區!D:G,MATCH(點上線資訊!S912,刷條碼區!F:F,0),2),"")</f>
        <v/>
      </c>
      <c r="AB912" s="20">
        <f t="shared" si="86"/>
        <v>0</v>
      </c>
      <c r="AC912" s="20" t="b">
        <f t="shared" si="87"/>
        <v>0</v>
      </c>
      <c r="AD912" s="17" t="b">
        <f t="shared" si="88"/>
        <v>0</v>
      </c>
      <c r="AE912" s="17" t="b">
        <f t="shared" si="89"/>
        <v>0</v>
      </c>
    </row>
    <row r="913" spans="16:31" x14ac:dyDescent="0.2">
      <c r="P913" t="s">
        <v>602</v>
      </c>
      <c r="Q913" s="17">
        <f>IFERROR(VLOOKUP(A913,已除帳印單!B:C,1,0),0)*1</f>
        <v>0</v>
      </c>
      <c r="R913" s="67" t="str">
        <f>IFERROR(VLOOKUP(J913,線別!A:B,2,1),"")</f>
        <v/>
      </c>
      <c r="S913" s="17" t="str">
        <f>IFERROR(VLOOKUP(A913,已除帳印單!B:C,2,0),"")</f>
        <v/>
      </c>
      <c r="T913" s="68" t="e">
        <f t="shared" si="90"/>
        <v>#VALUE!</v>
      </c>
      <c r="U913" s="69">
        <f t="shared" si="91"/>
        <v>0</v>
      </c>
      <c r="V913" s="68" t="str">
        <f>IFERROR(VLOOKUP(A913,已除帳印單!B:D,3,0),"")</f>
        <v/>
      </c>
      <c r="W913" s="69" t="str">
        <f>IFERROR(VLOOKUP(A913,已除帳印單!B:E,4,0),"")</f>
        <v/>
      </c>
      <c r="X913" s="68" t="str">
        <f>IFERROR(INDEX(刷條碼區!A:C,MATCH(點上線資訊!S913,刷條碼區!C:C,0),1),"")</f>
        <v/>
      </c>
      <c r="Y913" s="69" t="str">
        <f>IFERROR(INDEX(刷條碼區!A:C,MATCH(點上線資訊!S913,刷條碼區!C:C,0),2),"")</f>
        <v/>
      </c>
      <c r="Z913" s="70" t="str">
        <f>IFERROR(INDEX(刷條碼區!D:G,MATCH(點上線資訊!S913,刷條碼區!F:F,0),1),"")</f>
        <v/>
      </c>
      <c r="AA913" s="71" t="str">
        <f>IFERROR(INDEX(刷條碼區!D:G,MATCH(點上線資訊!S913,刷條碼區!F:F,0),2),"")</f>
        <v/>
      </c>
      <c r="AB913" s="20">
        <f t="shared" si="86"/>
        <v>0</v>
      </c>
      <c r="AC913" s="20" t="b">
        <f t="shared" si="87"/>
        <v>0</v>
      </c>
      <c r="AD913" s="17" t="b">
        <f t="shared" si="88"/>
        <v>0</v>
      </c>
      <c r="AE913" s="17" t="b">
        <f t="shared" si="89"/>
        <v>0</v>
      </c>
    </row>
    <row r="914" spans="16:31" x14ac:dyDescent="0.2">
      <c r="P914" t="s">
        <v>602</v>
      </c>
      <c r="Q914" s="17">
        <f>IFERROR(VLOOKUP(A914,已除帳印單!B:C,1,0),0)*1</f>
        <v>0</v>
      </c>
      <c r="R914" s="67" t="str">
        <f>IFERROR(VLOOKUP(J914,線別!A:B,2,1),"")</f>
        <v/>
      </c>
      <c r="S914" s="17" t="str">
        <f>IFERROR(VLOOKUP(A914,已除帳印單!B:C,2,0),"")</f>
        <v/>
      </c>
      <c r="T914" s="68" t="e">
        <f t="shared" si="90"/>
        <v>#VALUE!</v>
      </c>
      <c r="U914" s="69">
        <f t="shared" si="91"/>
        <v>0</v>
      </c>
      <c r="V914" s="68" t="str">
        <f>IFERROR(VLOOKUP(A914,已除帳印單!B:D,3,0),"")</f>
        <v/>
      </c>
      <c r="W914" s="69" t="str">
        <f>IFERROR(VLOOKUP(A914,已除帳印單!B:E,4,0),"")</f>
        <v/>
      </c>
      <c r="X914" s="68" t="str">
        <f>IFERROR(INDEX(刷條碼區!A:C,MATCH(點上線資訊!S914,刷條碼區!C:C,0),1),"")</f>
        <v/>
      </c>
      <c r="Y914" s="69" t="str">
        <f>IFERROR(INDEX(刷條碼區!A:C,MATCH(點上線資訊!S914,刷條碼區!C:C,0),2),"")</f>
        <v/>
      </c>
      <c r="Z914" s="70" t="str">
        <f>IFERROR(INDEX(刷條碼區!D:G,MATCH(點上線資訊!S914,刷條碼區!F:F,0),1),"")</f>
        <v/>
      </c>
      <c r="AA914" s="71" t="str">
        <f>IFERROR(INDEX(刷條碼區!D:G,MATCH(點上線資訊!S914,刷條碼區!F:F,0),2),"")</f>
        <v/>
      </c>
      <c r="AB914" s="20">
        <f t="shared" si="86"/>
        <v>0</v>
      </c>
      <c r="AC914" s="20" t="b">
        <f t="shared" si="87"/>
        <v>0</v>
      </c>
      <c r="AD914" s="17" t="b">
        <f t="shared" si="88"/>
        <v>0</v>
      </c>
      <c r="AE914" s="17" t="b">
        <f t="shared" si="89"/>
        <v>0</v>
      </c>
    </row>
    <row r="915" spans="16:31" x14ac:dyDescent="0.2">
      <c r="P915" t="s">
        <v>602</v>
      </c>
      <c r="Q915" s="17">
        <f>IFERROR(VLOOKUP(A915,已除帳印單!B:C,1,0),0)*1</f>
        <v>0</v>
      </c>
      <c r="R915" s="67" t="str">
        <f>IFERROR(VLOOKUP(J915,線別!A:B,2,1),"")</f>
        <v/>
      </c>
      <c r="S915" s="17" t="str">
        <f>IFERROR(VLOOKUP(A915,已除帳印單!B:C,2,0),"")</f>
        <v/>
      </c>
      <c r="T915" s="68" t="e">
        <f t="shared" si="90"/>
        <v>#VALUE!</v>
      </c>
      <c r="U915" s="69">
        <f t="shared" si="91"/>
        <v>0</v>
      </c>
      <c r="V915" s="68" t="str">
        <f>IFERROR(VLOOKUP(A915,已除帳印單!B:D,3,0),"")</f>
        <v/>
      </c>
      <c r="W915" s="69" t="str">
        <f>IFERROR(VLOOKUP(A915,已除帳印單!B:E,4,0),"")</f>
        <v/>
      </c>
      <c r="X915" s="68" t="str">
        <f>IFERROR(INDEX(刷條碼區!A:C,MATCH(點上線資訊!S915,刷條碼區!C:C,0),1),"")</f>
        <v/>
      </c>
      <c r="Y915" s="69" t="str">
        <f>IFERROR(INDEX(刷條碼區!A:C,MATCH(點上線資訊!S915,刷條碼區!C:C,0),2),"")</f>
        <v/>
      </c>
      <c r="Z915" s="70" t="str">
        <f>IFERROR(INDEX(刷條碼區!D:G,MATCH(點上線資訊!S915,刷條碼區!F:F,0),1),"")</f>
        <v/>
      </c>
      <c r="AA915" s="71" t="str">
        <f>IFERROR(INDEX(刷條碼區!D:G,MATCH(點上線資訊!S915,刷條碼區!F:F,0),2),"")</f>
        <v/>
      </c>
      <c r="AB915" s="20">
        <f t="shared" si="86"/>
        <v>0</v>
      </c>
      <c r="AC915" s="20" t="b">
        <f t="shared" si="87"/>
        <v>0</v>
      </c>
      <c r="AD915" s="17" t="b">
        <f t="shared" si="88"/>
        <v>0</v>
      </c>
      <c r="AE915" s="17" t="b">
        <f t="shared" si="89"/>
        <v>0</v>
      </c>
    </row>
    <row r="916" spans="16:31" x14ac:dyDescent="0.2">
      <c r="P916" t="s">
        <v>602</v>
      </c>
      <c r="Q916" s="17">
        <f>IFERROR(VLOOKUP(A916,已除帳印單!B:C,1,0),0)*1</f>
        <v>0</v>
      </c>
      <c r="R916" s="67" t="str">
        <f>IFERROR(VLOOKUP(J916,線別!A:B,2,1),"")</f>
        <v/>
      </c>
      <c r="S916" s="17" t="str">
        <f>IFERROR(VLOOKUP(A916,已除帳印單!B:C,2,0),"")</f>
        <v/>
      </c>
      <c r="T916" s="68" t="e">
        <f t="shared" si="90"/>
        <v>#VALUE!</v>
      </c>
      <c r="U916" s="69">
        <f t="shared" si="91"/>
        <v>0</v>
      </c>
      <c r="V916" s="68" t="str">
        <f>IFERROR(VLOOKUP(A916,已除帳印單!B:D,3,0),"")</f>
        <v/>
      </c>
      <c r="W916" s="69" t="str">
        <f>IFERROR(VLOOKUP(A916,已除帳印單!B:E,4,0),"")</f>
        <v/>
      </c>
      <c r="X916" s="68" t="str">
        <f>IFERROR(INDEX(刷條碼區!A:C,MATCH(點上線資訊!S916,刷條碼區!C:C,0),1),"")</f>
        <v/>
      </c>
      <c r="Y916" s="69" t="str">
        <f>IFERROR(INDEX(刷條碼區!A:C,MATCH(點上線資訊!S916,刷條碼區!C:C,0),2),"")</f>
        <v/>
      </c>
      <c r="Z916" s="70" t="str">
        <f>IFERROR(INDEX(刷條碼區!D:G,MATCH(點上線資訊!S916,刷條碼區!F:F,0),1),"")</f>
        <v/>
      </c>
      <c r="AA916" s="71" t="str">
        <f>IFERROR(INDEX(刷條碼區!D:G,MATCH(點上線資訊!S916,刷條碼區!F:F,0),2),"")</f>
        <v/>
      </c>
      <c r="AB916" s="20">
        <f t="shared" si="86"/>
        <v>0</v>
      </c>
      <c r="AC916" s="20" t="b">
        <f t="shared" si="87"/>
        <v>0</v>
      </c>
      <c r="AD916" s="17" t="b">
        <f t="shared" si="88"/>
        <v>0</v>
      </c>
      <c r="AE916" s="17" t="b">
        <f t="shared" si="89"/>
        <v>0</v>
      </c>
    </row>
    <row r="917" spans="16:31" x14ac:dyDescent="0.2">
      <c r="P917" t="s">
        <v>602</v>
      </c>
      <c r="Q917" s="17">
        <f>IFERROR(VLOOKUP(A917,已除帳印單!B:C,1,0),0)*1</f>
        <v>0</v>
      </c>
      <c r="R917" s="67" t="str">
        <f>IFERROR(VLOOKUP(J917,線別!A:B,2,1),"")</f>
        <v/>
      </c>
      <c r="S917" s="17" t="str">
        <f>IFERROR(VLOOKUP(A917,已除帳印單!B:C,2,0),"")</f>
        <v/>
      </c>
      <c r="T917" s="68" t="e">
        <f t="shared" si="90"/>
        <v>#VALUE!</v>
      </c>
      <c r="U917" s="69">
        <f t="shared" si="91"/>
        <v>0</v>
      </c>
      <c r="V917" s="68" t="str">
        <f>IFERROR(VLOOKUP(A917,已除帳印單!B:D,3,0),"")</f>
        <v/>
      </c>
      <c r="W917" s="69" t="str">
        <f>IFERROR(VLOOKUP(A917,已除帳印單!B:E,4,0),"")</f>
        <v/>
      </c>
      <c r="X917" s="68" t="str">
        <f>IFERROR(INDEX(刷條碼區!A:C,MATCH(點上線資訊!S917,刷條碼區!C:C,0),1),"")</f>
        <v/>
      </c>
      <c r="Y917" s="69" t="str">
        <f>IFERROR(INDEX(刷條碼區!A:C,MATCH(點上線資訊!S917,刷條碼區!C:C,0),2),"")</f>
        <v/>
      </c>
      <c r="Z917" s="70" t="str">
        <f>IFERROR(INDEX(刷條碼區!D:G,MATCH(點上線資訊!S917,刷條碼區!F:F,0),1),"")</f>
        <v/>
      </c>
      <c r="AA917" s="71" t="str">
        <f>IFERROR(INDEX(刷條碼區!D:G,MATCH(點上線資訊!S917,刷條碼區!F:F,0),2),"")</f>
        <v/>
      </c>
      <c r="AB917" s="20">
        <f t="shared" si="86"/>
        <v>0</v>
      </c>
      <c r="AC917" s="20" t="b">
        <f t="shared" si="87"/>
        <v>0</v>
      </c>
      <c r="AD917" s="17" t="b">
        <f t="shared" si="88"/>
        <v>0</v>
      </c>
      <c r="AE917" s="17" t="b">
        <f t="shared" si="89"/>
        <v>0</v>
      </c>
    </row>
    <row r="918" spans="16:31" x14ac:dyDescent="0.2">
      <c r="P918" t="s">
        <v>602</v>
      </c>
      <c r="Q918" s="17">
        <f>IFERROR(VLOOKUP(A918,已除帳印單!B:C,1,0),0)*1</f>
        <v>0</v>
      </c>
      <c r="R918" s="67" t="str">
        <f>IFERROR(VLOOKUP(J918,線別!A:B,2,1),"")</f>
        <v/>
      </c>
      <c r="S918" s="17" t="str">
        <f>IFERROR(VLOOKUP(A918,已除帳印單!B:C,2,0),"")</f>
        <v/>
      </c>
      <c r="T918" s="68" t="e">
        <f t="shared" si="90"/>
        <v>#VALUE!</v>
      </c>
      <c r="U918" s="69">
        <f t="shared" si="91"/>
        <v>0</v>
      </c>
      <c r="V918" s="68" t="str">
        <f>IFERROR(VLOOKUP(A918,已除帳印單!B:D,3,0),"")</f>
        <v/>
      </c>
      <c r="W918" s="69" t="str">
        <f>IFERROR(VLOOKUP(A918,已除帳印單!B:E,4,0),"")</f>
        <v/>
      </c>
      <c r="X918" s="68" t="str">
        <f>IFERROR(INDEX(刷條碼區!A:C,MATCH(點上線資訊!S918,刷條碼區!C:C,0),1),"")</f>
        <v/>
      </c>
      <c r="Y918" s="69" t="str">
        <f>IFERROR(INDEX(刷條碼區!A:C,MATCH(點上線資訊!S918,刷條碼區!C:C,0),2),"")</f>
        <v/>
      </c>
      <c r="Z918" s="70" t="str">
        <f>IFERROR(INDEX(刷條碼區!D:G,MATCH(點上線資訊!S918,刷條碼區!F:F,0),1),"")</f>
        <v/>
      </c>
      <c r="AA918" s="71" t="str">
        <f>IFERROR(INDEX(刷條碼區!D:G,MATCH(點上線資訊!S918,刷條碼區!F:F,0),2),"")</f>
        <v/>
      </c>
      <c r="AB918" s="20">
        <f t="shared" si="86"/>
        <v>0</v>
      </c>
      <c r="AC918" s="20" t="b">
        <f t="shared" si="87"/>
        <v>0</v>
      </c>
      <c r="AD918" s="17" t="b">
        <f t="shared" si="88"/>
        <v>0</v>
      </c>
      <c r="AE918" s="17" t="b">
        <f t="shared" si="89"/>
        <v>0</v>
      </c>
    </row>
    <row r="919" spans="16:31" x14ac:dyDescent="0.2">
      <c r="P919" t="s">
        <v>602</v>
      </c>
      <c r="Q919" s="17">
        <f>IFERROR(VLOOKUP(A919,已除帳印單!B:C,1,0),0)*1</f>
        <v>0</v>
      </c>
      <c r="R919" s="67" t="str">
        <f>IFERROR(VLOOKUP(J919,線別!A:B,2,1),"")</f>
        <v/>
      </c>
      <c r="S919" s="17" t="str">
        <f>IFERROR(VLOOKUP(A919,已除帳印單!B:C,2,0),"")</f>
        <v/>
      </c>
      <c r="T919" s="68" t="e">
        <f t="shared" si="90"/>
        <v>#VALUE!</v>
      </c>
      <c r="U919" s="69">
        <f t="shared" si="91"/>
        <v>0</v>
      </c>
      <c r="V919" s="68" t="str">
        <f>IFERROR(VLOOKUP(A919,已除帳印單!B:D,3,0),"")</f>
        <v/>
      </c>
      <c r="W919" s="69" t="str">
        <f>IFERROR(VLOOKUP(A919,已除帳印單!B:E,4,0),"")</f>
        <v/>
      </c>
      <c r="X919" s="68" t="str">
        <f>IFERROR(INDEX(刷條碼區!A:C,MATCH(點上線資訊!S919,刷條碼區!C:C,0),1),"")</f>
        <v/>
      </c>
      <c r="Y919" s="69" t="str">
        <f>IFERROR(INDEX(刷條碼區!A:C,MATCH(點上線資訊!S919,刷條碼區!C:C,0),2),"")</f>
        <v/>
      </c>
      <c r="Z919" s="70" t="str">
        <f>IFERROR(INDEX(刷條碼區!D:G,MATCH(點上線資訊!S919,刷條碼區!F:F,0),1),"")</f>
        <v/>
      </c>
      <c r="AA919" s="71" t="str">
        <f>IFERROR(INDEX(刷條碼區!D:G,MATCH(點上線資訊!S919,刷條碼區!F:F,0),2),"")</f>
        <v/>
      </c>
      <c r="AB919" s="20">
        <f t="shared" si="86"/>
        <v>0</v>
      </c>
      <c r="AC919" s="20" t="b">
        <f t="shared" si="87"/>
        <v>0</v>
      </c>
      <c r="AD919" s="17" t="b">
        <f t="shared" si="88"/>
        <v>0</v>
      </c>
      <c r="AE919" s="17" t="b">
        <f t="shared" si="89"/>
        <v>0</v>
      </c>
    </row>
    <row r="920" spans="16:31" x14ac:dyDescent="0.2">
      <c r="P920" t="s">
        <v>602</v>
      </c>
      <c r="Q920" s="17">
        <f>IFERROR(VLOOKUP(A920,已除帳印單!B:C,1,0),0)*1</f>
        <v>0</v>
      </c>
      <c r="R920" s="67" t="str">
        <f>IFERROR(VLOOKUP(J920,線別!A:B,2,1),"")</f>
        <v/>
      </c>
      <c r="S920" s="17" t="str">
        <f>IFERROR(VLOOKUP(A920,已除帳印單!B:C,2,0),"")</f>
        <v/>
      </c>
      <c r="T920" s="68" t="e">
        <f t="shared" si="90"/>
        <v>#VALUE!</v>
      </c>
      <c r="U920" s="69">
        <f t="shared" si="91"/>
        <v>0</v>
      </c>
      <c r="V920" s="68" t="str">
        <f>IFERROR(VLOOKUP(A920,已除帳印單!B:D,3,0),"")</f>
        <v/>
      </c>
      <c r="W920" s="69" t="str">
        <f>IFERROR(VLOOKUP(A920,已除帳印單!B:E,4,0),"")</f>
        <v/>
      </c>
      <c r="X920" s="68" t="str">
        <f>IFERROR(INDEX(刷條碼區!A:C,MATCH(點上線資訊!S920,刷條碼區!C:C,0),1),"")</f>
        <v/>
      </c>
      <c r="Y920" s="69" t="str">
        <f>IFERROR(INDEX(刷條碼區!A:C,MATCH(點上線資訊!S920,刷條碼區!C:C,0),2),"")</f>
        <v/>
      </c>
      <c r="Z920" s="70" t="str">
        <f>IFERROR(INDEX(刷條碼區!D:G,MATCH(點上線資訊!S920,刷條碼區!F:F,0),1),"")</f>
        <v/>
      </c>
      <c r="AA920" s="71" t="str">
        <f>IFERROR(INDEX(刷條碼區!D:G,MATCH(點上線資訊!S920,刷條碼區!F:F,0),2),"")</f>
        <v/>
      </c>
      <c r="AB920" s="20">
        <f t="shared" si="86"/>
        <v>0</v>
      </c>
      <c r="AC920" s="20" t="b">
        <f t="shared" si="87"/>
        <v>0</v>
      </c>
      <c r="AD920" s="17" t="b">
        <f t="shared" si="88"/>
        <v>0</v>
      </c>
      <c r="AE920" s="17" t="b">
        <f t="shared" si="89"/>
        <v>0</v>
      </c>
    </row>
    <row r="921" spans="16:31" x14ac:dyDescent="0.2">
      <c r="P921" t="s">
        <v>602</v>
      </c>
      <c r="Q921" s="17">
        <f>IFERROR(VLOOKUP(A921,已除帳印單!B:C,1,0),0)*1</f>
        <v>0</v>
      </c>
      <c r="R921" s="67" t="str">
        <f>IFERROR(VLOOKUP(J921,線別!A:B,2,1),"")</f>
        <v/>
      </c>
      <c r="S921" s="17" t="str">
        <f>IFERROR(VLOOKUP(A921,已除帳印單!B:C,2,0),"")</f>
        <v/>
      </c>
      <c r="T921" s="68" t="e">
        <f t="shared" si="90"/>
        <v>#VALUE!</v>
      </c>
      <c r="U921" s="69">
        <f t="shared" si="91"/>
        <v>0</v>
      </c>
      <c r="V921" s="68" t="str">
        <f>IFERROR(VLOOKUP(A921,已除帳印單!B:D,3,0),"")</f>
        <v/>
      </c>
      <c r="W921" s="69" t="str">
        <f>IFERROR(VLOOKUP(A921,已除帳印單!B:E,4,0),"")</f>
        <v/>
      </c>
      <c r="X921" s="68" t="str">
        <f>IFERROR(INDEX(刷條碼區!A:C,MATCH(點上線資訊!S921,刷條碼區!C:C,0),1),"")</f>
        <v/>
      </c>
      <c r="Y921" s="69" t="str">
        <f>IFERROR(INDEX(刷條碼區!A:C,MATCH(點上線資訊!S921,刷條碼區!C:C,0),2),"")</f>
        <v/>
      </c>
      <c r="Z921" s="70" t="str">
        <f>IFERROR(INDEX(刷條碼區!D:G,MATCH(點上線資訊!S921,刷條碼區!F:F,0),1),"")</f>
        <v/>
      </c>
      <c r="AA921" s="71" t="str">
        <f>IFERROR(INDEX(刷條碼區!D:G,MATCH(點上線資訊!S921,刷條碼區!F:F,0),2),"")</f>
        <v/>
      </c>
      <c r="AB921" s="20">
        <f t="shared" si="86"/>
        <v>0</v>
      </c>
      <c r="AC921" s="20" t="b">
        <f t="shared" si="87"/>
        <v>0</v>
      </c>
      <c r="AD921" s="17" t="b">
        <f t="shared" si="88"/>
        <v>0</v>
      </c>
      <c r="AE921" s="17" t="b">
        <f t="shared" si="89"/>
        <v>0</v>
      </c>
    </row>
    <row r="922" spans="16:31" x14ac:dyDescent="0.2">
      <c r="P922" t="s">
        <v>602</v>
      </c>
      <c r="Q922" s="17">
        <f>IFERROR(VLOOKUP(A922,已除帳印單!B:C,1,0),0)*1</f>
        <v>0</v>
      </c>
      <c r="R922" s="67" t="str">
        <f>IFERROR(VLOOKUP(J922,線別!A:B,2,1),"")</f>
        <v/>
      </c>
      <c r="S922" s="17" t="str">
        <f>IFERROR(VLOOKUP(A922,已除帳印單!B:C,2,0),"")</f>
        <v/>
      </c>
      <c r="T922" s="68" t="e">
        <f t="shared" si="90"/>
        <v>#VALUE!</v>
      </c>
      <c r="U922" s="69">
        <f t="shared" si="91"/>
        <v>0</v>
      </c>
      <c r="V922" s="68" t="str">
        <f>IFERROR(VLOOKUP(A922,已除帳印單!B:D,3,0),"")</f>
        <v/>
      </c>
      <c r="W922" s="69" t="str">
        <f>IFERROR(VLOOKUP(A922,已除帳印單!B:E,4,0),"")</f>
        <v/>
      </c>
      <c r="X922" s="68" t="str">
        <f>IFERROR(INDEX(刷條碼區!A:C,MATCH(點上線資訊!S922,刷條碼區!C:C,0),1),"")</f>
        <v/>
      </c>
      <c r="Y922" s="69" t="str">
        <f>IFERROR(INDEX(刷條碼區!A:C,MATCH(點上線資訊!S922,刷條碼區!C:C,0),2),"")</f>
        <v/>
      </c>
      <c r="Z922" s="70" t="str">
        <f>IFERROR(INDEX(刷條碼區!D:G,MATCH(點上線資訊!S922,刷條碼區!F:F,0),1),"")</f>
        <v/>
      </c>
      <c r="AA922" s="71" t="str">
        <f>IFERROR(INDEX(刷條碼區!D:G,MATCH(點上線資訊!S922,刷條碼區!F:F,0),2),"")</f>
        <v/>
      </c>
      <c r="AB922" s="20">
        <f t="shared" si="86"/>
        <v>0</v>
      </c>
      <c r="AC922" s="20" t="b">
        <f t="shared" si="87"/>
        <v>0</v>
      </c>
      <c r="AD922" s="17" t="b">
        <f t="shared" si="88"/>
        <v>0</v>
      </c>
      <c r="AE922" s="17" t="b">
        <f t="shared" si="89"/>
        <v>0</v>
      </c>
    </row>
    <row r="923" spans="16:31" x14ac:dyDescent="0.2">
      <c r="P923" t="s">
        <v>602</v>
      </c>
      <c r="Q923" s="17">
        <f>IFERROR(VLOOKUP(A923,已除帳印單!B:C,1,0),0)*1</f>
        <v>0</v>
      </c>
      <c r="R923" s="67" t="str">
        <f>IFERROR(VLOOKUP(J923,線別!A:B,2,1),"")</f>
        <v/>
      </c>
      <c r="S923" s="17" t="str">
        <f>IFERROR(VLOOKUP(A923,已除帳印單!B:C,2,0),"")</f>
        <v/>
      </c>
      <c r="T923" s="68" t="e">
        <f t="shared" si="90"/>
        <v>#VALUE!</v>
      </c>
      <c r="U923" s="69">
        <f t="shared" si="91"/>
        <v>0</v>
      </c>
      <c r="V923" s="68" t="str">
        <f>IFERROR(VLOOKUP(A923,已除帳印單!B:D,3,0),"")</f>
        <v/>
      </c>
      <c r="W923" s="69" t="str">
        <f>IFERROR(VLOOKUP(A923,已除帳印單!B:E,4,0),"")</f>
        <v/>
      </c>
      <c r="X923" s="68" t="str">
        <f>IFERROR(INDEX(刷條碼區!A:C,MATCH(點上線資訊!S923,刷條碼區!C:C,0),1),"")</f>
        <v/>
      </c>
      <c r="Y923" s="69" t="str">
        <f>IFERROR(INDEX(刷條碼區!A:C,MATCH(點上線資訊!S923,刷條碼區!C:C,0),2),"")</f>
        <v/>
      </c>
      <c r="Z923" s="70" t="str">
        <f>IFERROR(INDEX(刷條碼區!D:G,MATCH(點上線資訊!S923,刷條碼區!F:F,0),1),"")</f>
        <v/>
      </c>
      <c r="AA923" s="71" t="str">
        <f>IFERROR(INDEX(刷條碼區!D:G,MATCH(點上線資訊!S923,刷條碼區!F:F,0),2),"")</f>
        <v/>
      </c>
      <c r="AB923" s="20">
        <f t="shared" si="86"/>
        <v>0</v>
      </c>
      <c r="AC923" s="20" t="b">
        <f t="shared" si="87"/>
        <v>0</v>
      </c>
      <c r="AD923" s="17" t="b">
        <f t="shared" si="88"/>
        <v>0</v>
      </c>
      <c r="AE923" s="17" t="b">
        <f t="shared" si="89"/>
        <v>0</v>
      </c>
    </row>
    <row r="924" spans="16:31" x14ac:dyDescent="0.2">
      <c r="P924" t="s">
        <v>602</v>
      </c>
      <c r="Q924" s="17">
        <f>IFERROR(VLOOKUP(A924,已除帳印單!B:C,1,0),0)*1</f>
        <v>0</v>
      </c>
      <c r="R924" s="67" t="str">
        <f>IFERROR(VLOOKUP(J924,線別!A:B,2,1),"")</f>
        <v/>
      </c>
      <c r="S924" s="17" t="str">
        <f>IFERROR(VLOOKUP(A924,已除帳印單!B:C,2,0),"")</f>
        <v/>
      </c>
      <c r="T924" s="68" t="e">
        <f t="shared" si="90"/>
        <v>#VALUE!</v>
      </c>
      <c r="U924" s="69">
        <f t="shared" si="91"/>
        <v>0</v>
      </c>
      <c r="V924" s="68" t="str">
        <f>IFERROR(VLOOKUP(A924,已除帳印單!B:D,3,0),"")</f>
        <v/>
      </c>
      <c r="W924" s="69" t="str">
        <f>IFERROR(VLOOKUP(A924,已除帳印單!B:E,4,0),"")</f>
        <v/>
      </c>
      <c r="X924" s="68" t="str">
        <f>IFERROR(INDEX(刷條碼區!A:C,MATCH(點上線資訊!S924,刷條碼區!C:C,0),1),"")</f>
        <v/>
      </c>
      <c r="Y924" s="69" t="str">
        <f>IFERROR(INDEX(刷條碼區!A:C,MATCH(點上線資訊!S924,刷條碼區!C:C,0),2),"")</f>
        <v/>
      </c>
      <c r="Z924" s="70" t="str">
        <f>IFERROR(INDEX(刷條碼區!D:G,MATCH(點上線資訊!S924,刷條碼區!F:F,0),1),"")</f>
        <v/>
      </c>
      <c r="AA924" s="71" t="str">
        <f>IFERROR(INDEX(刷條碼區!D:G,MATCH(點上線資訊!S924,刷條碼區!F:F,0),2),"")</f>
        <v/>
      </c>
      <c r="AB924" s="20">
        <f t="shared" si="86"/>
        <v>0</v>
      </c>
      <c r="AC924" s="20" t="b">
        <f t="shared" si="87"/>
        <v>0</v>
      </c>
      <c r="AD924" s="17" t="b">
        <f t="shared" si="88"/>
        <v>0</v>
      </c>
      <c r="AE924" s="17" t="b">
        <f t="shared" si="89"/>
        <v>0</v>
      </c>
    </row>
    <row r="925" spans="16:31" x14ac:dyDescent="0.2">
      <c r="P925" t="s">
        <v>602</v>
      </c>
      <c r="Q925" s="17">
        <f>IFERROR(VLOOKUP(A925,已除帳印單!B:C,1,0),0)*1</f>
        <v>0</v>
      </c>
      <c r="R925" s="67" t="str">
        <f>IFERROR(VLOOKUP(J925,線別!A:B,2,1),"")</f>
        <v/>
      </c>
      <c r="S925" s="17" t="str">
        <f>IFERROR(VLOOKUP(A925,已除帳印單!B:C,2,0),"")</f>
        <v/>
      </c>
      <c r="T925" s="68" t="e">
        <f t="shared" si="90"/>
        <v>#VALUE!</v>
      </c>
      <c r="U925" s="69">
        <f t="shared" si="91"/>
        <v>0</v>
      </c>
      <c r="V925" s="68" t="str">
        <f>IFERROR(VLOOKUP(A925,已除帳印單!B:D,3,0),"")</f>
        <v/>
      </c>
      <c r="W925" s="69" t="str">
        <f>IFERROR(VLOOKUP(A925,已除帳印單!B:E,4,0),"")</f>
        <v/>
      </c>
      <c r="X925" s="68" t="str">
        <f>IFERROR(INDEX(刷條碼區!A:C,MATCH(點上線資訊!S925,刷條碼區!C:C,0),1),"")</f>
        <v/>
      </c>
      <c r="Y925" s="69" t="str">
        <f>IFERROR(INDEX(刷條碼區!A:C,MATCH(點上線資訊!S925,刷條碼區!C:C,0),2),"")</f>
        <v/>
      </c>
      <c r="Z925" s="70" t="str">
        <f>IFERROR(INDEX(刷條碼區!D:G,MATCH(點上線資訊!S925,刷條碼區!F:F,0),1),"")</f>
        <v/>
      </c>
      <c r="AA925" s="71" t="str">
        <f>IFERROR(INDEX(刷條碼區!D:G,MATCH(點上線資訊!S925,刷條碼區!F:F,0),2),"")</f>
        <v/>
      </c>
      <c r="AB925" s="20">
        <f t="shared" si="86"/>
        <v>0</v>
      </c>
      <c r="AC925" s="20" t="b">
        <f t="shared" si="87"/>
        <v>0</v>
      </c>
      <c r="AD925" s="17" t="b">
        <f t="shared" si="88"/>
        <v>0</v>
      </c>
      <c r="AE925" s="17" t="b">
        <f t="shared" si="89"/>
        <v>0</v>
      </c>
    </row>
    <row r="926" spans="16:31" x14ac:dyDescent="0.2">
      <c r="P926" t="s">
        <v>602</v>
      </c>
      <c r="Q926" s="17">
        <f>IFERROR(VLOOKUP(A926,已除帳印單!B:C,1,0),0)*1</f>
        <v>0</v>
      </c>
      <c r="R926" s="67" t="str">
        <f>IFERROR(VLOOKUP(J926,線別!A:B,2,1),"")</f>
        <v/>
      </c>
      <c r="S926" s="17" t="str">
        <f>IFERROR(VLOOKUP(A926,已除帳印單!B:C,2,0),"")</f>
        <v/>
      </c>
      <c r="T926" s="68" t="e">
        <f t="shared" si="90"/>
        <v>#VALUE!</v>
      </c>
      <c r="U926" s="69">
        <f t="shared" si="91"/>
        <v>0</v>
      </c>
      <c r="V926" s="68" t="str">
        <f>IFERROR(VLOOKUP(A926,已除帳印單!B:D,3,0),"")</f>
        <v/>
      </c>
      <c r="W926" s="69" t="str">
        <f>IFERROR(VLOOKUP(A926,已除帳印單!B:E,4,0),"")</f>
        <v/>
      </c>
      <c r="X926" s="68" t="str">
        <f>IFERROR(INDEX(刷條碼區!A:C,MATCH(點上線資訊!S926,刷條碼區!C:C,0),1),"")</f>
        <v/>
      </c>
      <c r="Y926" s="69" t="str">
        <f>IFERROR(INDEX(刷條碼區!A:C,MATCH(點上線資訊!S926,刷條碼區!C:C,0),2),"")</f>
        <v/>
      </c>
      <c r="Z926" s="70" t="str">
        <f>IFERROR(INDEX(刷條碼區!D:G,MATCH(點上線資訊!S926,刷條碼區!F:F,0),1),"")</f>
        <v/>
      </c>
      <c r="AA926" s="71" t="str">
        <f>IFERROR(INDEX(刷條碼區!D:G,MATCH(點上線資訊!S926,刷條碼區!F:F,0),2),"")</f>
        <v/>
      </c>
      <c r="AB926" s="20">
        <f t="shared" si="86"/>
        <v>0</v>
      </c>
      <c r="AC926" s="20" t="b">
        <f t="shared" si="87"/>
        <v>0</v>
      </c>
      <c r="AD926" s="17" t="b">
        <f t="shared" si="88"/>
        <v>0</v>
      </c>
      <c r="AE926" s="17" t="b">
        <f t="shared" si="89"/>
        <v>0</v>
      </c>
    </row>
    <row r="927" spans="16:31" x14ac:dyDescent="0.2">
      <c r="P927" t="s">
        <v>602</v>
      </c>
      <c r="Q927" s="17">
        <f>IFERROR(VLOOKUP(A927,已除帳印單!B:C,1,0),0)*1</f>
        <v>0</v>
      </c>
      <c r="R927" s="67" t="str">
        <f>IFERROR(VLOOKUP(J927,線別!A:B,2,1),"")</f>
        <v/>
      </c>
      <c r="S927" s="17" t="str">
        <f>IFERROR(VLOOKUP(A927,已除帳印單!B:C,2,0),"")</f>
        <v/>
      </c>
      <c r="T927" s="68" t="e">
        <f t="shared" si="90"/>
        <v>#VALUE!</v>
      </c>
      <c r="U927" s="69">
        <f t="shared" si="91"/>
        <v>0</v>
      </c>
      <c r="V927" s="68" t="str">
        <f>IFERROR(VLOOKUP(A927,已除帳印單!B:D,3,0),"")</f>
        <v/>
      </c>
      <c r="W927" s="69" t="str">
        <f>IFERROR(VLOOKUP(A927,已除帳印單!B:E,4,0),"")</f>
        <v/>
      </c>
      <c r="X927" s="68" t="str">
        <f>IFERROR(INDEX(刷條碼區!A:C,MATCH(點上線資訊!S927,刷條碼區!C:C,0),1),"")</f>
        <v/>
      </c>
      <c r="Y927" s="69" t="str">
        <f>IFERROR(INDEX(刷條碼區!A:C,MATCH(點上線資訊!S927,刷條碼區!C:C,0),2),"")</f>
        <v/>
      </c>
      <c r="Z927" s="70" t="str">
        <f>IFERROR(INDEX(刷條碼區!D:G,MATCH(點上線資訊!S927,刷條碼區!F:F,0),1),"")</f>
        <v/>
      </c>
      <c r="AA927" s="71" t="str">
        <f>IFERROR(INDEX(刷條碼區!D:G,MATCH(點上線資訊!S927,刷條碼區!F:F,0),2),"")</f>
        <v/>
      </c>
      <c r="AB927" s="20">
        <f t="shared" si="86"/>
        <v>0</v>
      </c>
      <c r="AC927" s="20" t="b">
        <f t="shared" si="87"/>
        <v>0</v>
      </c>
      <c r="AD927" s="17" t="b">
        <f t="shared" si="88"/>
        <v>0</v>
      </c>
      <c r="AE927" s="17" t="b">
        <f t="shared" si="89"/>
        <v>0</v>
      </c>
    </row>
    <row r="928" spans="16:31" x14ac:dyDescent="0.2">
      <c r="P928" t="s">
        <v>602</v>
      </c>
      <c r="Q928" s="17">
        <f>IFERROR(VLOOKUP(A928,已除帳印單!B:C,1,0),0)*1</f>
        <v>0</v>
      </c>
      <c r="R928" s="67" t="str">
        <f>IFERROR(VLOOKUP(J928,線別!A:B,2,1),"")</f>
        <v/>
      </c>
      <c r="S928" s="17" t="str">
        <f>IFERROR(VLOOKUP(A928,已除帳印單!B:C,2,0),"")</f>
        <v/>
      </c>
      <c r="T928" s="68" t="e">
        <f t="shared" si="90"/>
        <v>#VALUE!</v>
      </c>
      <c r="U928" s="69">
        <f t="shared" si="91"/>
        <v>0</v>
      </c>
      <c r="V928" s="68" t="str">
        <f>IFERROR(VLOOKUP(A928,已除帳印單!B:D,3,0),"")</f>
        <v/>
      </c>
      <c r="W928" s="69" t="str">
        <f>IFERROR(VLOOKUP(A928,已除帳印單!B:E,4,0),"")</f>
        <v/>
      </c>
      <c r="X928" s="68" t="str">
        <f>IFERROR(INDEX(刷條碼區!A:C,MATCH(點上線資訊!S928,刷條碼區!C:C,0),1),"")</f>
        <v/>
      </c>
      <c r="Y928" s="69" t="str">
        <f>IFERROR(INDEX(刷條碼區!A:C,MATCH(點上線資訊!S928,刷條碼區!C:C,0),2),"")</f>
        <v/>
      </c>
      <c r="Z928" s="70" t="str">
        <f>IFERROR(INDEX(刷條碼區!D:G,MATCH(點上線資訊!S928,刷條碼區!F:F,0),1),"")</f>
        <v/>
      </c>
      <c r="AA928" s="71" t="str">
        <f>IFERROR(INDEX(刷條碼區!D:G,MATCH(點上線資訊!S928,刷條碼區!F:F,0),2),"")</f>
        <v/>
      </c>
      <c r="AB928" s="20">
        <f t="shared" si="86"/>
        <v>0</v>
      </c>
      <c r="AC928" s="20" t="b">
        <f t="shared" si="87"/>
        <v>0</v>
      </c>
      <c r="AD928" s="17" t="b">
        <f t="shared" si="88"/>
        <v>0</v>
      </c>
      <c r="AE928" s="17" t="b">
        <f t="shared" si="89"/>
        <v>0</v>
      </c>
    </row>
    <row r="929" spans="16:31" x14ac:dyDescent="0.2">
      <c r="P929" t="s">
        <v>602</v>
      </c>
      <c r="Q929" s="17">
        <f>IFERROR(VLOOKUP(A929,已除帳印單!B:C,1,0),0)*1</f>
        <v>0</v>
      </c>
      <c r="R929" s="67" t="str">
        <f>IFERROR(VLOOKUP(J929,線別!A:B,2,1),"")</f>
        <v/>
      </c>
      <c r="S929" s="17" t="str">
        <f>IFERROR(VLOOKUP(A929,已除帳印單!B:C,2,0),"")</f>
        <v/>
      </c>
      <c r="T929" s="68" t="e">
        <f t="shared" si="90"/>
        <v>#VALUE!</v>
      </c>
      <c r="U929" s="69">
        <f t="shared" si="91"/>
        <v>0</v>
      </c>
      <c r="V929" s="68" t="str">
        <f>IFERROR(VLOOKUP(A929,已除帳印單!B:D,3,0),"")</f>
        <v/>
      </c>
      <c r="W929" s="69" t="str">
        <f>IFERROR(VLOOKUP(A929,已除帳印單!B:E,4,0),"")</f>
        <v/>
      </c>
      <c r="X929" s="68" t="str">
        <f>IFERROR(INDEX(刷條碼區!A:C,MATCH(點上線資訊!S929,刷條碼區!C:C,0),1),"")</f>
        <v/>
      </c>
      <c r="Y929" s="69" t="str">
        <f>IFERROR(INDEX(刷條碼區!A:C,MATCH(點上線資訊!S929,刷條碼區!C:C,0),2),"")</f>
        <v/>
      </c>
      <c r="Z929" s="70" t="str">
        <f>IFERROR(INDEX(刷條碼區!D:G,MATCH(點上線資訊!S929,刷條碼區!F:F,0),1),"")</f>
        <v/>
      </c>
      <c r="AA929" s="71" t="str">
        <f>IFERROR(INDEX(刷條碼區!D:G,MATCH(點上線資訊!S929,刷條碼區!F:F,0),2),"")</f>
        <v/>
      </c>
      <c r="AB929" s="20">
        <f t="shared" si="86"/>
        <v>0</v>
      </c>
      <c r="AC929" s="20" t="b">
        <f t="shared" si="87"/>
        <v>0</v>
      </c>
      <c r="AD929" s="17" t="b">
        <f t="shared" si="88"/>
        <v>0</v>
      </c>
      <c r="AE929" s="17" t="b">
        <f t="shared" si="89"/>
        <v>0</v>
      </c>
    </row>
    <row r="930" spans="16:31" x14ac:dyDescent="0.2">
      <c r="P930" t="s">
        <v>602</v>
      </c>
      <c r="Q930" s="17">
        <f>IFERROR(VLOOKUP(A930,已除帳印單!B:C,1,0),0)*1</f>
        <v>0</v>
      </c>
      <c r="R930" s="67" t="str">
        <f>IFERROR(VLOOKUP(J930,線別!A:B,2,1),"")</f>
        <v/>
      </c>
      <c r="S930" s="17" t="str">
        <f>IFERROR(VLOOKUP(A930,已除帳印單!B:C,2,0),"")</f>
        <v/>
      </c>
      <c r="T930" s="68" t="e">
        <f t="shared" si="90"/>
        <v>#VALUE!</v>
      </c>
      <c r="U930" s="69">
        <f t="shared" si="91"/>
        <v>0</v>
      </c>
      <c r="V930" s="68" t="str">
        <f>IFERROR(VLOOKUP(A930,已除帳印單!B:D,3,0),"")</f>
        <v/>
      </c>
      <c r="W930" s="69" t="str">
        <f>IFERROR(VLOOKUP(A930,已除帳印單!B:E,4,0),"")</f>
        <v/>
      </c>
      <c r="X930" s="68" t="str">
        <f>IFERROR(INDEX(刷條碼區!A:C,MATCH(點上線資訊!S930,刷條碼區!C:C,0),1),"")</f>
        <v/>
      </c>
      <c r="Y930" s="69" t="str">
        <f>IFERROR(INDEX(刷條碼區!A:C,MATCH(點上線資訊!S930,刷條碼區!C:C,0),2),"")</f>
        <v/>
      </c>
      <c r="Z930" s="70" t="str">
        <f>IFERROR(INDEX(刷條碼區!D:G,MATCH(點上線資訊!S930,刷條碼區!F:F,0),1),"")</f>
        <v/>
      </c>
      <c r="AA930" s="71" t="str">
        <f>IFERROR(INDEX(刷條碼區!D:G,MATCH(點上線資訊!S930,刷條碼區!F:F,0),2),"")</f>
        <v/>
      </c>
      <c r="AB930" s="20">
        <f t="shared" si="86"/>
        <v>0</v>
      </c>
      <c r="AC930" s="20" t="b">
        <f t="shared" si="87"/>
        <v>0</v>
      </c>
      <c r="AD930" s="17" t="b">
        <f t="shared" si="88"/>
        <v>0</v>
      </c>
      <c r="AE930" s="17" t="b">
        <f t="shared" si="89"/>
        <v>0</v>
      </c>
    </row>
    <row r="931" spans="16:31" x14ac:dyDescent="0.2">
      <c r="P931" t="s">
        <v>602</v>
      </c>
      <c r="Q931" s="17">
        <f>IFERROR(VLOOKUP(A931,已除帳印單!B:C,1,0),0)*1</f>
        <v>0</v>
      </c>
      <c r="R931" s="67" t="str">
        <f>IFERROR(VLOOKUP(J931,線別!A:B,2,1),"")</f>
        <v/>
      </c>
      <c r="S931" s="17" t="str">
        <f>IFERROR(VLOOKUP(A931,已除帳印單!B:C,2,0),"")</f>
        <v/>
      </c>
      <c r="T931" s="68" t="e">
        <f t="shared" si="90"/>
        <v>#VALUE!</v>
      </c>
      <c r="U931" s="69">
        <f t="shared" si="91"/>
        <v>0</v>
      </c>
      <c r="V931" s="68" t="str">
        <f>IFERROR(VLOOKUP(A931,已除帳印單!B:D,3,0),"")</f>
        <v/>
      </c>
      <c r="W931" s="69" t="str">
        <f>IFERROR(VLOOKUP(A931,已除帳印單!B:E,4,0),"")</f>
        <v/>
      </c>
      <c r="X931" s="68" t="str">
        <f>IFERROR(INDEX(刷條碼區!A:C,MATCH(點上線資訊!S931,刷條碼區!C:C,0),1),"")</f>
        <v/>
      </c>
      <c r="Y931" s="69" t="str">
        <f>IFERROR(INDEX(刷條碼區!A:C,MATCH(點上線資訊!S931,刷條碼區!C:C,0),2),"")</f>
        <v/>
      </c>
      <c r="Z931" s="70" t="str">
        <f>IFERROR(INDEX(刷條碼區!D:G,MATCH(點上線資訊!S931,刷條碼區!F:F,0),1),"")</f>
        <v/>
      </c>
      <c r="AA931" s="71" t="str">
        <f>IFERROR(INDEX(刷條碼區!D:G,MATCH(點上線資訊!S931,刷條碼區!F:F,0),2),"")</f>
        <v/>
      </c>
      <c r="AB931" s="20">
        <f t="shared" si="86"/>
        <v>0</v>
      </c>
      <c r="AC931" s="20" t="b">
        <f t="shared" si="87"/>
        <v>0</v>
      </c>
      <c r="AD931" s="17" t="b">
        <f t="shared" si="88"/>
        <v>0</v>
      </c>
      <c r="AE931" s="17" t="b">
        <f t="shared" si="89"/>
        <v>0</v>
      </c>
    </row>
    <row r="932" spans="16:31" x14ac:dyDescent="0.2">
      <c r="P932" t="s">
        <v>602</v>
      </c>
      <c r="Q932" s="17">
        <f>IFERROR(VLOOKUP(A932,已除帳印單!B:C,1,0),0)*1</f>
        <v>0</v>
      </c>
      <c r="R932" s="67" t="str">
        <f>IFERROR(VLOOKUP(J932,線別!A:B,2,1),"")</f>
        <v/>
      </c>
      <c r="S932" s="17" t="str">
        <f>IFERROR(VLOOKUP(A932,已除帳印單!B:C,2,0),"")</f>
        <v/>
      </c>
      <c r="T932" s="68" t="e">
        <f t="shared" si="90"/>
        <v>#VALUE!</v>
      </c>
      <c r="U932" s="69">
        <f t="shared" si="91"/>
        <v>0</v>
      </c>
      <c r="V932" s="68" t="str">
        <f>IFERROR(VLOOKUP(A932,已除帳印單!B:D,3,0),"")</f>
        <v/>
      </c>
      <c r="W932" s="69" t="str">
        <f>IFERROR(VLOOKUP(A932,已除帳印單!B:E,4,0),"")</f>
        <v/>
      </c>
      <c r="X932" s="68" t="str">
        <f>IFERROR(INDEX(刷條碼區!A:C,MATCH(點上線資訊!S932,刷條碼區!C:C,0),1),"")</f>
        <v/>
      </c>
      <c r="Y932" s="69" t="str">
        <f>IFERROR(INDEX(刷條碼區!A:C,MATCH(點上線資訊!S932,刷條碼區!C:C,0),2),"")</f>
        <v/>
      </c>
      <c r="Z932" s="70" t="str">
        <f>IFERROR(INDEX(刷條碼區!D:G,MATCH(點上線資訊!S932,刷條碼區!F:F,0),1),"")</f>
        <v/>
      </c>
      <c r="AA932" s="71" t="str">
        <f>IFERROR(INDEX(刷條碼區!D:G,MATCH(點上線資訊!S932,刷條碼區!F:F,0),2),"")</f>
        <v/>
      </c>
      <c r="AB932" s="20">
        <f t="shared" si="86"/>
        <v>0</v>
      </c>
      <c r="AC932" s="20" t="b">
        <f t="shared" si="87"/>
        <v>0</v>
      </c>
      <c r="AD932" s="17" t="b">
        <f t="shared" si="88"/>
        <v>0</v>
      </c>
      <c r="AE932" s="17" t="b">
        <f t="shared" si="89"/>
        <v>0</v>
      </c>
    </row>
    <row r="933" spans="16:31" x14ac:dyDescent="0.2">
      <c r="P933" t="s">
        <v>602</v>
      </c>
      <c r="Q933" s="17">
        <f>IFERROR(VLOOKUP(A933,已除帳印單!B:C,1,0),0)*1</f>
        <v>0</v>
      </c>
      <c r="R933" s="67" t="str">
        <f>IFERROR(VLOOKUP(J933,線別!A:B,2,1),"")</f>
        <v/>
      </c>
      <c r="S933" s="17" t="str">
        <f>IFERROR(VLOOKUP(A933,已除帳印單!B:C,2,0),"")</f>
        <v/>
      </c>
      <c r="T933" s="68" t="e">
        <f t="shared" si="90"/>
        <v>#VALUE!</v>
      </c>
      <c r="U933" s="69">
        <f t="shared" si="91"/>
        <v>0</v>
      </c>
      <c r="V933" s="68" t="str">
        <f>IFERROR(VLOOKUP(A933,已除帳印單!B:D,3,0),"")</f>
        <v/>
      </c>
      <c r="W933" s="69" t="str">
        <f>IFERROR(VLOOKUP(A933,已除帳印單!B:E,4,0),"")</f>
        <v/>
      </c>
      <c r="X933" s="68" t="str">
        <f>IFERROR(INDEX(刷條碼區!A:C,MATCH(點上線資訊!S933,刷條碼區!C:C,0),1),"")</f>
        <v/>
      </c>
      <c r="Y933" s="69" t="str">
        <f>IFERROR(INDEX(刷條碼區!A:C,MATCH(點上線資訊!S933,刷條碼區!C:C,0),2),"")</f>
        <v/>
      </c>
      <c r="Z933" s="70" t="str">
        <f>IFERROR(INDEX(刷條碼區!D:G,MATCH(點上線資訊!S933,刷條碼區!F:F,0),1),"")</f>
        <v/>
      </c>
      <c r="AA933" s="71" t="str">
        <f>IFERROR(INDEX(刷條碼區!D:G,MATCH(點上線資訊!S933,刷條碼區!F:F,0),2),"")</f>
        <v/>
      </c>
      <c r="AB933" s="20">
        <f t="shared" si="86"/>
        <v>0</v>
      </c>
      <c r="AC933" s="20" t="b">
        <f t="shared" si="87"/>
        <v>0</v>
      </c>
      <c r="AD933" s="17" t="b">
        <f t="shared" si="88"/>
        <v>0</v>
      </c>
      <c r="AE933" s="17" t="b">
        <f t="shared" si="89"/>
        <v>0</v>
      </c>
    </row>
    <row r="934" spans="16:31" x14ac:dyDescent="0.2">
      <c r="P934" t="s">
        <v>602</v>
      </c>
      <c r="Q934" s="17">
        <f>IFERROR(VLOOKUP(A934,已除帳印單!B:C,1,0),0)*1</f>
        <v>0</v>
      </c>
      <c r="R934" s="67" t="str">
        <f>IFERROR(VLOOKUP(J934,線別!A:B,2,1),"")</f>
        <v/>
      </c>
      <c r="S934" s="17" t="str">
        <f>IFERROR(VLOOKUP(A934,已除帳印單!B:C,2,0),"")</f>
        <v/>
      </c>
      <c r="T934" s="68" t="e">
        <f t="shared" si="90"/>
        <v>#VALUE!</v>
      </c>
      <c r="U934" s="69">
        <f t="shared" si="91"/>
        <v>0</v>
      </c>
      <c r="V934" s="68" t="str">
        <f>IFERROR(VLOOKUP(A934,已除帳印單!B:D,3,0),"")</f>
        <v/>
      </c>
      <c r="W934" s="69" t="str">
        <f>IFERROR(VLOOKUP(A934,已除帳印單!B:E,4,0),"")</f>
        <v/>
      </c>
      <c r="X934" s="68" t="str">
        <f>IFERROR(INDEX(刷條碼區!A:C,MATCH(點上線資訊!S934,刷條碼區!C:C,0),1),"")</f>
        <v/>
      </c>
      <c r="Y934" s="69" t="str">
        <f>IFERROR(INDEX(刷條碼區!A:C,MATCH(點上線資訊!S934,刷條碼區!C:C,0),2),"")</f>
        <v/>
      </c>
      <c r="Z934" s="70" t="str">
        <f>IFERROR(INDEX(刷條碼區!D:G,MATCH(點上線資訊!S934,刷條碼區!F:F,0),1),"")</f>
        <v/>
      </c>
      <c r="AA934" s="71" t="str">
        <f>IFERROR(INDEX(刷條碼區!D:G,MATCH(點上線資訊!S934,刷條碼區!F:F,0),2),"")</f>
        <v/>
      </c>
      <c r="AB934" s="20">
        <f t="shared" si="86"/>
        <v>0</v>
      </c>
      <c r="AC934" s="20" t="b">
        <f t="shared" si="87"/>
        <v>0</v>
      </c>
      <c r="AD934" s="17" t="b">
        <f t="shared" si="88"/>
        <v>0</v>
      </c>
      <c r="AE934" s="17" t="b">
        <f t="shared" si="89"/>
        <v>0</v>
      </c>
    </row>
    <row r="935" spans="16:31" x14ac:dyDescent="0.2">
      <c r="P935" t="s">
        <v>602</v>
      </c>
      <c r="Q935" s="17">
        <f>IFERROR(VLOOKUP(A935,已除帳印單!B:C,1,0),0)*1</f>
        <v>0</v>
      </c>
      <c r="R935" s="67" t="str">
        <f>IFERROR(VLOOKUP(J935,線別!A:B,2,1),"")</f>
        <v/>
      </c>
      <c r="S935" s="17" t="str">
        <f>IFERROR(VLOOKUP(A935,已除帳印單!B:C,2,0),"")</f>
        <v/>
      </c>
      <c r="T935" s="68" t="e">
        <f t="shared" si="90"/>
        <v>#VALUE!</v>
      </c>
      <c r="U935" s="69">
        <f t="shared" si="91"/>
        <v>0</v>
      </c>
      <c r="V935" s="68" t="str">
        <f>IFERROR(VLOOKUP(A935,已除帳印單!B:D,3,0),"")</f>
        <v/>
      </c>
      <c r="W935" s="69" t="str">
        <f>IFERROR(VLOOKUP(A935,已除帳印單!B:E,4,0),"")</f>
        <v/>
      </c>
      <c r="X935" s="68" t="str">
        <f>IFERROR(INDEX(刷條碼區!A:C,MATCH(點上線資訊!S935,刷條碼區!C:C,0),1),"")</f>
        <v/>
      </c>
      <c r="Y935" s="69" t="str">
        <f>IFERROR(INDEX(刷條碼區!A:C,MATCH(點上線資訊!S935,刷條碼區!C:C,0),2),"")</f>
        <v/>
      </c>
      <c r="Z935" s="70" t="str">
        <f>IFERROR(INDEX(刷條碼區!D:G,MATCH(點上線資訊!S935,刷條碼區!F:F,0),1),"")</f>
        <v/>
      </c>
      <c r="AA935" s="71" t="str">
        <f>IFERROR(INDEX(刷條碼區!D:G,MATCH(點上線資訊!S935,刷條碼區!F:F,0),2),"")</f>
        <v/>
      </c>
      <c r="AB935" s="20">
        <f t="shared" si="86"/>
        <v>0</v>
      </c>
      <c r="AC935" s="20" t="b">
        <f t="shared" si="87"/>
        <v>0</v>
      </c>
      <c r="AD935" s="17" t="b">
        <f t="shared" si="88"/>
        <v>0</v>
      </c>
      <c r="AE935" s="17" t="b">
        <f t="shared" si="89"/>
        <v>0</v>
      </c>
    </row>
    <row r="936" spans="16:31" x14ac:dyDescent="0.2">
      <c r="P936" t="s">
        <v>602</v>
      </c>
      <c r="Q936" s="17">
        <f>IFERROR(VLOOKUP(A936,已除帳印單!B:C,1,0),0)*1</f>
        <v>0</v>
      </c>
      <c r="R936" s="67" t="str">
        <f>IFERROR(VLOOKUP(J936,線別!A:B,2,1),"")</f>
        <v/>
      </c>
      <c r="S936" s="17" t="str">
        <f>IFERROR(VLOOKUP(A936,已除帳印單!B:C,2,0),"")</f>
        <v/>
      </c>
      <c r="T936" s="68" t="e">
        <f t="shared" si="90"/>
        <v>#VALUE!</v>
      </c>
      <c r="U936" s="69">
        <f t="shared" si="91"/>
        <v>0</v>
      </c>
      <c r="V936" s="68" t="str">
        <f>IFERROR(VLOOKUP(A936,已除帳印單!B:D,3,0),"")</f>
        <v/>
      </c>
      <c r="W936" s="69" t="str">
        <f>IFERROR(VLOOKUP(A936,已除帳印單!B:E,4,0),"")</f>
        <v/>
      </c>
      <c r="X936" s="68" t="str">
        <f>IFERROR(INDEX(刷條碼區!A:C,MATCH(點上線資訊!S936,刷條碼區!C:C,0),1),"")</f>
        <v/>
      </c>
      <c r="Y936" s="69" t="str">
        <f>IFERROR(INDEX(刷條碼區!A:C,MATCH(點上線資訊!S936,刷條碼區!C:C,0),2),"")</f>
        <v/>
      </c>
      <c r="Z936" s="70" t="str">
        <f>IFERROR(INDEX(刷條碼區!D:G,MATCH(點上線資訊!S936,刷條碼區!F:F,0),1),"")</f>
        <v/>
      </c>
      <c r="AA936" s="71" t="str">
        <f>IFERROR(INDEX(刷條碼區!D:G,MATCH(點上線資訊!S936,刷條碼區!F:F,0),2),"")</f>
        <v/>
      </c>
      <c r="AB936" s="20">
        <f t="shared" si="86"/>
        <v>0</v>
      </c>
      <c r="AC936" s="20" t="b">
        <f t="shared" si="87"/>
        <v>0</v>
      </c>
      <c r="AD936" s="17" t="b">
        <f t="shared" si="88"/>
        <v>0</v>
      </c>
      <c r="AE936" s="17" t="b">
        <f t="shared" si="89"/>
        <v>0</v>
      </c>
    </row>
    <row r="937" spans="16:31" x14ac:dyDescent="0.2">
      <c r="P937" t="s">
        <v>602</v>
      </c>
      <c r="Q937" s="17">
        <f>IFERROR(VLOOKUP(A937,已除帳印單!B:C,1,0),0)*1</f>
        <v>0</v>
      </c>
      <c r="R937" s="67" t="str">
        <f>IFERROR(VLOOKUP(J937,線別!A:B,2,1),"")</f>
        <v/>
      </c>
      <c r="S937" s="17" t="str">
        <f>IFERROR(VLOOKUP(A937,已除帳印單!B:C,2,0),"")</f>
        <v/>
      </c>
      <c r="T937" s="68" t="e">
        <f t="shared" si="90"/>
        <v>#VALUE!</v>
      </c>
      <c r="U937" s="69">
        <f t="shared" si="91"/>
        <v>0</v>
      </c>
      <c r="V937" s="68" t="str">
        <f>IFERROR(VLOOKUP(A937,已除帳印單!B:D,3,0),"")</f>
        <v/>
      </c>
      <c r="W937" s="69" t="str">
        <f>IFERROR(VLOOKUP(A937,已除帳印單!B:E,4,0),"")</f>
        <v/>
      </c>
      <c r="X937" s="68" t="str">
        <f>IFERROR(INDEX(刷條碼區!A:C,MATCH(點上線資訊!S937,刷條碼區!C:C,0),1),"")</f>
        <v/>
      </c>
      <c r="Y937" s="69" t="str">
        <f>IFERROR(INDEX(刷條碼區!A:C,MATCH(點上線資訊!S937,刷條碼區!C:C,0),2),"")</f>
        <v/>
      </c>
      <c r="Z937" s="70" t="str">
        <f>IFERROR(INDEX(刷條碼區!D:G,MATCH(點上線資訊!S937,刷條碼區!F:F,0),1),"")</f>
        <v/>
      </c>
      <c r="AA937" s="71" t="str">
        <f>IFERROR(INDEX(刷條碼區!D:G,MATCH(點上線資訊!S937,刷條碼區!F:F,0),2),"")</f>
        <v/>
      </c>
      <c r="AB937" s="20">
        <f t="shared" si="86"/>
        <v>0</v>
      </c>
      <c r="AC937" s="20" t="b">
        <f t="shared" si="87"/>
        <v>0</v>
      </c>
      <c r="AD937" s="17" t="b">
        <f t="shared" si="88"/>
        <v>0</v>
      </c>
      <c r="AE937" s="17" t="b">
        <f t="shared" si="89"/>
        <v>0</v>
      </c>
    </row>
    <row r="938" spans="16:31" x14ac:dyDescent="0.2">
      <c r="P938" t="s">
        <v>602</v>
      </c>
      <c r="Q938" s="17">
        <f>IFERROR(VLOOKUP(A938,已除帳印單!B:C,1,0),0)*1</f>
        <v>0</v>
      </c>
      <c r="R938" s="67" t="str">
        <f>IFERROR(VLOOKUP(J938,線別!A:B,2,1),"")</f>
        <v/>
      </c>
      <c r="S938" s="17" t="str">
        <f>IFERROR(VLOOKUP(A938,已除帳印單!B:C,2,0),"")</f>
        <v/>
      </c>
      <c r="T938" s="68" t="e">
        <f t="shared" si="90"/>
        <v>#VALUE!</v>
      </c>
      <c r="U938" s="69">
        <f t="shared" si="91"/>
        <v>0</v>
      </c>
      <c r="V938" s="68" t="str">
        <f>IFERROR(VLOOKUP(A938,已除帳印單!B:D,3,0),"")</f>
        <v/>
      </c>
      <c r="W938" s="69" t="str">
        <f>IFERROR(VLOOKUP(A938,已除帳印單!B:E,4,0),"")</f>
        <v/>
      </c>
      <c r="X938" s="68" t="str">
        <f>IFERROR(INDEX(刷條碼區!A:C,MATCH(點上線資訊!S938,刷條碼區!C:C,0),1),"")</f>
        <v/>
      </c>
      <c r="Y938" s="69" t="str">
        <f>IFERROR(INDEX(刷條碼區!A:C,MATCH(點上線資訊!S938,刷條碼區!C:C,0),2),"")</f>
        <v/>
      </c>
      <c r="Z938" s="70" t="str">
        <f>IFERROR(INDEX(刷條碼區!D:G,MATCH(點上線資訊!S938,刷條碼區!F:F,0),1),"")</f>
        <v/>
      </c>
      <c r="AA938" s="71" t="str">
        <f>IFERROR(INDEX(刷條碼區!D:G,MATCH(點上線資訊!S938,刷條碼區!F:F,0),2),"")</f>
        <v/>
      </c>
      <c r="AB938" s="20">
        <f t="shared" si="86"/>
        <v>0</v>
      </c>
      <c r="AC938" s="20" t="b">
        <f t="shared" si="87"/>
        <v>0</v>
      </c>
      <c r="AD938" s="17" t="b">
        <f t="shared" si="88"/>
        <v>0</v>
      </c>
      <c r="AE938" s="17" t="b">
        <f t="shared" si="89"/>
        <v>0</v>
      </c>
    </row>
    <row r="939" spans="16:31" x14ac:dyDescent="0.2">
      <c r="P939" t="s">
        <v>602</v>
      </c>
      <c r="Q939" s="17">
        <f>IFERROR(VLOOKUP(A939,已除帳印單!B:C,1,0),0)*1</f>
        <v>0</v>
      </c>
      <c r="R939" s="67" t="str">
        <f>IFERROR(VLOOKUP(J939,線別!A:B,2,1),"")</f>
        <v/>
      </c>
      <c r="S939" s="17" t="str">
        <f>IFERROR(VLOOKUP(A939,已除帳印單!B:C,2,0),"")</f>
        <v/>
      </c>
      <c r="T939" s="68" t="e">
        <f t="shared" si="90"/>
        <v>#VALUE!</v>
      </c>
      <c r="U939" s="69">
        <f t="shared" si="91"/>
        <v>0</v>
      </c>
      <c r="V939" s="68" t="str">
        <f>IFERROR(VLOOKUP(A939,已除帳印單!B:D,3,0),"")</f>
        <v/>
      </c>
      <c r="W939" s="69" t="str">
        <f>IFERROR(VLOOKUP(A939,已除帳印單!B:E,4,0),"")</f>
        <v/>
      </c>
      <c r="X939" s="68" t="str">
        <f>IFERROR(INDEX(刷條碼區!A:C,MATCH(點上線資訊!S939,刷條碼區!C:C,0),1),"")</f>
        <v/>
      </c>
      <c r="Y939" s="69" t="str">
        <f>IFERROR(INDEX(刷條碼區!A:C,MATCH(點上線資訊!S939,刷條碼區!C:C,0),2),"")</f>
        <v/>
      </c>
      <c r="Z939" s="70" t="str">
        <f>IFERROR(INDEX(刷條碼區!D:G,MATCH(點上線資訊!S939,刷條碼區!F:F,0),1),"")</f>
        <v/>
      </c>
      <c r="AA939" s="71" t="str">
        <f>IFERROR(INDEX(刷條碼區!D:G,MATCH(點上線資訊!S939,刷條碼區!F:F,0),2),"")</f>
        <v/>
      </c>
      <c r="AB939" s="20">
        <f t="shared" si="86"/>
        <v>0</v>
      </c>
      <c r="AC939" s="20" t="b">
        <f t="shared" si="87"/>
        <v>0</v>
      </c>
      <c r="AD939" s="17" t="b">
        <f t="shared" si="88"/>
        <v>0</v>
      </c>
      <c r="AE939" s="17" t="b">
        <f t="shared" si="89"/>
        <v>0</v>
      </c>
    </row>
    <row r="940" spans="16:31" x14ac:dyDescent="0.2">
      <c r="P940" t="s">
        <v>602</v>
      </c>
      <c r="Q940" s="17">
        <f>IFERROR(VLOOKUP(A940,已除帳印單!B:C,1,0),0)*1</f>
        <v>0</v>
      </c>
      <c r="R940" s="67" t="str">
        <f>IFERROR(VLOOKUP(J940,線別!A:B,2,1),"")</f>
        <v/>
      </c>
      <c r="S940" s="17" t="str">
        <f>IFERROR(VLOOKUP(A940,已除帳印單!B:C,2,0),"")</f>
        <v/>
      </c>
      <c r="T940" s="68" t="e">
        <f t="shared" si="90"/>
        <v>#VALUE!</v>
      </c>
      <c r="U940" s="69">
        <f t="shared" si="91"/>
        <v>0</v>
      </c>
      <c r="V940" s="68" t="str">
        <f>IFERROR(VLOOKUP(A940,已除帳印單!B:D,3,0),"")</f>
        <v/>
      </c>
      <c r="W940" s="69" t="str">
        <f>IFERROR(VLOOKUP(A940,已除帳印單!B:E,4,0),"")</f>
        <v/>
      </c>
      <c r="X940" s="68" t="str">
        <f>IFERROR(INDEX(刷條碼區!A:C,MATCH(點上線資訊!S940,刷條碼區!C:C,0),1),"")</f>
        <v/>
      </c>
      <c r="Y940" s="69" t="str">
        <f>IFERROR(INDEX(刷條碼區!A:C,MATCH(點上線資訊!S940,刷條碼區!C:C,0),2),"")</f>
        <v/>
      </c>
      <c r="Z940" s="70" t="str">
        <f>IFERROR(INDEX(刷條碼區!D:G,MATCH(點上線資訊!S940,刷條碼區!F:F,0),1),"")</f>
        <v/>
      </c>
      <c r="AA940" s="71" t="str">
        <f>IFERROR(INDEX(刷條碼區!D:G,MATCH(點上線資訊!S940,刷條碼區!F:F,0),2),"")</f>
        <v/>
      </c>
      <c r="AB940" s="20">
        <f t="shared" si="86"/>
        <v>0</v>
      </c>
      <c r="AC940" s="20" t="b">
        <f t="shared" si="87"/>
        <v>0</v>
      </c>
      <c r="AD940" s="17" t="b">
        <f t="shared" si="88"/>
        <v>0</v>
      </c>
      <c r="AE940" s="17" t="b">
        <f t="shared" si="89"/>
        <v>0</v>
      </c>
    </row>
    <row r="941" spans="16:31" x14ac:dyDescent="0.2">
      <c r="P941" t="s">
        <v>602</v>
      </c>
      <c r="Q941" s="17">
        <f>IFERROR(VLOOKUP(A941,已除帳印單!B:C,1,0),0)*1</f>
        <v>0</v>
      </c>
      <c r="R941" s="67" t="str">
        <f>IFERROR(VLOOKUP(J941,線別!A:B,2,1),"")</f>
        <v/>
      </c>
      <c r="S941" s="17" t="str">
        <f>IFERROR(VLOOKUP(A941,已除帳印單!B:C,2,0),"")</f>
        <v/>
      </c>
      <c r="T941" s="68" t="e">
        <f t="shared" si="90"/>
        <v>#VALUE!</v>
      </c>
      <c r="U941" s="69">
        <f t="shared" si="91"/>
        <v>0</v>
      </c>
      <c r="V941" s="68" t="str">
        <f>IFERROR(VLOOKUP(A941,已除帳印單!B:D,3,0),"")</f>
        <v/>
      </c>
      <c r="W941" s="69" t="str">
        <f>IFERROR(VLOOKUP(A941,已除帳印單!B:E,4,0),"")</f>
        <v/>
      </c>
      <c r="X941" s="68" t="str">
        <f>IFERROR(INDEX(刷條碼區!A:C,MATCH(點上線資訊!S941,刷條碼區!C:C,0),1),"")</f>
        <v/>
      </c>
      <c r="Y941" s="69" t="str">
        <f>IFERROR(INDEX(刷條碼區!A:C,MATCH(點上線資訊!S941,刷條碼區!C:C,0),2),"")</f>
        <v/>
      </c>
      <c r="Z941" s="70" t="str">
        <f>IFERROR(INDEX(刷條碼區!D:G,MATCH(點上線資訊!S941,刷條碼區!F:F,0),1),"")</f>
        <v/>
      </c>
      <c r="AA941" s="71" t="str">
        <f>IFERROR(INDEX(刷條碼區!D:G,MATCH(點上線資訊!S941,刷條碼區!F:F,0),2),"")</f>
        <v/>
      </c>
      <c r="AB941" s="20">
        <f t="shared" si="86"/>
        <v>0</v>
      </c>
      <c r="AC941" s="20" t="b">
        <f t="shared" si="87"/>
        <v>0</v>
      </c>
      <c r="AD941" s="17" t="b">
        <f t="shared" si="88"/>
        <v>0</v>
      </c>
      <c r="AE941" s="17" t="b">
        <f t="shared" si="89"/>
        <v>0</v>
      </c>
    </row>
    <row r="942" spans="16:31" x14ac:dyDescent="0.2">
      <c r="P942" t="s">
        <v>602</v>
      </c>
      <c r="Q942" s="17">
        <f>IFERROR(VLOOKUP(A942,已除帳印單!B:C,1,0),0)*1</f>
        <v>0</v>
      </c>
      <c r="R942" s="67" t="str">
        <f>IFERROR(VLOOKUP(J942,線別!A:B,2,1),"")</f>
        <v/>
      </c>
      <c r="S942" s="17" t="str">
        <f>IFERROR(VLOOKUP(A942,已除帳印單!B:C,2,0),"")</f>
        <v/>
      </c>
      <c r="T942" s="68" t="e">
        <f t="shared" si="90"/>
        <v>#VALUE!</v>
      </c>
      <c r="U942" s="69">
        <f t="shared" si="91"/>
        <v>0</v>
      </c>
      <c r="V942" s="68" t="str">
        <f>IFERROR(VLOOKUP(A942,已除帳印單!B:D,3,0),"")</f>
        <v/>
      </c>
      <c r="W942" s="69" t="str">
        <f>IFERROR(VLOOKUP(A942,已除帳印單!B:E,4,0),"")</f>
        <v/>
      </c>
      <c r="X942" s="68" t="str">
        <f>IFERROR(INDEX(刷條碼區!A:C,MATCH(點上線資訊!S942,刷條碼區!C:C,0),1),"")</f>
        <v/>
      </c>
      <c r="Y942" s="69" t="str">
        <f>IFERROR(INDEX(刷條碼區!A:C,MATCH(點上線資訊!S942,刷條碼區!C:C,0),2),"")</f>
        <v/>
      </c>
      <c r="Z942" s="70" t="str">
        <f>IFERROR(INDEX(刷條碼區!D:G,MATCH(點上線資訊!S942,刷條碼區!F:F,0),1),"")</f>
        <v/>
      </c>
      <c r="AA942" s="71" t="str">
        <f>IFERROR(INDEX(刷條碼區!D:G,MATCH(點上線資訊!S942,刷條碼區!F:F,0),2),"")</f>
        <v/>
      </c>
      <c r="AB942" s="20">
        <f t="shared" si="86"/>
        <v>0</v>
      </c>
      <c r="AC942" s="20" t="b">
        <f t="shared" si="87"/>
        <v>0</v>
      </c>
      <c r="AD942" s="17" t="b">
        <f t="shared" si="88"/>
        <v>0</v>
      </c>
      <c r="AE942" s="17" t="b">
        <f t="shared" si="89"/>
        <v>0</v>
      </c>
    </row>
    <row r="943" spans="16:31" x14ac:dyDescent="0.2">
      <c r="P943" t="s">
        <v>602</v>
      </c>
      <c r="Q943" s="17">
        <f>IFERROR(VLOOKUP(A943,已除帳印單!B:C,1,0),0)*1</f>
        <v>0</v>
      </c>
      <c r="R943" s="67" t="str">
        <f>IFERROR(VLOOKUP(J943,線別!A:B,2,1),"")</f>
        <v/>
      </c>
      <c r="S943" s="17" t="str">
        <f>IFERROR(VLOOKUP(A943,已除帳印單!B:C,2,0),"")</f>
        <v/>
      </c>
      <c r="T943" s="68" t="e">
        <f t="shared" si="90"/>
        <v>#VALUE!</v>
      </c>
      <c r="U943" s="69">
        <f t="shared" si="91"/>
        <v>0</v>
      </c>
      <c r="V943" s="68" t="str">
        <f>IFERROR(VLOOKUP(A943,已除帳印單!B:D,3,0),"")</f>
        <v/>
      </c>
      <c r="W943" s="69" t="str">
        <f>IFERROR(VLOOKUP(A943,已除帳印單!B:E,4,0),"")</f>
        <v/>
      </c>
      <c r="X943" s="68" t="str">
        <f>IFERROR(INDEX(刷條碼區!A:C,MATCH(點上線資訊!S943,刷條碼區!C:C,0),1),"")</f>
        <v/>
      </c>
      <c r="Y943" s="69" t="str">
        <f>IFERROR(INDEX(刷條碼區!A:C,MATCH(點上線資訊!S943,刷條碼區!C:C,0),2),"")</f>
        <v/>
      </c>
      <c r="Z943" s="70" t="str">
        <f>IFERROR(INDEX(刷條碼區!D:G,MATCH(點上線資訊!S943,刷條碼區!F:F,0),1),"")</f>
        <v/>
      </c>
      <c r="AA943" s="71" t="str">
        <f>IFERROR(INDEX(刷條碼區!D:G,MATCH(點上線資訊!S943,刷條碼區!F:F,0),2),"")</f>
        <v/>
      </c>
      <c r="AB943" s="20">
        <f t="shared" si="86"/>
        <v>0</v>
      </c>
      <c r="AC943" s="20" t="b">
        <f t="shared" si="87"/>
        <v>0</v>
      </c>
      <c r="AD943" s="17" t="b">
        <f t="shared" si="88"/>
        <v>0</v>
      </c>
      <c r="AE943" s="17" t="b">
        <f t="shared" si="89"/>
        <v>0</v>
      </c>
    </row>
    <row r="944" spans="16:31" x14ac:dyDescent="0.2">
      <c r="P944" t="s">
        <v>602</v>
      </c>
      <c r="Q944" s="17">
        <f>IFERROR(VLOOKUP(A944,已除帳印單!B:C,1,0),0)*1</f>
        <v>0</v>
      </c>
      <c r="R944" s="67" t="str">
        <f>IFERROR(VLOOKUP(J944,線別!A:B,2,1),"")</f>
        <v/>
      </c>
      <c r="S944" s="17" t="str">
        <f>IFERROR(VLOOKUP(A944,已除帳印單!B:C,2,0),"")</f>
        <v/>
      </c>
      <c r="T944" s="68" t="e">
        <f t="shared" si="90"/>
        <v>#VALUE!</v>
      </c>
      <c r="U944" s="69">
        <f t="shared" si="91"/>
        <v>0</v>
      </c>
      <c r="V944" s="68" t="str">
        <f>IFERROR(VLOOKUP(A944,已除帳印單!B:D,3,0),"")</f>
        <v/>
      </c>
      <c r="W944" s="69" t="str">
        <f>IFERROR(VLOOKUP(A944,已除帳印單!B:E,4,0),"")</f>
        <v/>
      </c>
      <c r="X944" s="68" t="str">
        <f>IFERROR(INDEX(刷條碼區!A:C,MATCH(點上線資訊!S944,刷條碼區!C:C,0),1),"")</f>
        <v/>
      </c>
      <c r="Y944" s="69" t="str">
        <f>IFERROR(INDEX(刷條碼區!A:C,MATCH(點上線資訊!S944,刷條碼區!C:C,0),2),"")</f>
        <v/>
      </c>
      <c r="Z944" s="70" t="str">
        <f>IFERROR(INDEX(刷條碼區!D:G,MATCH(點上線資訊!S944,刷條碼區!F:F,0),1),"")</f>
        <v/>
      </c>
      <c r="AA944" s="71" t="str">
        <f>IFERROR(INDEX(刷條碼區!D:G,MATCH(點上線資訊!S944,刷條碼區!F:F,0),2),"")</f>
        <v/>
      </c>
      <c r="AB944" s="20">
        <f t="shared" si="86"/>
        <v>0</v>
      </c>
      <c r="AC944" s="20" t="b">
        <f t="shared" si="87"/>
        <v>0</v>
      </c>
      <c r="AD944" s="17" t="b">
        <f t="shared" si="88"/>
        <v>0</v>
      </c>
      <c r="AE944" s="17" t="b">
        <f t="shared" si="89"/>
        <v>0</v>
      </c>
    </row>
    <row r="945" spans="16:31" x14ac:dyDescent="0.2">
      <c r="P945" t="s">
        <v>602</v>
      </c>
      <c r="Q945" s="17">
        <f>IFERROR(VLOOKUP(A945,已除帳印單!B:C,1,0),0)*1</f>
        <v>0</v>
      </c>
      <c r="R945" s="67" t="str">
        <f>IFERROR(VLOOKUP(J945,線別!A:B,2,1),"")</f>
        <v/>
      </c>
      <c r="S945" s="17" t="str">
        <f>IFERROR(VLOOKUP(A945,已除帳印單!B:C,2,0),"")</f>
        <v/>
      </c>
      <c r="T945" s="68" t="e">
        <f t="shared" si="90"/>
        <v>#VALUE!</v>
      </c>
      <c r="U945" s="69">
        <f t="shared" si="91"/>
        <v>0</v>
      </c>
      <c r="V945" s="68" t="str">
        <f>IFERROR(VLOOKUP(A945,已除帳印單!B:D,3,0),"")</f>
        <v/>
      </c>
      <c r="W945" s="69" t="str">
        <f>IFERROR(VLOOKUP(A945,已除帳印單!B:E,4,0),"")</f>
        <v/>
      </c>
      <c r="X945" s="68" t="str">
        <f>IFERROR(INDEX(刷條碼區!A:C,MATCH(點上線資訊!S945,刷條碼區!C:C,0),1),"")</f>
        <v/>
      </c>
      <c r="Y945" s="69" t="str">
        <f>IFERROR(INDEX(刷條碼區!A:C,MATCH(點上線資訊!S945,刷條碼區!C:C,0),2),"")</f>
        <v/>
      </c>
      <c r="Z945" s="70" t="str">
        <f>IFERROR(INDEX(刷條碼區!D:G,MATCH(點上線資訊!S945,刷條碼區!F:F,0),1),"")</f>
        <v/>
      </c>
      <c r="AA945" s="71" t="str">
        <f>IFERROR(INDEX(刷條碼區!D:G,MATCH(點上線資訊!S945,刷條碼區!F:F,0),2),"")</f>
        <v/>
      </c>
      <c r="AB945" s="20">
        <f t="shared" si="86"/>
        <v>0</v>
      </c>
      <c r="AC945" s="20" t="b">
        <f t="shared" si="87"/>
        <v>0</v>
      </c>
      <c r="AD945" s="17" t="b">
        <f t="shared" si="88"/>
        <v>0</v>
      </c>
      <c r="AE945" s="17" t="b">
        <f t="shared" si="89"/>
        <v>0</v>
      </c>
    </row>
    <row r="946" spans="16:31" x14ac:dyDescent="0.2">
      <c r="P946" t="s">
        <v>602</v>
      </c>
      <c r="Q946" s="17">
        <f>IFERROR(VLOOKUP(A946,已除帳印單!B:C,1,0),0)*1</f>
        <v>0</v>
      </c>
      <c r="R946" s="67" t="str">
        <f>IFERROR(VLOOKUP(J946,線別!A:B,2,1),"")</f>
        <v/>
      </c>
      <c r="S946" s="17" t="str">
        <f>IFERROR(VLOOKUP(A946,已除帳印單!B:C,2,0),"")</f>
        <v/>
      </c>
      <c r="T946" s="68" t="e">
        <f t="shared" si="90"/>
        <v>#VALUE!</v>
      </c>
      <c r="U946" s="69">
        <f t="shared" si="91"/>
        <v>0</v>
      </c>
      <c r="V946" s="68" t="str">
        <f>IFERROR(VLOOKUP(A946,已除帳印單!B:D,3,0),"")</f>
        <v/>
      </c>
      <c r="W946" s="69" t="str">
        <f>IFERROR(VLOOKUP(A946,已除帳印單!B:E,4,0),"")</f>
        <v/>
      </c>
      <c r="X946" s="68" t="str">
        <f>IFERROR(INDEX(刷條碼區!A:C,MATCH(點上線資訊!S946,刷條碼區!C:C,0),1),"")</f>
        <v/>
      </c>
      <c r="Y946" s="69" t="str">
        <f>IFERROR(INDEX(刷條碼區!A:C,MATCH(點上線資訊!S946,刷條碼區!C:C,0),2),"")</f>
        <v/>
      </c>
      <c r="Z946" s="70" t="str">
        <f>IFERROR(INDEX(刷條碼區!D:G,MATCH(點上線資訊!S946,刷條碼區!F:F,0),1),"")</f>
        <v/>
      </c>
      <c r="AA946" s="71" t="str">
        <f>IFERROR(INDEX(刷條碼區!D:G,MATCH(點上線資訊!S946,刷條碼區!F:F,0),2),"")</f>
        <v/>
      </c>
      <c r="AB946" s="20">
        <f t="shared" si="86"/>
        <v>0</v>
      </c>
      <c r="AC946" s="20" t="b">
        <f t="shared" si="87"/>
        <v>0</v>
      </c>
      <c r="AD946" s="17" t="b">
        <f t="shared" si="88"/>
        <v>0</v>
      </c>
      <c r="AE946" s="17" t="b">
        <f t="shared" si="89"/>
        <v>0</v>
      </c>
    </row>
    <row r="947" spans="16:31" x14ac:dyDescent="0.2">
      <c r="P947" t="s">
        <v>602</v>
      </c>
      <c r="Q947" s="17">
        <f>IFERROR(VLOOKUP(A947,已除帳印單!B:C,1,0),0)*1</f>
        <v>0</v>
      </c>
      <c r="R947" s="67" t="str">
        <f>IFERROR(VLOOKUP(J947,線別!A:B,2,1),"")</f>
        <v/>
      </c>
      <c r="S947" s="17" t="str">
        <f>IFERROR(VLOOKUP(A947,已除帳印單!B:C,2,0),"")</f>
        <v/>
      </c>
      <c r="T947" s="68" t="e">
        <f t="shared" si="90"/>
        <v>#VALUE!</v>
      </c>
      <c r="U947" s="69">
        <f t="shared" si="91"/>
        <v>0</v>
      </c>
      <c r="V947" s="68" t="str">
        <f>IFERROR(VLOOKUP(A947,已除帳印單!B:D,3,0),"")</f>
        <v/>
      </c>
      <c r="W947" s="69" t="str">
        <f>IFERROR(VLOOKUP(A947,已除帳印單!B:E,4,0),"")</f>
        <v/>
      </c>
      <c r="X947" s="68" t="str">
        <f>IFERROR(INDEX(刷條碼區!A:C,MATCH(點上線資訊!S947,刷條碼區!C:C,0),1),"")</f>
        <v/>
      </c>
      <c r="Y947" s="69" t="str">
        <f>IFERROR(INDEX(刷條碼區!A:C,MATCH(點上線資訊!S947,刷條碼區!C:C,0),2),"")</f>
        <v/>
      </c>
      <c r="Z947" s="70" t="str">
        <f>IFERROR(INDEX(刷條碼區!D:G,MATCH(點上線資訊!S947,刷條碼區!F:F,0),1),"")</f>
        <v/>
      </c>
      <c r="AA947" s="71" t="str">
        <f>IFERROR(INDEX(刷條碼區!D:G,MATCH(點上線資訊!S947,刷條碼區!F:F,0),2),"")</f>
        <v/>
      </c>
      <c r="AB947" s="20">
        <f t="shared" si="86"/>
        <v>0</v>
      </c>
      <c r="AC947" s="20" t="b">
        <f t="shared" si="87"/>
        <v>0</v>
      </c>
      <c r="AD947" s="17" t="b">
        <f t="shared" si="88"/>
        <v>0</v>
      </c>
      <c r="AE947" s="17" t="b">
        <f t="shared" si="89"/>
        <v>0</v>
      </c>
    </row>
    <row r="948" spans="16:31" x14ac:dyDescent="0.2">
      <c r="P948" t="s">
        <v>602</v>
      </c>
      <c r="Q948" s="17">
        <f>IFERROR(VLOOKUP(A948,已除帳印單!B:C,1,0),0)*1</f>
        <v>0</v>
      </c>
      <c r="R948" s="67" t="str">
        <f>IFERROR(VLOOKUP(J948,線別!A:B,2,1),"")</f>
        <v/>
      </c>
      <c r="S948" s="17" t="str">
        <f>IFERROR(VLOOKUP(A948,已除帳印單!B:C,2,0),"")</f>
        <v/>
      </c>
      <c r="T948" s="68" t="e">
        <f t="shared" si="90"/>
        <v>#VALUE!</v>
      </c>
      <c r="U948" s="69">
        <f t="shared" si="91"/>
        <v>0</v>
      </c>
      <c r="V948" s="68" t="str">
        <f>IFERROR(VLOOKUP(A948,已除帳印單!B:D,3,0),"")</f>
        <v/>
      </c>
      <c r="W948" s="69" t="str">
        <f>IFERROR(VLOOKUP(A948,已除帳印單!B:E,4,0),"")</f>
        <v/>
      </c>
      <c r="X948" s="68" t="str">
        <f>IFERROR(INDEX(刷條碼區!A:C,MATCH(點上線資訊!S948,刷條碼區!C:C,0),1),"")</f>
        <v/>
      </c>
      <c r="Y948" s="69" t="str">
        <f>IFERROR(INDEX(刷條碼區!A:C,MATCH(點上線資訊!S948,刷條碼區!C:C,0),2),"")</f>
        <v/>
      </c>
      <c r="Z948" s="70" t="str">
        <f>IFERROR(INDEX(刷條碼區!D:G,MATCH(點上線資訊!S948,刷條碼區!F:F,0),1),"")</f>
        <v/>
      </c>
      <c r="AA948" s="71" t="str">
        <f>IFERROR(INDEX(刷條碼區!D:G,MATCH(點上線資訊!S948,刷條碼區!F:F,0),2),"")</f>
        <v/>
      </c>
      <c r="AB948" s="20">
        <f t="shared" si="86"/>
        <v>0</v>
      </c>
      <c r="AC948" s="20" t="b">
        <f t="shared" si="87"/>
        <v>0</v>
      </c>
      <c r="AD948" s="17" t="b">
        <f t="shared" si="88"/>
        <v>0</v>
      </c>
      <c r="AE948" s="17" t="b">
        <f t="shared" si="89"/>
        <v>0</v>
      </c>
    </row>
    <row r="949" spans="16:31" x14ac:dyDescent="0.2">
      <c r="Q949" s="17">
        <f>IFERROR(VLOOKUP(A949,已除帳印單!B:C,1,0),0)*1</f>
        <v>0</v>
      </c>
      <c r="R949" s="67" t="str">
        <f>IFERROR(VLOOKUP(J949,線別!A:B,2,1),"")</f>
        <v/>
      </c>
      <c r="S949" s="17" t="str">
        <f>IFERROR(VLOOKUP(A949,已除帳印單!B:C,2,0),"")</f>
        <v/>
      </c>
      <c r="T949" s="68" t="e">
        <f t="shared" ref="T949:T1012" si="92">--TEXT(B949,"0000-00-00")</f>
        <v>#VALUE!</v>
      </c>
      <c r="U949" s="69">
        <f t="shared" ref="U949:U1012" si="93">--TEXT(C949,"00\:00\:00")</f>
        <v>0</v>
      </c>
      <c r="V949" s="68" t="str">
        <f>IFERROR(VLOOKUP(A949,已除帳印單!B:D,3,0),"")</f>
        <v/>
      </c>
      <c r="W949" s="69" t="str">
        <f>IFERROR(VLOOKUP(A949,已除帳印單!B:E,4,0),"")</f>
        <v/>
      </c>
      <c r="X949" s="68" t="str">
        <f>IFERROR(INDEX(刷條碼區!A:C,MATCH(點上線資訊!S949,刷條碼區!C:C,0),1),"")</f>
        <v/>
      </c>
      <c r="Y949" s="69" t="str">
        <f>IFERROR(INDEX(刷條碼區!A:C,MATCH(點上線資訊!S949,刷條碼區!C:C,0),2),"")</f>
        <v/>
      </c>
      <c r="Z949" s="70" t="str">
        <f>IFERROR(INDEX(刷條碼區!D:G,MATCH(點上線資訊!S949,刷條碼區!F:F,0),1),"")</f>
        <v/>
      </c>
      <c r="AA949" s="71" t="str">
        <f>IFERROR(INDEX(刷條碼區!D:G,MATCH(點上線資訊!S949,刷條碼區!F:F,0),2),"")</f>
        <v/>
      </c>
      <c r="AB949" s="20">
        <f t="shared" ref="AB949:AB1012" si="94">IF(K949&amp;N949="",G949)</f>
        <v>0</v>
      </c>
      <c r="AC949" s="20" t="b">
        <f t="shared" ref="AC949:AC1012" si="95">IF(S949&lt;&gt;"",G949)</f>
        <v>0</v>
      </c>
      <c r="AD949" s="17" t="b">
        <f t="shared" ref="AD949:AD1012" si="96">IF(X949&lt;&gt;"",G949)</f>
        <v>0</v>
      </c>
      <c r="AE949" s="17" t="b">
        <f t="shared" ref="AE949:AE1012" si="97">IF(Z949&lt;&gt;"",G949)</f>
        <v>0</v>
      </c>
    </row>
    <row r="950" spans="16:31" x14ac:dyDescent="0.2">
      <c r="Q950" s="17">
        <f>IFERROR(VLOOKUP(A950,已除帳印單!B:C,1,0),0)*1</f>
        <v>0</v>
      </c>
      <c r="R950" s="67" t="str">
        <f>IFERROR(VLOOKUP(J950,線別!A:B,2,1),"")</f>
        <v/>
      </c>
      <c r="S950" s="17" t="str">
        <f>IFERROR(VLOOKUP(A950,已除帳印單!B:C,2,0),"")</f>
        <v/>
      </c>
      <c r="T950" s="68" t="e">
        <f t="shared" si="92"/>
        <v>#VALUE!</v>
      </c>
      <c r="U950" s="69">
        <f t="shared" si="93"/>
        <v>0</v>
      </c>
      <c r="V950" s="68" t="str">
        <f>IFERROR(VLOOKUP(A950,已除帳印單!B:D,3,0),"")</f>
        <v/>
      </c>
      <c r="W950" s="69" t="str">
        <f>IFERROR(VLOOKUP(A950,已除帳印單!B:E,4,0),"")</f>
        <v/>
      </c>
      <c r="X950" s="68" t="str">
        <f>IFERROR(INDEX(刷條碼區!A:C,MATCH(點上線資訊!S950,刷條碼區!C:C,0),1),"")</f>
        <v/>
      </c>
      <c r="Y950" s="69" t="str">
        <f>IFERROR(INDEX(刷條碼區!A:C,MATCH(點上線資訊!S950,刷條碼區!C:C,0),2),"")</f>
        <v/>
      </c>
      <c r="Z950" s="70" t="str">
        <f>IFERROR(INDEX(刷條碼區!D:G,MATCH(點上線資訊!S950,刷條碼區!F:F,0),1),"")</f>
        <v/>
      </c>
      <c r="AA950" s="71" t="str">
        <f>IFERROR(INDEX(刷條碼區!D:G,MATCH(點上線資訊!S950,刷條碼區!F:F,0),2),"")</f>
        <v/>
      </c>
      <c r="AB950" s="20">
        <f t="shared" si="94"/>
        <v>0</v>
      </c>
      <c r="AC950" s="20" t="b">
        <f t="shared" si="95"/>
        <v>0</v>
      </c>
      <c r="AD950" s="17" t="b">
        <f t="shared" si="96"/>
        <v>0</v>
      </c>
      <c r="AE950" s="17" t="b">
        <f t="shared" si="97"/>
        <v>0</v>
      </c>
    </row>
    <row r="951" spans="16:31" x14ac:dyDescent="0.2">
      <c r="Q951" s="17">
        <f>IFERROR(VLOOKUP(A951,已除帳印單!B:C,1,0),0)*1</f>
        <v>0</v>
      </c>
      <c r="R951" s="67" t="str">
        <f>IFERROR(VLOOKUP(J951,線別!A:B,2,1),"")</f>
        <v/>
      </c>
      <c r="S951" s="17" t="str">
        <f>IFERROR(VLOOKUP(A951,已除帳印單!B:C,2,0),"")</f>
        <v/>
      </c>
      <c r="T951" s="68" t="e">
        <f t="shared" si="92"/>
        <v>#VALUE!</v>
      </c>
      <c r="U951" s="69">
        <f t="shared" si="93"/>
        <v>0</v>
      </c>
      <c r="V951" s="68" t="str">
        <f>IFERROR(VLOOKUP(A951,已除帳印單!B:D,3,0),"")</f>
        <v/>
      </c>
      <c r="W951" s="69" t="str">
        <f>IFERROR(VLOOKUP(A951,已除帳印單!B:E,4,0),"")</f>
        <v/>
      </c>
      <c r="X951" s="68" t="str">
        <f>IFERROR(INDEX(刷條碼區!A:C,MATCH(點上線資訊!S951,刷條碼區!C:C,0),1),"")</f>
        <v/>
      </c>
      <c r="Y951" s="69" t="str">
        <f>IFERROR(INDEX(刷條碼區!A:C,MATCH(點上線資訊!S951,刷條碼區!C:C,0),2),"")</f>
        <v/>
      </c>
      <c r="Z951" s="70" t="str">
        <f>IFERROR(INDEX(刷條碼區!D:G,MATCH(點上線資訊!S951,刷條碼區!F:F,0),1),"")</f>
        <v/>
      </c>
      <c r="AA951" s="71" t="str">
        <f>IFERROR(INDEX(刷條碼區!D:G,MATCH(點上線資訊!S951,刷條碼區!F:F,0),2),"")</f>
        <v/>
      </c>
      <c r="AB951" s="20">
        <f t="shared" si="94"/>
        <v>0</v>
      </c>
      <c r="AC951" s="20" t="b">
        <f t="shared" si="95"/>
        <v>0</v>
      </c>
      <c r="AD951" s="17" t="b">
        <f t="shared" si="96"/>
        <v>0</v>
      </c>
      <c r="AE951" s="17" t="b">
        <f t="shared" si="97"/>
        <v>0</v>
      </c>
    </row>
    <row r="952" spans="16:31" x14ac:dyDescent="0.2">
      <c r="Q952" s="17">
        <f>IFERROR(VLOOKUP(A952,已除帳印單!B:C,1,0),0)*1</f>
        <v>0</v>
      </c>
      <c r="R952" s="67" t="str">
        <f>IFERROR(VLOOKUP(J952,線別!A:B,2,1),"")</f>
        <v/>
      </c>
      <c r="S952" s="17" t="str">
        <f>IFERROR(VLOOKUP(A952,已除帳印單!B:C,2,0),"")</f>
        <v/>
      </c>
      <c r="T952" s="68" t="e">
        <f t="shared" si="92"/>
        <v>#VALUE!</v>
      </c>
      <c r="U952" s="69">
        <f t="shared" si="93"/>
        <v>0</v>
      </c>
      <c r="V952" s="68" t="str">
        <f>IFERROR(VLOOKUP(A952,已除帳印單!B:D,3,0),"")</f>
        <v/>
      </c>
      <c r="W952" s="69" t="str">
        <f>IFERROR(VLOOKUP(A952,已除帳印單!B:E,4,0),"")</f>
        <v/>
      </c>
      <c r="X952" s="68" t="str">
        <f>IFERROR(INDEX(刷條碼區!A:C,MATCH(點上線資訊!S952,刷條碼區!C:C,0),1),"")</f>
        <v/>
      </c>
      <c r="Y952" s="69" t="str">
        <f>IFERROR(INDEX(刷條碼區!A:C,MATCH(點上線資訊!S952,刷條碼區!C:C,0),2),"")</f>
        <v/>
      </c>
      <c r="Z952" s="70" t="str">
        <f>IFERROR(INDEX(刷條碼區!D:G,MATCH(點上線資訊!S952,刷條碼區!F:F,0),1),"")</f>
        <v/>
      </c>
      <c r="AA952" s="71" t="str">
        <f>IFERROR(INDEX(刷條碼區!D:G,MATCH(點上線資訊!S952,刷條碼區!F:F,0),2),"")</f>
        <v/>
      </c>
      <c r="AB952" s="20">
        <f t="shared" si="94"/>
        <v>0</v>
      </c>
      <c r="AC952" s="20" t="b">
        <f t="shared" si="95"/>
        <v>0</v>
      </c>
      <c r="AD952" s="17" t="b">
        <f t="shared" si="96"/>
        <v>0</v>
      </c>
      <c r="AE952" s="17" t="b">
        <f t="shared" si="97"/>
        <v>0</v>
      </c>
    </row>
    <row r="953" spans="16:31" x14ac:dyDescent="0.2">
      <c r="Q953" s="17">
        <f>IFERROR(VLOOKUP(A953,已除帳印單!B:C,1,0),0)*1</f>
        <v>0</v>
      </c>
      <c r="R953" s="67" t="str">
        <f>IFERROR(VLOOKUP(J953,線別!A:B,2,1),"")</f>
        <v/>
      </c>
      <c r="S953" s="17" t="str">
        <f>IFERROR(VLOOKUP(A953,已除帳印單!B:C,2,0),"")</f>
        <v/>
      </c>
      <c r="T953" s="68" t="e">
        <f t="shared" si="92"/>
        <v>#VALUE!</v>
      </c>
      <c r="U953" s="69">
        <f t="shared" si="93"/>
        <v>0</v>
      </c>
      <c r="V953" s="68" t="str">
        <f>IFERROR(VLOOKUP(A953,已除帳印單!B:D,3,0),"")</f>
        <v/>
      </c>
      <c r="W953" s="69" t="str">
        <f>IFERROR(VLOOKUP(A953,已除帳印單!B:E,4,0),"")</f>
        <v/>
      </c>
      <c r="X953" s="68" t="str">
        <f>IFERROR(INDEX(刷條碼區!A:C,MATCH(點上線資訊!S953,刷條碼區!C:C,0),1),"")</f>
        <v/>
      </c>
      <c r="Y953" s="69" t="str">
        <f>IFERROR(INDEX(刷條碼區!A:C,MATCH(點上線資訊!S953,刷條碼區!C:C,0),2),"")</f>
        <v/>
      </c>
      <c r="Z953" s="70" t="str">
        <f>IFERROR(INDEX(刷條碼區!D:G,MATCH(點上線資訊!S953,刷條碼區!F:F,0),1),"")</f>
        <v/>
      </c>
      <c r="AA953" s="71" t="str">
        <f>IFERROR(INDEX(刷條碼區!D:G,MATCH(點上線資訊!S953,刷條碼區!F:F,0),2),"")</f>
        <v/>
      </c>
      <c r="AB953" s="20">
        <f t="shared" si="94"/>
        <v>0</v>
      </c>
      <c r="AC953" s="20" t="b">
        <f t="shared" si="95"/>
        <v>0</v>
      </c>
      <c r="AD953" s="17" t="b">
        <f t="shared" si="96"/>
        <v>0</v>
      </c>
      <c r="AE953" s="17" t="b">
        <f t="shared" si="97"/>
        <v>0</v>
      </c>
    </row>
    <row r="954" spans="16:31" x14ac:dyDescent="0.2">
      <c r="Q954" s="17">
        <f>IFERROR(VLOOKUP(A954,已除帳印單!B:C,1,0),0)*1</f>
        <v>0</v>
      </c>
      <c r="R954" s="67" t="str">
        <f>IFERROR(VLOOKUP(J954,線別!A:B,2,1),"")</f>
        <v/>
      </c>
      <c r="S954" s="17" t="str">
        <f>IFERROR(VLOOKUP(A954,已除帳印單!B:C,2,0),"")</f>
        <v/>
      </c>
      <c r="T954" s="68" t="e">
        <f t="shared" si="92"/>
        <v>#VALUE!</v>
      </c>
      <c r="U954" s="69">
        <f t="shared" si="93"/>
        <v>0</v>
      </c>
      <c r="V954" s="68" t="str">
        <f>IFERROR(VLOOKUP(A954,已除帳印單!B:D,3,0),"")</f>
        <v/>
      </c>
      <c r="W954" s="69" t="str">
        <f>IFERROR(VLOOKUP(A954,已除帳印單!B:E,4,0),"")</f>
        <v/>
      </c>
      <c r="X954" s="68" t="str">
        <f>IFERROR(INDEX(刷條碼區!A:C,MATCH(點上線資訊!S954,刷條碼區!C:C,0),1),"")</f>
        <v/>
      </c>
      <c r="Y954" s="69" t="str">
        <f>IFERROR(INDEX(刷條碼區!A:C,MATCH(點上線資訊!S954,刷條碼區!C:C,0),2),"")</f>
        <v/>
      </c>
      <c r="Z954" s="70" t="str">
        <f>IFERROR(INDEX(刷條碼區!D:G,MATCH(點上線資訊!S954,刷條碼區!F:F,0),1),"")</f>
        <v/>
      </c>
      <c r="AA954" s="71" t="str">
        <f>IFERROR(INDEX(刷條碼區!D:G,MATCH(點上線資訊!S954,刷條碼區!F:F,0),2),"")</f>
        <v/>
      </c>
      <c r="AB954" s="20">
        <f t="shared" si="94"/>
        <v>0</v>
      </c>
      <c r="AC954" s="20" t="b">
        <f t="shared" si="95"/>
        <v>0</v>
      </c>
      <c r="AD954" s="17" t="b">
        <f t="shared" si="96"/>
        <v>0</v>
      </c>
      <c r="AE954" s="17" t="b">
        <f t="shared" si="97"/>
        <v>0</v>
      </c>
    </row>
    <row r="955" spans="16:31" x14ac:dyDescent="0.2">
      <c r="Q955" s="17">
        <f>IFERROR(VLOOKUP(A955,已除帳印單!B:C,1,0),0)*1</f>
        <v>0</v>
      </c>
      <c r="R955" s="67" t="str">
        <f>IFERROR(VLOOKUP(J955,線別!A:B,2,1),"")</f>
        <v/>
      </c>
      <c r="S955" s="17" t="str">
        <f>IFERROR(VLOOKUP(A955,已除帳印單!B:C,2,0),"")</f>
        <v/>
      </c>
      <c r="T955" s="68" t="e">
        <f t="shared" si="92"/>
        <v>#VALUE!</v>
      </c>
      <c r="U955" s="69">
        <f t="shared" si="93"/>
        <v>0</v>
      </c>
      <c r="V955" s="68" t="str">
        <f>IFERROR(VLOOKUP(A955,已除帳印單!B:D,3,0),"")</f>
        <v/>
      </c>
      <c r="W955" s="69" t="str">
        <f>IFERROR(VLOOKUP(A955,已除帳印單!B:E,4,0),"")</f>
        <v/>
      </c>
      <c r="X955" s="68" t="str">
        <f>IFERROR(INDEX(刷條碼區!A:C,MATCH(點上線資訊!S955,刷條碼區!C:C,0),1),"")</f>
        <v/>
      </c>
      <c r="Y955" s="69" t="str">
        <f>IFERROR(INDEX(刷條碼區!A:C,MATCH(點上線資訊!S955,刷條碼區!C:C,0),2),"")</f>
        <v/>
      </c>
      <c r="Z955" s="70" t="str">
        <f>IFERROR(INDEX(刷條碼區!D:G,MATCH(點上線資訊!S955,刷條碼區!F:F,0),1),"")</f>
        <v/>
      </c>
      <c r="AA955" s="71" t="str">
        <f>IFERROR(INDEX(刷條碼區!D:G,MATCH(點上線資訊!S955,刷條碼區!F:F,0),2),"")</f>
        <v/>
      </c>
      <c r="AB955" s="20">
        <f t="shared" si="94"/>
        <v>0</v>
      </c>
      <c r="AC955" s="20" t="b">
        <f t="shared" si="95"/>
        <v>0</v>
      </c>
      <c r="AD955" s="17" t="b">
        <f t="shared" si="96"/>
        <v>0</v>
      </c>
      <c r="AE955" s="17" t="b">
        <f t="shared" si="97"/>
        <v>0</v>
      </c>
    </row>
    <row r="956" spans="16:31" x14ac:dyDescent="0.2">
      <c r="Q956" s="17">
        <f>IFERROR(VLOOKUP(A956,已除帳印單!B:C,1,0),0)*1</f>
        <v>0</v>
      </c>
      <c r="R956" s="67" t="str">
        <f>IFERROR(VLOOKUP(J956,線別!A:B,2,1),"")</f>
        <v/>
      </c>
      <c r="S956" s="17" t="str">
        <f>IFERROR(VLOOKUP(A956,已除帳印單!B:C,2,0),"")</f>
        <v/>
      </c>
      <c r="T956" s="68" t="e">
        <f t="shared" si="92"/>
        <v>#VALUE!</v>
      </c>
      <c r="U956" s="69">
        <f t="shared" si="93"/>
        <v>0</v>
      </c>
      <c r="V956" s="68" t="str">
        <f>IFERROR(VLOOKUP(A956,已除帳印單!B:D,3,0),"")</f>
        <v/>
      </c>
      <c r="W956" s="69" t="str">
        <f>IFERROR(VLOOKUP(A956,已除帳印單!B:E,4,0),"")</f>
        <v/>
      </c>
      <c r="X956" s="68" t="str">
        <f>IFERROR(INDEX(刷條碼區!A:C,MATCH(點上線資訊!S956,刷條碼區!C:C,0),1),"")</f>
        <v/>
      </c>
      <c r="Y956" s="69" t="str">
        <f>IFERROR(INDEX(刷條碼區!A:C,MATCH(點上線資訊!S956,刷條碼區!C:C,0),2),"")</f>
        <v/>
      </c>
      <c r="Z956" s="70" t="str">
        <f>IFERROR(INDEX(刷條碼區!D:G,MATCH(點上線資訊!S956,刷條碼區!F:F,0),1),"")</f>
        <v/>
      </c>
      <c r="AA956" s="71" t="str">
        <f>IFERROR(INDEX(刷條碼區!D:G,MATCH(點上線資訊!S956,刷條碼區!F:F,0),2),"")</f>
        <v/>
      </c>
      <c r="AB956" s="20">
        <f t="shared" si="94"/>
        <v>0</v>
      </c>
      <c r="AC956" s="20" t="b">
        <f t="shared" si="95"/>
        <v>0</v>
      </c>
      <c r="AD956" s="17" t="b">
        <f t="shared" si="96"/>
        <v>0</v>
      </c>
      <c r="AE956" s="17" t="b">
        <f t="shared" si="97"/>
        <v>0</v>
      </c>
    </row>
    <row r="957" spans="16:31" x14ac:dyDescent="0.2">
      <c r="Q957" s="17">
        <f>IFERROR(VLOOKUP(A957,已除帳印單!B:C,1,0),0)*1</f>
        <v>0</v>
      </c>
      <c r="R957" s="67" t="str">
        <f>IFERROR(VLOOKUP(J957,線別!A:B,2,1),"")</f>
        <v/>
      </c>
      <c r="S957" s="17" t="str">
        <f>IFERROR(VLOOKUP(A957,已除帳印單!B:C,2,0),"")</f>
        <v/>
      </c>
      <c r="T957" s="68" t="e">
        <f t="shared" si="92"/>
        <v>#VALUE!</v>
      </c>
      <c r="U957" s="69">
        <f t="shared" si="93"/>
        <v>0</v>
      </c>
      <c r="V957" s="68" t="str">
        <f>IFERROR(VLOOKUP(A957,已除帳印單!B:D,3,0),"")</f>
        <v/>
      </c>
      <c r="W957" s="69" t="str">
        <f>IFERROR(VLOOKUP(A957,已除帳印單!B:E,4,0),"")</f>
        <v/>
      </c>
      <c r="X957" s="68" t="str">
        <f>IFERROR(INDEX(刷條碼區!A:C,MATCH(點上線資訊!S957,刷條碼區!C:C,0),1),"")</f>
        <v/>
      </c>
      <c r="Y957" s="69" t="str">
        <f>IFERROR(INDEX(刷條碼區!A:C,MATCH(點上線資訊!S957,刷條碼區!C:C,0),2),"")</f>
        <v/>
      </c>
      <c r="Z957" s="70" t="str">
        <f>IFERROR(INDEX(刷條碼區!D:G,MATCH(點上線資訊!S957,刷條碼區!F:F,0),1),"")</f>
        <v/>
      </c>
      <c r="AA957" s="71" t="str">
        <f>IFERROR(INDEX(刷條碼區!D:G,MATCH(點上線資訊!S957,刷條碼區!F:F,0),2),"")</f>
        <v/>
      </c>
      <c r="AB957" s="20">
        <f t="shared" si="94"/>
        <v>0</v>
      </c>
      <c r="AC957" s="20" t="b">
        <f t="shared" si="95"/>
        <v>0</v>
      </c>
      <c r="AD957" s="17" t="b">
        <f t="shared" si="96"/>
        <v>0</v>
      </c>
      <c r="AE957" s="17" t="b">
        <f t="shared" si="97"/>
        <v>0</v>
      </c>
    </row>
    <row r="958" spans="16:31" x14ac:dyDescent="0.2">
      <c r="Q958" s="17">
        <f>IFERROR(VLOOKUP(A958,已除帳印單!B:C,1,0),0)*1</f>
        <v>0</v>
      </c>
      <c r="R958" s="67" t="str">
        <f>IFERROR(VLOOKUP(J958,線別!A:B,2,1),"")</f>
        <v/>
      </c>
      <c r="S958" s="17" t="str">
        <f>IFERROR(VLOOKUP(A958,已除帳印單!B:C,2,0),"")</f>
        <v/>
      </c>
      <c r="T958" s="68" t="e">
        <f t="shared" si="92"/>
        <v>#VALUE!</v>
      </c>
      <c r="U958" s="69">
        <f t="shared" si="93"/>
        <v>0</v>
      </c>
      <c r="V958" s="68" t="str">
        <f>IFERROR(VLOOKUP(A958,已除帳印單!B:D,3,0),"")</f>
        <v/>
      </c>
      <c r="W958" s="69" t="str">
        <f>IFERROR(VLOOKUP(A958,已除帳印單!B:E,4,0),"")</f>
        <v/>
      </c>
      <c r="X958" s="68" t="str">
        <f>IFERROR(INDEX(刷條碼區!A:C,MATCH(點上線資訊!S958,刷條碼區!C:C,0),1),"")</f>
        <v/>
      </c>
      <c r="Y958" s="69" t="str">
        <f>IFERROR(INDEX(刷條碼區!A:C,MATCH(點上線資訊!S958,刷條碼區!C:C,0),2),"")</f>
        <v/>
      </c>
      <c r="Z958" s="70" t="str">
        <f>IFERROR(INDEX(刷條碼區!D:G,MATCH(點上線資訊!S958,刷條碼區!F:F,0),1),"")</f>
        <v/>
      </c>
      <c r="AA958" s="71" t="str">
        <f>IFERROR(INDEX(刷條碼區!D:G,MATCH(點上線資訊!S958,刷條碼區!F:F,0),2),"")</f>
        <v/>
      </c>
      <c r="AB958" s="20">
        <f t="shared" si="94"/>
        <v>0</v>
      </c>
      <c r="AC958" s="20" t="b">
        <f t="shared" si="95"/>
        <v>0</v>
      </c>
      <c r="AD958" s="17" t="b">
        <f t="shared" si="96"/>
        <v>0</v>
      </c>
      <c r="AE958" s="17" t="b">
        <f t="shared" si="97"/>
        <v>0</v>
      </c>
    </row>
    <row r="959" spans="16:31" x14ac:dyDescent="0.2">
      <c r="Q959" s="17">
        <f>IFERROR(VLOOKUP(A959,已除帳印單!B:C,1,0),0)*1</f>
        <v>0</v>
      </c>
      <c r="R959" s="67" t="str">
        <f>IFERROR(VLOOKUP(J959,線別!A:B,2,1),"")</f>
        <v/>
      </c>
      <c r="S959" s="17" t="str">
        <f>IFERROR(VLOOKUP(A959,已除帳印單!B:C,2,0),"")</f>
        <v/>
      </c>
      <c r="T959" s="68" t="e">
        <f t="shared" si="92"/>
        <v>#VALUE!</v>
      </c>
      <c r="U959" s="69">
        <f t="shared" si="93"/>
        <v>0</v>
      </c>
      <c r="V959" s="68" t="str">
        <f>IFERROR(VLOOKUP(A959,已除帳印單!B:D,3,0),"")</f>
        <v/>
      </c>
      <c r="W959" s="69" t="str">
        <f>IFERROR(VLOOKUP(A959,已除帳印單!B:E,4,0),"")</f>
        <v/>
      </c>
      <c r="X959" s="68" t="str">
        <f>IFERROR(INDEX(刷條碼區!A:C,MATCH(點上線資訊!S959,刷條碼區!C:C,0),1),"")</f>
        <v/>
      </c>
      <c r="Y959" s="69" t="str">
        <f>IFERROR(INDEX(刷條碼區!A:C,MATCH(點上線資訊!S959,刷條碼區!C:C,0),2),"")</f>
        <v/>
      </c>
      <c r="Z959" s="70" t="str">
        <f>IFERROR(INDEX(刷條碼區!D:G,MATCH(點上線資訊!S959,刷條碼區!F:F,0),1),"")</f>
        <v/>
      </c>
      <c r="AA959" s="71" t="str">
        <f>IFERROR(INDEX(刷條碼區!D:G,MATCH(點上線資訊!S959,刷條碼區!F:F,0),2),"")</f>
        <v/>
      </c>
      <c r="AB959" s="20">
        <f t="shared" si="94"/>
        <v>0</v>
      </c>
      <c r="AC959" s="20" t="b">
        <f t="shared" si="95"/>
        <v>0</v>
      </c>
      <c r="AD959" s="17" t="b">
        <f t="shared" si="96"/>
        <v>0</v>
      </c>
      <c r="AE959" s="17" t="b">
        <f t="shared" si="97"/>
        <v>0</v>
      </c>
    </row>
    <row r="960" spans="16:31" x14ac:dyDescent="0.2">
      <c r="Q960" s="17">
        <f>IFERROR(VLOOKUP(A960,已除帳印單!B:C,1,0),0)*1</f>
        <v>0</v>
      </c>
      <c r="R960" s="67" t="str">
        <f>IFERROR(VLOOKUP(J960,線別!A:B,2,1),"")</f>
        <v/>
      </c>
      <c r="S960" s="17" t="str">
        <f>IFERROR(VLOOKUP(A960,已除帳印單!B:C,2,0),"")</f>
        <v/>
      </c>
      <c r="T960" s="68" t="e">
        <f t="shared" si="92"/>
        <v>#VALUE!</v>
      </c>
      <c r="U960" s="69">
        <f t="shared" si="93"/>
        <v>0</v>
      </c>
      <c r="V960" s="68" t="str">
        <f>IFERROR(VLOOKUP(A960,已除帳印單!B:D,3,0),"")</f>
        <v/>
      </c>
      <c r="W960" s="69" t="str">
        <f>IFERROR(VLOOKUP(A960,已除帳印單!B:E,4,0),"")</f>
        <v/>
      </c>
      <c r="X960" s="68" t="str">
        <f>IFERROR(INDEX(刷條碼區!A:C,MATCH(點上線資訊!S960,刷條碼區!C:C,0),1),"")</f>
        <v/>
      </c>
      <c r="Y960" s="69" t="str">
        <f>IFERROR(INDEX(刷條碼區!A:C,MATCH(點上線資訊!S960,刷條碼區!C:C,0),2),"")</f>
        <v/>
      </c>
      <c r="Z960" s="70" t="str">
        <f>IFERROR(INDEX(刷條碼區!D:G,MATCH(點上線資訊!S960,刷條碼區!F:F,0),1),"")</f>
        <v/>
      </c>
      <c r="AA960" s="71" t="str">
        <f>IFERROR(INDEX(刷條碼區!D:G,MATCH(點上線資訊!S960,刷條碼區!F:F,0),2),"")</f>
        <v/>
      </c>
      <c r="AB960" s="20">
        <f t="shared" si="94"/>
        <v>0</v>
      </c>
      <c r="AC960" s="20" t="b">
        <f t="shared" si="95"/>
        <v>0</v>
      </c>
      <c r="AD960" s="17" t="b">
        <f t="shared" si="96"/>
        <v>0</v>
      </c>
      <c r="AE960" s="17" t="b">
        <f t="shared" si="97"/>
        <v>0</v>
      </c>
    </row>
    <row r="961" spans="17:31" x14ac:dyDescent="0.2">
      <c r="Q961" s="17">
        <f>IFERROR(VLOOKUP(A961,已除帳印單!B:C,1,0),0)*1</f>
        <v>0</v>
      </c>
      <c r="R961" s="67" t="str">
        <f>IFERROR(VLOOKUP(J961,線別!A:B,2,1),"")</f>
        <v/>
      </c>
      <c r="S961" s="17" t="str">
        <f>IFERROR(VLOOKUP(A961,已除帳印單!B:C,2,0),"")</f>
        <v/>
      </c>
      <c r="T961" s="68" t="e">
        <f t="shared" si="92"/>
        <v>#VALUE!</v>
      </c>
      <c r="U961" s="69">
        <f t="shared" si="93"/>
        <v>0</v>
      </c>
      <c r="V961" s="68" t="str">
        <f>IFERROR(VLOOKUP(A961,已除帳印單!B:D,3,0),"")</f>
        <v/>
      </c>
      <c r="W961" s="69" t="str">
        <f>IFERROR(VLOOKUP(A961,已除帳印單!B:E,4,0),"")</f>
        <v/>
      </c>
      <c r="X961" s="68" t="str">
        <f>IFERROR(INDEX(刷條碼區!A:C,MATCH(點上線資訊!S961,刷條碼區!C:C,0),1),"")</f>
        <v/>
      </c>
      <c r="Y961" s="69" t="str">
        <f>IFERROR(INDEX(刷條碼區!A:C,MATCH(點上線資訊!S961,刷條碼區!C:C,0),2),"")</f>
        <v/>
      </c>
      <c r="Z961" s="70" t="str">
        <f>IFERROR(INDEX(刷條碼區!D:G,MATCH(點上線資訊!S961,刷條碼區!F:F,0),1),"")</f>
        <v/>
      </c>
      <c r="AA961" s="71" t="str">
        <f>IFERROR(INDEX(刷條碼區!D:G,MATCH(點上線資訊!S961,刷條碼區!F:F,0),2),"")</f>
        <v/>
      </c>
      <c r="AB961" s="20">
        <f t="shared" si="94"/>
        <v>0</v>
      </c>
      <c r="AC961" s="20" t="b">
        <f t="shared" si="95"/>
        <v>0</v>
      </c>
      <c r="AD961" s="17" t="b">
        <f t="shared" si="96"/>
        <v>0</v>
      </c>
      <c r="AE961" s="17" t="b">
        <f t="shared" si="97"/>
        <v>0</v>
      </c>
    </row>
    <row r="962" spans="17:31" x14ac:dyDescent="0.2">
      <c r="Q962" s="17">
        <f>IFERROR(VLOOKUP(A962,已除帳印單!B:C,1,0),0)*1</f>
        <v>0</v>
      </c>
      <c r="R962" s="67" t="str">
        <f>IFERROR(VLOOKUP(J962,線別!A:B,2,1),"")</f>
        <v/>
      </c>
      <c r="S962" s="17" t="str">
        <f>IFERROR(VLOOKUP(A962,已除帳印單!B:C,2,0),"")</f>
        <v/>
      </c>
      <c r="T962" s="68" t="e">
        <f t="shared" si="92"/>
        <v>#VALUE!</v>
      </c>
      <c r="U962" s="69">
        <f t="shared" si="93"/>
        <v>0</v>
      </c>
      <c r="V962" s="68" t="str">
        <f>IFERROR(VLOOKUP(A962,已除帳印單!B:D,3,0),"")</f>
        <v/>
      </c>
      <c r="W962" s="69" t="str">
        <f>IFERROR(VLOOKUP(A962,已除帳印單!B:E,4,0),"")</f>
        <v/>
      </c>
      <c r="X962" s="68" t="str">
        <f>IFERROR(INDEX(刷條碼區!A:C,MATCH(點上線資訊!S962,刷條碼區!C:C,0),1),"")</f>
        <v/>
      </c>
      <c r="Y962" s="69" t="str">
        <f>IFERROR(INDEX(刷條碼區!A:C,MATCH(點上線資訊!S962,刷條碼區!C:C,0),2),"")</f>
        <v/>
      </c>
      <c r="Z962" s="70" t="str">
        <f>IFERROR(INDEX(刷條碼區!D:G,MATCH(點上線資訊!S962,刷條碼區!F:F,0),1),"")</f>
        <v/>
      </c>
      <c r="AA962" s="71" t="str">
        <f>IFERROR(INDEX(刷條碼區!D:G,MATCH(點上線資訊!S962,刷條碼區!F:F,0),2),"")</f>
        <v/>
      </c>
      <c r="AB962" s="20">
        <f t="shared" si="94"/>
        <v>0</v>
      </c>
      <c r="AC962" s="20" t="b">
        <f t="shared" si="95"/>
        <v>0</v>
      </c>
      <c r="AD962" s="17" t="b">
        <f t="shared" si="96"/>
        <v>0</v>
      </c>
      <c r="AE962" s="17" t="b">
        <f t="shared" si="97"/>
        <v>0</v>
      </c>
    </row>
    <row r="963" spans="17:31" x14ac:dyDescent="0.2">
      <c r="Q963" s="17">
        <f>IFERROR(VLOOKUP(A963,已除帳印單!B:C,1,0),0)*1</f>
        <v>0</v>
      </c>
      <c r="R963" s="67" t="str">
        <f>IFERROR(VLOOKUP(J963,線別!A:B,2,1),"")</f>
        <v/>
      </c>
      <c r="S963" s="17" t="str">
        <f>IFERROR(VLOOKUP(A963,已除帳印單!B:C,2,0),"")</f>
        <v/>
      </c>
      <c r="T963" s="68" t="e">
        <f t="shared" si="92"/>
        <v>#VALUE!</v>
      </c>
      <c r="U963" s="69">
        <f t="shared" si="93"/>
        <v>0</v>
      </c>
      <c r="V963" s="68" t="str">
        <f>IFERROR(VLOOKUP(A963,已除帳印單!B:D,3,0),"")</f>
        <v/>
      </c>
      <c r="W963" s="69" t="str">
        <f>IFERROR(VLOOKUP(A963,已除帳印單!B:E,4,0),"")</f>
        <v/>
      </c>
      <c r="X963" s="68" t="str">
        <f>IFERROR(INDEX(刷條碼區!A:C,MATCH(點上線資訊!S963,刷條碼區!C:C,0),1),"")</f>
        <v/>
      </c>
      <c r="Y963" s="69" t="str">
        <f>IFERROR(INDEX(刷條碼區!A:C,MATCH(點上線資訊!S963,刷條碼區!C:C,0),2),"")</f>
        <v/>
      </c>
      <c r="Z963" s="70" t="str">
        <f>IFERROR(INDEX(刷條碼區!D:G,MATCH(點上線資訊!S963,刷條碼區!F:F,0),1),"")</f>
        <v/>
      </c>
      <c r="AA963" s="71" t="str">
        <f>IFERROR(INDEX(刷條碼區!D:G,MATCH(點上線資訊!S963,刷條碼區!F:F,0),2),"")</f>
        <v/>
      </c>
      <c r="AB963" s="20">
        <f t="shared" si="94"/>
        <v>0</v>
      </c>
      <c r="AC963" s="20" t="b">
        <f t="shared" si="95"/>
        <v>0</v>
      </c>
      <c r="AD963" s="17" t="b">
        <f t="shared" si="96"/>
        <v>0</v>
      </c>
      <c r="AE963" s="17" t="b">
        <f t="shared" si="97"/>
        <v>0</v>
      </c>
    </row>
    <row r="964" spans="17:31" x14ac:dyDescent="0.2">
      <c r="Q964" s="17">
        <f>IFERROR(VLOOKUP(A964,已除帳印單!B:C,1,0),0)*1</f>
        <v>0</v>
      </c>
      <c r="R964" s="67" t="str">
        <f>IFERROR(VLOOKUP(J964,線別!A:B,2,1),"")</f>
        <v/>
      </c>
      <c r="S964" s="17" t="str">
        <f>IFERROR(VLOOKUP(A964,已除帳印單!B:C,2,0),"")</f>
        <v/>
      </c>
      <c r="T964" s="68" t="e">
        <f t="shared" si="92"/>
        <v>#VALUE!</v>
      </c>
      <c r="U964" s="69">
        <f t="shared" si="93"/>
        <v>0</v>
      </c>
      <c r="V964" s="68" t="str">
        <f>IFERROR(VLOOKUP(A964,已除帳印單!B:D,3,0),"")</f>
        <v/>
      </c>
      <c r="W964" s="69" t="str">
        <f>IFERROR(VLOOKUP(A964,已除帳印單!B:E,4,0),"")</f>
        <v/>
      </c>
      <c r="X964" s="68" t="str">
        <f>IFERROR(INDEX(刷條碼區!A:C,MATCH(點上線資訊!S964,刷條碼區!C:C,0),1),"")</f>
        <v/>
      </c>
      <c r="Y964" s="69" t="str">
        <f>IFERROR(INDEX(刷條碼區!A:C,MATCH(點上線資訊!S964,刷條碼區!C:C,0),2),"")</f>
        <v/>
      </c>
      <c r="Z964" s="70" t="str">
        <f>IFERROR(INDEX(刷條碼區!D:G,MATCH(點上線資訊!S964,刷條碼區!F:F,0),1),"")</f>
        <v/>
      </c>
      <c r="AA964" s="71" t="str">
        <f>IFERROR(INDEX(刷條碼區!D:G,MATCH(點上線資訊!S964,刷條碼區!F:F,0),2),"")</f>
        <v/>
      </c>
      <c r="AB964" s="20">
        <f t="shared" si="94"/>
        <v>0</v>
      </c>
      <c r="AC964" s="20" t="b">
        <f t="shared" si="95"/>
        <v>0</v>
      </c>
      <c r="AD964" s="17" t="b">
        <f t="shared" si="96"/>
        <v>0</v>
      </c>
      <c r="AE964" s="17" t="b">
        <f t="shared" si="97"/>
        <v>0</v>
      </c>
    </row>
    <row r="965" spans="17:31" x14ac:dyDescent="0.2">
      <c r="Q965" s="17">
        <f>IFERROR(VLOOKUP(A965,已除帳印單!B:C,1,0),0)*1</f>
        <v>0</v>
      </c>
      <c r="R965" s="67" t="str">
        <f>IFERROR(VLOOKUP(J965,線別!A:B,2,1),"")</f>
        <v/>
      </c>
      <c r="S965" s="17" t="str">
        <f>IFERROR(VLOOKUP(A965,已除帳印單!B:C,2,0),"")</f>
        <v/>
      </c>
      <c r="T965" s="68" t="e">
        <f t="shared" si="92"/>
        <v>#VALUE!</v>
      </c>
      <c r="U965" s="69">
        <f t="shared" si="93"/>
        <v>0</v>
      </c>
      <c r="V965" s="68" t="str">
        <f>IFERROR(VLOOKUP(A965,已除帳印單!B:D,3,0),"")</f>
        <v/>
      </c>
      <c r="W965" s="69" t="str">
        <f>IFERROR(VLOOKUP(A965,已除帳印單!B:E,4,0),"")</f>
        <v/>
      </c>
      <c r="X965" s="68" t="str">
        <f>IFERROR(INDEX(刷條碼區!A:C,MATCH(點上線資訊!S965,刷條碼區!C:C,0),1),"")</f>
        <v/>
      </c>
      <c r="Y965" s="69" t="str">
        <f>IFERROR(INDEX(刷條碼區!A:C,MATCH(點上線資訊!S965,刷條碼區!C:C,0),2),"")</f>
        <v/>
      </c>
      <c r="Z965" s="70" t="str">
        <f>IFERROR(INDEX(刷條碼區!D:G,MATCH(點上線資訊!S965,刷條碼區!F:F,0),1),"")</f>
        <v/>
      </c>
      <c r="AA965" s="71" t="str">
        <f>IFERROR(INDEX(刷條碼區!D:G,MATCH(點上線資訊!S965,刷條碼區!F:F,0),2),"")</f>
        <v/>
      </c>
      <c r="AB965" s="20">
        <f t="shared" si="94"/>
        <v>0</v>
      </c>
      <c r="AC965" s="20" t="b">
        <f t="shared" si="95"/>
        <v>0</v>
      </c>
      <c r="AD965" s="17" t="b">
        <f t="shared" si="96"/>
        <v>0</v>
      </c>
      <c r="AE965" s="17" t="b">
        <f t="shared" si="97"/>
        <v>0</v>
      </c>
    </row>
    <row r="966" spans="17:31" x14ac:dyDescent="0.2">
      <c r="Q966" s="17">
        <f>IFERROR(VLOOKUP(A966,已除帳印單!B:C,1,0),0)*1</f>
        <v>0</v>
      </c>
      <c r="R966" s="67" t="str">
        <f>IFERROR(VLOOKUP(J966,線別!A:B,2,1),"")</f>
        <v/>
      </c>
      <c r="S966" s="17" t="str">
        <f>IFERROR(VLOOKUP(A966,已除帳印單!B:C,2,0),"")</f>
        <v/>
      </c>
      <c r="T966" s="68" t="e">
        <f t="shared" si="92"/>
        <v>#VALUE!</v>
      </c>
      <c r="U966" s="69">
        <f t="shared" si="93"/>
        <v>0</v>
      </c>
      <c r="V966" s="68" t="str">
        <f>IFERROR(VLOOKUP(A966,已除帳印單!B:D,3,0),"")</f>
        <v/>
      </c>
      <c r="W966" s="69" t="str">
        <f>IFERROR(VLOOKUP(A966,已除帳印單!B:E,4,0),"")</f>
        <v/>
      </c>
      <c r="X966" s="68" t="str">
        <f>IFERROR(INDEX(刷條碼區!A:C,MATCH(點上線資訊!S966,刷條碼區!C:C,0),1),"")</f>
        <v/>
      </c>
      <c r="Y966" s="69" t="str">
        <f>IFERROR(INDEX(刷條碼區!A:C,MATCH(點上線資訊!S966,刷條碼區!C:C,0),2),"")</f>
        <v/>
      </c>
      <c r="Z966" s="70" t="str">
        <f>IFERROR(INDEX(刷條碼區!D:G,MATCH(點上線資訊!S966,刷條碼區!F:F,0),1),"")</f>
        <v/>
      </c>
      <c r="AA966" s="71" t="str">
        <f>IFERROR(INDEX(刷條碼區!D:G,MATCH(點上線資訊!S966,刷條碼區!F:F,0),2),"")</f>
        <v/>
      </c>
      <c r="AB966" s="20">
        <f t="shared" si="94"/>
        <v>0</v>
      </c>
      <c r="AC966" s="20" t="b">
        <f t="shared" si="95"/>
        <v>0</v>
      </c>
      <c r="AD966" s="17" t="b">
        <f t="shared" si="96"/>
        <v>0</v>
      </c>
      <c r="AE966" s="17" t="b">
        <f t="shared" si="97"/>
        <v>0</v>
      </c>
    </row>
    <row r="967" spans="17:31" x14ac:dyDescent="0.2">
      <c r="Q967" s="17">
        <f>IFERROR(VLOOKUP(A967,已除帳印單!B:C,1,0),0)*1</f>
        <v>0</v>
      </c>
      <c r="R967" s="67" t="str">
        <f>IFERROR(VLOOKUP(J967,線別!A:B,2,1),"")</f>
        <v/>
      </c>
      <c r="S967" s="17" t="str">
        <f>IFERROR(VLOOKUP(A967,已除帳印單!B:C,2,0),"")</f>
        <v/>
      </c>
      <c r="T967" s="68" t="e">
        <f t="shared" si="92"/>
        <v>#VALUE!</v>
      </c>
      <c r="U967" s="69">
        <f t="shared" si="93"/>
        <v>0</v>
      </c>
      <c r="V967" s="68" t="str">
        <f>IFERROR(VLOOKUP(A967,已除帳印單!B:D,3,0),"")</f>
        <v/>
      </c>
      <c r="W967" s="69" t="str">
        <f>IFERROR(VLOOKUP(A967,已除帳印單!B:E,4,0),"")</f>
        <v/>
      </c>
      <c r="X967" s="68" t="str">
        <f>IFERROR(INDEX(刷條碼區!A:C,MATCH(點上線資訊!S967,刷條碼區!C:C,0),1),"")</f>
        <v/>
      </c>
      <c r="Y967" s="69" t="str">
        <f>IFERROR(INDEX(刷條碼區!A:C,MATCH(點上線資訊!S967,刷條碼區!C:C,0),2),"")</f>
        <v/>
      </c>
      <c r="Z967" s="70" t="str">
        <f>IFERROR(INDEX(刷條碼區!D:G,MATCH(點上線資訊!S967,刷條碼區!F:F,0),1),"")</f>
        <v/>
      </c>
      <c r="AA967" s="71" t="str">
        <f>IFERROR(INDEX(刷條碼區!D:G,MATCH(點上線資訊!S967,刷條碼區!F:F,0),2),"")</f>
        <v/>
      </c>
      <c r="AB967" s="20">
        <f t="shared" si="94"/>
        <v>0</v>
      </c>
      <c r="AC967" s="20" t="b">
        <f t="shared" si="95"/>
        <v>0</v>
      </c>
      <c r="AD967" s="17" t="b">
        <f t="shared" si="96"/>
        <v>0</v>
      </c>
      <c r="AE967" s="17" t="b">
        <f t="shared" si="97"/>
        <v>0</v>
      </c>
    </row>
    <row r="968" spans="17:31" x14ac:dyDescent="0.2">
      <c r="Q968" s="17">
        <f>IFERROR(VLOOKUP(A968,已除帳印單!B:C,1,0),0)*1</f>
        <v>0</v>
      </c>
      <c r="R968" s="67" t="str">
        <f>IFERROR(VLOOKUP(J968,線別!A:B,2,1),"")</f>
        <v/>
      </c>
      <c r="S968" s="17" t="str">
        <f>IFERROR(VLOOKUP(A968,已除帳印單!B:C,2,0),"")</f>
        <v/>
      </c>
      <c r="T968" s="68" t="e">
        <f t="shared" si="92"/>
        <v>#VALUE!</v>
      </c>
      <c r="U968" s="69">
        <f t="shared" si="93"/>
        <v>0</v>
      </c>
      <c r="V968" s="68" t="str">
        <f>IFERROR(VLOOKUP(A968,已除帳印單!B:D,3,0),"")</f>
        <v/>
      </c>
      <c r="W968" s="69" t="str">
        <f>IFERROR(VLOOKUP(A968,已除帳印單!B:E,4,0),"")</f>
        <v/>
      </c>
      <c r="X968" s="68" t="str">
        <f>IFERROR(INDEX(刷條碼區!A:C,MATCH(點上線資訊!S968,刷條碼區!C:C,0),1),"")</f>
        <v/>
      </c>
      <c r="Y968" s="69" t="str">
        <f>IFERROR(INDEX(刷條碼區!A:C,MATCH(點上線資訊!S968,刷條碼區!C:C,0),2),"")</f>
        <v/>
      </c>
      <c r="Z968" s="70" t="str">
        <f>IFERROR(INDEX(刷條碼區!D:G,MATCH(點上線資訊!S968,刷條碼區!F:F,0),1),"")</f>
        <v/>
      </c>
      <c r="AA968" s="71" t="str">
        <f>IFERROR(INDEX(刷條碼區!D:G,MATCH(點上線資訊!S968,刷條碼區!F:F,0),2),"")</f>
        <v/>
      </c>
      <c r="AB968" s="20">
        <f t="shared" si="94"/>
        <v>0</v>
      </c>
      <c r="AC968" s="20" t="b">
        <f t="shared" si="95"/>
        <v>0</v>
      </c>
      <c r="AD968" s="17" t="b">
        <f t="shared" si="96"/>
        <v>0</v>
      </c>
      <c r="AE968" s="17" t="b">
        <f t="shared" si="97"/>
        <v>0</v>
      </c>
    </row>
    <row r="969" spans="17:31" x14ac:dyDescent="0.2">
      <c r="Q969" s="17">
        <f>IFERROR(VLOOKUP(A969,已除帳印單!B:C,1,0),0)*1</f>
        <v>0</v>
      </c>
      <c r="R969" s="67" t="str">
        <f>IFERROR(VLOOKUP(J969,線別!A:B,2,1),"")</f>
        <v/>
      </c>
      <c r="S969" s="17" t="str">
        <f>IFERROR(VLOOKUP(A969,已除帳印單!B:C,2,0),"")</f>
        <v/>
      </c>
      <c r="T969" s="68" t="e">
        <f t="shared" si="92"/>
        <v>#VALUE!</v>
      </c>
      <c r="U969" s="69">
        <f t="shared" si="93"/>
        <v>0</v>
      </c>
      <c r="V969" s="68" t="str">
        <f>IFERROR(VLOOKUP(A969,已除帳印單!B:D,3,0),"")</f>
        <v/>
      </c>
      <c r="W969" s="69" t="str">
        <f>IFERROR(VLOOKUP(A969,已除帳印單!B:E,4,0),"")</f>
        <v/>
      </c>
      <c r="X969" s="68" t="str">
        <f>IFERROR(INDEX(刷條碼區!A:C,MATCH(點上線資訊!S969,刷條碼區!C:C,0),1),"")</f>
        <v/>
      </c>
      <c r="Y969" s="69" t="str">
        <f>IFERROR(INDEX(刷條碼區!A:C,MATCH(點上線資訊!S969,刷條碼區!C:C,0),2),"")</f>
        <v/>
      </c>
      <c r="Z969" s="70" t="str">
        <f>IFERROR(INDEX(刷條碼區!D:G,MATCH(點上線資訊!S969,刷條碼區!F:F,0),1),"")</f>
        <v/>
      </c>
      <c r="AA969" s="71" t="str">
        <f>IFERROR(INDEX(刷條碼區!D:G,MATCH(點上線資訊!S969,刷條碼區!F:F,0),2),"")</f>
        <v/>
      </c>
      <c r="AB969" s="20">
        <f t="shared" si="94"/>
        <v>0</v>
      </c>
      <c r="AC969" s="20" t="b">
        <f t="shared" si="95"/>
        <v>0</v>
      </c>
      <c r="AD969" s="17" t="b">
        <f t="shared" si="96"/>
        <v>0</v>
      </c>
      <c r="AE969" s="17" t="b">
        <f t="shared" si="97"/>
        <v>0</v>
      </c>
    </row>
    <row r="970" spans="17:31" x14ac:dyDescent="0.2">
      <c r="Q970" s="17">
        <f>IFERROR(VLOOKUP(A970,已除帳印單!B:C,1,0),0)*1</f>
        <v>0</v>
      </c>
      <c r="R970" s="67" t="str">
        <f>IFERROR(VLOOKUP(J970,線別!A:B,2,1),"")</f>
        <v/>
      </c>
      <c r="S970" s="17" t="str">
        <f>IFERROR(VLOOKUP(A970,已除帳印單!B:C,2,0),"")</f>
        <v/>
      </c>
      <c r="T970" s="68" t="e">
        <f t="shared" si="92"/>
        <v>#VALUE!</v>
      </c>
      <c r="U970" s="69">
        <f t="shared" si="93"/>
        <v>0</v>
      </c>
      <c r="V970" s="68" t="str">
        <f>IFERROR(VLOOKUP(A970,已除帳印單!B:D,3,0),"")</f>
        <v/>
      </c>
      <c r="W970" s="69" t="str">
        <f>IFERROR(VLOOKUP(A970,已除帳印單!B:E,4,0),"")</f>
        <v/>
      </c>
      <c r="X970" s="68" t="str">
        <f>IFERROR(INDEX(刷條碼區!A:C,MATCH(點上線資訊!S970,刷條碼區!C:C,0),1),"")</f>
        <v/>
      </c>
      <c r="Y970" s="69" t="str">
        <f>IFERROR(INDEX(刷條碼區!A:C,MATCH(點上線資訊!S970,刷條碼區!C:C,0),2),"")</f>
        <v/>
      </c>
      <c r="Z970" s="70" t="str">
        <f>IFERROR(INDEX(刷條碼區!D:G,MATCH(點上線資訊!S970,刷條碼區!F:F,0),1),"")</f>
        <v/>
      </c>
      <c r="AA970" s="71" t="str">
        <f>IFERROR(INDEX(刷條碼區!D:G,MATCH(點上線資訊!S970,刷條碼區!F:F,0),2),"")</f>
        <v/>
      </c>
      <c r="AB970" s="20">
        <f t="shared" si="94"/>
        <v>0</v>
      </c>
      <c r="AC970" s="20" t="b">
        <f t="shared" si="95"/>
        <v>0</v>
      </c>
      <c r="AD970" s="17" t="b">
        <f t="shared" si="96"/>
        <v>0</v>
      </c>
      <c r="AE970" s="17" t="b">
        <f t="shared" si="97"/>
        <v>0</v>
      </c>
    </row>
    <row r="971" spans="17:31" x14ac:dyDescent="0.2">
      <c r="Q971" s="17">
        <f>IFERROR(VLOOKUP(A971,已除帳印單!B:C,1,0),0)*1</f>
        <v>0</v>
      </c>
      <c r="R971" s="67" t="str">
        <f>IFERROR(VLOOKUP(J971,線別!A:B,2,1),"")</f>
        <v/>
      </c>
      <c r="S971" s="17" t="str">
        <f>IFERROR(VLOOKUP(A971,已除帳印單!B:C,2,0),"")</f>
        <v/>
      </c>
      <c r="T971" s="68" t="e">
        <f t="shared" si="92"/>
        <v>#VALUE!</v>
      </c>
      <c r="U971" s="69">
        <f t="shared" si="93"/>
        <v>0</v>
      </c>
      <c r="V971" s="68" t="str">
        <f>IFERROR(VLOOKUP(A971,已除帳印單!B:D,3,0),"")</f>
        <v/>
      </c>
      <c r="W971" s="69" t="str">
        <f>IFERROR(VLOOKUP(A971,已除帳印單!B:E,4,0),"")</f>
        <v/>
      </c>
      <c r="X971" s="68" t="str">
        <f>IFERROR(INDEX(刷條碼區!A:C,MATCH(點上線資訊!S971,刷條碼區!C:C,0),1),"")</f>
        <v/>
      </c>
      <c r="Y971" s="69" t="str">
        <f>IFERROR(INDEX(刷條碼區!A:C,MATCH(點上線資訊!S971,刷條碼區!C:C,0),2),"")</f>
        <v/>
      </c>
      <c r="Z971" s="70" t="str">
        <f>IFERROR(INDEX(刷條碼區!D:G,MATCH(點上線資訊!S971,刷條碼區!F:F,0),1),"")</f>
        <v/>
      </c>
      <c r="AA971" s="71" t="str">
        <f>IFERROR(INDEX(刷條碼區!D:G,MATCH(點上線資訊!S971,刷條碼區!F:F,0),2),"")</f>
        <v/>
      </c>
      <c r="AB971" s="20">
        <f t="shared" si="94"/>
        <v>0</v>
      </c>
      <c r="AC971" s="20" t="b">
        <f t="shared" si="95"/>
        <v>0</v>
      </c>
      <c r="AD971" s="17" t="b">
        <f t="shared" si="96"/>
        <v>0</v>
      </c>
      <c r="AE971" s="17" t="b">
        <f t="shared" si="97"/>
        <v>0</v>
      </c>
    </row>
    <row r="972" spans="17:31" x14ac:dyDescent="0.2">
      <c r="Q972" s="17">
        <f>IFERROR(VLOOKUP(A972,已除帳印單!B:C,1,0),0)*1</f>
        <v>0</v>
      </c>
      <c r="R972" s="67" t="str">
        <f>IFERROR(VLOOKUP(J972,線別!A:B,2,1),"")</f>
        <v/>
      </c>
      <c r="S972" s="17" t="str">
        <f>IFERROR(VLOOKUP(A972,已除帳印單!B:C,2,0),"")</f>
        <v/>
      </c>
      <c r="T972" s="68" t="e">
        <f t="shared" si="92"/>
        <v>#VALUE!</v>
      </c>
      <c r="U972" s="69">
        <f t="shared" si="93"/>
        <v>0</v>
      </c>
      <c r="V972" s="68" t="str">
        <f>IFERROR(VLOOKUP(A972,已除帳印單!B:D,3,0),"")</f>
        <v/>
      </c>
      <c r="W972" s="69" t="str">
        <f>IFERROR(VLOOKUP(A972,已除帳印單!B:E,4,0),"")</f>
        <v/>
      </c>
      <c r="X972" s="68" t="str">
        <f>IFERROR(INDEX(刷條碼區!A:C,MATCH(點上線資訊!S972,刷條碼區!C:C,0),1),"")</f>
        <v/>
      </c>
      <c r="Y972" s="69" t="str">
        <f>IFERROR(INDEX(刷條碼區!A:C,MATCH(點上線資訊!S972,刷條碼區!C:C,0),2),"")</f>
        <v/>
      </c>
      <c r="Z972" s="70" t="str">
        <f>IFERROR(INDEX(刷條碼區!D:G,MATCH(點上線資訊!S972,刷條碼區!F:F,0),1),"")</f>
        <v/>
      </c>
      <c r="AA972" s="71" t="str">
        <f>IFERROR(INDEX(刷條碼區!D:G,MATCH(點上線資訊!S972,刷條碼區!F:F,0),2),"")</f>
        <v/>
      </c>
      <c r="AB972" s="20">
        <f t="shared" si="94"/>
        <v>0</v>
      </c>
      <c r="AC972" s="20" t="b">
        <f t="shared" si="95"/>
        <v>0</v>
      </c>
      <c r="AD972" s="17" t="b">
        <f t="shared" si="96"/>
        <v>0</v>
      </c>
      <c r="AE972" s="17" t="b">
        <f t="shared" si="97"/>
        <v>0</v>
      </c>
    </row>
    <row r="973" spans="17:31" x14ac:dyDescent="0.2">
      <c r="Q973" s="17">
        <f>IFERROR(VLOOKUP(A973,已除帳印單!B:C,1,0),0)*1</f>
        <v>0</v>
      </c>
      <c r="R973" s="67" t="str">
        <f>IFERROR(VLOOKUP(J973,線別!A:B,2,1),"")</f>
        <v/>
      </c>
      <c r="S973" s="17" t="str">
        <f>IFERROR(VLOOKUP(A973,已除帳印單!B:C,2,0),"")</f>
        <v/>
      </c>
      <c r="T973" s="68" t="e">
        <f t="shared" si="92"/>
        <v>#VALUE!</v>
      </c>
      <c r="U973" s="69">
        <f t="shared" si="93"/>
        <v>0</v>
      </c>
      <c r="V973" s="68" t="str">
        <f>IFERROR(VLOOKUP(A973,已除帳印單!B:D,3,0),"")</f>
        <v/>
      </c>
      <c r="W973" s="69" t="str">
        <f>IFERROR(VLOOKUP(A973,已除帳印單!B:E,4,0),"")</f>
        <v/>
      </c>
      <c r="X973" s="68" t="str">
        <f>IFERROR(INDEX(刷條碼區!A:C,MATCH(點上線資訊!S973,刷條碼區!C:C,0),1),"")</f>
        <v/>
      </c>
      <c r="Y973" s="69" t="str">
        <f>IFERROR(INDEX(刷條碼區!A:C,MATCH(點上線資訊!S973,刷條碼區!C:C,0),2),"")</f>
        <v/>
      </c>
      <c r="Z973" s="70" t="str">
        <f>IFERROR(INDEX(刷條碼區!D:G,MATCH(點上線資訊!S973,刷條碼區!F:F,0),1),"")</f>
        <v/>
      </c>
      <c r="AA973" s="71" t="str">
        <f>IFERROR(INDEX(刷條碼區!D:G,MATCH(點上線資訊!S973,刷條碼區!F:F,0),2),"")</f>
        <v/>
      </c>
      <c r="AB973" s="20">
        <f t="shared" si="94"/>
        <v>0</v>
      </c>
      <c r="AC973" s="20" t="b">
        <f t="shared" si="95"/>
        <v>0</v>
      </c>
      <c r="AD973" s="17" t="b">
        <f t="shared" si="96"/>
        <v>0</v>
      </c>
      <c r="AE973" s="17" t="b">
        <f t="shared" si="97"/>
        <v>0</v>
      </c>
    </row>
    <row r="974" spans="17:31" x14ac:dyDescent="0.2">
      <c r="Q974" s="17">
        <f>IFERROR(VLOOKUP(A974,已除帳印單!B:C,1,0),0)*1</f>
        <v>0</v>
      </c>
      <c r="R974" s="67" t="str">
        <f>IFERROR(VLOOKUP(J974,線別!A:B,2,1),"")</f>
        <v/>
      </c>
      <c r="S974" s="17" t="str">
        <f>IFERROR(VLOOKUP(A974,已除帳印單!B:C,2,0),"")</f>
        <v/>
      </c>
      <c r="T974" s="68" t="e">
        <f t="shared" si="92"/>
        <v>#VALUE!</v>
      </c>
      <c r="U974" s="69">
        <f t="shared" si="93"/>
        <v>0</v>
      </c>
      <c r="V974" s="68" t="str">
        <f>IFERROR(VLOOKUP(A974,已除帳印單!B:D,3,0),"")</f>
        <v/>
      </c>
      <c r="W974" s="69" t="str">
        <f>IFERROR(VLOOKUP(A974,已除帳印單!B:E,4,0),"")</f>
        <v/>
      </c>
      <c r="X974" s="68" t="str">
        <f>IFERROR(INDEX(刷條碼區!A:C,MATCH(點上線資訊!S974,刷條碼區!C:C,0),1),"")</f>
        <v/>
      </c>
      <c r="Y974" s="69" t="str">
        <f>IFERROR(INDEX(刷條碼區!A:C,MATCH(點上線資訊!S974,刷條碼區!C:C,0),2),"")</f>
        <v/>
      </c>
      <c r="Z974" s="70" t="str">
        <f>IFERROR(INDEX(刷條碼區!D:G,MATCH(點上線資訊!S974,刷條碼區!F:F,0),1),"")</f>
        <v/>
      </c>
      <c r="AA974" s="71" t="str">
        <f>IFERROR(INDEX(刷條碼區!D:G,MATCH(點上線資訊!S974,刷條碼區!F:F,0),2),"")</f>
        <v/>
      </c>
      <c r="AB974" s="20">
        <f t="shared" si="94"/>
        <v>0</v>
      </c>
      <c r="AC974" s="20" t="b">
        <f t="shared" si="95"/>
        <v>0</v>
      </c>
      <c r="AD974" s="17" t="b">
        <f t="shared" si="96"/>
        <v>0</v>
      </c>
      <c r="AE974" s="17" t="b">
        <f t="shared" si="97"/>
        <v>0</v>
      </c>
    </row>
    <row r="975" spans="17:31" x14ac:dyDescent="0.2">
      <c r="Q975" s="17">
        <f>IFERROR(VLOOKUP(A975,已除帳印單!B:C,1,0),0)*1</f>
        <v>0</v>
      </c>
      <c r="R975" s="67" t="str">
        <f>IFERROR(VLOOKUP(J975,線別!A:B,2,1),"")</f>
        <v/>
      </c>
      <c r="S975" s="17" t="str">
        <f>IFERROR(VLOOKUP(A975,已除帳印單!B:C,2,0),"")</f>
        <v/>
      </c>
      <c r="T975" s="68" t="e">
        <f t="shared" si="92"/>
        <v>#VALUE!</v>
      </c>
      <c r="U975" s="69">
        <f t="shared" si="93"/>
        <v>0</v>
      </c>
      <c r="V975" s="68" t="str">
        <f>IFERROR(VLOOKUP(A975,已除帳印單!B:D,3,0),"")</f>
        <v/>
      </c>
      <c r="W975" s="69" t="str">
        <f>IFERROR(VLOOKUP(A975,已除帳印單!B:E,4,0),"")</f>
        <v/>
      </c>
      <c r="X975" s="68" t="str">
        <f>IFERROR(INDEX(刷條碼區!A:C,MATCH(點上線資訊!S975,刷條碼區!C:C,0),1),"")</f>
        <v/>
      </c>
      <c r="Y975" s="69" t="str">
        <f>IFERROR(INDEX(刷條碼區!A:C,MATCH(點上線資訊!S975,刷條碼區!C:C,0),2),"")</f>
        <v/>
      </c>
      <c r="Z975" s="70" t="str">
        <f>IFERROR(INDEX(刷條碼區!D:G,MATCH(點上線資訊!S975,刷條碼區!F:F,0),1),"")</f>
        <v/>
      </c>
      <c r="AA975" s="71" t="str">
        <f>IFERROR(INDEX(刷條碼區!D:G,MATCH(點上線資訊!S975,刷條碼區!F:F,0),2),"")</f>
        <v/>
      </c>
      <c r="AB975" s="20">
        <f t="shared" si="94"/>
        <v>0</v>
      </c>
      <c r="AC975" s="20" t="b">
        <f t="shared" si="95"/>
        <v>0</v>
      </c>
      <c r="AD975" s="17" t="b">
        <f t="shared" si="96"/>
        <v>0</v>
      </c>
      <c r="AE975" s="17" t="b">
        <f t="shared" si="97"/>
        <v>0</v>
      </c>
    </row>
    <row r="976" spans="17:31" x14ac:dyDescent="0.2">
      <c r="Q976" s="17">
        <f>IFERROR(VLOOKUP(A976,已除帳印單!B:C,1,0),0)*1</f>
        <v>0</v>
      </c>
      <c r="R976" s="67" t="str">
        <f>IFERROR(VLOOKUP(J976,線別!A:B,2,1),"")</f>
        <v/>
      </c>
      <c r="S976" s="17" t="str">
        <f>IFERROR(VLOOKUP(A976,已除帳印單!B:C,2,0),"")</f>
        <v/>
      </c>
      <c r="T976" s="68" t="e">
        <f t="shared" si="92"/>
        <v>#VALUE!</v>
      </c>
      <c r="U976" s="69">
        <f t="shared" si="93"/>
        <v>0</v>
      </c>
      <c r="V976" s="68" t="str">
        <f>IFERROR(VLOOKUP(A976,已除帳印單!B:D,3,0),"")</f>
        <v/>
      </c>
      <c r="W976" s="69" t="str">
        <f>IFERROR(VLOOKUP(A976,已除帳印單!B:E,4,0),"")</f>
        <v/>
      </c>
      <c r="X976" s="68" t="str">
        <f>IFERROR(INDEX(刷條碼區!A:C,MATCH(點上線資訊!S976,刷條碼區!C:C,0),1),"")</f>
        <v/>
      </c>
      <c r="Y976" s="69" t="str">
        <f>IFERROR(INDEX(刷條碼區!A:C,MATCH(點上線資訊!S976,刷條碼區!C:C,0),2),"")</f>
        <v/>
      </c>
      <c r="Z976" s="70" t="str">
        <f>IFERROR(INDEX(刷條碼區!D:G,MATCH(點上線資訊!S976,刷條碼區!F:F,0),1),"")</f>
        <v/>
      </c>
      <c r="AA976" s="71" t="str">
        <f>IFERROR(INDEX(刷條碼區!D:G,MATCH(點上線資訊!S976,刷條碼區!F:F,0),2),"")</f>
        <v/>
      </c>
      <c r="AB976" s="20">
        <f t="shared" si="94"/>
        <v>0</v>
      </c>
      <c r="AC976" s="20" t="b">
        <f t="shared" si="95"/>
        <v>0</v>
      </c>
      <c r="AD976" s="17" t="b">
        <f t="shared" si="96"/>
        <v>0</v>
      </c>
      <c r="AE976" s="17" t="b">
        <f t="shared" si="97"/>
        <v>0</v>
      </c>
    </row>
    <row r="977" spans="17:31" x14ac:dyDescent="0.2">
      <c r="Q977" s="17">
        <f>IFERROR(VLOOKUP(A977,已除帳印單!B:C,1,0),0)*1</f>
        <v>0</v>
      </c>
      <c r="R977" s="67" t="str">
        <f>IFERROR(VLOOKUP(J977,線別!A:B,2,1),"")</f>
        <v/>
      </c>
      <c r="S977" s="17" t="str">
        <f>IFERROR(VLOOKUP(A977,已除帳印單!B:C,2,0),"")</f>
        <v/>
      </c>
      <c r="T977" s="68" t="e">
        <f t="shared" si="92"/>
        <v>#VALUE!</v>
      </c>
      <c r="U977" s="69">
        <f t="shared" si="93"/>
        <v>0</v>
      </c>
      <c r="V977" s="68" t="str">
        <f>IFERROR(VLOOKUP(A977,已除帳印單!B:D,3,0),"")</f>
        <v/>
      </c>
      <c r="W977" s="69" t="str">
        <f>IFERROR(VLOOKUP(A977,已除帳印單!B:E,4,0),"")</f>
        <v/>
      </c>
      <c r="X977" s="68" t="str">
        <f>IFERROR(INDEX(刷條碼區!A:C,MATCH(點上線資訊!S977,刷條碼區!C:C,0),1),"")</f>
        <v/>
      </c>
      <c r="Y977" s="69" t="str">
        <f>IFERROR(INDEX(刷條碼區!A:C,MATCH(點上線資訊!S977,刷條碼區!C:C,0),2),"")</f>
        <v/>
      </c>
      <c r="Z977" s="70" t="str">
        <f>IFERROR(INDEX(刷條碼區!D:G,MATCH(點上線資訊!S977,刷條碼區!F:F,0),1),"")</f>
        <v/>
      </c>
      <c r="AA977" s="71" t="str">
        <f>IFERROR(INDEX(刷條碼區!D:G,MATCH(點上線資訊!S977,刷條碼區!F:F,0),2),"")</f>
        <v/>
      </c>
      <c r="AB977" s="20">
        <f t="shared" si="94"/>
        <v>0</v>
      </c>
      <c r="AC977" s="20" t="b">
        <f t="shared" si="95"/>
        <v>0</v>
      </c>
      <c r="AD977" s="17" t="b">
        <f t="shared" si="96"/>
        <v>0</v>
      </c>
      <c r="AE977" s="17" t="b">
        <f t="shared" si="97"/>
        <v>0</v>
      </c>
    </row>
    <row r="978" spans="17:31" x14ac:dyDescent="0.2">
      <c r="Q978" s="17">
        <f>IFERROR(VLOOKUP(A978,已除帳印單!B:C,1,0),0)*1</f>
        <v>0</v>
      </c>
      <c r="R978" s="67" t="str">
        <f>IFERROR(VLOOKUP(J978,線別!A:B,2,1),"")</f>
        <v/>
      </c>
      <c r="S978" s="17" t="str">
        <f>IFERROR(VLOOKUP(A978,已除帳印單!B:C,2,0),"")</f>
        <v/>
      </c>
      <c r="T978" s="68" t="e">
        <f t="shared" si="92"/>
        <v>#VALUE!</v>
      </c>
      <c r="U978" s="69">
        <f t="shared" si="93"/>
        <v>0</v>
      </c>
      <c r="V978" s="68" t="str">
        <f>IFERROR(VLOOKUP(A978,已除帳印單!B:D,3,0),"")</f>
        <v/>
      </c>
      <c r="W978" s="69" t="str">
        <f>IFERROR(VLOOKUP(A978,已除帳印單!B:E,4,0),"")</f>
        <v/>
      </c>
      <c r="X978" s="68" t="str">
        <f>IFERROR(INDEX(刷條碼區!A:C,MATCH(點上線資訊!S978,刷條碼區!C:C,0),1),"")</f>
        <v/>
      </c>
      <c r="Y978" s="69" t="str">
        <f>IFERROR(INDEX(刷條碼區!A:C,MATCH(點上線資訊!S978,刷條碼區!C:C,0),2),"")</f>
        <v/>
      </c>
      <c r="Z978" s="70" t="str">
        <f>IFERROR(INDEX(刷條碼區!D:G,MATCH(點上線資訊!S978,刷條碼區!F:F,0),1),"")</f>
        <v/>
      </c>
      <c r="AA978" s="71" t="str">
        <f>IFERROR(INDEX(刷條碼區!D:G,MATCH(點上線資訊!S978,刷條碼區!F:F,0),2),"")</f>
        <v/>
      </c>
      <c r="AB978" s="20">
        <f t="shared" si="94"/>
        <v>0</v>
      </c>
      <c r="AC978" s="20" t="b">
        <f t="shared" si="95"/>
        <v>0</v>
      </c>
      <c r="AD978" s="17" t="b">
        <f t="shared" si="96"/>
        <v>0</v>
      </c>
      <c r="AE978" s="17" t="b">
        <f t="shared" si="97"/>
        <v>0</v>
      </c>
    </row>
    <row r="979" spans="17:31" x14ac:dyDescent="0.2">
      <c r="Q979" s="17">
        <f>IFERROR(VLOOKUP(A979,已除帳印單!B:C,1,0),0)*1</f>
        <v>0</v>
      </c>
      <c r="R979" s="67" t="str">
        <f>IFERROR(VLOOKUP(J979,線別!A:B,2,1),"")</f>
        <v/>
      </c>
      <c r="S979" s="17" t="str">
        <f>IFERROR(VLOOKUP(A979,已除帳印單!B:C,2,0),"")</f>
        <v/>
      </c>
      <c r="T979" s="68" t="e">
        <f t="shared" si="92"/>
        <v>#VALUE!</v>
      </c>
      <c r="U979" s="69">
        <f t="shared" si="93"/>
        <v>0</v>
      </c>
      <c r="V979" s="68" t="str">
        <f>IFERROR(VLOOKUP(A979,已除帳印單!B:D,3,0),"")</f>
        <v/>
      </c>
      <c r="W979" s="69" t="str">
        <f>IFERROR(VLOOKUP(A979,已除帳印單!B:E,4,0),"")</f>
        <v/>
      </c>
      <c r="X979" s="68" t="str">
        <f>IFERROR(INDEX(刷條碼區!A:C,MATCH(點上線資訊!S979,刷條碼區!C:C,0),1),"")</f>
        <v/>
      </c>
      <c r="Y979" s="69" t="str">
        <f>IFERROR(INDEX(刷條碼區!A:C,MATCH(點上線資訊!S979,刷條碼區!C:C,0),2),"")</f>
        <v/>
      </c>
      <c r="Z979" s="70" t="str">
        <f>IFERROR(INDEX(刷條碼區!D:G,MATCH(點上線資訊!S979,刷條碼區!F:F,0),1),"")</f>
        <v/>
      </c>
      <c r="AA979" s="71" t="str">
        <f>IFERROR(INDEX(刷條碼區!D:G,MATCH(點上線資訊!S979,刷條碼區!F:F,0),2),"")</f>
        <v/>
      </c>
      <c r="AB979" s="20">
        <f t="shared" si="94"/>
        <v>0</v>
      </c>
      <c r="AC979" s="20" t="b">
        <f t="shared" si="95"/>
        <v>0</v>
      </c>
      <c r="AD979" s="17" t="b">
        <f t="shared" si="96"/>
        <v>0</v>
      </c>
      <c r="AE979" s="17" t="b">
        <f t="shared" si="97"/>
        <v>0</v>
      </c>
    </row>
    <row r="980" spans="17:31" x14ac:dyDescent="0.2">
      <c r="Q980" s="17">
        <f>IFERROR(VLOOKUP(A980,已除帳印單!B:C,1,0),0)*1</f>
        <v>0</v>
      </c>
      <c r="R980" s="67" t="str">
        <f>IFERROR(VLOOKUP(J980,線別!A:B,2,1),"")</f>
        <v/>
      </c>
      <c r="S980" s="17" t="str">
        <f>IFERROR(VLOOKUP(A980,已除帳印單!B:C,2,0),"")</f>
        <v/>
      </c>
      <c r="T980" s="68" t="e">
        <f t="shared" si="92"/>
        <v>#VALUE!</v>
      </c>
      <c r="U980" s="69">
        <f t="shared" si="93"/>
        <v>0</v>
      </c>
      <c r="V980" s="68" t="str">
        <f>IFERROR(VLOOKUP(A980,已除帳印單!B:D,3,0),"")</f>
        <v/>
      </c>
      <c r="W980" s="69" t="str">
        <f>IFERROR(VLOOKUP(A980,已除帳印單!B:E,4,0),"")</f>
        <v/>
      </c>
      <c r="X980" s="68" t="str">
        <f>IFERROR(INDEX(刷條碼區!A:C,MATCH(點上線資訊!S980,刷條碼區!C:C,0),1),"")</f>
        <v/>
      </c>
      <c r="Y980" s="69" t="str">
        <f>IFERROR(INDEX(刷條碼區!A:C,MATCH(點上線資訊!S980,刷條碼區!C:C,0),2),"")</f>
        <v/>
      </c>
      <c r="Z980" s="70" t="str">
        <f>IFERROR(INDEX(刷條碼區!D:G,MATCH(點上線資訊!S980,刷條碼區!F:F,0),1),"")</f>
        <v/>
      </c>
      <c r="AA980" s="71" t="str">
        <f>IFERROR(INDEX(刷條碼區!D:G,MATCH(點上線資訊!S980,刷條碼區!F:F,0),2),"")</f>
        <v/>
      </c>
      <c r="AB980" s="20">
        <f t="shared" si="94"/>
        <v>0</v>
      </c>
      <c r="AC980" s="20" t="b">
        <f t="shared" si="95"/>
        <v>0</v>
      </c>
      <c r="AD980" s="17" t="b">
        <f t="shared" si="96"/>
        <v>0</v>
      </c>
      <c r="AE980" s="17" t="b">
        <f t="shared" si="97"/>
        <v>0</v>
      </c>
    </row>
    <row r="981" spans="17:31" x14ac:dyDescent="0.2">
      <c r="Q981" s="17">
        <f>IFERROR(VLOOKUP(A981,已除帳印單!B:C,1,0),0)*1</f>
        <v>0</v>
      </c>
      <c r="R981" s="67" t="str">
        <f>IFERROR(VLOOKUP(J981,線別!A:B,2,1),"")</f>
        <v/>
      </c>
      <c r="S981" s="17" t="str">
        <f>IFERROR(VLOOKUP(A981,已除帳印單!B:C,2,0),"")</f>
        <v/>
      </c>
      <c r="T981" s="68" t="e">
        <f t="shared" si="92"/>
        <v>#VALUE!</v>
      </c>
      <c r="U981" s="69">
        <f t="shared" si="93"/>
        <v>0</v>
      </c>
      <c r="V981" s="68" t="str">
        <f>IFERROR(VLOOKUP(A981,已除帳印單!B:D,3,0),"")</f>
        <v/>
      </c>
      <c r="W981" s="69" t="str">
        <f>IFERROR(VLOOKUP(A981,已除帳印單!B:E,4,0),"")</f>
        <v/>
      </c>
      <c r="X981" s="68" t="str">
        <f>IFERROR(INDEX(刷條碼區!A:C,MATCH(點上線資訊!S981,刷條碼區!C:C,0),1),"")</f>
        <v/>
      </c>
      <c r="Y981" s="69" t="str">
        <f>IFERROR(INDEX(刷條碼區!A:C,MATCH(點上線資訊!S981,刷條碼區!C:C,0),2),"")</f>
        <v/>
      </c>
      <c r="Z981" s="70" t="str">
        <f>IFERROR(INDEX(刷條碼區!D:G,MATCH(點上線資訊!S981,刷條碼區!F:F,0),1),"")</f>
        <v/>
      </c>
      <c r="AA981" s="71" t="str">
        <f>IFERROR(INDEX(刷條碼區!D:G,MATCH(點上線資訊!S981,刷條碼區!F:F,0),2),"")</f>
        <v/>
      </c>
      <c r="AB981" s="20">
        <f t="shared" si="94"/>
        <v>0</v>
      </c>
      <c r="AC981" s="20" t="b">
        <f t="shared" si="95"/>
        <v>0</v>
      </c>
      <c r="AD981" s="17" t="b">
        <f t="shared" si="96"/>
        <v>0</v>
      </c>
      <c r="AE981" s="17" t="b">
        <f t="shared" si="97"/>
        <v>0</v>
      </c>
    </row>
    <row r="982" spans="17:31" x14ac:dyDescent="0.2">
      <c r="Q982" s="17">
        <f>IFERROR(VLOOKUP(A982,已除帳印單!B:C,1,0),0)*1</f>
        <v>0</v>
      </c>
      <c r="R982" s="67" t="str">
        <f>IFERROR(VLOOKUP(J982,線別!A:B,2,1),"")</f>
        <v/>
      </c>
      <c r="S982" s="17" t="str">
        <f>IFERROR(VLOOKUP(A982,已除帳印單!B:C,2,0),"")</f>
        <v/>
      </c>
      <c r="T982" s="68" t="e">
        <f t="shared" si="92"/>
        <v>#VALUE!</v>
      </c>
      <c r="U982" s="69">
        <f t="shared" si="93"/>
        <v>0</v>
      </c>
      <c r="V982" s="68" t="str">
        <f>IFERROR(VLOOKUP(A982,已除帳印單!B:D,3,0),"")</f>
        <v/>
      </c>
      <c r="W982" s="69" t="str">
        <f>IFERROR(VLOOKUP(A982,已除帳印單!B:E,4,0),"")</f>
        <v/>
      </c>
      <c r="X982" s="68" t="str">
        <f>IFERROR(INDEX(刷條碼區!A:C,MATCH(點上線資訊!S982,刷條碼區!C:C,0),1),"")</f>
        <v/>
      </c>
      <c r="Y982" s="69" t="str">
        <f>IFERROR(INDEX(刷條碼區!A:C,MATCH(點上線資訊!S982,刷條碼區!C:C,0),2),"")</f>
        <v/>
      </c>
      <c r="Z982" s="70" t="str">
        <f>IFERROR(INDEX(刷條碼區!D:G,MATCH(點上線資訊!S982,刷條碼區!F:F,0),1),"")</f>
        <v/>
      </c>
      <c r="AA982" s="71" t="str">
        <f>IFERROR(INDEX(刷條碼區!D:G,MATCH(點上線資訊!S982,刷條碼區!F:F,0),2),"")</f>
        <v/>
      </c>
      <c r="AB982" s="20">
        <f t="shared" si="94"/>
        <v>0</v>
      </c>
      <c r="AC982" s="20" t="b">
        <f t="shared" si="95"/>
        <v>0</v>
      </c>
      <c r="AD982" s="17" t="b">
        <f t="shared" si="96"/>
        <v>0</v>
      </c>
      <c r="AE982" s="17" t="b">
        <f t="shared" si="97"/>
        <v>0</v>
      </c>
    </row>
    <row r="983" spans="17:31" x14ac:dyDescent="0.2">
      <c r="Q983" s="17">
        <f>IFERROR(VLOOKUP(A983,已除帳印單!B:C,1,0),0)*1</f>
        <v>0</v>
      </c>
      <c r="R983" s="67" t="str">
        <f>IFERROR(VLOOKUP(J983,線別!A:B,2,1),"")</f>
        <v/>
      </c>
      <c r="S983" s="17" t="str">
        <f>IFERROR(VLOOKUP(A983,已除帳印單!B:C,2,0),"")</f>
        <v/>
      </c>
      <c r="T983" s="68" t="e">
        <f t="shared" si="92"/>
        <v>#VALUE!</v>
      </c>
      <c r="U983" s="69">
        <f t="shared" si="93"/>
        <v>0</v>
      </c>
      <c r="V983" s="68" t="str">
        <f>IFERROR(VLOOKUP(A983,已除帳印單!B:D,3,0),"")</f>
        <v/>
      </c>
      <c r="W983" s="69" t="str">
        <f>IFERROR(VLOOKUP(A983,已除帳印單!B:E,4,0),"")</f>
        <v/>
      </c>
      <c r="X983" s="68" t="str">
        <f>IFERROR(INDEX(刷條碼區!A:C,MATCH(點上線資訊!S983,刷條碼區!C:C,0),1),"")</f>
        <v/>
      </c>
      <c r="Y983" s="69" t="str">
        <f>IFERROR(INDEX(刷條碼區!A:C,MATCH(點上線資訊!S983,刷條碼區!C:C,0),2),"")</f>
        <v/>
      </c>
      <c r="Z983" s="70" t="str">
        <f>IFERROR(INDEX(刷條碼區!D:G,MATCH(點上線資訊!S983,刷條碼區!F:F,0),1),"")</f>
        <v/>
      </c>
      <c r="AA983" s="71" t="str">
        <f>IFERROR(INDEX(刷條碼區!D:G,MATCH(點上線資訊!S983,刷條碼區!F:F,0),2),"")</f>
        <v/>
      </c>
      <c r="AB983" s="20">
        <f t="shared" si="94"/>
        <v>0</v>
      </c>
      <c r="AC983" s="20" t="b">
        <f t="shared" si="95"/>
        <v>0</v>
      </c>
      <c r="AD983" s="17" t="b">
        <f t="shared" si="96"/>
        <v>0</v>
      </c>
      <c r="AE983" s="17" t="b">
        <f t="shared" si="97"/>
        <v>0</v>
      </c>
    </row>
    <row r="984" spans="17:31" x14ac:dyDescent="0.2">
      <c r="Q984" s="17">
        <f>IFERROR(VLOOKUP(A984,已除帳印單!B:C,1,0),0)*1</f>
        <v>0</v>
      </c>
      <c r="R984" s="67" t="str">
        <f>IFERROR(VLOOKUP(J984,線別!A:B,2,1),"")</f>
        <v/>
      </c>
      <c r="S984" s="17" t="str">
        <f>IFERROR(VLOOKUP(A984,已除帳印單!B:C,2,0),"")</f>
        <v/>
      </c>
      <c r="T984" s="68" t="e">
        <f t="shared" si="92"/>
        <v>#VALUE!</v>
      </c>
      <c r="U984" s="69">
        <f t="shared" si="93"/>
        <v>0</v>
      </c>
      <c r="V984" s="68" t="str">
        <f>IFERROR(VLOOKUP(A984,已除帳印單!B:D,3,0),"")</f>
        <v/>
      </c>
      <c r="W984" s="69" t="str">
        <f>IFERROR(VLOOKUP(A984,已除帳印單!B:E,4,0),"")</f>
        <v/>
      </c>
      <c r="X984" s="68" t="str">
        <f>IFERROR(INDEX(刷條碼區!A:C,MATCH(點上線資訊!S984,刷條碼區!C:C,0),1),"")</f>
        <v/>
      </c>
      <c r="Y984" s="69" t="str">
        <f>IFERROR(INDEX(刷條碼區!A:C,MATCH(點上線資訊!S984,刷條碼區!C:C,0),2),"")</f>
        <v/>
      </c>
      <c r="Z984" s="70" t="str">
        <f>IFERROR(INDEX(刷條碼區!D:G,MATCH(點上線資訊!S984,刷條碼區!F:F,0),1),"")</f>
        <v/>
      </c>
      <c r="AA984" s="71" t="str">
        <f>IFERROR(INDEX(刷條碼區!D:G,MATCH(點上線資訊!S984,刷條碼區!F:F,0),2),"")</f>
        <v/>
      </c>
      <c r="AB984" s="20">
        <f t="shared" si="94"/>
        <v>0</v>
      </c>
      <c r="AC984" s="20" t="b">
        <f t="shared" si="95"/>
        <v>0</v>
      </c>
      <c r="AD984" s="17" t="b">
        <f t="shared" si="96"/>
        <v>0</v>
      </c>
      <c r="AE984" s="17" t="b">
        <f t="shared" si="97"/>
        <v>0</v>
      </c>
    </row>
    <row r="985" spans="17:31" x14ac:dyDescent="0.2">
      <c r="Q985" s="17">
        <f>IFERROR(VLOOKUP(A985,已除帳印單!B:C,1,0),0)*1</f>
        <v>0</v>
      </c>
      <c r="R985" s="67" t="str">
        <f>IFERROR(VLOOKUP(J985,線別!A:B,2,1),"")</f>
        <v/>
      </c>
      <c r="S985" s="17" t="str">
        <f>IFERROR(VLOOKUP(A985,已除帳印單!B:C,2,0),"")</f>
        <v/>
      </c>
      <c r="T985" s="68" t="e">
        <f t="shared" si="92"/>
        <v>#VALUE!</v>
      </c>
      <c r="U985" s="69">
        <f t="shared" si="93"/>
        <v>0</v>
      </c>
      <c r="V985" s="68" t="str">
        <f>IFERROR(VLOOKUP(A985,已除帳印單!B:D,3,0),"")</f>
        <v/>
      </c>
      <c r="W985" s="69" t="str">
        <f>IFERROR(VLOOKUP(A985,已除帳印單!B:E,4,0),"")</f>
        <v/>
      </c>
      <c r="X985" s="68" t="str">
        <f>IFERROR(INDEX(刷條碼區!A:C,MATCH(點上線資訊!S985,刷條碼區!C:C,0),1),"")</f>
        <v/>
      </c>
      <c r="Y985" s="69" t="str">
        <f>IFERROR(INDEX(刷條碼區!A:C,MATCH(點上線資訊!S985,刷條碼區!C:C,0),2),"")</f>
        <v/>
      </c>
      <c r="Z985" s="70" t="str">
        <f>IFERROR(INDEX(刷條碼區!D:G,MATCH(點上線資訊!S985,刷條碼區!F:F,0),1),"")</f>
        <v/>
      </c>
      <c r="AA985" s="71" t="str">
        <f>IFERROR(INDEX(刷條碼區!D:G,MATCH(點上線資訊!S985,刷條碼區!F:F,0),2),"")</f>
        <v/>
      </c>
      <c r="AB985" s="20">
        <f t="shared" si="94"/>
        <v>0</v>
      </c>
      <c r="AC985" s="20" t="b">
        <f t="shared" si="95"/>
        <v>0</v>
      </c>
      <c r="AD985" s="17" t="b">
        <f t="shared" si="96"/>
        <v>0</v>
      </c>
      <c r="AE985" s="17" t="b">
        <f t="shared" si="97"/>
        <v>0</v>
      </c>
    </row>
    <row r="986" spans="17:31" x14ac:dyDescent="0.2">
      <c r="Q986" s="17">
        <f>IFERROR(VLOOKUP(A986,已除帳印單!B:C,1,0),0)*1</f>
        <v>0</v>
      </c>
      <c r="R986" s="67" t="str">
        <f>IFERROR(VLOOKUP(J986,線別!A:B,2,1),"")</f>
        <v/>
      </c>
      <c r="S986" s="17" t="str">
        <f>IFERROR(VLOOKUP(A986,已除帳印單!B:C,2,0),"")</f>
        <v/>
      </c>
      <c r="T986" s="68" t="e">
        <f t="shared" si="92"/>
        <v>#VALUE!</v>
      </c>
      <c r="U986" s="69">
        <f t="shared" si="93"/>
        <v>0</v>
      </c>
      <c r="V986" s="68" t="str">
        <f>IFERROR(VLOOKUP(A986,已除帳印單!B:D,3,0),"")</f>
        <v/>
      </c>
      <c r="W986" s="69" t="str">
        <f>IFERROR(VLOOKUP(A986,已除帳印單!B:E,4,0),"")</f>
        <v/>
      </c>
      <c r="X986" s="68" t="str">
        <f>IFERROR(INDEX(刷條碼區!A:C,MATCH(點上線資訊!S986,刷條碼區!C:C,0),1),"")</f>
        <v/>
      </c>
      <c r="Y986" s="69" t="str">
        <f>IFERROR(INDEX(刷條碼區!A:C,MATCH(點上線資訊!S986,刷條碼區!C:C,0),2),"")</f>
        <v/>
      </c>
      <c r="Z986" s="70" t="str">
        <f>IFERROR(INDEX(刷條碼區!D:G,MATCH(點上線資訊!S986,刷條碼區!F:F,0),1),"")</f>
        <v/>
      </c>
      <c r="AA986" s="71" t="str">
        <f>IFERROR(INDEX(刷條碼區!D:G,MATCH(點上線資訊!S986,刷條碼區!F:F,0),2),"")</f>
        <v/>
      </c>
      <c r="AB986" s="20">
        <f t="shared" si="94"/>
        <v>0</v>
      </c>
      <c r="AC986" s="20" t="b">
        <f t="shared" si="95"/>
        <v>0</v>
      </c>
      <c r="AD986" s="17" t="b">
        <f t="shared" si="96"/>
        <v>0</v>
      </c>
      <c r="AE986" s="17" t="b">
        <f t="shared" si="97"/>
        <v>0</v>
      </c>
    </row>
    <row r="987" spans="17:31" x14ac:dyDescent="0.2">
      <c r="Q987" s="17">
        <f>IFERROR(VLOOKUP(A987,已除帳印單!B:C,1,0),0)*1</f>
        <v>0</v>
      </c>
      <c r="R987" s="67" t="str">
        <f>IFERROR(VLOOKUP(J987,線別!A:B,2,1),"")</f>
        <v/>
      </c>
      <c r="S987" s="17" t="str">
        <f>IFERROR(VLOOKUP(A987,已除帳印單!B:C,2,0),"")</f>
        <v/>
      </c>
      <c r="T987" s="68" t="e">
        <f t="shared" si="92"/>
        <v>#VALUE!</v>
      </c>
      <c r="U987" s="69">
        <f t="shared" si="93"/>
        <v>0</v>
      </c>
      <c r="V987" s="68" t="str">
        <f>IFERROR(VLOOKUP(A987,已除帳印單!B:D,3,0),"")</f>
        <v/>
      </c>
      <c r="W987" s="69" t="str">
        <f>IFERROR(VLOOKUP(A987,已除帳印單!B:E,4,0),"")</f>
        <v/>
      </c>
      <c r="X987" s="68" t="str">
        <f>IFERROR(INDEX(刷條碼區!A:C,MATCH(點上線資訊!S987,刷條碼區!C:C,0),1),"")</f>
        <v/>
      </c>
      <c r="Y987" s="69" t="str">
        <f>IFERROR(INDEX(刷條碼區!A:C,MATCH(點上線資訊!S987,刷條碼區!C:C,0),2),"")</f>
        <v/>
      </c>
      <c r="Z987" s="70" t="str">
        <f>IFERROR(INDEX(刷條碼區!D:G,MATCH(點上線資訊!S987,刷條碼區!F:F,0),1),"")</f>
        <v/>
      </c>
      <c r="AA987" s="71" t="str">
        <f>IFERROR(INDEX(刷條碼區!D:G,MATCH(點上線資訊!S987,刷條碼區!F:F,0),2),"")</f>
        <v/>
      </c>
      <c r="AB987" s="20">
        <f t="shared" si="94"/>
        <v>0</v>
      </c>
      <c r="AC987" s="20" t="b">
        <f t="shared" si="95"/>
        <v>0</v>
      </c>
      <c r="AD987" s="17" t="b">
        <f t="shared" si="96"/>
        <v>0</v>
      </c>
      <c r="AE987" s="17" t="b">
        <f t="shared" si="97"/>
        <v>0</v>
      </c>
    </row>
    <row r="988" spans="17:31" x14ac:dyDescent="0.2">
      <c r="Q988" s="17">
        <f>IFERROR(VLOOKUP(A988,已除帳印單!B:C,1,0),0)*1</f>
        <v>0</v>
      </c>
      <c r="R988" s="67" t="str">
        <f>IFERROR(VLOOKUP(J988,線別!A:B,2,1),"")</f>
        <v/>
      </c>
      <c r="S988" s="17" t="str">
        <f>IFERROR(VLOOKUP(A988,已除帳印單!B:C,2,0),"")</f>
        <v/>
      </c>
      <c r="T988" s="68" t="e">
        <f t="shared" si="92"/>
        <v>#VALUE!</v>
      </c>
      <c r="U988" s="69">
        <f t="shared" si="93"/>
        <v>0</v>
      </c>
      <c r="V988" s="68" t="str">
        <f>IFERROR(VLOOKUP(A988,已除帳印單!B:D,3,0),"")</f>
        <v/>
      </c>
      <c r="W988" s="69" t="str">
        <f>IFERROR(VLOOKUP(A988,已除帳印單!B:E,4,0),"")</f>
        <v/>
      </c>
      <c r="X988" s="68" t="str">
        <f>IFERROR(INDEX(刷條碼區!A:C,MATCH(點上線資訊!S988,刷條碼區!C:C,0),1),"")</f>
        <v/>
      </c>
      <c r="Y988" s="69" t="str">
        <f>IFERROR(INDEX(刷條碼區!A:C,MATCH(點上線資訊!S988,刷條碼區!C:C,0),2),"")</f>
        <v/>
      </c>
      <c r="Z988" s="70" t="str">
        <f>IFERROR(INDEX(刷條碼區!D:G,MATCH(點上線資訊!S988,刷條碼區!F:F,0),1),"")</f>
        <v/>
      </c>
      <c r="AA988" s="71" t="str">
        <f>IFERROR(INDEX(刷條碼區!D:G,MATCH(點上線資訊!S988,刷條碼區!F:F,0),2),"")</f>
        <v/>
      </c>
      <c r="AB988" s="20">
        <f t="shared" si="94"/>
        <v>0</v>
      </c>
      <c r="AC988" s="20" t="b">
        <f t="shared" si="95"/>
        <v>0</v>
      </c>
      <c r="AD988" s="17" t="b">
        <f t="shared" si="96"/>
        <v>0</v>
      </c>
      <c r="AE988" s="17" t="b">
        <f t="shared" si="97"/>
        <v>0</v>
      </c>
    </row>
    <row r="989" spans="17:31" x14ac:dyDescent="0.2">
      <c r="Q989" s="17">
        <f>IFERROR(VLOOKUP(A989,已除帳印單!B:C,1,0),0)*1</f>
        <v>0</v>
      </c>
      <c r="R989" s="67" t="str">
        <f>IFERROR(VLOOKUP(J989,線別!A:B,2,1),"")</f>
        <v/>
      </c>
      <c r="S989" s="17" t="str">
        <f>IFERROR(VLOOKUP(A989,已除帳印單!B:C,2,0),"")</f>
        <v/>
      </c>
      <c r="T989" s="68" t="e">
        <f t="shared" si="92"/>
        <v>#VALUE!</v>
      </c>
      <c r="U989" s="69">
        <f t="shared" si="93"/>
        <v>0</v>
      </c>
      <c r="V989" s="68" t="str">
        <f>IFERROR(VLOOKUP(A989,已除帳印單!B:D,3,0),"")</f>
        <v/>
      </c>
      <c r="W989" s="69" t="str">
        <f>IFERROR(VLOOKUP(A989,已除帳印單!B:E,4,0),"")</f>
        <v/>
      </c>
      <c r="X989" s="68" t="str">
        <f>IFERROR(INDEX(刷條碼區!A:C,MATCH(點上線資訊!S989,刷條碼區!C:C,0),1),"")</f>
        <v/>
      </c>
      <c r="Y989" s="69" t="str">
        <f>IFERROR(INDEX(刷條碼區!A:C,MATCH(點上線資訊!S989,刷條碼區!C:C,0),2),"")</f>
        <v/>
      </c>
      <c r="Z989" s="70" t="str">
        <f>IFERROR(INDEX(刷條碼區!D:G,MATCH(點上線資訊!S989,刷條碼區!F:F,0),1),"")</f>
        <v/>
      </c>
      <c r="AA989" s="71" t="str">
        <f>IFERROR(INDEX(刷條碼區!D:G,MATCH(點上線資訊!S989,刷條碼區!F:F,0),2),"")</f>
        <v/>
      </c>
      <c r="AB989" s="20">
        <f t="shared" si="94"/>
        <v>0</v>
      </c>
      <c r="AC989" s="20" t="b">
        <f t="shared" si="95"/>
        <v>0</v>
      </c>
      <c r="AD989" s="17" t="b">
        <f t="shared" si="96"/>
        <v>0</v>
      </c>
      <c r="AE989" s="17" t="b">
        <f t="shared" si="97"/>
        <v>0</v>
      </c>
    </row>
    <row r="990" spans="17:31" x14ac:dyDescent="0.2">
      <c r="Q990" s="17">
        <f>IFERROR(VLOOKUP(A990,已除帳印單!B:C,1,0),0)*1</f>
        <v>0</v>
      </c>
      <c r="R990" s="67" t="str">
        <f>IFERROR(VLOOKUP(J990,線別!A:B,2,1),"")</f>
        <v/>
      </c>
      <c r="S990" s="17" t="str">
        <f>IFERROR(VLOOKUP(A990,已除帳印單!B:C,2,0),"")</f>
        <v/>
      </c>
      <c r="T990" s="68" t="e">
        <f t="shared" si="92"/>
        <v>#VALUE!</v>
      </c>
      <c r="U990" s="69">
        <f t="shared" si="93"/>
        <v>0</v>
      </c>
      <c r="V990" s="68" t="str">
        <f>IFERROR(VLOOKUP(A990,已除帳印單!B:D,3,0),"")</f>
        <v/>
      </c>
      <c r="W990" s="69" t="str">
        <f>IFERROR(VLOOKUP(A990,已除帳印單!B:E,4,0),"")</f>
        <v/>
      </c>
      <c r="X990" s="68" t="str">
        <f>IFERROR(INDEX(刷條碼區!A:C,MATCH(點上線資訊!S990,刷條碼區!C:C,0),1),"")</f>
        <v/>
      </c>
      <c r="Y990" s="69" t="str">
        <f>IFERROR(INDEX(刷條碼區!A:C,MATCH(點上線資訊!S990,刷條碼區!C:C,0),2),"")</f>
        <v/>
      </c>
      <c r="Z990" s="70" t="str">
        <f>IFERROR(INDEX(刷條碼區!D:G,MATCH(點上線資訊!S990,刷條碼區!F:F,0),1),"")</f>
        <v/>
      </c>
      <c r="AA990" s="71" t="str">
        <f>IFERROR(INDEX(刷條碼區!D:G,MATCH(點上線資訊!S990,刷條碼區!F:F,0),2),"")</f>
        <v/>
      </c>
      <c r="AB990" s="20">
        <f t="shared" si="94"/>
        <v>0</v>
      </c>
      <c r="AC990" s="20" t="b">
        <f t="shared" si="95"/>
        <v>0</v>
      </c>
      <c r="AD990" s="17" t="b">
        <f t="shared" si="96"/>
        <v>0</v>
      </c>
      <c r="AE990" s="17" t="b">
        <f t="shared" si="97"/>
        <v>0</v>
      </c>
    </row>
    <row r="991" spans="17:31" x14ac:dyDescent="0.2">
      <c r="Q991" s="17">
        <f>IFERROR(VLOOKUP(A991,已除帳印單!B:C,1,0),0)*1</f>
        <v>0</v>
      </c>
      <c r="R991" s="67" t="str">
        <f>IFERROR(VLOOKUP(J991,線別!A:B,2,1),"")</f>
        <v/>
      </c>
      <c r="S991" s="17" t="str">
        <f>IFERROR(VLOOKUP(A991,已除帳印單!B:C,2,0),"")</f>
        <v/>
      </c>
      <c r="T991" s="68" t="e">
        <f t="shared" si="92"/>
        <v>#VALUE!</v>
      </c>
      <c r="U991" s="69">
        <f t="shared" si="93"/>
        <v>0</v>
      </c>
      <c r="V991" s="68" t="str">
        <f>IFERROR(VLOOKUP(A991,已除帳印單!B:D,3,0),"")</f>
        <v/>
      </c>
      <c r="W991" s="69" t="str">
        <f>IFERROR(VLOOKUP(A991,已除帳印單!B:E,4,0),"")</f>
        <v/>
      </c>
      <c r="X991" s="68" t="str">
        <f>IFERROR(INDEX(刷條碼區!A:C,MATCH(點上線資訊!S991,刷條碼區!C:C,0),1),"")</f>
        <v/>
      </c>
      <c r="Y991" s="69" t="str">
        <f>IFERROR(INDEX(刷條碼區!A:C,MATCH(點上線資訊!S991,刷條碼區!C:C,0),2),"")</f>
        <v/>
      </c>
      <c r="Z991" s="70" t="str">
        <f>IFERROR(INDEX(刷條碼區!D:G,MATCH(點上線資訊!S991,刷條碼區!F:F,0),1),"")</f>
        <v/>
      </c>
      <c r="AA991" s="71" t="str">
        <f>IFERROR(INDEX(刷條碼區!D:G,MATCH(點上線資訊!S991,刷條碼區!F:F,0),2),"")</f>
        <v/>
      </c>
      <c r="AB991" s="20">
        <f t="shared" si="94"/>
        <v>0</v>
      </c>
      <c r="AC991" s="20" t="b">
        <f t="shared" si="95"/>
        <v>0</v>
      </c>
      <c r="AD991" s="17" t="b">
        <f t="shared" si="96"/>
        <v>0</v>
      </c>
      <c r="AE991" s="17" t="b">
        <f t="shared" si="97"/>
        <v>0</v>
      </c>
    </row>
    <row r="992" spans="17:31" x14ac:dyDescent="0.2">
      <c r="Q992" s="17">
        <f>IFERROR(VLOOKUP(A992,已除帳印單!B:C,1,0),0)*1</f>
        <v>0</v>
      </c>
      <c r="R992" s="67" t="str">
        <f>IFERROR(VLOOKUP(J992,線別!A:B,2,1),"")</f>
        <v/>
      </c>
      <c r="S992" s="17" t="str">
        <f>IFERROR(VLOOKUP(A992,已除帳印單!B:C,2,0),"")</f>
        <v/>
      </c>
      <c r="T992" s="68" t="e">
        <f t="shared" si="92"/>
        <v>#VALUE!</v>
      </c>
      <c r="U992" s="69">
        <f t="shared" si="93"/>
        <v>0</v>
      </c>
      <c r="V992" s="68" t="str">
        <f>IFERROR(VLOOKUP(A992,已除帳印單!B:D,3,0),"")</f>
        <v/>
      </c>
      <c r="W992" s="69" t="str">
        <f>IFERROR(VLOOKUP(A992,已除帳印單!B:E,4,0),"")</f>
        <v/>
      </c>
      <c r="X992" s="68" t="str">
        <f>IFERROR(INDEX(刷條碼區!A:C,MATCH(點上線資訊!S992,刷條碼區!C:C,0),1),"")</f>
        <v/>
      </c>
      <c r="Y992" s="69" t="str">
        <f>IFERROR(INDEX(刷條碼區!A:C,MATCH(點上線資訊!S992,刷條碼區!C:C,0),2),"")</f>
        <v/>
      </c>
      <c r="Z992" s="70" t="str">
        <f>IFERROR(INDEX(刷條碼區!D:G,MATCH(點上線資訊!S992,刷條碼區!F:F,0),1),"")</f>
        <v/>
      </c>
      <c r="AA992" s="71" t="str">
        <f>IFERROR(INDEX(刷條碼區!D:G,MATCH(點上線資訊!S992,刷條碼區!F:F,0),2),"")</f>
        <v/>
      </c>
      <c r="AB992" s="20">
        <f t="shared" si="94"/>
        <v>0</v>
      </c>
      <c r="AC992" s="20" t="b">
        <f t="shared" si="95"/>
        <v>0</v>
      </c>
      <c r="AD992" s="17" t="b">
        <f t="shared" si="96"/>
        <v>0</v>
      </c>
      <c r="AE992" s="17" t="b">
        <f t="shared" si="97"/>
        <v>0</v>
      </c>
    </row>
    <row r="993" spans="17:31" x14ac:dyDescent="0.2">
      <c r="Q993" s="17">
        <f>IFERROR(VLOOKUP(A993,已除帳印單!B:C,1,0),0)*1</f>
        <v>0</v>
      </c>
      <c r="R993" s="67" t="str">
        <f>IFERROR(VLOOKUP(J993,線別!A:B,2,1),"")</f>
        <v/>
      </c>
      <c r="S993" s="17" t="str">
        <f>IFERROR(VLOOKUP(A993,已除帳印單!B:C,2,0),"")</f>
        <v/>
      </c>
      <c r="T993" s="68" t="e">
        <f t="shared" si="92"/>
        <v>#VALUE!</v>
      </c>
      <c r="U993" s="69">
        <f t="shared" si="93"/>
        <v>0</v>
      </c>
      <c r="V993" s="68" t="str">
        <f>IFERROR(VLOOKUP(A993,已除帳印單!B:D,3,0),"")</f>
        <v/>
      </c>
      <c r="W993" s="69" t="str">
        <f>IFERROR(VLOOKUP(A993,已除帳印單!B:E,4,0),"")</f>
        <v/>
      </c>
      <c r="X993" s="68" t="str">
        <f>IFERROR(INDEX(刷條碼區!A:C,MATCH(點上線資訊!S993,刷條碼區!C:C,0),1),"")</f>
        <v/>
      </c>
      <c r="Y993" s="69" t="str">
        <f>IFERROR(INDEX(刷條碼區!A:C,MATCH(點上線資訊!S993,刷條碼區!C:C,0),2),"")</f>
        <v/>
      </c>
      <c r="Z993" s="70" t="str">
        <f>IFERROR(INDEX(刷條碼區!D:G,MATCH(點上線資訊!S993,刷條碼區!F:F,0),1),"")</f>
        <v/>
      </c>
      <c r="AA993" s="71" t="str">
        <f>IFERROR(INDEX(刷條碼區!D:G,MATCH(點上線資訊!S993,刷條碼區!F:F,0),2),"")</f>
        <v/>
      </c>
      <c r="AB993" s="20">
        <f t="shared" si="94"/>
        <v>0</v>
      </c>
      <c r="AC993" s="20" t="b">
        <f t="shared" si="95"/>
        <v>0</v>
      </c>
      <c r="AD993" s="17" t="b">
        <f t="shared" si="96"/>
        <v>0</v>
      </c>
      <c r="AE993" s="17" t="b">
        <f t="shared" si="97"/>
        <v>0</v>
      </c>
    </row>
    <row r="994" spans="17:31" x14ac:dyDescent="0.2">
      <c r="Q994" s="17">
        <f>IFERROR(VLOOKUP(A994,已除帳印單!B:C,1,0),0)*1</f>
        <v>0</v>
      </c>
      <c r="R994" s="67" t="str">
        <f>IFERROR(VLOOKUP(J994,線別!A:B,2,1),"")</f>
        <v/>
      </c>
      <c r="S994" s="17" t="str">
        <f>IFERROR(VLOOKUP(A994,已除帳印單!B:C,2,0),"")</f>
        <v/>
      </c>
      <c r="T994" s="68" t="e">
        <f t="shared" si="92"/>
        <v>#VALUE!</v>
      </c>
      <c r="U994" s="69">
        <f t="shared" si="93"/>
        <v>0</v>
      </c>
      <c r="V994" s="68" t="str">
        <f>IFERROR(VLOOKUP(A994,已除帳印單!B:D,3,0),"")</f>
        <v/>
      </c>
      <c r="W994" s="69" t="str">
        <f>IFERROR(VLOOKUP(A994,已除帳印單!B:E,4,0),"")</f>
        <v/>
      </c>
      <c r="X994" s="68" t="str">
        <f>IFERROR(INDEX(刷條碼區!A:C,MATCH(點上線資訊!S994,刷條碼區!C:C,0),1),"")</f>
        <v/>
      </c>
      <c r="Y994" s="69" t="str">
        <f>IFERROR(INDEX(刷條碼區!A:C,MATCH(點上線資訊!S994,刷條碼區!C:C,0),2),"")</f>
        <v/>
      </c>
      <c r="Z994" s="70" t="str">
        <f>IFERROR(INDEX(刷條碼區!D:G,MATCH(點上線資訊!S994,刷條碼區!F:F,0),1),"")</f>
        <v/>
      </c>
      <c r="AA994" s="71" t="str">
        <f>IFERROR(INDEX(刷條碼區!D:G,MATCH(點上線資訊!S994,刷條碼區!F:F,0),2),"")</f>
        <v/>
      </c>
      <c r="AB994" s="20">
        <f t="shared" si="94"/>
        <v>0</v>
      </c>
      <c r="AC994" s="20" t="b">
        <f t="shared" si="95"/>
        <v>0</v>
      </c>
      <c r="AD994" s="17" t="b">
        <f t="shared" si="96"/>
        <v>0</v>
      </c>
      <c r="AE994" s="17" t="b">
        <f t="shared" si="97"/>
        <v>0</v>
      </c>
    </row>
    <row r="995" spans="17:31" x14ac:dyDescent="0.2">
      <c r="Q995" s="17">
        <f>IFERROR(VLOOKUP(A995,已除帳印單!B:C,1,0),0)*1</f>
        <v>0</v>
      </c>
      <c r="R995" s="67" t="str">
        <f>IFERROR(VLOOKUP(J995,線別!A:B,2,1),"")</f>
        <v/>
      </c>
      <c r="S995" s="17" t="str">
        <f>IFERROR(VLOOKUP(A995,已除帳印單!B:C,2,0),"")</f>
        <v/>
      </c>
      <c r="T995" s="68" t="e">
        <f t="shared" si="92"/>
        <v>#VALUE!</v>
      </c>
      <c r="U995" s="69">
        <f t="shared" si="93"/>
        <v>0</v>
      </c>
      <c r="V995" s="68" t="str">
        <f>IFERROR(VLOOKUP(A995,已除帳印單!B:D,3,0),"")</f>
        <v/>
      </c>
      <c r="W995" s="69" t="str">
        <f>IFERROR(VLOOKUP(A995,已除帳印單!B:E,4,0),"")</f>
        <v/>
      </c>
      <c r="X995" s="68" t="str">
        <f>IFERROR(INDEX(刷條碼區!A:C,MATCH(點上線資訊!S995,刷條碼區!C:C,0),1),"")</f>
        <v/>
      </c>
      <c r="Y995" s="69" t="str">
        <f>IFERROR(INDEX(刷條碼區!A:C,MATCH(點上線資訊!S995,刷條碼區!C:C,0),2),"")</f>
        <v/>
      </c>
      <c r="Z995" s="70" t="str">
        <f>IFERROR(INDEX(刷條碼區!D:G,MATCH(點上線資訊!S995,刷條碼區!F:F,0),1),"")</f>
        <v/>
      </c>
      <c r="AA995" s="71" t="str">
        <f>IFERROR(INDEX(刷條碼區!D:G,MATCH(點上線資訊!S995,刷條碼區!F:F,0),2),"")</f>
        <v/>
      </c>
      <c r="AB995" s="20">
        <f t="shared" si="94"/>
        <v>0</v>
      </c>
      <c r="AC995" s="20" t="b">
        <f t="shared" si="95"/>
        <v>0</v>
      </c>
      <c r="AD995" s="17" t="b">
        <f t="shared" si="96"/>
        <v>0</v>
      </c>
      <c r="AE995" s="17" t="b">
        <f t="shared" si="97"/>
        <v>0</v>
      </c>
    </row>
    <row r="996" spans="17:31" x14ac:dyDescent="0.2">
      <c r="Q996" s="17">
        <f>IFERROR(VLOOKUP(A996,已除帳印單!B:C,1,0),0)*1</f>
        <v>0</v>
      </c>
      <c r="R996" s="67" t="str">
        <f>IFERROR(VLOOKUP(J996,線別!A:B,2,1),"")</f>
        <v/>
      </c>
      <c r="S996" s="17" t="str">
        <f>IFERROR(VLOOKUP(A996,已除帳印單!B:C,2,0),"")</f>
        <v/>
      </c>
      <c r="T996" s="68" t="e">
        <f t="shared" si="92"/>
        <v>#VALUE!</v>
      </c>
      <c r="U996" s="69">
        <f t="shared" si="93"/>
        <v>0</v>
      </c>
      <c r="V996" s="68" t="str">
        <f>IFERROR(VLOOKUP(A996,已除帳印單!B:D,3,0),"")</f>
        <v/>
      </c>
      <c r="W996" s="69" t="str">
        <f>IFERROR(VLOOKUP(A996,已除帳印單!B:E,4,0),"")</f>
        <v/>
      </c>
      <c r="X996" s="68" t="str">
        <f>IFERROR(INDEX(刷條碼區!A:C,MATCH(點上線資訊!S996,刷條碼區!C:C,0),1),"")</f>
        <v/>
      </c>
      <c r="Y996" s="69" t="str">
        <f>IFERROR(INDEX(刷條碼區!A:C,MATCH(點上線資訊!S996,刷條碼區!C:C,0),2),"")</f>
        <v/>
      </c>
      <c r="Z996" s="70" t="str">
        <f>IFERROR(INDEX(刷條碼區!D:G,MATCH(點上線資訊!S996,刷條碼區!F:F,0),1),"")</f>
        <v/>
      </c>
      <c r="AA996" s="71" t="str">
        <f>IFERROR(INDEX(刷條碼區!D:G,MATCH(點上線資訊!S996,刷條碼區!F:F,0),2),"")</f>
        <v/>
      </c>
      <c r="AB996" s="20">
        <f t="shared" si="94"/>
        <v>0</v>
      </c>
      <c r="AC996" s="20" t="b">
        <f t="shared" si="95"/>
        <v>0</v>
      </c>
      <c r="AD996" s="17" t="b">
        <f t="shared" si="96"/>
        <v>0</v>
      </c>
      <c r="AE996" s="17" t="b">
        <f t="shared" si="97"/>
        <v>0</v>
      </c>
    </row>
    <row r="997" spans="17:31" x14ac:dyDescent="0.2">
      <c r="Q997" s="17">
        <f>IFERROR(VLOOKUP(A997,已除帳印單!B:C,1,0),0)*1</f>
        <v>0</v>
      </c>
      <c r="R997" s="67" t="str">
        <f>IFERROR(VLOOKUP(J997,線別!A:B,2,1),"")</f>
        <v/>
      </c>
      <c r="S997" s="17" t="str">
        <f>IFERROR(VLOOKUP(A997,已除帳印單!B:C,2,0),"")</f>
        <v/>
      </c>
      <c r="T997" s="68" t="e">
        <f t="shared" si="92"/>
        <v>#VALUE!</v>
      </c>
      <c r="U997" s="69">
        <f t="shared" si="93"/>
        <v>0</v>
      </c>
      <c r="V997" s="68" t="str">
        <f>IFERROR(VLOOKUP(A997,已除帳印單!B:D,3,0),"")</f>
        <v/>
      </c>
      <c r="W997" s="69" t="str">
        <f>IFERROR(VLOOKUP(A997,已除帳印單!B:E,4,0),"")</f>
        <v/>
      </c>
      <c r="X997" s="68" t="str">
        <f>IFERROR(INDEX(刷條碼區!A:C,MATCH(點上線資訊!S997,刷條碼區!C:C,0),1),"")</f>
        <v/>
      </c>
      <c r="Y997" s="69" t="str">
        <f>IFERROR(INDEX(刷條碼區!A:C,MATCH(點上線資訊!S997,刷條碼區!C:C,0),2),"")</f>
        <v/>
      </c>
      <c r="Z997" s="70" t="str">
        <f>IFERROR(INDEX(刷條碼區!D:G,MATCH(點上線資訊!S997,刷條碼區!F:F,0),1),"")</f>
        <v/>
      </c>
      <c r="AA997" s="71" t="str">
        <f>IFERROR(INDEX(刷條碼區!D:G,MATCH(點上線資訊!S997,刷條碼區!F:F,0),2),"")</f>
        <v/>
      </c>
      <c r="AB997" s="20">
        <f t="shared" si="94"/>
        <v>0</v>
      </c>
      <c r="AC997" s="20" t="b">
        <f t="shared" si="95"/>
        <v>0</v>
      </c>
      <c r="AD997" s="17" t="b">
        <f t="shared" si="96"/>
        <v>0</v>
      </c>
      <c r="AE997" s="17" t="b">
        <f t="shared" si="97"/>
        <v>0</v>
      </c>
    </row>
    <row r="998" spans="17:31" x14ac:dyDescent="0.2">
      <c r="Q998" s="17">
        <f>IFERROR(VLOOKUP(A998,已除帳印單!B:C,1,0),0)*1</f>
        <v>0</v>
      </c>
      <c r="R998" s="67" t="str">
        <f>IFERROR(VLOOKUP(J998,線別!A:B,2,1),"")</f>
        <v/>
      </c>
      <c r="S998" s="17" t="str">
        <f>IFERROR(VLOOKUP(A998,已除帳印單!B:C,2,0),"")</f>
        <v/>
      </c>
      <c r="T998" s="68" t="e">
        <f t="shared" si="92"/>
        <v>#VALUE!</v>
      </c>
      <c r="U998" s="69">
        <f t="shared" si="93"/>
        <v>0</v>
      </c>
      <c r="V998" s="68" t="str">
        <f>IFERROR(VLOOKUP(A998,已除帳印單!B:D,3,0),"")</f>
        <v/>
      </c>
      <c r="W998" s="69" t="str">
        <f>IFERROR(VLOOKUP(A998,已除帳印單!B:E,4,0),"")</f>
        <v/>
      </c>
      <c r="X998" s="68" t="str">
        <f>IFERROR(INDEX(刷條碼區!A:C,MATCH(點上線資訊!S998,刷條碼區!C:C,0),1),"")</f>
        <v/>
      </c>
      <c r="Y998" s="69" t="str">
        <f>IFERROR(INDEX(刷條碼區!A:C,MATCH(點上線資訊!S998,刷條碼區!C:C,0),2),"")</f>
        <v/>
      </c>
      <c r="Z998" s="70" t="str">
        <f>IFERROR(INDEX(刷條碼區!D:G,MATCH(點上線資訊!S998,刷條碼區!F:F,0),1),"")</f>
        <v/>
      </c>
      <c r="AA998" s="71" t="str">
        <f>IFERROR(INDEX(刷條碼區!D:G,MATCH(點上線資訊!S998,刷條碼區!F:F,0),2),"")</f>
        <v/>
      </c>
      <c r="AB998" s="20">
        <f t="shared" si="94"/>
        <v>0</v>
      </c>
      <c r="AC998" s="20" t="b">
        <f t="shared" si="95"/>
        <v>0</v>
      </c>
      <c r="AD998" s="17" t="b">
        <f t="shared" si="96"/>
        <v>0</v>
      </c>
      <c r="AE998" s="17" t="b">
        <f t="shared" si="97"/>
        <v>0</v>
      </c>
    </row>
    <row r="999" spans="17:31" x14ac:dyDescent="0.2">
      <c r="Q999" s="17">
        <f>IFERROR(VLOOKUP(A999,已除帳印單!B:C,1,0),0)*1</f>
        <v>0</v>
      </c>
      <c r="R999" s="67" t="str">
        <f>IFERROR(VLOOKUP(J999,線別!A:B,2,1),"")</f>
        <v/>
      </c>
      <c r="S999" s="17" t="str">
        <f>IFERROR(VLOOKUP(A999,已除帳印單!B:C,2,0),"")</f>
        <v/>
      </c>
      <c r="T999" s="68" t="e">
        <f t="shared" si="92"/>
        <v>#VALUE!</v>
      </c>
      <c r="U999" s="69">
        <f t="shared" si="93"/>
        <v>0</v>
      </c>
      <c r="V999" s="68" t="str">
        <f>IFERROR(VLOOKUP(A999,已除帳印單!B:D,3,0),"")</f>
        <v/>
      </c>
      <c r="W999" s="69" t="str">
        <f>IFERROR(VLOOKUP(A999,已除帳印單!B:E,4,0),"")</f>
        <v/>
      </c>
      <c r="X999" s="68" t="str">
        <f>IFERROR(INDEX(刷條碼區!A:C,MATCH(點上線資訊!S999,刷條碼區!C:C,0),1),"")</f>
        <v/>
      </c>
      <c r="Y999" s="69" t="str">
        <f>IFERROR(INDEX(刷條碼區!A:C,MATCH(點上線資訊!S999,刷條碼區!C:C,0),2),"")</f>
        <v/>
      </c>
      <c r="Z999" s="70" t="str">
        <f>IFERROR(INDEX(刷條碼區!D:G,MATCH(點上線資訊!S999,刷條碼區!F:F,0),1),"")</f>
        <v/>
      </c>
      <c r="AA999" s="71" t="str">
        <f>IFERROR(INDEX(刷條碼區!D:G,MATCH(點上線資訊!S999,刷條碼區!F:F,0),2),"")</f>
        <v/>
      </c>
      <c r="AB999" s="20">
        <f t="shared" si="94"/>
        <v>0</v>
      </c>
      <c r="AC999" s="20" t="b">
        <f t="shared" si="95"/>
        <v>0</v>
      </c>
      <c r="AD999" s="17" t="b">
        <f t="shared" si="96"/>
        <v>0</v>
      </c>
      <c r="AE999" s="17" t="b">
        <f t="shared" si="97"/>
        <v>0</v>
      </c>
    </row>
    <row r="1000" spans="17:31" x14ac:dyDescent="0.2">
      <c r="Q1000" s="17">
        <f>IFERROR(VLOOKUP(A1000,已除帳印單!B:C,1,0),0)*1</f>
        <v>0</v>
      </c>
      <c r="R1000" s="67" t="str">
        <f>IFERROR(VLOOKUP(J1000,線別!A:B,2,1),"")</f>
        <v/>
      </c>
      <c r="S1000" s="17" t="str">
        <f>IFERROR(VLOOKUP(A1000,已除帳印單!B:C,2,0),"")</f>
        <v/>
      </c>
      <c r="T1000" s="68" t="e">
        <f t="shared" si="92"/>
        <v>#VALUE!</v>
      </c>
      <c r="U1000" s="69">
        <f t="shared" si="93"/>
        <v>0</v>
      </c>
      <c r="V1000" s="68" t="str">
        <f>IFERROR(VLOOKUP(A1000,已除帳印單!B:D,3,0),"")</f>
        <v/>
      </c>
      <c r="W1000" s="69" t="str">
        <f>IFERROR(VLOOKUP(A1000,已除帳印單!B:E,4,0),"")</f>
        <v/>
      </c>
      <c r="X1000" s="68" t="str">
        <f>IFERROR(INDEX(刷條碼區!A:C,MATCH(點上線資訊!S1000,刷條碼區!C:C,0),1),"")</f>
        <v/>
      </c>
      <c r="Y1000" s="69" t="str">
        <f>IFERROR(INDEX(刷條碼區!A:C,MATCH(點上線資訊!S1000,刷條碼區!C:C,0),2),"")</f>
        <v/>
      </c>
      <c r="Z1000" s="70" t="str">
        <f>IFERROR(INDEX(刷條碼區!D:G,MATCH(點上線資訊!S1000,刷條碼區!F:F,0),1),"")</f>
        <v/>
      </c>
      <c r="AA1000" s="71" t="str">
        <f>IFERROR(INDEX(刷條碼區!D:G,MATCH(點上線資訊!S1000,刷條碼區!F:F,0),2),"")</f>
        <v/>
      </c>
      <c r="AB1000" s="20">
        <f t="shared" si="94"/>
        <v>0</v>
      </c>
      <c r="AC1000" s="20" t="b">
        <f t="shared" si="95"/>
        <v>0</v>
      </c>
      <c r="AD1000" s="17" t="b">
        <f t="shared" si="96"/>
        <v>0</v>
      </c>
      <c r="AE1000" s="17" t="b">
        <f t="shared" si="97"/>
        <v>0</v>
      </c>
    </row>
    <row r="1001" spans="17:31" x14ac:dyDescent="0.2">
      <c r="Q1001" s="17">
        <f>IFERROR(VLOOKUP(A1001,已除帳印單!B:C,1,0),0)*1</f>
        <v>0</v>
      </c>
      <c r="R1001" s="67" t="str">
        <f>IFERROR(VLOOKUP(J1001,線別!A:B,2,1),"")</f>
        <v/>
      </c>
      <c r="S1001" s="17" t="str">
        <f>IFERROR(VLOOKUP(A1001,已除帳印單!B:C,2,0),"")</f>
        <v/>
      </c>
      <c r="T1001" s="68" t="e">
        <f t="shared" si="92"/>
        <v>#VALUE!</v>
      </c>
      <c r="U1001" s="69">
        <f t="shared" si="93"/>
        <v>0</v>
      </c>
      <c r="V1001" s="68" t="str">
        <f>IFERROR(VLOOKUP(A1001,已除帳印單!B:D,3,0),"")</f>
        <v/>
      </c>
      <c r="W1001" s="69" t="str">
        <f>IFERROR(VLOOKUP(A1001,已除帳印單!B:E,4,0),"")</f>
        <v/>
      </c>
      <c r="X1001" s="68" t="str">
        <f>IFERROR(INDEX(刷條碼區!A:C,MATCH(點上線資訊!S1001,刷條碼區!C:C,0),1),"")</f>
        <v/>
      </c>
      <c r="Y1001" s="69" t="str">
        <f>IFERROR(INDEX(刷條碼區!A:C,MATCH(點上線資訊!S1001,刷條碼區!C:C,0),2),"")</f>
        <v/>
      </c>
      <c r="Z1001" s="70" t="str">
        <f>IFERROR(INDEX(刷條碼區!D:G,MATCH(點上線資訊!S1001,刷條碼區!F:F,0),1),"")</f>
        <v/>
      </c>
      <c r="AA1001" s="71" t="str">
        <f>IFERROR(INDEX(刷條碼區!D:G,MATCH(點上線資訊!S1001,刷條碼區!F:F,0),2),"")</f>
        <v/>
      </c>
      <c r="AB1001" s="20">
        <f t="shared" si="94"/>
        <v>0</v>
      </c>
      <c r="AC1001" s="20" t="b">
        <f t="shared" si="95"/>
        <v>0</v>
      </c>
      <c r="AD1001" s="17" t="b">
        <f t="shared" si="96"/>
        <v>0</v>
      </c>
      <c r="AE1001" s="17" t="b">
        <f t="shared" si="97"/>
        <v>0</v>
      </c>
    </row>
    <row r="1002" spans="17:31" x14ac:dyDescent="0.2">
      <c r="Q1002" s="17">
        <f>IFERROR(VLOOKUP(A1002,已除帳印單!B:C,1,0),0)*1</f>
        <v>0</v>
      </c>
      <c r="R1002" s="67" t="str">
        <f>IFERROR(VLOOKUP(J1002,線別!A:B,2,1),"")</f>
        <v/>
      </c>
      <c r="S1002" s="17" t="str">
        <f>IFERROR(VLOOKUP(A1002,已除帳印單!B:C,2,0),"")</f>
        <v/>
      </c>
      <c r="T1002" s="68" t="e">
        <f t="shared" si="92"/>
        <v>#VALUE!</v>
      </c>
      <c r="U1002" s="69">
        <f t="shared" si="93"/>
        <v>0</v>
      </c>
      <c r="V1002" s="68" t="str">
        <f>IFERROR(VLOOKUP(A1002,已除帳印單!B:D,3,0),"")</f>
        <v/>
      </c>
      <c r="W1002" s="69" t="str">
        <f>IFERROR(VLOOKUP(A1002,已除帳印單!B:E,4,0),"")</f>
        <v/>
      </c>
      <c r="X1002" s="68" t="str">
        <f>IFERROR(INDEX(刷條碼區!A:C,MATCH(點上線資訊!S1002,刷條碼區!C:C,0),1),"")</f>
        <v/>
      </c>
      <c r="Y1002" s="69" t="str">
        <f>IFERROR(INDEX(刷條碼區!A:C,MATCH(點上線資訊!S1002,刷條碼區!C:C,0),2),"")</f>
        <v/>
      </c>
      <c r="Z1002" s="70" t="str">
        <f>IFERROR(INDEX(刷條碼區!D:G,MATCH(點上線資訊!S1002,刷條碼區!F:F,0),1),"")</f>
        <v/>
      </c>
      <c r="AA1002" s="71" t="str">
        <f>IFERROR(INDEX(刷條碼區!D:G,MATCH(點上線資訊!S1002,刷條碼區!F:F,0),2),"")</f>
        <v/>
      </c>
      <c r="AB1002" s="20">
        <f t="shared" si="94"/>
        <v>0</v>
      </c>
      <c r="AC1002" s="20" t="b">
        <f t="shared" si="95"/>
        <v>0</v>
      </c>
      <c r="AD1002" s="17" t="b">
        <f t="shared" si="96"/>
        <v>0</v>
      </c>
      <c r="AE1002" s="17" t="b">
        <f t="shared" si="97"/>
        <v>0</v>
      </c>
    </row>
    <row r="1003" spans="17:31" x14ac:dyDescent="0.2">
      <c r="Q1003" s="17">
        <f>IFERROR(VLOOKUP(A1003,已除帳印單!B:C,1,0),0)*1</f>
        <v>0</v>
      </c>
      <c r="R1003" s="67" t="str">
        <f>IFERROR(VLOOKUP(J1003,線別!A:B,2,1),"")</f>
        <v/>
      </c>
      <c r="S1003" s="17" t="str">
        <f>IFERROR(VLOOKUP(A1003,已除帳印單!B:C,2,0),"")</f>
        <v/>
      </c>
      <c r="T1003" s="68" t="e">
        <f t="shared" si="92"/>
        <v>#VALUE!</v>
      </c>
      <c r="U1003" s="69">
        <f t="shared" si="93"/>
        <v>0</v>
      </c>
      <c r="V1003" s="68" t="str">
        <f>IFERROR(VLOOKUP(A1003,已除帳印單!B:D,3,0),"")</f>
        <v/>
      </c>
      <c r="W1003" s="69" t="str">
        <f>IFERROR(VLOOKUP(A1003,已除帳印單!B:E,4,0),"")</f>
        <v/>
      </c>
      <c r="X1003" s="68" t="str">
        <f>IFERROR(INDEX(刷條碼區!A:C,MATCH(點上線資訊!S1003,刷條碼區!C:C,0),1),"")</f>
        <v/>
      </c>
      <c r="Y1003" s="69" t="str">
        <f>IFERROR(INDEX(刷條碼區!A:C,MATCH(點上線資訊!S1003,刷條碼區!C:C,0),2),"")</f>
        <v/>
      </c>
      <c r="Z1003" s="70" t="str">
        <f>IFERROR(INDEX(刷條碼區!D:G,MATCH(點上線資訊!S1003,刷條碼區!F:F,0),1),"")</f>
        <v/>
      </c>
      <c r="AA1003" s="71" t="str">
        <f>IFERROR(INDEX(刷條碼區!D:G,MATCH(點上線資訊!S1003,刷條碼區!F:F,0),2),"")</f>
        <v/>
      </c>
      <c r="AB1003" s="20">
        <f t="shared" si="94"/>
        <v>0</v>
      </c>
      <c r="AC1003" s="20" t="b">
        <f t="shared" si="95"/>
        <v>0</v>
      </c>
      <c r="AD1003" s="17" t="b">
        <f t="shared" si="96"/>
        <v>0</v>
      </c>
      <c r="AE1003" s="17" t="b">
        <f t="shared" si="97"/>
        <v>0</v>
      </c>
    </row>
    <row r="1004" spans="17:31" x14ac:dyDescent="0.2">
      <c r="Q1004" s="17">
        <f>IFERROR(VLOOKUP(A1004,已除帳印單!B:C,1,0),0)*1</f>
        <v>0</v>
      </c>
      <c r="R1004" s="67" t="str">
        <f>IFERROR(VLOOKUP(J1004,線別!A:B,2,1),"")</f>
        <v/>
      </c>
      <c r="S1004" s="17" t="str">
        <f>IFERROR(VLOOKUP(A1004,已除帳印單!B:C,2,0),"")</f>
        <v/>
      </c>
      <c r="T1004" s="68" t="e">
        <f t="shared" si="92"/>
        <v>#VALUE!</v>
      </c>
      <c r="U1004" s="69">
        <f t="shared" si="93"/>
        <v>0</v>
      </c>
      <c r="V1004" s="68" t="str">
        <f>IFERROR(VLOOKUP(A1004,已除帳印單!B:D,3,0),"")</f>
        <v/>
      </c>
      <c r="W1004" s="69" t="str">
        <f>IFERROR(VLOOKUP(A1004,已除帳印單!B:E,4,0),"")</f>
        <v/>
      </c>
      <c r="X1004" s="68" t="str">
        <f>IFERROR(INDEX(刷條碼區!A:C,MATCH(點上線資訊!S1004,刷條碼區!C:C,0),1),"")</f>
        <v/>
      </c>
      <c r="Y1004" s="69" t="str">
        <f>IFERROR(INDEX(刷條碼區!A:C,MATCH(點上線資訊!S1004,刷條碼區!C:C,0),2),"")</f>
        <v/>
      </c>
      <c r="Z1004" s="70" t="str">
        <f>IFERROR(INDEX(刷條碼區!D:G,MATCH(點上線資訊!S1004,刷條碼區!F:F,0),1),"")</f>
        <v/>
      </c>
      <c r="AA1004" s="71" t="str">
        <f>IFERROR(INDEX(刷條碼區!D:G,MATCH(點上線資訊!S1004,刷條碼區!F:F,0),2),"")</f>
        <v/>
      </c>
      <c r="AB1004" s="20">
        <f t="shared" si="94"/>
        <v>0</v>
      </c>
      <c r="AC1004" s="20" t="b">
        <f t="shared" si="95"/>
        <v>0</v>
      </c>
      <c r="AD1004" s="17" t="b">
        <f t="shared" si="96"/>
        <v>0</v>
      </c>
      <c r="AE1004" s="17" t="b">
        <f t="shared" si="97"/>
        <v>0</v>
      </c>
    </row>
    <row r="1005" spans="17:31" x14ac:dyDescent="0.2">
      <c r="Q1005" s="17">
        <f>IFERROR(VLOOKUP(A1005,已除帳印單!B:C,1,0),0)*1</f>
        <v>0</v>
      </c>
      <c r="R1005" s="67" t="str">
        <f>IFERROR(VLOOKUP(J1005,線別!A:B,2,1),"")</f>
        <v/>
      </c>
      <c r="S1005" s="17" t="str">
        <f>IFERROR(VLOOKUP(A1005,已除帳印單!B:C,2,0),"")</f>
        <v/>
      </c>
      <c r="T1005" s="68" t="e">
        <f t="shared" si="92"/>
        <v>#VALUE!</v>
      </c>
      <c r="U1005" s="69">
        <f t="shared" si="93"/>
        <v>0</v>
      </c>
      <c r="V1005" s="68" t="str">
        <f>IFERROR(VLOOKUP(A1005,已除帳印單!B:D,3,0),"")</f>
        <v/>
      </c>
      <c r="W1005" s="69" t="str">
        <f>IFERROR(VLOOKUP(A1005,已除帳印單!B:E,4,0),"")</f>
        <v/>
      </c>
      <c r="X1005" s="68" t="str">
        <f>IFERROR(INDEX(刷條碼區!A:C,MATCH(點上線資訊!S1005,刷條碼區!C:C,0),1),"")</f>
        <v/>
      </c>
      <c r="Y1005" s="69" t="str">
        <f>IFERROR(INDEX(刷條碼區!A:C,MATCH(點上線資訊!S1005,刷條碼區!C:C,0),2),"")</f>
        <v/>
      </c>
      <c r="Z1005" s="70" t="str">
        <f>IFERROR(INDEX(刷條碼區!D:G,MATCH(點上線資訊!S1005,刷條碼區!F:F,0),1),"")</f>
        <v/>
      </c>
      <c r="AA1005" s="71" t="str">
        <f>IFERROR(INDEX(刷條碼區!D:G,MATCH(點上線資訊!S1005,刷條碼區!F:F,0),2),"")</f>
        <v/>
      </c>
      <c r="AB1005" s="20">
        <f t="shared" si="94"/>
        <v>0</v>
      </c>
      <c r="AC1005" s="20" t="b">
        <f t="shared" si="95"/>
        <v>0</v>
      </c>
      <c r="AD1005" s="17" t="b">
        <f t="shared" si="96"/>
        <v>0</v>
      </c>
      <c r="AE1005" s="17" t="b">
        <f t="shared" si="97"/>
        <v>0</v>
      </c>
    </row>
    <row r="1006" spans="17:31" x14ac:dyDescent="0.2">
      <c r="Q1006" s="17">
        <f>IFERROR(VLOOKUP(A1006,已除帳印單!B:C,1,0),0)*1</f>
        <v>0</v>
      </c>
      <c r="R1006" s="67" t="str">
        <f>IFERROR(VLOOKUP(J1006,線別!A:B,2,1),"")</f>
        <v/>
      </c>
      <c r="S1006" s="17" t="str">
        <f>IFERROR(VLOOKUP(A1006,已除帳印單!B:C,2,0),"")</f>
        <v/>
      </c>
      <c r="T1006" s="68" t="e">
        <f t="shared" si="92"/>
        <v>#VALUE!</v>
      </c>
      <c r="U1006" s="69">
        <f t="shared" si="93"/>
        <v>0</v>
      </c>
      <c r="V1006" s="68" t="str">
        <f>IFERROR(VLOOKUP(A1006,已除帳印單!B:D,3,0),"")</f>
        <v/>
      </c>
      <c r="W1006" s="69" t="str">
        <f>IFERROR(VLOOKUP(A1006,已除帳印單!B:E,4,0),"")</f>
        <v/>
      </c>
      <c r="X1006" s="68" t="str">
        <f>IFERROR(INDEX(刷條碼區!A:C,MATCH(點上線資訊!S1006,刷條碼區!C:C,0),1),"")</f>
        <v/>
      </c>
      <c r="Y1006" s="69" t="str">
        <f>IFERROR(INDEX(刷條碼區!A:C,MATCH(點上線資訊!S1006,刷條碼區!C:C,0),2),"")</f>
        <v/>
      </c>
      <c r="Z1006" s="70" t="str">
        <f>IFERROR(INDEX(刷條碼區!D:G,MATCH(點上線資訊!S1006,刷條碼區!F:F,0),1),"")</f>
        <v/>
      </c>
      <c r="AA1006" s="71" t="str">
        <f>IFERROR(INDEX(刷條碼區!D:G,MATCH(點上線資訊!S1006,刷條碼區!F:F,0),2),"")</f>
        <v/>
      </c>
      <c r="AB1006" s="20">
        <f t="shared" si="94"/>
        <v>0</v>
      </c>
      <c r="AC1006" s="20" t="b">
        <f t="shared" si="95"/>
        <v>0</v>
      </c>
      <c r="AD1006" s="17" t="b">
        <f t="shared" si="96"/>
        <v>0</v>
      </c>
      <c r="AE1006" s="17" t="b">
        <f t="shared" si="97"/>
        <v>0</v>
      </c>
    </row>
    <row r="1007" spans="17:31" x14ac:dyDescent="0.2">
      <c r="Q1007" s="17">
        <f>IFERROR(VLOOKUP(A1007,已除帳印單!B:C,1,0),0)*1</f>
        <v>0</v>
      </c>
      <c r="R1007" s="67" t="str">
        <f>IFERROR(VLOOKUP(J1007,線別!A:B,2,1),"")</f>
        <v/>
      </c>
      <c r="S1007" s="17" t="str">
        <f>IFERROR(VLOOKUP(A1007,已除帳印單!B:C,2,0),"")</f>
        <v/>
      </c>
      <c r="T1007" s="68" t="e">
        <f t="shared" si="92"/>
        <v>#VALUE!</v>
      </c>
      <c r="U1007" s="69">
        <f t="shared" si="93"/>
        <v>0</v>
      </c>
      <c r="V1007" s="68" t="str">
        <f>IFERROR(VLOOKUP(A1007,已除帳印單!B:D,3,0),"")</f>
        <v/>
      </c>
      <c r="W1007" s="69" t="str">
        <f>IFERROR(VLOOKUP(A1007,已除帳印單!B:E,4,0),"")</f>
        <v/>
      </c>
      <c r="X1007" s="68" t="str">
        <f>IFERROR(INDEX(刷條碼區!A:C,MATCH(點上線資訊!S1007,刷條碼區!C:C,0),1),"")</f>
        <v/>
      </c>
      <c r="Y1007" s="69" t="str">
        <f>IFERROR(INDEX(刷條碼區!A:C,MATCH(點上線資訊!S1007,刷條碼區!C:C,0),2),"")</f>
        <v/>
      </c>
      <c r="Z1007" s="70" t="str">
        <f>IFERROR(INDEX(刷條碼區!D:G,MATCH(點上線資訊!S1007,刷條碼區!F:F,0),1),"")</f>
        <v/>
      </c>
      <c r="AA1007" s="71" t="str">
        <f>IFERROR(INDEX(刷條碼區!D:G,MATCH(點上線資訊!S1007,刷條碼區!F:F,0),2),"")</f>
        <v/>
      </c>
      <c r="AB1007" s="20">
        <f t="shared" si="94"/>
        <v>0</v>
      </c>
      <c r="AC1007" s="20" t="b">
        <f t="shared" si="95"/>
        <v>0</v>
      </c>
      <c r="AD1007" s="17" t="b">
        <f t="shared" si="96"/>
        <v>0</v>
      </c>
      <c r="AE1007" s="17" t="b">
        <f t="shared" si="97"/>
        <v>0</v>
      </c>
    </row>
    <row r="1008" spans="17:31" x14ac:dyDescent="0.2">
      <c r="Q1008" s="17">
        <f>IFERROR(VLOOKUP(A1008,已除帳印單!B:C,1,0),0)*1</f>
        <v>0</v>
      </c>
      <c r="R1008" s="67" t="str">
        <f>IFERROR(VLOOKUP(J1008,線別!A:B,2,1),"")</f>
        <v/>
      </c>
      <c r="S1008" s="17" t="str">
        <f>IFERROR(VLOOKUP(A1008,已除帳印單!B:C,2,0),"")</f>
        <v/>
      </c>
      <c r="T1008" s="68" t="e">
        <f t="shared" si="92"/>
        <v>#VALUE!</v>
      </c>
      <c r="U1008" s="69">
        <f t="shared" si="93"/>
        <v>0</v>
      </c>
      <c r="V1008" s="68" t="str">
        <f>IFERROR(VLOOKUP(A1008,已除帳印單!B:D,3,0),"")</f>
        <v/>
      </c>
      <c r="W1008" s="69" t="str">
        <f>IFERROR(VLOOKUP(A1008,已除帳印單!B:E,4,0),"")</f>
        <v/>
      </c>
      <c r="X1008" s="68" t="str">
        <f>IFERROR(INDEX(刷條碼區!A:C,MATCH(點上線資訊!S1008,刷條碼區!C:C,0),1),"")</f>
        <v/>
      </c>
      <c r="Y1008" s="69" t="str">
        <f>IFERROR(INDEX(刷條碼區!A:C,MATCH(點上線資訊!S1008,刷條碼區!C:C,0),2),"")</f>
        <v/>
      </c>
      <c r="Z1008" s="70" t="str">
        <f>IFERROR(INDEX(刷條碼區!D:G,MATCH(點上線資訊!S1008,刷條碼區!F:F,0),1),"")</f>
        <v/>
      </c>
      <c r="AA1008" s="71" t="str">
        <f>IFERROR(INDEX(刷條碼區!D:G,MATCH(點上線資訊!S1008,刷條碼區!F:F,0),2),"")</f>
        <v/>
      </c>
      <c r="AB1008" s="20">
        <f t="shared" si="94"/>
        <v>0</v>
      </c>
      <c r="AC1008" s="20" t="b">
        <f t="shared" si="95"/>
        <v>0</v>
      </c>
      <c r="AD1008" s="17" t="b">
        <f t="shared" si="96"/>
        <v>0</v>
      </c>
      <c r="AE1008" s="17" t="b">
        <f t="shared" si="97"/>
        <v>0</v>
      </c>
    </row>
    <row r="1009" spans="17:31" x14ac:dyDescent="0.2">
      <c r="Q1009" s="17">
        <f>IFERROR(VLOOKUP(A1009,已除帳印單!B:C,1,0),0)*1</f>
        <v>0</v>
      </c>
      <c r="R1009" s="67" t="str">
        <f>IFERROR(VLOOKUP(J1009,線別!A:B,2,1),"")</f>
        <v/>
      </c>
      <c r="S1009" s="17" t="str">
        <f>IFERROR(VLOOKUP(A1009,已除帳印單!B:C,2,0),"")</f>
        <v/>
      </c>
      <c r="T1009" s="68" t="e">
        <f t="shared" si="92"/>
        <v>#VALUE!</v>
      </c>
      <c r="U1009" s="69">
        <f t="shared" si="93"/>
        <v>0</v>
      </c>
      <c r="V1009" s="68" t="str">
        <f>IFERROR(VLOOKUP(A1009,已除帳印單!B:D,3,0),"")</f>
        <v/>
      </c>
      <c r="W1009" s="69" t="str">
        <f>IFERROR(VLOOKUP(A1009,已除帳印單!B:E,4,0),"")</f>
        <v/>
      </c>
      <c r="X1009" s="68" t="str">
        <f>IFERROR(INDEX(刷條碼區!A:C,MATCH(點上線資訊!S1009,刷條碼區!C:C,0),1),"")</f>
        <v/>
      </c>
      <c r="Y1009" s="69" t="str">
        <f>IFERROR(INDEX(刷條碼區!A:C,MATCH(點上線資訊!S1009,刷條碼區!C:C,0),2),"")</f>
        <v/>
      </c>
      <c r="Z1009" s="70" t="str">
        <f>IFERROR(INDEX(刷條碼區!D:G,MATCH(點上線資訊!S1009,刷條碼區!F:F,0),1),"")</f>
        <v/>
      </c>
      <c r="AA1009" s="71" t="str">
        <f>IFERROR(INDEX(刷條碼區!D:G,MATCH(點上線資訊!S1009,刷條碼區!F:F,0),2),"")</f>
        <v/>
      </c>
      <c r="AB1009" s="20">
        <f t="shared" si="94"/>
        <v>0</v>
      </c>
      <c r="AC1009" s="20" t="b">
        <f t="shared" si="95"/>
        <v>0</v>
      </c>
      <c r="AD1009" s="17" t="b">
        <f t="shared" si="96"/>
        <v>0</v>
      </c>
      <c r="AE1009" s="17" t="b">
        <f t="shared" si="97"/>
        <v>0</v>
      </c>
    </row>
    <row r="1010" spans="17:31" x14ac:dyDescent="0.2">
      <c r="Q1010" s="17">
        <f>IFERROR(VLOOKUP(A1010,已除帳印單!B:C,1,0),0)*1</f>
        <v>0</v>
      </c>
      <c r="R1010" s="67" t="str">
        <f>IFERROR(VLOOKUP(J1010,線別!A:B,2,1),"")</f>
        <v/>
      </c>
      <c r="S1010" s="17" t="str">
        <f>IFERROR(VLOOKUP(A1010,已除帳印單!B:C,2,0),"")</f>
        <v/>
      </c>
      <c r="T1010" s="68" t="e">
        <f t="shared" si="92"/>
        <v>#VALUE!</v>
      </c>
      <c r="U1010" s="69">
        <f t="shared" si="93"/>
        <v>0</v>
      </c>
      <c r="V1010" s="68" t="str">
        <f>IFERROR(VLOOKUP(A1010,已除帳印單!B:D,3,0),"")</f>
        <v/>
      </c>
      <c r="W1010" s="69" t="str">
        <f>IFERROR(VLOOKUP(A1010,已除帳印單!B:E,4,0),"")</f>
        <v/>
      </c>
      <c r="X1010" s="68" t="str">
        <f>IFERROR(INDEX(刷條碼區!A:C,MATCH(點上線資訊!S1010,刷條碼區!C:C,0),1),"")</f>
        <v/>
      </c>
      <c r="Y1010" s="69" t="str">
        <f>IFERROR(INDEX(刷條碼區!A:C,MATCH(點上線資訊!S1010,刷條碼區!C:C,0),2),"")</f>
        <v/>
      </c>
      <c r="Z1010" s="70" t="str">
        <f>IFERROR(INDEX(刷條碼區!D:G,MATCH(點上線資訊!S1010,刷條碼區!F:F,0),1),"")</f>
        <v/>
      </c>
      <c r="AA1010" s="71" t="str">
        <f>IFERROR(INDEX(刷條碼區!D:G,MATCH(點上線資訊!S1010,刷條碼區!F:F,0),2),"")</f>
        <v/>
      </c>
      <c r="AB1010" s="20">
        <f t="shared" si="94"/>
        <v>0</v>
      </c>
      <c r="AC1010" s="20" t="b">
        <f t="shared" si="95"/>
        <v>0</v>
      </c>
      <c r="AD1010" s="17" t="b">
        <f t="shared" si="96"/>
        <v>0</v>
      </c>
      <c r="AE1010" s="17" t="b">
        <f t="shared" si="97"/>
        <v>0</v>
      </c>
    </row>
    <row r="1011" spans="17:31" x14ac:dyDescent="0.2">
      <c r="Q1011" s="17">
        <f>IFERROR(VLOOKUP(A1011,已除帳印單!B:C,1,0),0)*1</f>
        <v>0</v>
      </c>
      <c r="R1011" s="67" t="str">
        <f>IFERROR(VLOOKUP(J1011,線別!A:B,2,1),"")</f>
        <v/>
      </c>
      <c r="S1011" s="17" t="str">
        <f>IFERROR(VLOOKUP(A1011,已除帳印單!B:C,2,0),"")</f>
        <v/>
      </c>
      <c r="T1011" s="68" t="e">
        <f t="shared" si="92"/>
        <v>#VALUE!</v>
      </c>
      <c r="U1011" s="69">
        <f t="shared" si="93"/>
        <v>0</v>
      </c>
      <c r="V1011" s="68" t="str">
        <f>IFERROR(VLOOKUP(A1011,已除帳印單!B:D,3,0),"")</f>
        <v/>
      </c>
      <c r="W1011" s="69" t="str">
        <f>IFERROR(VLOOKUP(A1011,已除帳印單!B:E,4,0),"")</f>
        <v/>
      </c>
      <c r="X1011" s="68" t="str">
        <f>IFERROR(INDEX(刷條碼區!A:C,MATCH(點上線資訊!S1011,刷條碼區!C:C,0),1),"")</f>
        <v/>
      </c>
      <c r="Y1011" s="69" t="str">
        <f>IFERROR(INDEX(刷條碼區!A:C,MATCH(點上線資訊!S1011,刷條碼區!C:C,0),2),"")</f>
        <v/>
      </c>
      <c r="Z1011" s="70" t="str">
        <f>IFERROR(INDEX(刷條碼區!D:G,MATCH(點上線資訊!S1011,刷條碼區!F:F,0),1),"")</f>
        <v/>
      </c>
      <c r="AA1011" s="71" t="str">
        <f>IFERROR(INDEX(刷條碼區!D:G,MATCH(點上線資訊!S1011,刷條碼區!F:F,0),2),"")</f>
        <v/>
      </c>
      <c r="AB1011" s="20">
        <f t="shared" si="94"/>
        <v>0</v>
      </c>
      <c r="AC1011" s="20" t="b">
        <f t="shared" si="95"/>
        <v>0</v>
      </c>
      <c r="AD1011" s="17" t="b">
        <f t="shared" si="96"/>
        <v>0</v>
      </c>
      <c r="AE1011" s="17" t="b">
        <f t="shared" si="97"/>
        <v>0</v>
      </c>
    </row>
    <row r="1012" spans="17:31" x14ac:dyDescent="0.2">
      <c r="Q1012" s="17">
        <f>IFERROR(VLOOKUP(A1012,已除帳印單!B:C,1,0),0)*1</f>
        <v>0</v>
      </c>
      <c r="R1012" s="67" t="str">
        <f>IFERROR(VLOOKUP(J1012,線別!A:B,2,1),"")</f>
        <v/>
      </c>
      <c r="S1012" s="17" t="str">
        <f>IFERROR(VLOOKUP(A1012,已除帳印單!B:C,2,0),"")</f>
        <v/>
      </c>
      <c r="T1012" s="68" t="e">
        <f t="shared" si="92"/>
        <v>#VALUE!</v>
      </c>
      <c r="U1012" s="69">
        <f t="shared" si="93"/>
        <v>0</v>
      </c>
      <c r="V1012" s="68" t="str">
        <f>IFERROR(VLOOKUP(A1012,已除帳印單!B:D,3,0),"")</f>
        <v/>
      </c>
      <c r="W1012" s="69" t="str">
        <f>IFERROR(VLOOKUP(A1012,已除帳印單!B:E,4,0),"")</f>
        <v/>
      </c>
      <c r="X1012" s="68" t="str">
        <f>IFERROR(INDEX(刷條碼區!A:C,MATCH(點上線資訊!S1012,刷條碼區!C:C,0),1),"")</f>
        <v/>
      </c>
      <c r="Y1012" s="69" t="str">
        <f>IFERROR(INDEX(刷條碼區!A:C,MATCH(點上線資訊!S1012,刷條碼區!C:C,0),2),"")</f>
        <v/>
      </c>
      <c r="Z1012" s="70" t="str">
        <f>IFERROR(INDEX(刷條碼區!D:G,MATCH(點上線資訊!S1012,刷條碼區!F:F,0),1),"")</f>
        <v/>
      </c>
      <c r="AA1012" s="71" t="str">
        <f>IFERROR(INDEX(刷條碼區!D:G,MATCH(點上線資訊!S1012,刷條碼區!F:F,0),2),"")</f>
        <v/>
      </c>
      <c r="AB1012" s="20">
        <f t="shared" si="94"/>
        <v>0</v>
      </c>
      <c r="AC1012" s="20" t="b">
        <f t="shared" si="95"/>
        <v>0</v>
      </c>
      <c r="AD1012" s="17" t="b">
        <f t="shared" si="96"/>
        <v>0</v>
      </c>
      <c r="AE1012" s="17" t="b">
        <f t="shared" si="97"/>
        <v>0</v>
      </c>
    </row>
    <row r="1013" spans="17:31" x14ac:dyDescent="0.2">
      <c r="Q1013" s="17">
        <f>IFERROR(VLOOKUP(A1013,已除帳印單!B:C,1,0),0)*1</f>
        <v>0</v>
      </c>
      <c r="R1013" s="67" t="str">
        <f>IFERROR(VLOOKUP(J1013,線別!A:B,2,1),"")</f>
        <v/>
      </c>
      <c r="S1013" s="17" t="str">
        <f>IFERROR(VLOOKUP(A1013,已除帳印單!B:C,2,0),"")</f>
        <v/>
      </c>
      <c r="T1013" s="68" t="e">
        <f t="shared" ref="T1013:T1076" si="98">--TEXT(B1013,"0000-00-00")</f>
        <v>#VALUE!</v>
      </c>
      <c r="U1013" s="69">
        <f t="shared" ref="U1013:U1076" si="99">--TEXT(C1013,"00\:00\:00")</f>
        <v>0</v>
      </c>
      <c r="V1013" s="68" t="str">
        <f>IFERROR(VLOOKUP(A1013,已除帳印單!B:D,3,0),"")</f>
        <v/>
      </c>
      <c r="W1013" s="69" t="str">
        <f>IFERROR(VLOOKUP(A1013,已除帳印單!B:E,4,0),"")</f>
        <v/>
      </c>
      <c r="X1013" s="68" t="str">
        <f>IFERROR(INDEX(刷條碼區!A:C,MATCH(點上線資訊!S1013,刷條碼區!C:C,0),1),"")</f>
        <v/>
      </c>
      <c r="Y1013" s="69" t="str">
        <f>IFERROR(INDEX(刷條碼區!A:C,MATCH(點上線資訊!S1013,刷條碼區!C:C,0),2),"")</f>
        <v/>
      </c>
      <c r="Z1013" s="70" t="str">
        <f>IFERROR(INDEX(刷條碼區!D:G,MATCH(點上線資訊!S1013,刷條碼區!F:F,0),1),"")</f>
        <v/>
      </c>
      <c r="AA1013" s="71" t="str">
        <f>IFERROR(INDEX(刷條碼區!D:G,MATCH(點上線資訊!S1013,刷條碼區!F:F,0),2),"")</f>
        <v/>
      </c>
      <c r="AB1013" s="20">
        <f t="shared" ref="AB1013:AB1076" si="100">IF(K1013&amp;N1013="",G1013)</f>
        <v>0</v>
      </c>
      <c r="AC1013" s="20" t="b">
        <f t="shared" ref="AC1013:AC1076" si="101">IF(S1013&lt;&gt;"",G1013)</f>
        <v>0</v>
      </c>
      <c r="AD1013" s="17" t="b">
        <f t="shared" ref="AD1013:AD1076" si="102">IF(X1013&lt;&gt;"",G1013)</f>
        <v>0</v>
      </c>
      <c r="AE1013" s="17" t="b">
        <f t="shared" ref="AE1013:AE1076" si="103">IF(Z1013&lt;&gt;"",G1013)</f>
        <v>0</v>
      </c>
    </row>
    <row r="1014" spans="17:31" x14ac:dyDescent="0.2">
      <c r="Q1014" s="17">
        <f>IFERROR(VLOOKUP(A1014,已除帳印單!B:C,1,0),0)*1</f>
        <v>0</v>
      </c>
      <c r="R1014" s="67" t="str">
        <f>IFERROR(VLOOKUP(J1014,線別!A:B,2,1),"")</f>
        <v/>
      </c>
      <c r="S1014" s="17" t="str">
        <f>IFERROR(VLOOKUP(A1014,已除帳印單!B:C,2,0),"")</f>
        <v/>
      </c>
      <c r="T1014" s="68" t="e">
        <f t="shared" si="98"/>
        <v>#VALUE!</v>
      </c>
      <c r="U1014" s="69">
        <f t="shared" si="99"/>
        <v>0</v>
      </c>
      <c r="V1014" s="68" t="str">
        <f>IFERROR(VLOOKUP(A1014,已除帳印單!B:D,3,0),"")</f>
        <v/>
      </c>
      <c r="W1014" s="69" t="str">
        <f>IFERROR(VLOOKUP(A1014,已除帳印單!B:E,4,0),"")</f>
        <v/>
      </c>
      <c r="X1014" s="68" t="str">
        <f>IFERROR(INDEX(刷條碼區!A:C,MATCH(點上線資訊!S1014,刷條碼區!C:C,0),1),"")</f>
        <v/>
      </c>
      <c r="Y1014" s="69" t="str">
        <f>IFERROR(INDEX(刷條碼區!A:C,MATCH(點上線資訊!S1014,刷條碼區!C:C,0),2),"")</f>
        <v/>
      </c>
      <c r="Z1014" s="70" t="str">
        <f>IFERROR(INDEX(刷條碼區!D:G,MATCH(點上線資訊!S1014,刷條碼區!F:F,0),1),"")</f>
        <v/>
      </c>
      <c r="AA1014" s="71" t="str">
        <f>IFERROR(INDEX(刷條碼區!D:G,MATCH(點上線資訊!S1014,刷條碼區!F:F,0),2),"")</f>
        <v/>
      </c>
      <c r="AB1014" s="20">
        <f t="shared" si="100"/>
        <v>0</v>
      </c>
      <c r="AC1014" s="20" t="b">
        <f t="shared" si="101"/>
        <v>0</v>
      </c>
      <c r="AD1014" s="17" t="b">
        <f t="shared" si="102"/>
        <v>0</v>
      </c>
      <c r="AE1014" s="17" t="b">
        <f t="shared" si="103"/>
        <v>0</v>
      </c>
    </row>
    <row r="1015" spans="17:31" x14ac:dyDescent="0.2">
      <c r="Q1015" s="17">
        <f>IFERROR(VLOOKUP(A1015,已除帳印單!B:C,1,0),0)*1</f>
        <v>0</v>
      </c>
      <c r="R1015" s="67" t="str">
        <f>IFERROR(VLOOKUP(J1015,線別!A:B,2,1),"")</f>
        <v/>
      </c>
      <c r="S1015" s="17" t="str">
        <f>IFERROR(VLOOKUP(A1015,已除帳印單!B:C,2,0),"")</f>
        <v/>
      </c>
      <c r="T1015" s="68" t="e">
        <f t="shared" si="98"/>
        <v>#VALUE!</v>
      </c>
      <c r="U1015" s="69">
        <f t="shared" si="99"/>
        <v>0</v>
      </c>
      <c r="V1015" s="68" t="str">
        <f>IFERROR(VLOOKUP(A1015,已除帳印單!B:D,3,0),"")</f>
        <v/>
      </c>
      <c r="W1015" s="69" t="str">
        <f>IFERROR(VLOOKUP(A1015,已除帳印單!B:E,4,0),"")</f>
        <v/>
      </c>
      <c r="X1015" s="68" t="str">
        <f>IFERROR(INDEX(刷條碼區!A:C,MATCH(點上線資訊!S1015,刷條碼區!C:C,0),1),"")</f>
        <v/>
      </c>
      <c r="Y1015" s="69" t="str">
        <f>IFERROR(INDEX(刷條碼區!A:C,MATCH(點上線資訊!S1015,刷條碼區!C:C,0),2),"")</f>
        <v/>
      </c>
      <c r="Z1015" s="70" t="str">
        <f>IFERROR(INDEX(刷條碼區!D:G,MATCH(點上線資訊!S1015,刷條碼區!F:F,0),1),"")</f>
        <v/>
      </c>
      <c r="AA1015" s="71" t="str">
        <f>IFERROR(INDEX(刷條碼區!D:G,MATCH(點上線資訊!S1015,刷條碼區!F:F,0),2),"")</f>
        <v/>
      </c>
      <c r="AB1015" s="20">
        <f t="shared" si="100"/>
        <v>0</v>
      </c>
      <c r="AC1015" s="20" t="b">
        <f t="shared" si="101"/>
        <v>0</v>
      </c>
      <c r="AD1015" s="17" t="b">
        <f t="shared" si="102"/>
        <v>0</v>
      </c>
      <c r="AE1015" s="17" t="b">
        <f t="shared" si="103"/>
        <v>0</v>
      </c>
    </row>
    <row r="1016" spans="17:31" x14ac:dyDescent="0.2">
      <c r="Q1016" s="17">
        <f>IFERROR(VLOOKUP(A1016,已除帳印單!B:C,1,0),0)*1</f>
        <v>0</v>
      </c>
      <c r="R1016" s="67" t="str">
        <f>IFERROR(VLOOKUP(J1016,線別!A:B,2,1),"")</f>
        <v/>
      </c>
      <c r="S1016" s="17" t="str">
        <f>IFERROR(VLOOKUP(A1016,已除帳印單!B:C,2,0),"")</f>
        <v/>
      </c>
      <c r="T1016" s="68" t="e">
        <f t="shared" si="98"/>
        <v>#VALUE!</v>
      </c>
      <c r="U1016" s="69">
        <f t="shared" si="99"/>
        <v>0</v>
      </c>
      <c r="V1016" s="68" t="str">
        <f>IFERROR(VLOOKUP(A1016,已除帳印單!B:D,3,0),"")</f>
        <v/>
      </c>
      <c r="W1016" s="69" t="str">
        <f>IFERROR(VLOOKUP(A1016,已除帳印單!B:E,4,0),"")</f>
        <v/>
      </c>
      <c r="X1016" s="68" t="str">
        <f>IFERROR(INDEX(刷條碼區!A:C,MATCH(點上線資訊!S1016,刷條碼區!C:C,0),1),"")</f>
        <v/>
      </c>
      <c r="Y1016" s="69" t="str">
        <f>IFERROR(INDEX(刷條碼區!A:C,MATCH(點上線資訊!S1016,刷條碼區!C:C,0),2),"")</f>
        <v/>
      </c>
      <c r="Z1016" s="70" t="str">
        <f>IFERROR(INDEX(刷條碼區!D:G,MATCH(點上線資訊!S1016,刷條碼區!F:F,0),1),"")</f>
        <v/>
      </c>
      <c r="AA1016" s="71" t="str">
        <f>IFERROR(INDEX(刷條碼區!D:G,MATCH(點上線資訊!S1016,刷條碼區!F:F,0),2),"")</f>
        <v/>
      </c>
      <c r="AB1016" s="20">
        <f t="shared" si="100"/>
        <v>0</v>
      </c>
      <c r="AC1016" s="20" t="b">
        <f t="shared" si="101"/>
        <v>0</v>
      </c>
      <c r="AD1016" s="17" t="b">
        <f t="shared" si="102"/>
        <v>0</v>
      </c>
      <c r="AE1016" s="17" t="b">
        <f t="shared" si="103"/>
        <v>0</v>
      </c>
    </row>
    <row r="1017" spans="17:31" x14ac:dyDescent="0.2">
      <c r="Q1017" s="17">
        <f>IFERROR(VLOOKUP(A1017,已除帳印單!B:C,1,0),0)*1</f>
        <v>0</v>
      </c>
      <c r="R1017" s="67" t="str">
        <f>IFERROR(VLOOKUP(J1017,線別!A:B,2,1),"")</f>
        <v/>
      </c>
      <c r="S1017" s="17" t="str">
        <f>IFERROR(VLOOKUP(A1017,已除帳印單!B:C,2,0),"")</f>
        <v/>
      </c>
      <c r="T1017" s="68" t="e">
        <f t="shared" si="98"/>
        <v>#VALUE!</v>
      </c>
      <c r="U1017" s="69">
        <f t="shared" si="99"/>
        <v>0</v>
      </c>
      <c r="V1017" s="68" t="str">
        <f>IFERROR(VLOOKUP(A1017,已除帳印單!B:D,3,0),"")</f>
        <v/>
      </c>
      <c r="W1017" s="69" t="str">
        <f>IFERROR(VLOOKUP(A1017,已除帳印單!B:E,4,0),"")</f>
        <v/>
      </c>
      <c r="X1017" s="68" t="str">
        <f>IFERROR(INDEX(刷條碼區!A:C,MATCH(點上線資訊!S1017,刷條碼區!C:C,0),1),"")</f>
        <v/>
      </c>
      <c r="Y1017" s="69" t="str">
        <f>IFERROR(INDEX(刷條碼區!A:C,MATCH(點上線資訊!S1017,刷條碼區!C:C,0),2),"")</f>
        <v/>
      </c>
      <c r="Z1017" s="70" t="str">
        <f>IFERROR(INDEX(刷條碼區!D:G,MATCH(點上線資訊!S1017,刷條碼區!F:F,0),1),"")</f>
        <v/>
      </c>
      <c r="AA1017" s="71" t="str">
        <f>IFERROR(INDEX(刷條碼區!D:G,MATCH(點上線資訊!S1017,刷條碼區!F:F,0),2),"")</f>
        <v/>
      </c>
      <c r="AB1017" s="20">
        <f t="shared" si="100"/>
        <v>0</v>
      </c>
      <c r="AC1017" s="20" t="b">
        <f t="shared" si="101"/>
        <v>0</v>
      </c>
      <c r="AD1017" s="17" t="b">
        <f t="shared" si="102"/>
        <v>0</v>
      </c>
      <c r="AE1017" s="17" t="b">
        <f t="shared" si="103"/>
        <v>0</v>
      </c>
    </row>
    <row r="1018" spans="17:31" x14ac:dyDescent="0.2">
      <c r="Q1018" s="17">
        <f>IFERROR(VLOOKUP(A1018,已除帳印單!B:C,1,0),0)*1</f>
        <v>0</v>
      </c>
      <c r="R1018" s="67" t="str">
        <f>IFERROR(VLOOKUP(J1018,線別!A:B,2,1),"")</f>
        <v/>
      </c>
      <c r="S1018" s="17" t="str">
        <f>IFERROR(VLOOKUP(A1018,已除帳印單!B:C,2,0),"")</f>
        <v/>
      </c>
      <c r="T1018" s="68" t="e">
        <f t="shared" si="98"/>
        <v>#VALUE!</v>
      </c>
      <c r="U1018" s="69">
        <f t="shared" si="99"/>
        <v>0</v>
      </c>
      <c r="V1018" s="68" t="str">
        <f>IFERROR(VLOOKUP(A1018,已除帳印單!B:D,3,0),"")</f>
        <v/>
      </c>
      <c r="W1018" s="69" t="str">
        <f>IFERROR(VLOOKUP(A1018,已除帳印單!B:E,4,0),"")</f>
        <v/>
      </c>
      <c r="X1018" s="68" t="str">
        <f>IFERROR(INDEX(刷條碼區!A:C,MATCH(點上線資訊!S1018,刷條碼區!C:C,0),1),"")</f>
        <v/>
      </c>
      <c r="Y1018" s="69" t="str">
        <f>IFERROR(INDEX(刷條碼區!A:C,MATCH(點上線資訊!S1018,刷條碼區!C:C,0),2),"")</f>
        <v/>
      </c>
      <c r="Z1018" s="70" t="str">
        <f>IFERROR(INDEX(刷條碼區!D:G,MATCH(點上線資訊!S1018,刷條碼區!F:F,0),1),"")</f>
        <v/>
      </c>
      <c r="AA1018" s="71" t="str">
        <f>IFERROR(INDEX(刷條碼區!D:G,MATCH(點上線資訊!S1018,刷條碼區!F:F,0),2),"")</f>
        <v/>
      </c>
      <c r="AB1018" s="20">
        <f t="shared" si="100"/>
        <v>0</v>
      </c>
      <c r="AC1018" s="20" t="b">
        <f t="shared" si="101"/>
        <v>0</v>
      </c>
      <c r="AD1018" s="17" t="b">
        <f t="shared" si="102"/>
        <v>0</v>
      </c>
      <c r="AE1018" s="17" t="b">
        <f t="shared" si="103"/>
        <v>0</v>
      </c>
    </row>
    <row r="1019" spans="17:31" x14ac:dyDescent="0.2">
      <c r="Q1019" s="17">
        <f>IFERROR(VLOOKUP(A1019,已除帳印單!B:C,1,0),0)*1</f>
        <v>0</v>
      </c>
      <c r="R1019" s="67" t="str">
        <f>IFERROR(VLOOKUP(J1019,線別!A:B,2,1),"")</f>
        <v/>
      </c>
      <c r="S1019" s="17" t="str">
        <f>IFERROR(VLOOKUP(A1019,已除帳印單!B:C,2,0),"")</f>
        <v/>
      </c>
      <c r="T1019" s="68" t="e">
        <f t="shared" si="98"/>
        <v>#VALUE!</v>
      </c>
      <c r="U1019" s="69">
        <f t="shared" si="99"/>
        <v>0</v>
      </c>
      <c r="V1019" s="68" t="str">
        <f>IFERROR(VLOOKUP(A1019,已除帳印單!B:D,3,0),"")</f>
        <v/>
      </c>
      <c r="W1019" s="69" t="str">
        <f>IFERROR(VLOOKUP(A1019,已除帳印單!B:E,4,0),"")</f>
        <v/>
      </c>
      <c r="X1019" s="68" t="str">
        <f>IFERROR(INDEX(刷條碼區!A:C,MATCH(點上線資訊!S1019,刷條碼區!C:C,0),1),"")</f>
        <v/>
      </c>
      <c r="Y1019" s="69" t="str">
        <f>IFERROR(INDEX(刷條碼區!A:C,MATCH(點上線資訊!S1019,刷條碼區!C:C,0),2),"")</f>
        <v/>
      </c>
      <c r="Z1019" s="70" t="str">
        <f>IFERROR(INDEX(刷條碼區!D:G,MATCH(點上線資訊!S1019,刷條碼區!F:F,0),1),"")</f>
        <v/>
      </c>
      <c r="AA1019" s="71" t="str">
        <f>IFERROR(INDEX(刷條碼區!D:G,MATCH(點上線資訊!S1019,刷條碼區!F:F,0),2),"")</f>
        <v/>
      </c>
      <c r="AB1019" s="20">
        <f t="shared" si="100"/>
        <v>0</v>
      </c>
      <c r="AC1019" s="20" t="b">
        <f t="shared" si="101"/>
        <v>0</v>
      </c>
      <c r="AD1019" s="17" t="b">
        <f t="shared" si="102"/>
        <v>0</v>
      </c>
      <c r="AE1019" s="17" t="b">
        <f t="shared" si="103"/>
        <v>0</v>
      </c>
    </row>
    <row r="1020" spans="17:31" x14ac:dyDescent="0.2">
      <c r="Q1020" s="17">
        <f>IFERROR(VLOOKUP(A1020,已除帳印單!B:C,1,0),0)*1</f>
        <v>0</v>
      </c>
      <c r="R1020" s="67" t="str">
        <f>IFERROR(VLOOKUP(J1020,線別!A:B,2,1),"")</f>
        <v/>
      </c>
      <c r="S1020" s="17" t="str">
        <f>IFERROR(VLOOKUP(A1020,已除帳印單!B:C,2,0),"")</f>
        <v/>
      </c>
      <c r="T1020" s="68" t="e">
        <f t="shared" si="98"/>
        <v>#VALUE!</v>
      </c>
      <c r="U1020" s="69">
        <f t="shared" si="99"/>
        <v>0</v>
      </c>
      <c r="V1020" s="68" t="str">
        <f>IFERROR(VLOOKUP(A1020,已除帳印單!B:D,3,0),"")</f>
        <v/>
      </c>
      <c r="W1020" s="69" t="str">
        <f>IFERROR(VLOOKUP(A1020,已除帳印單!B:E,4,0),"")</f>
        <v/>
      </c>
      <c r="X1020" s="68" t="str">
        <f>IFERROR(INDEX(刷條碼區!A:C,MATCH(點上線資訊!S1020,刷條碼區!C:C,0),1),"")</f>
        <v/>
      </c>
      <c r="Y1020" s="69" t="str">
        <f>IFERROR(INDEX(刷條碼區!A:C,MATCH(點上線資訊!S1020,刷條碼區!C:C,0),2),"")</f>
        <v/>
      </c>
      <c r="Z1020" s="70" t="str">
        <f>IFERROR(INDEX(刷條碼區!D:G,MATCH(點上線資訊!S1020,刷條碼區!F:F,0),1),"")</f>
        <v/>
      </c>
      <c r="AA1020" s="71" t="str">
        <f>IFERROR(INDEX(刷條碼區!D:G,MATCH(點上線資訊!S1020,刷條碼區!F:F,0),2),"")</f>
        <v/>
      </c>
      <c r="AB1020" s="20">
        <f t="shared" si="100"/>
        <v>0</v>
      </c>
      <c r="AC1020" s="20" t="b">
        <f t="shared" si="101"/>
        <v>0</v>
      </c>
      <c r="AD1020" s="17" t="b">
        <f t="shared" si="102"/>
        <v>0</v>
      </c>
      <c r="AE1020" s="17" t="b">
        <f t="shared" si="103"/>
        <v>0</v>
      </c>
    </row>
    <row r="1021" spans="17:31" x14ac:dyDescent="0.2">
      <c r="Q1021" s="17">
        <f>IFERROR(VLOOKUP(A1021,已除帳印單!B:C,1,0),0)*1</f>
        <v>0</v>
      </c>
      <c r="R1021" s="67" t="str">
        <f>IFERROR(VLOOKUP(J1021,線別!A:B,2,1),"")</f>
        <v/>
      </c>
      <c r="S1021" s="17" t="str">
        <f>IFERROR(VLOOKUP(A1021,已除帳印單!B:C,2,0),"")</f>
        <v/>
      </c>
      <c r="T1021" s="68" t="e">
        <f t="shared" si="98"/>
        <v>#VALUE!</v>
      </c>
      <c r="U1021" s="69">
        <f t="shared" si="99"/>
        <v>0</v>
      </c>
      <c r="V1021" s="68" t="str">
        <f>IFERROR(VLOOKUP(A1021,已除帳印單!B:D,3,0),"")</f>
        <v/>
      </c>
      <c r="W1021" s="69" t="str">
        <f>IFERROR(VLOOKUP(A1021,已除帳印單!B:E,4,0),"")</f>
        <v/>
      </c>
      <c r="X1021" s="68" t="str">
        <f>IFERROR(INDEX(刷條碼區!A:C,MATCH(點上線資訊!S1021,刷條碼區!C:C,0),1),"")</f>
        <v/>
      </c>
      <c r="Y1021" s="69" t="str">
        <f>IFERROR(INDEX(刷條碼區!A:C,MATCH(點上線資訊!S1021,刷條碼區!C:C,0),2),"")</f>
        <v/>
      </c>
      <c r="Z1021" s="70" t="str">
        <f>IFERROR(INDEX(刷條碼區!D:G,MATCH(點上線資訊!S1021,刷條碼區!F:F,0),1),"")</f>
        <v/>
      </c>
      <c r="AA1021" s="71" t="str">
        <f>IFERROR(INDEX(刷條碼區!D:G,MATCH(點上線資訊!S1021,刷條碼區!F:F,0),2),"")</f>
        <v/>
      </c>
      <c r="AB1021" s="20">
        <f t="shared" si="100"/>
        <v>0</v>
      </c>
      <c r="AC1021" s="20" t="b">
        <f t="shared" si="101"/>
        <v>0</v>
      </c>
      <c r="AD1021" s="17" t="b">
        <f t="shared" si="102"/>
        <v>0</v>
      </c>
      <c r="AE1021" s="17" t="b">
        <f t="shared" si="103"/>
        <v>0</v>
      </c>
    </row>
    <row r="1022" spans="17:31" x14ac:dyDescent="0.2">
      <c r="Q1022" s="17">
        <f>IFERROR(VLOOKUP(A1022,已除帳印單!B:C,1,0),0)*1</f>
        <v>0</v>
      </c>
      <c r="R1022" s="67" t="str">
        <f>IFERROR(VLOOKUP(J1022,線別!A:B,2,1),"")</f>
        <v/>
      </c>
      <c r="S1022" s="17" t="str">
        <f>IFERROR(VLOOKUP(A1022,已除帳印單!B:C,2,0),"")</f>
        <v/>
      </c>
      <c r="T1022" s="68" t="e">
        <f t="shared" si="98"/>
        <v>#VALUE!</v>
      </c>
      <c r="U1022" s="69">
        <f t="shared" si="99"/>
        <v>0</v>
      </c>
      <c r="V1022" s="68" t="str">
        <f>IFERROR(VLOOKUP(A1022,已除帳印單!B:D,3,0),"")</f>
        <v/>
      </c>
      <c r="W1022" s="69" t="str">
        <f>IFERROR(VLOOKUP(A1022,已除帳印單!B:E,4,0),"")</f>
        <v/>
      </c>
      <c r="X1022" s="68" t="str">
        <f>IFERROR(INDEX(刷條碼區!A:C,MATCH(點上線資訊!S1022,刷條碼區!C:C,0),1),"")</f>
        <v/>
      </c>
      <c r="Y1022" s="69" t="str">
        <f>IFERROR(INDEX(刷條碼區!A:C,MATCH(點上線資訊!S1022,刷條碼區!C:C,0),2),"")</f>
        <v/>
      </c>
      <c r="Z1022" s="70" t="str">
        <f>IFERROR(INDEX(刷條碼區!D:G,MATCH(點上線資訊!S1022,刷條碼區!F:F,0),1),"")</f>
        <v/>
      </c>
      <c r="AA1022" s="71" t="str">
        <f>IFERROR(INDEX(刷條碼區!D:G,MATCH(點上線資訊!S1022,刷條碼區!F:F,0),2),"")</f>
        <v/>
      </c>
      <c r="AB1022" s="20">
        <f t="shared" si="100"/>
        <v>0</v>
      </c>
      <c r="AC1022" s="20" t="b">
        <f t="shared" si="101"/>
        <v>0</v>
      </c>
      <c r="AD1022" s="17" t="b">
        <f t="shared" si="102"/>
        <v>0</v>
      </c>
      <c r="AE1022" s="17" t="b">
        <f t="shared" si="103"/>
        <v>0</v>
      </c>
    </row>
    <row r="1023" spans="17:31" x14ac:dyDescent="0.2">
      <c r="Q1023" s="17">
        <f>IFERROR(VLOOKUP(A1023,已除帳印單!B:C,1,0),0)*1</f>
        <v>0</v>
      </c>
      <c r="R1023" s="67" t="str">
        <f>IFERROR(VLOOKUP(J1023,線別!A:B,2,1),"")</f>
        <v/>
      </c>
      <c r="S1023" s="17" t="str">
        <f>IFERROR(VLOOKUP(A1023,已除帳印單!B:C,2,0),"")</f>
        <v/>
      </c>
      <c r="T1023" s="68" t="e">
        <f t="shared" si="98"/>
        <v>#VALUE!</v>
      </c>
      <c r="U1023" s="69">
        <f t="shared" si="99"/>
        <v>0</v>
      </c>
      <c r="V1023" s="68" t="str">
        <f>IFERROR(VLOOKUP(A1023,已除帳印單!B:D,3,0),"")</f>
        <v/>
      </c>
      <c r="W1023" s="69" t="str">
        <f>IFERROR(VLOOKUP(A1023,已除帳印單!B:E,4,0),"")</f>
        <v/>
      </c>
      <c r="X1023" s="68" t="str">
        <f>IFERROR(INDEX(刷條碼區!A:C,MATCH(點上線資訊!S1023,刷條碼區!C:C,0),1),"")</f>
        <v/>
      </c>
      <c r="Y1023" s="69" t="str">
        <f>IFERROR(INDEX(刷條碼區!A:C,MATCH(點上線資訊!S1023,刷條碼區!C:C,0),2),"")</f>
        <v/>
      </c>
      <c r="Z1023" s="70" t="str">
        <f>IFERROR(INDEX(刷條碼區!D:G,MATCH(點上線資訊!S1023,刷條碼區!F:F,0),1),"")</f>
        <v/>
      </c>
      <c r="AA1023" s="71" t="str">
        <f>IFERROR(INDEX(刷條碼區!D:G,MATCH(點上線資訊!S1023,刷條碼區!F:F,0),2),"")</f>
        <v/>
      </c>
      <c r="AB1023" s="20">
        <f t="shared" si="100"/>
        <v>0</v>
      </c>
      <c r="AC1023" s="20" t="b">
        <f t="shared" si="101"/>
        <v>0</v>
      </c>
      <c r="AD1023" s="17" t="b">
        <f t="shared" si="102"/>
        <v>0</v>
      </c>
      <c r="AE1023" s="17" t="b">
        <f t="shared" si="103"/>
        <v>0</v>
      </c>
    </row>
    <row r="1024" spans="17:31" x14ac:dyDescent="0.2">
      <c r="Q1024" s="17">
        <f>IFERROR(VLOOKUP(A1024,已除帳印單!B:C,1,0),0)*1</f>
        <v>0</v>
      </c>
      <c r="R1024" s="67" t="str">
        <f>IFERROR(VLOOKUP(J1024,線別!A:B,2,1),"")</f>
        <v/>
      </c>
      <c r="S1024" s="17" t="str">
        <f>IFERROR(VLOOKUP(A1024,已除帳印單!B:C,2,0),"")</f>
        <v/>
      </c>
      <c r="T1024" s="68" t="e">
        <f t="shared" si="98"/>
        <v>#VALUE!</v>
      </c>
      <c r="U1024" s="69">
        <f t="shared" si="99"/>
        <v>0</v>
      </c>
      <c r="V1024" s="68" t="str">
        <f>IFERROR(VLOOKUP(A1024,已除帳印單!B:D,3,0),"")</f>
        <v/>
      </c>
      <c r="W1024" s="69" t="str">
        <f>IFERROR(VLOOKUP(A1024,已除帳印單!B:E,4,0),"")</f>
        <v/>
      </c>
      <c r="X1024" s="68" t="str">
        <f>IFERROR(INDEX(刷條碼區!A:C,MATCH(點上線資訊!S1024,刷條碼區!C:C,0),1),"")</f>
        <v/>
      </c>
      <c r="Y1024" s="69" t="str">
        <f>IFERROR(INDEX(刷條碼區!A:C,MATCH(點上線資訊!S1024,刷條碼區!C:C,0),2),"")</f>
        <v/>
      </c>
      <c r="Z1024" s="70" t="str">
        <f>IFERROR(INDEX(刷條碼區!D:G,MATCH(點上線資訊!S1024,刷條碼區!F:F,0),1),"")</f>
        <v/>
      </c>
      <c r="AA1024" s="71" t="str">
        <f>IFERROR(INDEX(刷條碼區!D:G,MATCH(點上線資訊!S1024,刷條碼區!F:F,0),2),"")</f>
        <v/>
      </c>
      <c r="AB1024" s="20">
        <f t="shared" si="100"/>
        <v>0</v>
      </c>
      <c r="AC1024" s="20" t="b">
        <f t="shared" si="101"/>
        <v>0</v>
      </c>
      <c r="AD1024" s="17" t="b">
        <f t="shared" si="102"/>
        <v>0</v>
      </c>
      <c r="AE1024" s="17" t="b">
        <f t="shared" si="103"/>
        <v>0</v>
      </c>
    </row>
    <row r="1025" spans="17:31" x14ac:dyDescent="0.2">
      <c r="Q1025" s="17">
        <f>IFERROR(VLOOKUP(A1025,已除帳印單!B:C,1,0),0)*1</f>
        <v>0</v>
      </c>
      <c r="R1025" s="67" t="str">
        <f>IFERROR(VLOOKUP(J1025,線別!A:B,2,1),"")</f>
        <v/>
      </c>
      <c r="S1025" s="17" t="str">
        <f>IFERROR(VLOOKUP(A1025,已除帳印單!B:C,2,0),"")</f>
        <v/>
      </c>
      <c r="T1025" s="68" t="e">
        <f t="shared" si="98"/>
        <v>#VALUE!</v>
      </c>
      <c r="U1025" s="69">
        <f t="shared" si="99"/>
        <v>0</v>
      </c>
      <c r="V1025" s="68" t="str">
        <f>IFERROR(VLOOKUP(A1025,已除帳印單!B:D,3,0),"")</f>
        <v/>
      </c>
      <c r="W1025" s="69" t="str">
        <f>IFERROR(VLOOKUP(A1025,已除帳印單!B:E,4,0),"")</f>
        <v/>
      </c>
      <c r="X1025" s="68" t="str">
        <f>IFERROR(INDEX(刷條碼區!A:C,MATCH(點上線資訊!S1025,刷條碼區!C:C,0),1),"")</f>
        <v/>
      </c>
      <c r="Y1025" s="69" t="str">
        <f>IFERROR(INDEX(刷條碼區!A:C,MATCH(點上線資訊!S1025,刷條碼區!C:C,0),2),"")</f>
        <v/>
      </c>
      <c r="Z1025" s="70" t="str">
        <f>IFERROR(INDEX(刷條碼區!D:G,MATCH(點上線資訊!S1025,刷條碼區!F:F,0),1),"")</f>
        <v/>
      </c>
      <c r="AA1025" s="71" t="str">
        <f>IFERROR(INDEX(刷條碼區!D:G,MATCH(點上線資訊!S1025,刷條碼區!F:F,0),2),"")</f>
        <v/>
      </c>
      <c r="AB1025" s="20">
        <f t="shared" si="100"/>
        <v>0</v>
      </c>
      <c r="AC1025" s="20" t="b">
        <f t="shared" si="101"/>
        <v>0</v>
      </c>
      <c r="AD1025" s="17" t="b">
        <f t="shared" si="102"/>
        <v>0</v>
      </c>
      <c r="AE1025" s="17" t="b">
        <f t="shared" si="103"/>
        <v>0</v>
      </c>
    </row>
    <row r="1026" spans="17:31" x14ac:dyDescent="0.2">
      <c r="Q1026" s="17">
        <f>IFERROR(VLOOKUP(A1026,已除帳印單!B:C,1,0),0)*1</f>
        <v>0</v>
      </c>
      <c r="R1026" s="67" t="str">
        <f>IFERROR(VLOOKUP(J1026,線別!A:B,2,1),"")</f>
        <v/>
      </c>
      <c r="S1026" s="17" t="str">
        <f>IFERROR(VLOOKUP(A1026,已除帳印單!B:C,2,0),"")</f>
        <v/>
      </c>
      <c r="T1026" s="68" t="e">
        <f t="shared" si="98"/>
        <v>#VALUE!</v>
      </c>
      <c r="U1026" s="69">
        <f t="shared" si="99"/>
        <v>0</v>
      </c>
      <c r="V1026" s="68" t="str">
        <f>IFERROR(VLOOKUP(A1026,已除帳印單!B:D,3,0),"")</f>
        <v/>
      </c>
      <c r="W1026" s="69" t="str">
        <f>IFERROR(VLOOKUP(A1026,已除帳印單!B:E,4,0),"")</f>
        <v/>
      </c>
      <c r="X1026" s="68" t="str">
        <f>IFERROR(INDEX(刷條碼區!A:C,MATCH(點上線資訊!S1026,刷條碼區!C:C,0),1),"")</f>
        <v/>
      </c>
      <c r="Y1026" s="69" t="str">
        <f>IFERROR(INDEX(刷條碼區!A:C,MATCH(點上線資訊!S1026,刷條碼區!C:C,0),2),"")</f>
        <v/>
      </c>
      <c r="Z1026" s="70" t="str">
        <f>IFERROR(INDEX(刷條碼區!D:G,MATCH(點上線資訊!S1026,刷條碼區!F:F,0),1),"")</f>
        <v/>
      </c>
      <c r="AA1026" s="71" t="str">
        <f>IFERROR(INDEX(刷條碼區!D:G,MATCH(點上線資訊!S1026,刷條碼區!F:F,0),2),"")</f>
        <v/>
      </c>
      <c r="AB1026" s="20">
        <f t="shared" si="100"/>
        <v>0</v>
      </c>
      <c r="AC1026" s="20" t="b">
        <f t="shared" si="101"/>
        <v>0</v>
      </c>
      <c r="AD1026" s="17" t="b">
        <f t="shared" si="102"/>
        <v>0</v>
      </c>
      <c r="AE1026" s="17" t="b">
        <f t="shared" si="103"/>
        <v>0</v>
      </c>
    </row>
    <row r="1027" spans="17:31" x14ac:dyDescent="0.2">
      <c r="Q1027" s="17">
        <f>IFERROR(VLOOKUP(A1027,已除帳印單!B:C,1,0),0)*1</f>
        <v>0</v>
      </c>
      <c r="R1027" s="67" t="str">
        <f>IFERROR(VLOOKUP(J1027,線別!A:B,2,1),"")</f>
        <v/>
      </c>
      <c r="S1027" s="17" t="str">
        <f>IFERROR(VLOOKUP(A1027,已除帳印單!B:C,2,0),"")</f>
        <v/>
      </c>
      <c r="T1027" s="68" t="e">
        <f t="shared" si="98"/>
        <v>#VALUE!</v>
      </c>
      <c r="U1027" s="69">
        <f t="shared" si="99"/>
        <v>0</v>
      </c>
      <c r="V1027" s="68" t="str">
        <f>IFERROR(VLOOKUP(A1027,已除帳印單!B:D,3,0),"")</f>
        <v/>
      </c>
      <c r="W1027" s="69" t="str">
        <f>IFERROR(VLOOKUP(A1027,已除帳印單!B:E,4,0),"")</f>
        <v/>
      </c>
      <c r="X1027" s="68" t="str">
        <f>IFERROR(INDEX(刷條碼區!A:C,MATCH(點上線資訊!S1027,刷條碼區!C:C,0),1),"")</f>
        <v/>
      </c>
      <c r="Y1027" s="69" t="str">
        <f>IFERROR(INDEX(刷條碼區!A:C,MATCH(點上線資訊!S1027,刷條碼區!C:C,0),2),"")</f>
        <v/>
      </c>
      <c r="Z1027" s="70" t="str">
        <f>IFERROR(INDEX(刷條碼區!D:G,MATCH(點上線資訊!S1027,刷條碼區!F:F,0),1),"")</f>
        <v/>
      </c>
      <c r="AA1027" s="71" t="str">
        <f>IFERROR(INDEX(刷條碼區!D:G,MATCH(點上線資訊!S1027,刷條碼區!F:F,0),2),"")</f>
        <v/>
      </c>
      <c r="AB1027" s="20">
        <f t="shared" si="100"/>
        <v>0</v>
      </c>
      <c r="AC1027" s="20" t="b">
        <f t="shared" si="101"/>
        <v>0</v>
      </c>
      <c r="AD1027" s="17" t="b">
        <f t="shared" si="102"/>
        <v>0</v>
      </c>
      <c r="AE1027" s="17" t="b">
        <f t="shared" si="103"/>
        <v>0</v>
      </c>
    </row>
    <row r="1028" spans="17:31" x14ac:dyDescent="0.2">
      <c r="Q1028" s="17">
        <f>IFERROR(VLOOKUP(A1028,已除帳印單!B:C,1,0),0)*1</f>
        <v>0</v>
      </c>
      <c r="R1028" s="67" t="str">
        <f>IFERROR(VLOOKUP(J1028,線別!A:B,2,1),"")</f>
        <v/>
      </c>
      <c r="S1028" s="17" t="str">
        <f>IFERROR(VLOOKUP(A1028,已除帳印單!B:C,2,0),"")</f>
        <v/>
      </c>
      <c r="T1028" s="68" t="e">
        <f t="shared" si="98"/>
        <v>#VALUE!</v>
      </c>
      <c r="U1028" s="69">
        <f t="shared" si="99"/>
        <v>0</v>
      </c>
      <c r="V1028" s="68" t="str">
        <f>IFERROR(VLOOKUP(A1028,已除帳印單!B:D,3,0),"")</f>
        <v/>
      </c>
      <c r="W1028" s="69" t="str">
        <f>IFERROR(VLOOKUP(A1028,已除帳印單!B:E,4,0),"")</f>
        <v/>
      </c>
      <c r="X1028" s="68" t="str">
        <f>IFERROR(INDEX(刷條碼區!A:C,MATCH(點上線資訊!S1028,刷條碼區!C:C,0),1),"")</f>
        <v/>
      </c>
      <c r="Y1028" s="69" t="str">
        <f>IFERROR(INDEX(刷條碼區!A:C,MATCH(點上線資訊!S1028,刷條碼區!C:C,0),2),"")</f>
        <v/>
      </c>
      <c r="Z1028" s="70" t="str">
        <f>IFERROR(INDEX(刷條碼區!D:G,MATCH(點上線資訊!S1028,刷條碼區!F:F,0),1),"")</f>
        <v/>
      </c>
      <c r="AA1028" s="71" t="str">
        <f>IFERROR(INDEX(刷條碼區!D:G,MATCH(點上線資訊!S1028,刷條碼區!F:F,0),2),"")</f>
        <v/>
      </c>
      <c r="AB1028" s="20">
        <f t="shared" si="100"/>
        <v>0</v>
      </c>
      <c r="AC1028" s="20" t="b">
        <f t="shared" si="101"/>
        <v>0</v>
      </c>
      <c r="AD1028" s="17" t="b">
        <f t="shared" si="102"/>
        <v>0</v>
      </c>
      <c r="AE1028" s="17" t="b">
        <f t="shared" si="103"/>
        <v>0</v>
      </c>
    </row>
    <row r="1029" spans="17:31" x14ac:dyDescent="0.2">
      <c r="Q1029" s="17">
        <f>IFERROR(VLOOKUP(A1029,已除帳印單!B:C,1,0),0)*1</f>
        <v>0</v>
      </c>
      <c r="R1029" s="67" t="str">
        <f>IFERROR(VLOOKUP(J1029,線別!A:B,2,1),"")</f>
        <v/>
      </c>
      <c r="S1029" s="17" t="str">
        <f>IFERROR(VLOOKUP(A1029,已除帳印單!B:C,2,0),"")</f>
        <v/>
      </c>
      <c r="T1029" s="68" t="e">
        <f t="shared" si="98"/>
        <v>#VALUE!</v>
      </c>
      <c r="U1029" s="69">
        <f t="shared" si="99"/>
        <v>0</v>
      </c>
      <c r="V1029" s="68" t="str">
        <f>IFERROR(VLOOKUP(A1029,已除帳印單!B:D,3,0),"")</f>
        <v/>
      </c>
      <c r="W1029" s="69" t="str">
        <f>IFERROR(VLOOKUP(A1029,已除帳印單!B:E,4,0),"")</f>
        <v/>
      </c>
      <c r="X1029" s="68" t="str">
        <f>IFERROR(INDEX(刷條碼區!A:C,MATCH(點上線資訊!S1029,刷條碼區!C:C,0),1),"")</f>
        <v/>
      </c>
      <c r="Y1029" s="69" t="str">
        <f>IFERROR(INDEX(刷條碼區!A:C,MATCH(點上線資訊!S1029,刷條碼區!C:C,0),2),"")</f>
        <v/>
      </c>
      <c r="Z1029" s="70" t="str">
        <f>IFERROR(INDEX(刷條碼區!D:G,MATCH(點上線資訊!S1029,刷條碼區!F:F,0),1),"")</f>
        <v/>
      </c>
      <c r="AA1029" s="71" t="str">
        <f>IFERROR(INDEX(刷條碼區!D:G,MATCH(點上線資訊!S1029,刷條碼區!F:F,0),2),"")</f>
        <v/>
      </c>
      <c r="AB1029" s="20">
        <f t="shared" si="100"/>
        <v>0</v>
      </c>
      <c r="AC1029" s="20" t="b">
        <f t="shared" si="101"/>
        <v>0</v>
      </c>
      <c r="AD1029" s="17" t="b">
        <f t="shared" si="102"/>
        <v>0</v>
      </c>
      <c r="AE1029" s="17" t="b">
        <f t="shared" si="103"/>
        <v>0</v>
      </c>
    </row>
    <row r="1030" spans="17:31" x14ac:dyDescent="0.2">
      <c r="Q1030" s="17">
        <f>IFERROR(VLOOKUP(A1030,已除帳印單!B:C,1,0),0)*1</f>
        <v>0</v>
      </c>
      <c r="R1030" s="67" t="str">
        <f>IFERROR(VLOOKUP(J1030,線別!A:B,2,1),"")</f>
        <v/>
      </c>
      <c r="S1030" s="17" t="str">
        <f>IFERROR(VLOOKUP(A1030,已除帳印單!B:C,2,0),"")</f>
        <v/>
      </c>
      <c r="T1030" s="68" t="e">
        <f t="shared" si="98"/>
        <v>#VALUE!</v>
      </c>
      <c r="U1030" s="69">
        <f t="shared" si="99"/>
        <v>0</v>
      </c>
      <c r="V1030" s="68" t="str">
        <f>IFERROR(VLOOKUP(A1030,已除帳印單!B:D,3,0),"")</f>
        <v/>
      </c>
      <c r="W1030" s="69" t="str">
        <f>IFERROR(VLOOKUP(A1030,已除帳印單!B:E,4,0),"")</f>
        <v/>
      </c>
      <c r="X1030" s="68" t="str">
        <f>IFERROR(INDEX(刷條碼區!A:C,MATCH(點上線資訊!S1030,刷條碼區!C:C,0),1),"")</f>
        <v/>
      </c>
      <c r="Y1030" s="69" t="str">
        <f>IFERROR(INDEX(刷條碼區!A:C,MATCH(點上線資訊!S1030,刷條碼區!C:C,0),2),"")</f>
        <v/>
      </c>
      <c r="Z1030" s="70" t="str">
        <f>IFERROR(INDEX(刷條碼區!D:G,MATCH(點上線資訊!S1030,刷條碼區!F:F,0),1),"")</f>
        <v/>
      </c>
      <c r="AA1030" s="71" t="str">
        <f>IFERROR(INDEX(刷條碼區!D:G,MATCH(點上線資訊!S1030,刷條碼區!F:F,0),2),"")</f>
        <v/>
      </c>
      <c r="AB1030" s="20">
        <f t="shared" si="100"/>
        <v>0</v>
      </c>
      <c r="AC1030" s="20" t="b">
        <f t="shared" si="101"/>
        <v>0</v>
      </c>
      <c r="AD1030" s="17" t="b">
        <f t="shared" si="102"/>
        <v>0</v>
      </c>
      <c r="AE1030" s="17" t="b">
        <f t="shared" si="103"/>
        <v>0</v>
      </c>
    </row>
    <row r="1031" spans="17:31" x14ac:dyDescent="0.2">
      <c r="Q1031" s="17">
        <f>IFERROR(VLOOKUP(A1031,已除帳印單!B:C,1,0),0)*1</f>
        <v>0</v>
      </c>
      <c r="R1031" s="67" t="str">
        <f>IFERROR(VLOOKUP(J1031,線別!A:B,2,1),"")</f>
        <v/>
      </c>
      <c r="S1031" s="17" t="str">
        <f>IFERROR(VLOOKUP(A1031,已除帳印單!B:C,2,0),"")</f>
        <v/>
      </c>
      <c r="T1031" s="68" t="e">
        <f t="shared" si="98"/>
        <v>#VALUE!</v>
      </c>
      <c r="U1031" s="69">
        <f t="shared" si="99"/>
        <v>0</v>
      </c>
      <c r="V1031" s="68" t="str">
        <f>IFERROR(VLOOKUP(A1031,已除帳印單!B:D,3,0),"")</f>
        <v/>
      </c>
      <c r="W1031" s="69" t="str">
        <f>IFERROR(VLOOKUP(A1031,已除帳印單!B:E,4,0),"")</f>
        <v/>
      </c>
      <c r="X1031" s="68" t="str">
        <f>IFERROR(INDEX(刷條碼區!A:C,MATCH(點上線資訊!S1031,刷條碼區!C:C,0),1),"")</f>
        <v/>
      </c>
      <c r="Y1031" s="69" t="str">
        <f>IFERROR(INDEX(刷條碼區!A:C,MATCH(點上線資訊!S1031,刷條碼區!C:C,0),2),"")</f>
        <v/>
      </c>
      <c r="Z1031" s="70" t="str">
        <f>IFERROR(INDEX(刷條碼區!D:G,MATCH(點上線資訊!S1031,刷條碼區!F:F,0),1),"")</f>
        <v/>
      </c>
      <c r="AA1031" s="71" t="str">
        <f>IFERROR(INDEX(刷條碼區!D:G,MATCH(點上線資訊!S1031,刷條碼區!F:F,0),2),"")</f>
        <v/>
      </c>
      <c r="AB1031" s="20">
        <f t="shared" si="100"/>
        <v>0</v>
      </c>
      <c r="AC1031" s="20" t="b">
        <f t="shared" si="101"/>
        <v>0</v>
      </c>
      <c r="AD1031" s="17" t="b">
        <f t="shared" si="102"/>
        <v>0</v>
      </c>
      <c r="AE1031" s="17" t="b">
        <f t="shared" si="103"/>
        <v>0</v>
      </c>
    </row>
    <row r="1032" spans="17:31" x14ac:dyDescent="0.2">
      <c r="Q1032" s="17">
        <f>IFERROR(VLOOKUP(A1032,已除帳印單!B:C,1,0),0)*1</f>
        <v>0</v>
      </c>
      <c r="R1032" s="67" t="str">
        <f>IFERROR(VLOOKUP(J1032,線別!A:B,2,1),"")</f>
        <v/>
      </c>
      <c r="S1032" s="17" t="str">
        <f>IFERROR(VLOOKUP(A1032,已除帳印單!B:C,2,0),"")</f>
        <v/>
      </c>
      <c r="T1032" s="68" t="e">
        <f t="shared" si="98"/>
        <v>#VALUE!</v>
      </c>
      <c r="U1032" s="69">
        <f t="shared" si="99"/>
        <v>0</v>
      </c>
      <c r="V1032" s="68" t="str">
        <f>IFERROR(VLOOKUP(A1032,已除帳印單!B:D,3,0),"")</f>
        <v/>
      </c>
      <c r="W1032" s="69" t="str">
        <f>IFERROR(VLOOKUP(A1032,已除帳印單!B:E,4,0),"")</f>
        <v/>
      </c>
      <c r="X1032" s="68" t="str">
        <f>IFERROR(INDEX(刷條碼區!A:C,MATCH(點上線資訊!S1032,刷條碼區!C:C,0),1),"")</f>
        <v/>
      </c>
      <c r="Y1032" s="69" t="str">
        <f>IFERROR(INDEX(刷條碼區!A:C,MATCH(點上線資訊!S1032,刷條碼區!C:C,0),2),"")</f>
        <v/>
      </c>
      <c r="Z1032" s="70" t="str">
        <f>IFERROR(INDEX(刷條碼區!D:G,MATCH(點上線資訊!S1032,刷條碼區!F:F,0),1),"")</f>
        <v/>
      </c>
      <c r="AA1032" s="71" t="str">
        <f>IFERROR(INDEX(刷條碼區!D:G,MATCH(點上線資訊!S1032,刷條碼區!F:F,0),2),"")</f>
        <v/>
      </c>
      <c r="AB1032" s="20">
        <f t="shared" si="100"/>
        <v>0</v>
      </c>
      <c r="AC1032" s="20" t="b">
        <f t="shared" si="101"/>
        <v>0</v>
      </c>
      <c r="AD1032" s="17" t="b">
        <f t="shared" si="102"/>
        <v>0</v>
      </c>
      <c r="AE1032" s="17" t="b">
        <f t="shared" si="103"/>
        <v>0</v>
      </c>
    </row>
    <row r="1033" spans="17:31" x14ac:dyDescent="0.2">
      <c r="Q1033" s="17">
        <f>IFERROR(VLOOKUP(A1033,已除帳印單!B:C,1,0),0)*1</f>
        <v>0</v>
      </c>
      <c r="R1033" s="67" t="str">
        <f>IFERROR(VLOOKUP(J1033,線別!A:B,2,1),"")</f>
        <v/>
      </c>
      <c r="S1033" s="17" t="str">
        <f>IFERROR(VLOOKUP(A1033,已除帳印單!B:C,2,0),"")</f>
        <v/>
      </c>
      <c r="T1033" s="68" t="e">
        <f t="shared" si="98"/>
        <v>#VALUE!</v>
      </c>
      <c r="U1033" s="69">
        <f t="shared" si="99"/>
        <v>0</v>
      </c>
      <c r="V1033" s="68" t="str">
        <f>IFERROR(VLOOKUP(A1033,已除帳印單!B:D,3,0),"")</f>
        <v/>
      </c>
      <c r="W1033" s="69" t="str">
        <f>IFERROR(VLOOKUP(A1033,已除帳印單!B:E,4,0),"")</f>
        <v/>
      </c>
      <c r="X1033" s="68" t="str">
        <f>IFERROR(INDEX(刷條碼區!A:C,MATCH(點上線資訊!S1033,刷條碼區!C:C,0),1),"")</f>
        <v/>
      </c>
      <c r="Y1033" s="69" t="str">
        <f>IFERROR(INDEX(刷條碼區!A:C,MATCH(點上線資訊!S1033,刷條碼區!C:C,0),2),"")</f>
        <v/>
      </c>
      <c r="Z1033" s="70" t="str">
        <f>IFERROR(INDEX(刷條碼區!D:G,MATCH(點上線資訊!S1033,刷條碼區!F:F,0),1),"")</f>
        <v/>
      </c>
      <c r="AA1033" s="71" t="str">
        <f>IFERROR(INDEX(刷條碼區!D:G,MATCH(點上線資訊!S1033,刷條碼區!F:F,0),2),"")</f>
        <v/>
      </c>
      <c r="AB1033" s="20">
        <f t="shared" si="100"/>
        <v>0</v>
      </c>
      <c r="AC1033" s="20" t="b">
        <f t="shared" si="101"/>
        <v>0</v>
      </c>
      <c r="AD1033" s="17" t="b">
        <f t="shared" si="102"/>
        <v>0</v>
      </c>
      <c r="AE1033" s="17" t="b">
        <f t="shared" si="103"/>
        <v>0</v>
      </c>
    </row>
    <row r="1034" spans="17:31" x14ac:dyDescent="0.2">
      <c r="Q1034" s="17">
        <f>IFERROR(VLOOKUP(A1034,已除帳印單!B:C,1,0),0)*1</f>
        <v>0</v>
      </c>
      <c r="R1034" s="67" t="str">
        <f>IFERROR(VLOOKUP(J1034,線別!A:B,2,1),"")</f>
        <v/>
      </c>
      <c r="S1034" s="17" t="str">
        <f>IFERROR(VLOOKUP(A1034,已除帳印單!B:C,2,0),"")</f>
        <v/>
      </c>
      <c r="T1034" s="68" t="e">
        <f t="shared" si="98"/>
        <v>#VALUE!</v>
      </c>
      <c r="U1034" s="69">
        <f t="shared" si="99"/>
        <v>0</v>
      </c>
      <c r="V1034" s="68" t="str">
        <f>IFERROR(VLOOKUP(A1034,已除帳印單!B:D,3,0),"")</f>
        <v/>
      </c>
      <c r="W1034" s="69" t="str">
        <f>IFERROR(VLOOKUP(A1034,已除帳印單!B:E,4,0),"")</f>
        <v/>
      </c>
      <c r="X1034" s="68" t="str">
        <f>IFERROR(INDEX(刷條碼區!A:C,MATCH(點上線資訊!S1034,刷條碼區!C:C,0),1),"")</f>
        <v/>
      </c>
      <c r="Y1034" s="69" t="str">
        <f>IFERROR(INDEX(刷條碼區!A:C,MATCH(點上線資訊!S1034,刷條碼區!C:C,0),2),"")</f>
        <v/>
      </c>
      <c r="Z1034" s="70" t="str">
        <f>IFERROR(INDEX(刷條碼區!D:G,MATCH(點上線資訊!S1034,刷條碼區!F:F,0),1),"")</f>
        <v/>
      </c>
      <c r="AA1034" s="71" t="str">
        <f>IFERROR(INDEX(刷條碼區!D:G,MATCH(點上線資訊!S1034,刷條碼區!F:F,0),2),"")</f>
        <v/>
      </c>
      <c r="AB1034" s="20">
        <f t="shared" si="100"/>
        <v>0</v>
      </c>
      <c r="AC1034" s="20" t="b">
        <f t="shared" si="101"/>
        <v>0</v>
      </c>
      <c r="AD1034" s="17" t="b">
        <f t="shared" si="102"/>
        <v>0</v>
      </c>
      <c r="AE1034" s="17" t="b">
        <f t="shared" si="103"/>
        <v>0</v>
      </c>
    </row>
    <row r="1035" spans="17:31" x14ac:dyDescent="0.2">
      <c r="Q1035" s="17">
        <f>IFERROR(VLOOKUP(A1035,已除帳印單!B:C,1,0),0)*1</f>
        <v>0</v>
      </c>
      <c r="R1035" s="67" t="str">
        <f>IFERROR(VLOOKUP(J1035,線別!A:B,2,1),"")</f>
        <v/>
      </c>
      <c r="S1035" s="17" t="str">
        <f>IFERROR(VLOOKUP(A1035,已除帳印單!B:C,2,0),"")</f>
        <v/>
      </c>
      <c r="T1035" s="68" t="e">
        <f t="shared" si="98"/>
        <v>#VALUE!</v>
      </c>
      <c r="U1035" s="69">
        <f t="shared" si="99"/>
        <v>0</v>
      </c>
      <c r="V1035" s="68" t="str">
        <f>IFERROR(VLOOKUP(A1035,已除帳印單!B:D,3,0),"")</f>
        <v/>
      </c>
      <c r="W1035" s="69" t="str">
        <f>IFERROR(VLOOKUP(A1035,已除帳印單!B:E,4,0),"")</f>
        <v/>
      </c>
      <c r="X1035" s="68" t="str">
        <f>IFERROR(INDEX(刷條碼區!A:C,MATCH(點上線資訊!S1035,刷條碼區!C:C,0),1),"")</f>
        <v/>
      </c>
      <c r="Y1035" s="69" t="str">
        <f>IFERROR(INDEX(刷條碼區!A:C,MATCH(點上線資訊!S1035,刷條碼區!C:C,0),2),"")</f>
        <v/>
      </c>
      <c r="Z1035" s="70" t="str">
        <f>IFERROR(INDEX(刷條碼區!D:G,MATCH(點上線資訊!S1035,刷條碼區!F:F,0),1),"")</f>
        <v/>
      </c>
      <c r="AA1035" s="71" t="str">
        <f>IFERROR(INDEX(刷條碼區!D:G,MATCH(點上線資訊!S1035,刷條碼區!F:F,0),2),"")</f>
        <v/>
      </c>
      <c r="AB1035" s="20">
        <f t="shared" si="100"/>
        <v>0</v>
      </c>
      <c r="AC1035" s="20" t="b">
        <f t="shared" si="101"/>
        <v>0</v>
      </c>
      <c r="AD1035" s="17" t="b">
        <f t="shared" si="102"/>
        <v>0</v>
      </c>
      <c r="AE1035" s="17" t="b">
        <f t="shared" si="103"/>
        <v>0</v>
      </c>
    </row>
    <row r="1036" spans="17:31" x14ac:dyDescent="0.2">
      <c r="Q1036" s="17">
        <f>IFERROR(VLOOKUP(A1036,已除帳印單!B:C,1,0),0)*1</f>
        <v>0</v>
      </c>
      <c r="R1036" s="67" t="str">
        <f>IFERROR(VLOOKUP(J1036,線別!A:B,2,1),"")</f>
        <v/>
      </c>
      <c r="S1036" s="17" t="str">
        <f>IFERROR(VLOOKUP(A1036,已除帳印單!B:C,2,0),"")</f>
        <v/>
      </c>
      <c r="T1036" s="68" t="e">
        <f t="shared" si="98"/>
        <v>#VALUE!</v>
      </c>
      <c r="U1036" s="69">
        <f t="shared" si="99"/>
        <v>0</v>
      </c>
      <c r="V1036" s="68" t="str">
        <f>IFERROR(VLOOKUP(A1036,已除帳印單!B:D,3,0),"")</f>
        <v/>
      </c>
      <c r="W1036" s="69" t="str">
        <f>IFERROR(VLOOKUP(A1036,已除帳印單!B:E,4,0),"")</f>
        <v/>
      </c>
      <c r="X1036" s="68" t="str">
        <f>IFERROR(INDEX(刷條碼區!A:C,MATCH(點上線資訊!S1036,刷條碼區!C:C,0),1),"")</f>
        <v/>
      </c>
      <c r="Y1036" s="69" t="str">
        <f>IFERROR(INDEX(刷條碼區!A:C,MATCH(點上線資訊!S1036,刷條碼區!C:C,0),2),"")</f>
        <v/>
      </c>
      <c r="Z1036" s="70" t="str">
        <f>IFERROR(INDEX(刷條碼區!D:G,MATCH(點上線資訊!S1036,刷條碼區!F:F,0),1),"")</f>
        <v/>
      </c>
      <c r="AA1036" s="71" t="str">
        <f>IFERROR(INDEX(刷條碼區!D:G,MATCH(點上線資訊!S1036,刷條碼區!F:F,0),2),"")</f>
        <v/>
      </c>
      <c r="AB1036" s="20">
        <f t="shared" si="100"/>
        <v>0</v>
      </c>
      <c r="AC1036" s="20" t="b">
        <f t="shared" si="101"/>
        <v>0</v>
      </c>
      <c r="AD1036" s="17" t="b">
        <f t="shared" si="102"/>
        <v>0</v>
      </c>
      <c r="AE1036" s="17" t="b">
        <f t="shared" si="103"/>
        <v>0</v>
      </c>
    </row>
    <row r="1037" spans="17:31" x14ac:dyDescent="0.2">
      <c r="Q1037" s="17">
        <f>IFERROR(VLOOKUP(A1037,已除帳印單!B:C,1,0),0)*1</f>
        <v>0</v>
      </c>
      <c r="R1037" s="67" t="str">
        <f>IFERROR(VLOOKUP(J1037,線別!A:B,2,1),"")</f>
        <v/>
      </c>
      <c r="S1037" s="17" t="str">
        <f>IFERROR(VLOOKUP(A1037,已除帳印單!B:C,2,0),"")</f>
        <v/>
      </c>
      <c r="T1037" s="68" t="e">
        <f t="shared" si="98"/>
        <v>#VALUE!</v>
      </c>
      <c r="U1037" s="69">
        <f t="shared" si="99"/>
        <v>0</v>
      </c>
      <c r="V1037" s="68" t="str">
        <f>IFERROR(VLOOKUP(A1037,已除帳印單!B:D,3,0),"")</f>
        <v/>
      </c>
      <c r="W1037" s="69" t="str">
        <f>IFERROR(VLOOKUP(A1037,已除帳印單!B:E,4,0),"")</f>
        <v/>
      </c>
      <c r="X1037" s="68" t="str">
        <f>IFERROR(INDEX(刷條碼區!A:C,MATCH(點上線資訊!S1037,刷條碼區!C:C,0),1),"")</f>
        <v/>
      </c>
      <c r="Y1037" s="69" t="str">
        <f>IFERROR(INDEX(刷條碼區!A:C,MATCH(點上線資訊!S1037,刷條碼區!C:C,0),2),"")</f>
        <v/>
      </c>
      <c r="Z1037" s="70" t="str">
        <f>IFERROR(INDEX(刷條碼區!D:G,MATCH(點上線資訊!S1037,刷條碼區!F:F,0),1),"")</f>
        <v/>
      </c>
      <c r="AA1037" s="71" t="str">
        <f>IFERROR(INDEX(刷條碼區!D:G,MATCH(點上線資訊!S1037,刷條碼區!F:F,0),2),"")</f>
        <v/>
      </c>
      <c r="AB1037" s="20">
        <f t="shared" si="100"/>
        <v>0</v>
      </c>
      <c r="AC1037" s="20" t="b">
        <f t="shared" si="101"/>
        <v>0</v>
      </c>
      <c r="AD1037" s="17" t="b">
        <f t="shared" si="102"/>
        <v>0</v>
      </c>
      <c r="AE1037" s="17" t="b">
        <f t="shared" si="103"/>
        <v>0</v>
      </c>
    </row>
    <row r="1038" spans="17:31" x14ac:dyDescent="0.2">
      <c r="Q1038" s="17">
        <f>IFERROR(VLOOKUP(A1038,已除帳印單!B:C,1,0),0)*1</f>
        <v>0</v>
      </c>
      <c r="R1038" s="67" t="str">
        <f>IFERROR(VLOOKUP(J1038,線別!A:B,2,1),"")</f>
        <v/>
      </c>
      <c r="S1038" s="17" t="str">
        <f>IFERROR(VLOOKUP(A1038,已除帳印單!B:C,2,0),"")</f>
        <v/>
      </c>
      <c r="T1038" s="68" t="e">
        <f t="shared" si="98"/>
        <v>#VALUE!</v>
      </c>
      <c r="U1038" s="69">
        <f t="shared" si="99"/>
        <v>0</v>
      </c>
      <c r="V1038" s="68" t="str">
        <f>IFERROR(VLOOKUP(A1038,已除帳印單!B:D,3,0),"")</f>
        <v/>
      </c>
      <c r="W1038" s="69" t="str">
        <f>IFERROR(VLOOKUP(A1038,已除帳印單!B:E,4,0),"")</f>
        <v/>
      </c>
      <c r="X1038" s="68" t="str">
        <f>IFERROR(INDEX(刷條碼區!A:C,MATCH(點上線資訊!S1038,刷條碼區!C:C,0),1),"")</f>
        <v/>
      </c>
      <c r="Y1038" s="69" t="str">
        <f>IFERROR(INDEX(刷條碼區!A:C,MATCH(點上線資訊!S1038,刷條碼區!C:C,0),2),"")</f>
        <v/>
      </c>
      <c r="Z1038" s="70" t="str">
        <f>IFERROR(INDEX(刷條碼區!D:G,MATCH(點上線資訊!S1038,刷條碼區!F:F,0),1),"")</f>
        <v/>
      </c>
      <c r="AA1038" s="71" t="str">
        <f>IFERROR(INDEX(刷條碼區!D:G,MATCH(點上線資訊!S1038,刷條碼區!F:F,0),2),"")</f>
        <v/>
      </c>
      <c r="AB1038" s="20">
        <f t="shared" si="100"/>
        <v>0</v>
      </c>
      <c r="AC1038" s="20" t="b">
        <f t="shared" si="101"/>
        <v>0</v>
      </c>
      <c r="AD1038" s="17" t="b">
        <f t="shared" si="102"/>
        <v>0</v>
      </c>
      <c r="AE1038" s="17" t="b">
        <f t="shared" si="103"/>
        <v>0</v>
      </c>
    </row>
    <row r="1039" spans="17:31" x14ac:dyDescent="0.2">
      <c r="Q1039" s="17">
        <f>IFERROR(VLOOKUP(A1039,已除帳印單!B:C,1,0),0)*1</f>
        <v>0</v>
      </c>
      <c r="R1039" s="67" t="str">
        <f>IFERROR(VLOOKUP(J1039,線別!A:B,2,1),"")</f>
        <v/>
      </c>
      <c r="S1039" s="17" t="str">
        <f>IFERROR(VLOOKUP(A1039,已除帳印單!B:C,2,0),"")</f>
        <v/>
      </c>
      <c r="T1039" s="68" t="e">
        <f t="shared" si="98"/>
        <v>#VALUE!</v>
      </c>
      <c r="U1039" s="69">
        <f t="shared" si="99"/>
        <v>0</v>
      </c>
      <c r="V1039" s="68" t="str">
        <f>IFERROR(VLOOKUP(A1039,已除帳印單!B:D,3,0),"")</f>
        <v/>
      </c>
      <c r="W1039" s="69" t="str">
        <f>IFERROR(VLOOKUP(A1039,已除帳印單!B:E,4,0),"")</f>
        <v/>
      </c>
      <c r="X1039" s="68" t="str">
        <f>IFERROR(INDEX(刷條碼區!A:C,MATCH(點上線資訊!S1039,刷條碼區!C:C,0),1),"")</f>
        <v/>
      </c>
      <c r="Y1039" s="69" t="str">
        <f>IFERROR(INDEX(刷條碼區!A:C,MATCH(點上線資訊!S1039,刷條碼區!C:C,0),2),"")</f>
        <v/>
      </c>
      <c r="Z1039" s="70" t="str">
        <f>IFERROR(INDEX(刷條碼區!D:G,MATCH(點上線資訊!S1039,刷條碼區!F:F,0),1),"")</f>
        <v/>
      </c>
      <c r="AA1039" s="71" t="str">
        <f>IFERROR(INDEX(刷條碼區!D:G,MATCH(點上線資訊!S1039,刷條碼區!F:F,0),2),"")</f>
        <v/>
      </c>
      <c r="AB1039" s="20">
        <f t="shared" si="100"/>
        <v>0</v>
      </c>
      <c r="AC1039" s="20" t="b">
        <f t="shared" si="101"/>
        <v>0</v>
      </c>
      <c r="AD1039" s="17" t="b">
        <f t="shared" si="102"/>
        <v>0</v>
      </c>
      <c r="AE1039" s="17" t="b">
        <f t="shared" si="103"/>
        <v>0</v>
      </c>
    </row>
    <row r="1040" spans="17:31" x14ac:dyDescent="0.2">
      <c r="Q1040" s="17">
        <f>IFERROR(VLOOKUP(A1040,已除帳印單!B:C,1,0),0)*1</f>
        <v>0</v>
      </c>
      <c r="R1040" s="67" t="str">
        <f>IFERROR(VLOOKUP(J1040,線別!A:B,2,1),"")</f>
        <v/>
      </c>
      <c r="S1040" s="17" t="str">
        <f>IFERROR(VLOOKUP(A1040,已除帳印單!B:C,2,0),"")</f>
        <v/>
      </c>
      <c r="T1040" s="68" t="e">
        <f t="shared" si="98"/>
        <v>#VALUE!</v>
      </c>
      <c r="U1040" s="69">
        <f t="shared" si="99"/>
        <v>0</v>
      </c>
      <c r="V1040" s="68" t="str">
        <f>IFERROR(VLOOKUP(A1040,已除帳印單!B:D,3,0),"")</f>
        <v/>
      </c>
      <c r="W1040" s="69" t="str">
        <f>IFERROR(VLOOKUP(A1040,已除帳印單!B:E,4,0),"")</f>
        <v/>
      </c>
      <c r="X1040" s="68" t="str">
        <f>IFERROR(INDEX(刷條碼區!A:C,MATCH(點上線資訊!S1040,刷條碼區!C:C,0),1),"")</f>
        <v/>
      </c>
      <c r="Y1040" s="69" t="str">
        <f>IFERROR(INDEX(刷條碼區!A:C,MATCH(點上線資訊!S1040,刷條碼區!C:C,0),2),"")</f>
        <v/>
      </c>
      <c r="Z1040" s="70" t="str">
        <f>IFERROR(INDEX(刷條碼區!D:G,MATCH(點上線資訊!S1040,刷條碼區!F:F,0),1),"")</f>
        <v/>
      </c>
      <c r="AA1040" s="71" t="str">
        <f>IFERROR(INDEX(刷條碼區!D:G,MATCH(點上線資訊!S1040,刷條碼區!F:F,0),2),"")</f>
        <v/>
      </c>
      <c r="AB1040" s="20">
        <f t="shared" si="100"/>
        <v>0</v>
      </c>
      <c r="AC1040" s="20" t="b">
        <f t="shared" si="101"/>
        <v>0</v>
      </c>
      <c r="AD1040" s="17" t="b">
        <f t="shared" si="102"/>
        <v>0</v>
      </c>
      <c r="AE1040" s="17" t="b">
        <f t="shared" si="103"/>
        <v>0</v>
      </c>
    </row>
    <row r="1041" spans="17:31" x14ac:dyDescent="0.2">
      <c r="Q1041" s="17">
        <f>IFERROR(VLOOKUP(A1041,已除帳印單!B:C,1,0),0)*1</f>
        <v>0</v>
      </c>
      <c r="R1041" s="67" t="str">
        <f>IFERROR(VLOOKUP(J1041,線別!A:B,2,1),"")</f>
        <v/>
      </c>
      <c r="S1041" s="17" t="str">
        <f>IFERROR(VLOOKUP(A1041,已除帳印單!B:C,2,0),"")</f>
        <v/>
      </c>
      <c r="T1041" s="68" t="e">
        <f t="shared" si="98"/>
        <v>#VALUE!</v>
      </c>
      <c r="U1041" s="69">
        <f t="shared" si="99"/>
        <v>0</v>
      </c>
      <c r="V1041" s="68" t="str">
        <f>IFERROR(VLOOKUP(A1041,已除帳印單!B:D,3,0),"")</f>
        <v/>
      </c>
      <c r="W1041" s="69" t="str">
        <f>IFERROR(VLOOKUP(A1041,已除帳印單!B:E,4,0),"")</f>
        <v/>
      </c>
      <c r="X1041" s="68" t="str">
        <f>IFERROR(INDEX(刷條碼區!A:C,MATCH(點上線資訊!S1041,刷條碼區!C:C,0),1),"")</f>
        <v/>
      </c>
      <c r="Y1041" s="69" t="str">
        <f>IFERROR(INDEX(刷條碼區!A:C,MATCH(點上線資訊!S1041,刷條碼區!C:C,0),2),"")</f>
        <v/>
      </c>
      <c r="Z1041" s="70" t="str">
        <f>IFERROR(INDEX(刷條碼區!D:G,MATCH(點上線資訊!S1041,刷條碼區!F:F,0),1),"")</f>
        <v/>
      </c>
      <c r="AA1041" s="71" t="str">
        <f>IFERROR(INDEX(刷條碼區!D:G,MATCH(點上線資訊!S1041,刷條碼區!F:F,0),2),"")</f>
        <v/>
      </c>
      <c r="AB1041" s="20">
        <f t="shared" si="100"/>
        <v>0</v>
      </c>
      <c r="AC1041" s="20" t="b">
        <f t="shared" si="101"/>
        <v>0</v>
      </c>
      <c r="AD1041" s="17" t="b">
        <f t="shared" si="102"/>
        <v>0</v>
      </c>
      <c r="AE1041" s="17" t="b">
        <f t="shared" si="103"/>
        <v>0</v>
      </c>
    </row>
    <row r="1042" spans="17:31" x14ac:dyDescent="0.2">
      <c r="Q1042" s="17">
        <f>IFERROR(VLOOKUP(A1042,已除帳印單!B:C,1,0),0)*1</f>
        <v>0</v>
      </c>
      <c r="R1042" s="67" t="str">
        <f>IFERROR(VLOOKUP(J1042,線別!A:B,2,1),"")</f>
        <v/>
      </c>
      <c r="S1042" s="17" t="str">
        <f>IFERROR(VLOOKUP(A1042,已除帳印單!B:C,2,0),"")</f>
        <v/>
      </c>
      <c r="T1042" s="68" t="e">
        <f t="shared" si="98"/>
        <v>#VALUE!</v>
      </c>
      <c r="U1042" s="69">
        <f t="shared" si="99"/>
        <v>0</v>
      </c>
      <c r="V1042" s="68" t="str">
        <f>IFERROR(VLOOKUP(A1042,已除帳印單!B:D,3,0),"")</f>
        <v/>
      </c>
      <c r="W1042" s="69" t="str">
        <f>IFERROR(VLOOKUP(A1042,已除帳印單!B:E,4,0),"")</f>
        <v/>
      </c>
      <c r="X1042" s="68" t="str">
        <f>IFERROR(INDEX(刷條碼區!A:C,MATCH(點上線資訊!S1042,刷條碼區!C:C,0),1),"")</f>
        <v/>
      </c>
      <c r="Y1042" s="69" t="str">
        <f>IFERROR(INDEX(刷條碼區!A:C,MATCH(點上線資訊!S1042,刷條碼區!C:C,0),2),"")</f>
        <v/>
      </c>
      <c r="Z1042" s="70" t="str">
        <f>IFERROR(INDEX(刷條碼區!D:G,MATCH(點上線資訊!S1042,刷條碼區!F:F,0),1),"")</f>
        <v/>
      </c>
      <c r="AA1042" s="71" t="str">
        <f>IFERROR(INDEX(刷條碼區!D:G,MATCH(點上線資訊!S1042,刷條碼區!F:F,0),2),"")</f>
        <v/>
      </c>
      <c r="AB1042" s="20">
        <f t="shared" si="100"/>
        <v>0</v>
      </c>
      <c r="AC1042" s="20" t="b">
        <f t="shared" si="101"/>
        <v>0</v>
      </c>
      <c r="AD1042" s="17" t="b">
        <f t="shared" si="102"/>
        <v>0</v>
      </c>
      <c r="AE1042" s="17" t="b">
        <f t="shared" si="103"/>
        <v>0</v>
      </c>
    </row>
    <row r="1043" spans="17:31" x14ac:dyDescent="0.2">
      <c r="Q1043" s="17">
        <f>IFERROR(VLOOKUP(A1043,已除帳印單!B:C,1,0),0)*1</f>
        <v>0</v>
      </c>
      <c r="R1043" s="67" t="str">
        <f>IFERROR(VLOOKUP(J1043,線別!A:B,2,1),"")</f>
        <v/>
      </c>
      <c r="S1043" s="17" t="str">
        <f>IFERROR(VLOOKUP(A1043,已除帳印單!B:C,2,0),"")</f>
        <v/>
      </c>
      <c r="T1043" s="68" t="e">
        <f t="shared" si="98"/>
        <v>#VALUE!</v>
      </c>
      <c r="U1043" s="69">
        <f t="shared" si="99"/>
        <v>0</v>
      </c>
      <c r="V1043" s="68" t="str">
        <f>IFERROR(VLOOKUP(A1043,已除帳印單!B:D,3,0),"")</f>
        <v/>
      </c>
      <c r="W1043" s="69" t="str">
        <f>IFERROR(VLOOKUP(A1043,已除帳印單!B:E,4,0),"")</f>
        <v/>
      </c>
      <c r="X1043" s="68" t="str">
        <f>IFERROR(INDEX(刷條碼區!A:C,MATCH(點上線資訊!S1043,刷條碼區!C:C,0),1),"")</f>
        <v/>
      </c>
      <c r="Y1043" s="69" t="str">
        <f>IFERROR(INDEX(刷條碼區!A:C,MATCH(點上線資訊!S1043,刷條碼區!C:C,0),2),"")</f>
        <v/>
      </c>
      <c r="Z1043" s="70" t="str">
        <f>IFERROR(INDEX(刷條碼區!D:G,MATCH(點上線資訊!S1043,刷條碼區!F:F,0),1),"")</f>
        <v/>
      </c>
      <c r="AA1043" s="71" t="str">
        <f>IFERROR(INDEX(刷條碼區!D:G,MATCH(點上線資訊!S1043,刷條碼區!F:F,0),2),"")</f>
        <v/>
      </c>
      <c r="AB1043" s="20">
        <f t="shared" si="100"/>
        <v>0</v>
      </c>
      <c r="AC1043" s="20" t="b">
        <f t="shared" si="101"/>
        <v>0</v>
      </c>
      <c r="AD1043" s="17" t="b">
        <f t="shared" si="102"/>
        <v>0</v>
      </c>
      <c r="AE1043" s="17" t="b">
        <f t="shared" si="103"/>
        <v>0</v>
      </c>
    </row>
    <row r="1044" spans="17:31" x14ac:dyDescent="0.2">
      <c r="Q1044" s="17">
        <f>IFERROR(VLOOKUP(A1044,已除帳印單!B:C,1,0),0)*1</f>
        <v>0</v>
      </c>
      <c r="R1044" s="67" t="str">
        <f>IFERROR(VLOOKUP(J1044,線別!A:B,2,1),"")</f>
        <v/>
      </c>
      <c r="S1044" s="17" t="str">
        <f>IFERROR(VLOOKUP(A1044,已除帳印單!B:C,2,0),"")</f>
        <v/>
      </c>
      <c r="T1044" s="68" t="e">
        <f t="shared" si="98"/>
        <v>#VALUE!</v>
      </c>
      <c r="U1044" s="69">
        <f t="shared" si="99"/>
        <v>0</v>
      </c>
      <c r="V1044" s="68" t="str">
        <f>IFERROR(VLOOKUP(A1044,已除帳印單!B:D,3,0),"")</f>
        <v/>
      </c>
      <c r="W1044" s="69" t="str">
        <f>IFERROR(VLOOKUP(A1044,已除帳印單!B:E,4,0),"")</f>
        <v/>
      </c>
      <c r="X1044" s="68" t="str">
        <f>IFERROR(INDEX(刷條碼區!A:C,MATCH(點上線資訊!S1044,刷條碼區!C:C,0),1),"")</f>
        <v/>
      </c>
      <c r="Y1044" s="69" t="str">
        <f>IFERROR(INDEX(刷條碼區!A:C,MATCH(點上線資訊!S1044,刷條碼區!C:C,0),2),"")</f>
        <v/>
      </c>
      <c r="Z1044" s="70" t="str">
        <f>IFERROR(INDEX(刷條碼區!D:G,MATCH(點上線資訊!S1044,刷條碼區!F:F,0),1),"")</f>
        <v/>
      </c>
      <c r="AA1044" s="71" t="str">
        <f>IFERROR(INDEX(刷條碼區!D:G,MATCH(點上線資訊!S1044,刷條碼區!F:F,0),2),"")</f>
        <v/>
      </c>
      <c r="AB1044" s="20">
        <f t="shared" si="100"/>
        <v>0</v>
      </c>
      <c r="AC1044" s="20" t="b">
        <f t="shared" si="101"/>
        <v>0</v>
      </c>
      <c r="AD1044" s="17" t="b">
        <f t="shared" si="102"/>
        <v>0</v>
      </c>
      <c r="AE1044" s="17" t="b">
        <f t="shared" si="103"/>
        <v>0</v>
      </c>
    </row>
    <row r="1045" spans="17:31" x14ac:dyDescent="0.2">
      <c r="Q1045" s="17">
        <f>IFERROR(VLOOKUP(A1045,已除帳印單!B:C,1,0),0)*1</f>
        <v>0</v>
      </c>
      <c r="R1045" s="67" t="str">
        <f>IFERROR(VLOOKUP(J1045,線別!A:B,2,1),"")</f>
        <v/>
      </c>
      <c r="S1045" s="17" t="str">
        <f>IFERROR(VLOOKUP(A1045,已除帳印單!B:C,2,0),"")</f>
        <v/>
      </c>
      <c r="T1045" s="68" t="e">
        <f t="shared" si="98"/>
        <v>#VALUE!</v>
      </c>
      <c r="U1045" s="69">
        <f t="shared" si="99"/>
        <v>0</v>
      </c>
      <c r="V1045" s="68" t="str">
        <f>IFERROR(VLOOKUP(A1045,已除帳印單!B:D,3,0),"")</f>
        <v/>
      </c>
      <c r="W1045" s="69" t="str">
        <f>IFERROR(VLOOKUP(A1045,已除帳印單!B:E,4,0),"")</f>
        <v/>
      </c>
      <c r="X1045" s="68" t="str">
        <f>IFERROR(INDEX(刷條碼區!A:C,MATCH(點上線資訊!S1045,刷條碼區!C:C,0),1),"")</f>
        <v/>
      </c>
      <c r="Y1045" s="69" t="str">
        <f>IFERROR(INDEX(刷條碼區!A:C,MATCH(點上線資訊!S1045,刷條碼區!C:C,0),2),"")</f>
        <v/>
      </c>
      <c r="Z1045" s="70" t="str">
        <f>IFERROR(INDEX(刷條碼區!D:G,MATCH(點上線資訊!S1045,刷條碼區!F:F,0),1),"")</f>
        <v/>
      </c>
      <c r="AA1045" s="71" t="str">
        <f>IFERROR(INDEX(刷條碼區!D:G,MATCH(點上線資訊!S1045,刷條碼區!F:F,0),2),"")</f>
        <v/>
      </c>
      <c r="AB1045" s="20">
        <f t="shared" si="100"/>
        <v>0</v>
      </c>
      <c r="AC1045" s="20" t="b">
        <f t="shared" si="101"/>
        <v>0</v>
      </c>
      <c r="AD1045" s="17" t="b">
        <f t="shared" si="102"/>
        <v>0</v>
      </c>
      <c r="AE1045" s="17" t="b">
        <f t="shared" si="103"/>
        <v>0</v>
      </c>
    </row>
    <row r="1046" spans="17:31" x14ac:dyDescent="0.2">
      <c r="Q1046" s="17">
        <f>IFERROR(VLOOKUP(A1046,已除帳印單!B:C,1,0),0)*1</f>
        <v>0</v>
      </c>
      <c r="R1046" s="67" t="str">
        <f>IFERROR(VLOOKUP(J1046,線別!A:B,2,1),"")</f>
        <v/>
      </c>
      <c r="S1046" s="17" t="str">
        <f>IFERROR(VLOOKUP(A1046,已除帳印單!B:C,2,0),"")</f>
        <v/>
      </c>
      <c r="T1046" s="68" t="e">
        <f t="shared" si="98"/>
        <v>#VALUE!</v>
      </c>
      <c r="U1046" s="69">
        <f t="shared" si="99"/>
        <v>0</v>
      </c>
      <c r="V1046" s="68" t="str">
        <f>IFERROR(VLOOKUP(A1046,已除帳印單!B:D,3,0),"")</f>
        <v/>
      </c>
      <c r="W1046" s="69" t="str">
        <f>IFERROR(VLOOKUP(A1046,已除帳印單!B:E,4,0),"")</f>
        <v/>
      </c>
      <c r="X1046" s="68" t="str">
        <f>IFERROR(INDEX(刷條碼區!A:C,MATCH(點上線資訊!S1046,刷條碼區!C:C,0),1),"")</f>
        <v/>
      </c>
      <c r="Y1046" s="69" t="str">
        <f>IFERROR(INDEX(刷條碼區!A:C,MATCH(點上線資訊!S1046,刷條碼區!C:C,0),2),"")</f>
        <v/>
      </c>
      <c r="Z1046" s="70" t="str">
        <f>IFERROR(INDEX(刷條碼區!D:G,MATCH(點上線資訊!S1046,刷條碼區!F:F,0),1),"")</f>
        <v/>
      </c>
      <c r="AA1046" s="71" t="str">
        <f>IFERROR(INDEX(刷條碼區!D:G,MATCH(點上線資訊!S1046,刷條碼區!F:F,0),2),"")</f>
        <v/>
      </c>
      <c r="AB1046" s="20">
        <f t="shared" si="100"/>
        <v>0</v>
      </c>
      <c r="AC1046" s="20" t="b">
        <f t="shared" si="101"/>
        <v>0</v>
      </c>
      <c r="AD1046" s="17" t="b">
        <f t="shared" si="102"/>
        <v>0</v>
      </c>
      <c r="AE1046" s="17" t="b">
        <f t="shared" si="103"/>
        <v>0</v>
      </c>
    </row>
    <row r="1047" spans="17:31" x14ac:dyDescent="0.2">
      <c r="Q1047" s="17">
        <f>IFERROR(VLOOKUP(A1047,已除帳印單!B:C,1,0),0)*1</f>
        <v>0</v>
      </c>
      <c r="R1047" s="67" t="str">
        <f>IFERROR(VLOOKUP(J1047,線別!A:B,2,1),"")</f>
        <v/>
      </c>
      <c r="S1047" s="17" t="str">
        <f>IFERROR(VLOOKUP(A1047,已除帳印單!B:C,2,0),"")</f>
        <v/>
      </c>
      <c r="T1047" s="68" t="e">
        <f t="shared" si="98"/>
        <v>#VALUE!</v>
      </c>
      <c r="U1047" s="69">
        <f t="shared" si="99"/>
        <v>0</v>
      </c>
      <c r="V1047" s="68" t="str">
        <f>IFERROR(VLOOKUP(A1047,已除帳印單!B:D,3,0),"")</f>
        <v/>
      </c>
      <c r="W1047" s="69" t="str">
        <f>IFERROR(VLOOKUP(A1047,已除帳印單!B:E,4,0),"")</f>
        <v/>
      </c>
      <c r="X1047" s="68" t="str">
        <f>IFERROR(INDEX(刷條碼區!A:C,MATCH(點上線資訊!S1047,刷條碼區!C:C,0),1),"")</f>
        <v/>
      </c>
      <c r="Y1047" s="69" t="str">
        <f>IFERROR(INDEX(刷條碼區!A:C,MATCH(點上線資訊!S1047,刷條碼區!C:C,0),2),"")</f>
        <v/>
      </c>
      <c r="Z1047" s="70" t="str">
        <f>IFERROR(INDEX(刷條碼區!D:G,MATCH(點上線資訊!S1047,刷條碼區!F:F,0),1),"")</f>
        <v/>
      </c>
      <c r="AA1047" s="71" t="str">
        <f>IFERROR(INDEX(刷條碼區!D:G,MATCH(點上線資訊!S1047,刷條碼區!F:F,0),2),"")</f>
        <v/>
      </c>
      <c r="AB1047" s="20">
        <f t="shared" si="100"/>
        <v>0</v>
      </c>
      <c r="AC1047" s="20" t="b">
        <f t="shared" si="101"/>
        <v>0</v>
      </c>
      <c r="AD1047" s="17" t="b">
        <f t="shared" si="102"/>
        <v>0</v>
      </c>
      <c r="AE1047" s="17" t="b">
        <f t="shared" si="103"/>
        <v>0</v>
      </c>
    </row>
    <row r="1048" spans="17:31" x14ac:dyDescent="0.2">
      <c r="Q1048" s="17">
        <f>IFERROR(VLOOKUP(A1048,已除帳印單!B:C,1,0),0)*1</f>
        <v>0</v>
      </c>
      <c r="R1048" s="67" t="str">
        <f>IFERROR(VLOOKUP(J1048,線別!A:B,2,1),"")</f>
        <v/>
      </c>
      <c r="S1048" s="17" t="str">
        <f>IFERROR(VLOOKUP(A1048,已除帳印單!B:C,2,0),"")</f>
        <v/>
      </c>
      <c r="T1048" s="68" t="e">
        <f t="shared" si="98"/>
        <v>#VALUE!</v>
      </c>
      <c r="U1048" s="69">
        <f t="shared" si="99"/>
        <v>0</v>
      </c>
      <c r="V1048" s="68" t="str">
        <f>IFERROR(VLOOKUP(A1048,已除帳印單!B:D,3,0),"")</f>
        <v/>
      </c>
      <c r="W1048" s="69" t="str">
        <f>IFERROR(VLOOKUP(A1048,已除帳印單!B:E,4,0),"")</f>
        <v/>
      </c>
      <c r="X1048" s="68" t="str">
        <f>IFERROR(INDEX(刷條碼區!A:C,MATCH(點上線資訊!S1048,刷條碼區!C:C,0),1),"")</f>
        <v/>
      </c>
      <c r="Y1048" s="69" t="str">
        <f>IFERROR(INDEX(刷條碼區!A:C,MATCH(點上線資訊!S1048,刷條碼區!C:C,0),2),"")</f>
        <v/>
      </c>
      <c r="Z1048" s="70" t="str">
        <f>IFERROR(INDEX(刷條碼區!D:G,MATCH(點上線資訊!S1048,刷條碼區!F:F,0),1),"")</f>
        <v/>
      </c>
      <c r="AA1048" s="71" t="str">
        <f>IFERROR(INDEX(刷條碼區!D:G,MATCH(點上線資訊!S1048,刷條碼區!F:F,0),2),"")</f>
        <v/>
      </c>
      <c r="AB1048" s="20">
        <f t="shared" si="100"/>
        <v>0</v>
      </c>
      <c r="AC1048" s="20" t="b">
        <f t="shared" si="101"/>
        <v>0</v>
      </c>
      <c r="AD1048" s="17" t="b">
        <f t="shared" si="102"/>
        <v>0</v>
      </c>
      <c r="AE1048" s="17" t="b">
        <f t="shared" si="103"/>
        <v>0</v>
      </c>
    </row>
    <row r="1049" spans="17:31" x14ac:dyDescent="0.2">
      <c r="Q1049" s="17">
        <f>IFERROR(VLOOKUP(A1049,已除帳印單!B:C,1,0),0)*1</f>
        <v>0</v>
      </c>
      <c r="R1049" s="67" t="str">
        <f>IFERROR(VLOOKUP(J1049,線別!A:B,2,1),"")</f>
        <v/>
      </c>
      <c r="S1049" s="17" t="str">
        <f>IFERROR(VLOOKUP(A1049,已除帳印單!B:C,2,0),"")</f>
        <v/>
      </c>
      <c r="T1049" s="68" t="e">
        <f t="shared" si="98"/>
        <v>#VALUE!</v>
      </c>
      <c r="U1049" s="69">
        <f t="shared" si="99"/>
        <v>0</v>
      </c>
      <c r="V1049" s="68" t="str">
        <f>IFERROR(VLOOKUP(A1049,已除帳印單!B:D,3,0),"")</f>
        <v/>
      </c>
      <c r="W1049" s="69" t="str">
        <f>IFERROR(VLOOKUP(A1049,已除帳印單!B:E,4,0),"")</f>
        <v/>
      </c>
      <c r="X1049" s="68" t="str">
        <f>IFERROR(INDEX(刷條碼區!A:C,MATCH(點上線資訊!S1049,刷條碼區!C:C,0),1),"")</f>
        <v/>
      </c>
      <c r="Y1049" s="69" t="str">
        <f>IFERROR(INDEX(刷條碼區!A:C,MATCH(點上線資訊!S1049,刷條碼區!C:C,0),2),"")</f>
        <v/>
      </c>
      <c r="Z1049" s="70" t="str">
        <f>IFERROR(INDEX(刷條碼區!D:G,MATCH(點上線資訊!S1049,刷條碼區!F:F,0),1),"")</f>
        <v/>
      </c>
      <c r="AA1049" s="71" t="str">
        <f>IFERROR(INDEX(刷條碼區!D:G,MATCH(點上線資訊!S1049,刷條碼區!F:F,0),2),"")</f>
        <v/>
      </c>
      <c r="AB1049" s="20">
        <f t="shared" si="100"/>
        <v>0</v>
      </c>
      <c r="AC1049" s="20" t="b">
        <f t="shared" si="101"/>
        <v>0</v>
      </c>
      <c r="AD1049" s="17" t="b">
        <f t="shared" si="102"/>
        <v>0</v>
      </c>
      <c r="AE1049" s="17" t="b">
        <f t="shared" si="103"/>
        <v>0</v>
      </c>
    </row>
    <row r="1050" spans="17:31" x14ac:dyDescent="0.2">
      <c r="Q1050" s="17">
        <f>IFERROR(VLOOKUP(A1050,已除帳印單!B:C,1,0),0)*1</f>
        <v>0</v>
      </c>
      <c r="R1050" s="67" t="str">
        <f>IFERROR(VLOOKUP(J1050,線別!A:B,2,1),"")</f>
        <v/>
      </c>
      <c r="S1050" s="17" t="str">
        <f>IFERROR(VLOOKUP(A1050,已除帳印單!B:C,2,0),"")</f>
        <v/>
      </c>
      <c r="T1050" s="68" t="e">
        <f t="shared" si="98"/>
        <v>#VALUE!</v>
      </c>
      <c r="U1050" s="69">
        <f t="shared" si="99"/>
        <v>0</v>
      </c>
      <c r="V1050" s="68" t="str">
        <f>IFERROR(VLOOKUP(A1050,已除帳印單!B:D,3,0),"")</f>
        <v/>
      </c>
      <c r="W1050" s="69" t="str">
        <f>IFERROR(VLOOKUP(A1050,已除帳印單!B:E,4,0),"")</f>
        <v/>
      </c>
      <c r="X1050" s="68" t="str">
        <f>IFERROR(INDEX(刷條碼區!A:C,MATCH(點上線資訊!S1050,刷條碼區!C:C,0),1),"")</f>
        <v/>
      </c>
      <c r="Y1050" s="69" t="str">
        <f>IFERROR(INDEX(刷條碼區!A:C,MATCH(點上線資訊!S1050,刷條碼區!C:C,0),2),"")</f>
        <v/>
      </c>
      <c r="Z1050" s="70" t="str">
        <f>IFERROR(INDEX(刷條碼區!D:G,MATCH(點上線資訊!S1050,刷條碼區!F:F,0),1),"")</f>
        <v/>
      </c>
      <c r="AA1050" s="71" t="str">
        <f>IFERROR(INDEX(刷條碼區!D:G,MATCH(點上線資訊!S1050,刷條碼區!F:F,0),2),"")</f>
        <v/>
      </c>
      <c r="AB1050" s="20">
        <f t="shared" si="100"/>
        <v>0</v>
      </c>
      <c r="AC1050" s="20" t="b">
        <f t="shared" si="101"/>
        <v>0</v>
      </c>
      <c r="AD1050" s="17" t="b">
        <f t="shared" si="102"/>
        <v>0</v>
      </c>
      <c r="AE1050" s="17" t="b">
        <f t="shared" si="103"/>
        <v>0</v>
      </c>
    </row>
    <row r="1051" spans="17:31" x14ac:dyDescent="0.2">
      <c r="Q1051" s="17">
        <f>IFERROR(VLOOKUP(A1051,已除帳印單!B:C,1,0),0)*1</f>
        <v>0</v>
      </c>
      <c r="R1051" s="67" t="str">
        <f>IFERROR(VLOOKUP(J1051,線別!A:B,2,1),"")</f>
        <v/>
      </c>
      <c r="S1051" s="17" t="str">
        <f>IFERROR(VLOOKUP(A1051,已除帳印單!B:C,2,0),"")</f>
        <v/>
      </c>
      <c r="T1051" s="68" t="e">
        <f t="shared" si="98"/>
        <v>#VALUE!</v>
      </c>
      <c r="U1051" s="69">
        <f t="shared" si="99"/>
        <v>0</v>
      </c>
      <c r="V1051" s="68" t="str">
        <f>IFERROR(VLOOKUP(A1051,已除帳印單!B:D,3,0),"")</f>
        <v/>
      </c>
      <c r="W1051" s="69" t="str">
        <f>IFERROR(VLOOKUP(A1051,已除帳印單!B:E,4,0),"")</f>
        <v/>
      </c>
      <c r="X1051" s="68" t="str">
        <f>IFERROR(INDEX(刷條碼區!A:C,MATCH(點上線資訊!S1051,刷條碼區!C:C,0),1),"")</f>
        <v/>
      </c>
      <c r="Y1051" s="69" t="str">
        <f>IFERROR(INDEX(刷條碼區!A:C,MATCH(點上線資訊!S1051,刷條碼區!C:C,0),2),"")</f>
        <v/>
      </c>
      <c r="Z1051" s="70" t="str">
        <f>IFERROR(INDEX(刷條碼區!D:G,MATCH(點上線資訊!S1051,刷條碼區!F:F,0),1),"")</f>
        <v/>
      </c>
      <c r="AA1051" s="71" t="str">
        <f>IFERROR(INDEX(刷條碼區!D:G,MATCH(點上線資訊!S1051,刷條碼區!F:F,0),2),"")</f>
        <v/>
      </c>
      <c r="AB1051" s="20">
        <f t="shared" si="100"/>
        <v>0</v>
      </c>
      <c r="AC1051" s="20" t="b">
        <f t="shared" si="101"/>
        <v>0</v>
      </c>
      <c r="AD1051" s="17" t="b">
        <f t="shared" si="102"/>
        <v>0</v>
      </c>
      <c r="AE1051" s="17" t="b">
        <f t="shared" si="103"/>
        <v>0</v>
      </c>
    </row>
    <row r="1052" spans="17:31" x14ac:dyDescent="0.2">
      <c r="Q1052" s="17">
        <f>IFERROR(VLOOKUP(A1052,已除帳印單!B:C,1,0),0)*1</f>
        <v>0</v>
      </c>
      <c r="R1052" s="67" t="str">
        <f>IFERROR(VLOOKUP(J1052,線別!A:B,2,1),"")</f>
        <v/>
      </c>
      <c r="S1052" s="17" t="str">
        <f>IFERROR(VLOOKUP(A1052,已除帳印單!B:C,2,0),"")</f>
        <v/>
      </c>
      <c r="T1052" s="68" t="e">
        <f t="shared" si="98"/>
        <v>#VALUE!</v>
      </c>
      <c r="U1052" s="69">
        <f t="shared" si="99"/>
        <v>0</v>
      </c>
      <c r="V1052" s="68" t="str">
        <f>IFERROR(VLOOKUP(A1052,已除帳印單!B:D,3,0),"")</f>
        <v/>
      </c>
      <c r="W1052" s="69" t="str">
        <f>IFERROR(VLOOKUP(A1052,已除帳印單!B:E,4,0),"")</f>
        <v/>
      </c>
      <c r="X1052" s="68" t="str">
        <f>IFERROR(INDEX(刷條碼區!A:C,MATCH(點上線資訊!S1052,刷條碼區!C:C,0),1),"")</f>
        <v/>
      </c>
      <c r="Y1052" s="69" t="str">
        <f>IFERROR(INDEX(刷條碼區!A:C,MATCH(點上線資訊!S1052,刷條碼區!C:C,0),2),"")</f>
        <v/>
      </c>
      <c r="Z1052" s="70" t="str">
        <f>IFERROR(INDEX(刷條碼區!D:G,MATCH(點上線資訊!S1052,刷條碼區!F:F,0),1),"")</f>
        <v/>
      </c>
      <c r="AA1052" s="71" t="str">
        <f>IFERROR(INDEX(刷條碼區!D:G,MATCH(點上線資訊!S1052,刷條碼區!F:F,0),2),"")</f>
        <v/>
      </c>
      <c r="AB1052" s="20">
        <f t="shared" si="100"/>
        <v>0</v>
      </c>
      <c r="AC1052" s="20" t="b">
        <f t="shared" si="101"/>
        <v>0</v>
      </c>
      <c r="AD1052" s="17" t="b">
        <f t="shared" si="102"/>
        <v>0</v>
      </c>
      <c r="AE1052" s="17" t="b">
        <f t="shared" si="103"/>
        <v>0</v>
      </c>
    </row>
    <row r="1053" spans="17:31" x14ac:dyDescent="0.2">
      <c r="Q1053" s="17">
        <f>IFERROR(VLOOKUP(A1053,已除帳印單!B:C,1,0),0)*1</f>
        <v>0</v>
      </c>
      <c r="R1053" s="67" t="str">
        <f>IFERROR(VLOOKUP(J1053,線別!A:B,2,1),"")</f>
        <v/>
      </c>
      <c r="S1053" s="17" t="str">
        <f>IFERROR(VLOOKUP(A1053,已除帳印單!B:C,2,0),"")</f>
        <v/>
      </c>
      <c r="T1053" s="68" t="e">
        <f t="shared" si="98"/>
        <v>#VALUE!</v>
      </c>
      <c r="U1053" s="69">
        <f t="shared" si="99"/>
        <v>0</v>
      </c>
      <c r="V1053" s="68" t="str">
        <f>IFERROR(VLOOKUP(A1053,已除帳印單!B:D,3,0),"")</f>
        <v/>
      </c>
      <c r="W1053" s="69" t="str">
        <f>IFERROR(VLOOKUP(A1053,已除帳印單!B:E,4,0),"")</f>
        <v/>
      </c>
      <c r="X1053" s="68" t="str">
        <f>IFERROR(INDEX(刷條碼區!A:C,MATCH(點上線資訊!S1053,刷條碼區!C:C,0),1),"")</f>
        <v/>
      </c>
      <c r="Y1053" s="69" t="str">
        <f>IFERROR(INDEX(刷條碼區!A:C,MATCH(點上線資訊!S1053,刷條碼區!C:C,0),2),"")</f>
        <v/>
      </c>
      <c r="Z1053" s="70" t="str">
        <f>IFERROR(INDEX(刷條碼區!D:G,MATCH(點上線資訊!S1053,刷條碼區!F:F,0),1),"")</f>
        <v/>
      </c>
      <c r="AA1053" s="71" t="str">
        <f>IFERROR(INDEX(刷條碼區!D:G,MATCH(點上線資訊!S1053,刷條碼區!F:F,0),2),"")</f>
        <v/>
      </c>
      <c r="AB1053" s="20">
        <f t="shared" si="100"/>
        <v>0</v>
      </c>
      <c r="AC1053" s="20" t="b">
        <f t="shared" si="101"/>
        <v>0</v>
      </c>
      <c r="AD1053" s="17" t="b">
        <f t="shared" si="102"/>
        <v>0</v>
      </c>
      <c r="AE1053" s="17" t="b">
        <f t="shared" si="103"/>
        <v>0</v>
      </c>
    </row>
    <row r="1054" spans="17:31" x14ac:dyDescent="0.2">
      <c r="Q1054" s="17">
        <f>IFERROR(VLOOKUP(A1054,已除帳印單!B:C,1,0),0)*1</f>
        <v>0</v>
      </c>
      <c r="R1054" s="67" t="str">
        <f>IFERROR(VLOOKUP(J1054,線別!A:B,2,1),"")</f>
        <v/>
      </c>
      <c r="S1054" s="17" t="str">
        <f>IFERROR(VLOOKUP(A1054,已除帳印單!B:C,2,0),"")</f>
        <v/>
      </c>
      <c r="T1054" s="68" t="e">
        <f t="shared" si="98"/>
        <v>#VALUE!</v>
      </c>
      <c r="U1054" s="69">
        <f t="shared" si="99"/>
        <v>0</v>
      </c>
      <c r="V1054" s="68" t="str">
        <f>IFERROR(VLOOKUP(A1054,已除帳印單!B:D,3,0),"")</f>
        <v/>
      </c>
      <c r="W1054" s="69" t="str">
        <f>IFERROR(VLOOKUP(A1054,已除帳印單!B:E,4,0),"")</f>
        <v/>
      </c>
      <c r="X1054" s="68" t="str">
        <f>IFERROR(INDEX(刷條碼區!A:C,MATCH(點上線資訊!S1054,刷條碼區!C:C,0),1),"")</f>
        <v/>
      </c>
      <c r="Y1054" s="69" t="str">
        <f>IFERROR(INDEX(刷條碼區!A:C,MATCH(點上線資訊!S1054,刷條碼區!C:C,0),2),"")</f>
        <v/>
      </c>
      <c r="Z1054" s="70" t="str">
        <f>IFERROR(INDEX(刷條碼區!D:G,MATCH(點上線資訊!S1054,刷條碼區!F:F,0),1),"")</f>
        <v/>
      </c>
      <c r="AA1054" s="71" t="str">
        <f>IFERROR(INDEX(刷條碼區!D:G,MATCH(點上線資訊!S1054,刷條碼區!F:F,0),2),"")</f>
        <v/>
      </c>
      <c r="AB1054" s="20">
        <f t="shared" si="100"/>
        <v>0</v>
      </c>
      <c r="AC1054" s="20" t="b">
        <f t="shared" si="101"/>
        <v>0</v>
      </c>
      <c r="AD1054" s="17" t="b">
        <f t="shared" si="102"/>
        <v>0</v>
      </c>
      <c r="AE1054" s="17" t="b">
        <f t="shared" si="103"/>
        <v>0</v>
      </c>
    </row>
    <row r="1055" spans="17:31" x14ac:dyDescent="0.2">
      <c r="Q1055" s="17">
        <f>IFERROR(VLOOKUP(A1055,已除帳印單!B:C,1,0),0)*1</f>
        <v>0</v>
      </c>
      <c r="R1055" s="67" t="str">
        <f>IFERROR(VLOOKUP(J1055,線別!A:B,2,1),"")</f>
        <v/>
      </c>
      <c r="S1055" s="17" t="str">
        <f>IFERROR(VLOOKUP(A1055,已除帳印單!B:C,2,0),"")</f>
        <v/>
      </c>
      <c r="T1055" s="68" t="e">
        <f t="shared" si="98"/>
        <v>#VALUE!</v>
      </c>
      <c r="U1055" s="69">
        <f t="shared" si="99"/>
        <v>0</v>
      </c>
      <c r="V1055" s="68" t="str">
        <f>IFERROR(VLOOKUP(A1055,已除帳印單!B:D,3,0),"")</f>
        <v/>
      </c>
      <c r="W1055" s="69" t="str">
        <f>IFERROR(VLOOKUP(A1055,已除帳印單!B:E,4,0),"")</f>
        <v/>
      </c>
      <c r="X1055" s="68" t="str">
        <f>IFERROR(INDEX(刷條碼區!A:C,MATCH(點上線資訊!S1055,刷條碼區!C:C,0),1),"")</f>
        <v/>
      </c>
      <c r="Y1055" s="69" t="str">
        <f>IFERROR(INDEX(刷條碼區!A:C,MATCH(點上線資訊!S1055,刷條碼區!C:C,0),2),"")</f>
        <v/>
      </c>
      <c r="Z1055" s="70" t="str">
        <f>IFERROR(INDEX(刷條碼區!D:G,MATCH(點上線資訊!S1055,刷條碼區!F:F,0),1),"")</f>
        <v/>
      </c>
      <c r="AA1055" s="71" t="str">
        <f>IFERROR(INDEX(刷條碼區!D:G,MATCH(點上線資訊!S1055,刷條碼區!F:F,0),2),"")</f>
        <v/>
      </c>
      <c r="AB1055" s="20">
        <f t="shared" si="100"/>
        <v>0</v>
      </c>
      <c r="AC1055" s="20" t="b">
        <f t="shared" si="101"/>
        <v>0</v>
      </c>
      <c r="AD1055" s="17" t="b">
        <f t="shared" si="102"/>
        <v>0</v>
      </c>
      <c r="AE1055" s="17" t="b">
        <f t="shared" si="103"/>
        <v>0</v>
      </c>
    </row>
    <row r="1056" spans="17:31" x14ac:dyDescent="0.2">
      <c r="Q1056" s="17">
        <f>IFERROR(VLOOKUP(A1056,已除帳印單!B:C,1,0),0)*1</f>
        <v>0</v>
      </c>
      <c r="R1056" s="67" t="str">
        <f>IFERROR(VLOOKUP(J1056,線別!A:B,2,1),"")</f>
        <v/>
      </c>
      <c r="S1056" s="17" t="str">
        <f>IFERROR(VLOOKUP(A1056,已除帳印單!B:C,2,0),"")</f>
        <v/>
      </c>
      <c r="T1056" s="68" t="e">
        <f t="shared" si="98"/>
        <v>#VALUE!</v>
      </c>
      <c r="U1056" s="69">
        <f t="shared" si="99"/>
        <v>0</v>
      </c>
      <c r="V1056" s="68" t="str">
        <f>IFERROR(VLOOKUP(A1056,已除帳印單!B:D,3,0),"")</f>
        <v/>
      </c>
      <c r="W1056" s="69" t="str">
        <f>IFERROR(VLOOKUP(A1056,已除帳印單!B:E,4,0),"")</f>
        <v/>
      </c>
      <c r="X1056" s="68" t="str">
        <f>IFERROR(INDEX(刷條碼區!A:C,MATCH(點上線資訊!S1056,刷條碼區!C:C,0),1),"")</f>
        <v/>
      </c>
      <c r="Y1056" s="69" t="str">
        <f>IFERROR(INDEX(刷條碼區!A:C,MATCH(點上線資訊!S1056,刷條碼區!C:C,0),2),"")</f>
        <v/>
      </c>
      <c r="Z1056" s="70" t="str">
        <f>IFERROR(INDEX(刷條碼區!D:G,MATCH(點上線資訊!S1056,刷條碼區!F:F,0),1),"")</f>
        <v/>
      </c>
      <c r="AA1056" s="71" t="str">
        <f>IFERROR(INDEX(刷條碼區!D:G,MATCH(點上線資訊!S1056,刷條碼區!F:F,0),2),"")</f>
        <v/>
      </c>
      <c r="AB1056" s="20">
        <f t="shared" si="100"/>
        <v>0</v>
      </c>
      <c r="AC1056" s="20" t="b">
        <f t="shared" si="101"/>
        <v>0</v>
      </c>
      <c r="AD1056" s="17" t="b">
        <f t="shared" si="102"/>
        <v>0</v>
      </c>
      <c r="AE1056" s="17" t="b">
        <f t="shared" si="103"/>
        <v>0</v>
      </c>
    </row>
    <row r="1057" spans="17:31" x14ac:dyDescent="0.2">
      <c r="Q1057" s="17">
        <f>IFERROR(VLOOKUP(A1057,已除帳印單!B:C,1,0),0)*1</f>
        <v>0</v>
      </c>
      <c r="R1057" s="67" t="str">
        <f>IFERROR(VLOOKUP(J1057,線別!A:B,2,1),"")</f>
        <v/>
      </c>
      <c r="S1057" s="17" t="str">
        <f>IFERROR(VLOOKUP(A1057,已除帳印單!B:C,2,0),"")</f>
        <v/>
      </c>
      <c r="T1057" s="68" t="e">
        <f t="shared" si="98"/>
        <v>#VALUE!</v>
      </c>
      <c r="U1057" s="69">
        <f t="shared" si="99"/>
        <v>0</v>
      </c>
      <c r="V1057" s="68" t="str">
        <f>IFERROR(VLOOKUP(A1057,已除帳印單!B:D,3,0),"")</f>
        <v/>
      </c>
      <c r="W1057" s="69" t="str">
        <f>IFERROR(VLOOKUP(A1057,已除帳印單!B:E,4,0),"")</f>
        <v/>
      </c>
      <c r="X1057" s="68" t="str">
        <f>IFERROR(INDEX(刷條碼區!A:C,MATCH(點上線資訊!S1057,刷條碼區!C:C,0),1),"")</f>
        <v/>
      </c>
      <c r="Y1057" s="69" t="str">
        <f>IFERROR(INDEX(刷條碼區!A:C,MATCH(點上線資訊!S1057,刷條碼區!C:C,0),2),"")</f>
        <v/>
      </c>
      <c r="Z1057" s="70" t="str">
        <f>IFERROR(INDEX(刷條碼區!D:G,MATCH(點上線資訊!S1057,刷條碼區!F:F,0),1),"")</f>
        <v/>
      </c>
      <c r="AA1057" s="71" t="str">
        <f>IFERROR(INDEX(刷條碼區!D:G,MATCH(點上線資訊!S1057,刷條碼區!F:F,0),2),"")</f>
        <v/>
      </c>
      <c r="AB1057" s="20">
        <f t="shared" si="100"/>
        <v>0</v>
      </c>
      <c r="AC1057" s="20" t="b">
        <f t="shared" si="101"/>
        <v>0</v>
      </c>
      <c r="AD1057" s="17" t="b">
        <f t="shared" si="102"/>
        <v>0</v>
      </c>
      <c r="AE1057" s="17" t="b">
        <f t="shared" si="103"/>
        <v>0</v>
      </c>
    </row>
    <row r="1058" spans="17:31" x14ac:dyDescent="0.2">
      <c r="Q1058" s="17">
        <f>IFERROR(VLOOKUP(A1058,已除帳印單!B:C,1,0),0)*1</f>
        <v>0</v>
      </c>
      <c r="R1058" s="67" t="str">
        <f>IFERROR(VLOOKUP(J1058,線別!A:B,2,1),"")</f>
        <v/>
      </c>
      <c r="S1058" s="17" t="str">
        <f>IFERROR(VLOOKUP(A1058,已除帳印單!B:C,2,0),"")</f>
        <v/>
      </c>
      <c r="T1058" s="68" t="e">
        <f t="shared" si="98"/>
        <v>#VALUE!</v>
      </c>
      <c r="U1058" s="69">
        <f t="shared" si="99"/>
        <v>0</v>
      </c>
      <c r="V1058" s="68" t="str">
        <f>IFERROR(VLOOKUP(A1058,已除帳印單!B:D,3,0),"")</f>
        <v/>
      </c>
      <c r="W1058" s="69" t="str">
        <f>IFERROR(VLOOKUP(A1058,已除帳印單!B:E,4,0),"")</f>
        <v/>
      </c>
      <c r="X1058" s="68" t="str">
        <f>IFERROR(INDEX(刷條碼區!A:C,MATCH(點上線資訊!S1058,刷條碼區!C:C,0),1),"")</f>
        <v/>
      </c>
      <c r="Y1058" s="69" t="str">
        <f>IFERROR(INDEX(刷條碼區!A:C,MATCH(點上線資訊!S1058,刷條碼區!C:C,0),2),"")</f>
        <v/>
      </c>
      <c r="Z1058" s="70" t="str">
        <f>IFERROR(INDEX(刷條碼區!D:G,MATCH(點上線資訊!S1058,刷條碼區!F:F,0),1),"")</f>
        <v/>
      </c>
      <c r="AA1058" s="71" t="str">
        <f>IFERROR(INDEX(刷條碼區!D:G,MATCH(點上線資訊!S1058,刷條碼區!F:F,0),2),"")</f>
        <v/>
      </c>
      <c r="AB1058" s="20">
        <f t="shared" si="100"/>
        <v>0</v>
      </c>
      <c r="AC1058" s="20" t="b">
        <f t="shared" si="101"/>
        <v>0</v>
      </c>
      <c r="AD1058" s="17" t="b">
        <f t="shared" si="102"/>
        <v>0</v>
      </c>
      <c r="AE1058" s="17" t="b">
        <f t="shared" si="103"/>
        <v>0</v>
      </c>
    </row>
    <row r="1059" spans="17:31" x14ac:dyDescent="0.2">
      <c r="Q1059" s="17">
        <f>IFERROR(VLOOKUP(A1059,已除帳印單!B:C,1,0),0)*1</f>
        <v>0</v>
      </c>
      <c r="R1059" s="67" t="str">
        <f>IFERROR(VLOOKUP(J1059,線別!A:B,2,1),"")</f>
        <v/>
      </c>
      <c r="S1059" s="17" t="str">
        <f>IFERROR(VLOOKUP(A1059,已除帳印單!B:C,2,0),"")</f>
        <v/>
      </c>
      <c r="T1059" s="68" t="e">
        <f t="shared" si="98"/>
        <v>#VALUE!</v>
      </c>
      <c r="U1059" s="69">
        <f t="shared" si="99"/>
        <v>0</v>
      </c>
      <c r="V1059" s="68" t="str">
        <f>IFERROR(VLOOKUP(A1059,已除帳印單!B:D,3,0),"")</f>
        <v/>
      </c>
      <c r="W1059" s="69" t="str">
        <f>IFERROR(VLOOKUP(A1059,已除帳印單!B:E,4,0),"")</f>
        <v/>
      </c>
      <c r="X1059" s="68" t="str">
        <f>IFERROR(INDEX(刷條碼區!A:C,MATCH(點上線資訊!S1059,刷條碼區!C:C,0),1),"")</f>
        <v/>
      </c>
      <c r="Y1059" s="69" t="str">
        <f>IFERROR(INDEX(刷條碼區!A:C,MATCH(點上線資訊!S1059,刷條碼區!C:C,0),2),"")</f>
        <v/>
      </c>
      <c r="Z1059" s="70" t="str">
        <f>IFERROR(INDEX(刷條碼區!D:G,MATCH(點上線資訊!S1059,刷條碼區!F:F,0),1),"")</f>
        <v/>
      </c>
      <c r="AA1059" s="71" t="str">
        <f>IFERROR(INDEX(刷條碼區!D:G,MATCH(點上線資訊!S1059,刷條碼區!F:F,0),2),"")</f>
        <v/>
      </c>
      <c r="AB1059" s="20">
        <f t="shared" si="100"/>
        <v>0</v>
      </c>
      <c r="AC1059" s="20" t="b">
        <f t="shared" si="101"/>
        <v>0</v>
      </c>
      <c r="AD1059" s="17" t="b">
        <f t="shared" si="102"/>
        <v>0</v>
      </c>
      <c r="AE1059" s="17" t="b">
        <f t="shared" si="103"/>
        <v>0</v>
      </c>
    </row>
    <row r="1060" spans="17:31" x14ac:dyDescent="0.2">
      <c r="Q1060" s="17">
        <f>IFERROR(VLOOKUP(A1060,已除帳印單!B:C,1,0),0)*1</f>
        <v>0</v>
      </c>
      <c r="R1060" s="67" t="str">
        <f>IFERROR(VLOOKUP(J1060,線別!A:B,2,1),"")</f>
        <v/>
      </c>
      <c r="S1060" s="17" t="str">
        <f>IFERROR(VLOOKUP(A1060,已除帳印單!B:C,2,0),"")</f>
        <v/>
      </c>
      <c r="T1060" s="68" t="e">
        <f t="shared" si="98"/>
        <v>#VALUE!</v>
      </c>
      <c r="U1060" s="69">
        <f t="shared" si="99"/>
        <v>0</v>
      </c>
      <c r="V1060" s="68" t="str">
        <f>IFERROR(VLOOKUP(A1060,已除帳印單!B:D,3,0),"")</f>
        <v/>
      </c>
      <c r="W1060" s="69" t="str">
        <f>IFERROR(VLOOKUP(A1060,已除帳印單!B:E,4,0),"")</f>
        <v/>
      </c>
      <c r="X1060" s="68" t="str">
        <f>IFERROR(INDEX(刷條碼區!A:C,MATCH(點上線資訊!S1060,刷條碼區!C:C,0),1),"")</f>
        <v/>
      </c>
      <c r="Y1060" s="69" t="str">
        <f>IFERROR(INDEX(刷條碼區!A:C,MATCH(點上線資訊!S1060,刷條碼區!C:C,0),2),"")</f>
        <v/>
      </c>
      <c r="Z1060" s="70" t="str">
        <f>IFERROR(INDEX(刷條碼區!D:G,MATCH(點上線資訊!S1060,刷條碼區!F:F,0),1),"")</f>
        <v/>
      </c>
      <c r="AA1060" s="71" t="str">
        <f>IFERROR(INDEX(刷條碼區!D:G,MATCH(點上線資訊!S1060,刷條碼區!F:F,0),2),"")</f>
        <v/>
      </c>
      <c r="AB1060" s="20">
        <f t="shared" si="100"/>
        <v>0</v>
      </c>
      <c r="AC1060" s="20" t="b">
        <f t="shared" si="101"/>
        <v>0</v>
      </c>
      <c r="AD1060" s="17" t="b">
        <f t="shared" si="102"/>
        <v>0</v>
      </c>
      <c r="AE1060" s="17" t="b">
        <f t="shared" si="103"/>
        <v>0</v>
      </c>
    </row>
    <row r="1061" spans="17:31" x14ac:dyDescent="0.2">
      <c r="Q1061" s="17">
        <f>IFERROR(VLOOKUP(A1061,已除帳印單!B:C,1,0),0)*1</f>
        <v>0</v>
      </c>
      <c r="R1061" s="67" t="str">
        <f>IFERROR(VLOOKUP(J1061,線別!A:B,2,1),"")</f>
        <v/>
      </c>
      <c r="S1061" s="17" t="str">
        <f>IFERROR(VLOOKUP(A1061,已除帳印單!B:C,2,0),"")</f>
        <v/>
      </c>
      <c r="T1061" s="68" t="e">
        <f t="shared" si="98"/>
        <v>#VALUE!</v>
      </c>
      <c r="U1061" s="69">
        <f t="shared" si="99"/>
        <v>0</v>
      </c>
      <c r="V1061" s="68" t="str">
        <f>IFERROR(VLOOKUP(A1061,已除帳印單!B:D,3,0),"")</f>
        <v/>
      </c>
      <c r="W1061" s="69" t="str">
        <f>IFERROR(VLOOKUP(A1061,已除帳印單!B:E,4,0),"")</f>
        <v/>
      </c>
      <c r="X1061" s="68" t="str">
        <f>IFERROR(INDEX(刷條碼區!A:C,MATCH(點上線資訊!S1061,刷條碼區!C:C,0),1),"")</f>
        <v/>
      </c>
      <c r="Y1061" s="69" t="str">
        <f>IFERROR(INDEX(刷條碼區!A:C,MATCH(點上線資訊!S1061,刷條碼區!C:C,0),2),"")</f>
        <v/>
      </c>
      <c r="Z1061" s="70" t="str">
        <f>IFERROR(INDEX(刷條碼區!D:G,MATCH(點上線資訊!S1061,刷條碼區!F:F,0),1),"")</f>
        <v/>
      </c>
      <c r="AA1061" s="71" t="str">
        <f>IFERROR(INDEX(刷條碼區!D:G,MATCH(點上線資訊!S1061,刷條碼區!F:F,0),2),"")</f>
        <v/>
      </c>
      <c r="AB1061" s="20">
        <f t="shared" si="100"/>
        <v>0</v>
      </c>
      <c r="AC1061" s="20" t="b">
        <f t="shared" si="101"/>
        <v>0</v>
      </c>
      <c r="AD1061" s="17" t="b">
        <f t="shared" si="102"/>
        <v>0</v>
      </c>
      <c r="AE1061" s="17" t="b">
        <f t="shared" si="103"/>
        <v>0</v>
      </c>
    </row>
    <row r="1062" spans="17:31" x14ac:dyDescent="0.2">
      <c r="Q1062" s="17">
        <f>IFERROR(VLOOKUP(A1062,已除帳印單!B:C,1,0),0)*1</f>
        <v>0</v>
      </c>
      <c r="R1062" s="67" t="str">
        <f>IFERROR(VLOOKUP(J1062,線別!A:B,2,1),"")</f>
        <v/>
      </c>
      <c r="S1062" s="17" t="str">
        <f>IFERROR(VLOOKUP(A1062,已除帳印單!B:C,2,0),"")</f>
        <v/>
      </c>
      <c r="T1062" s="68" t="e">
        <f t="shared" si="98"/>
        <v>#VALUE!</v>
      </c>
      <c r="U1062" s="69">
        <f t="shared" si="99"/>
        <v>0</v>
      </c>
      <c r="V1062" s="68" t="str">
        <f>IFERROR(VLOOKUP(A1062,已除帳印單!B:D,3,0),"")</f>
        <v/>
      </c>
      <c r="W1062" s="69" t="str">
        <f>IFERROR(VLOOKUP(A1062,已除帳印單!B:E,4,0),"")</f>
        <v/>
      </c>
      <c r="X1062" s="68" t="str">
        <f>IFERROR(INDEX(刷條碼區!A:C,MATCH(點上線資訊!S1062,刷條碼區!C:C,0),1),"")</f>
        <v/>
      </c>
      <c r="Y1062" s="69" t="str">
        <f>IFERROR(INDEX(刷條碼區!A:C,MATCH(點上線資訊!S1062,刷條碼區!C:C,0),2),"")</f>
        <v/>
      </c>
      <c r="Z1062" s="70" t="str">
        <f>IFERROR(INDEX(刷條碼區!D:G,MATCH(點上線資訊!S1062,刷條碼區!F:F,0),1),"")</f>
        <v/>
      </c>
      <c r="AA1062" s="71" t="str">
        <f>IFERROR(INDEX(刷條碼區!D:G,MATCH(點上線資訊!S1062,刷條碼區!F:F,0),2),"")</f>
        <v/>
      </c>
      <c r="AB1062" s="20">
        <f t="shared" si="100"/>
        <v>0</v>
      </c>
      <c r="AC1062" s="20" t="b">
        <f t="shared" si="101"/>
        <v>0</v>
      </c>
      <c r="AD1062" s="17" t="b">
        <f t="shared" si="102"/>
        <v>0</v>
      </c>
      <c r="AE1062" s="17" t="b">
        <f t="shared" si="103"/>
        <v>0</v>
      </c>
    </row>
    <row r="1063" spans="17:31" x14ac:dyDescent="0.2">
      <c r="Q1063" s="17">
        <f>IFERROR(VLOOKUP(A1063,已除帳印單!B:C,1,0),0)*1</f>
        <v>0</v>
      </c>
      <c r="R1063" s="67" t="str">
        <f>IFERROR(VLOOKUP(J1063,線別!A:B,2,1),"")</f>
        <v/>
      </c>
      <c r="S1063" s="17" t="str">
        <f>IFERROR(VLOOKUP(A1063,已除帳印單!B:C,2,0),"")</f>
        <v/>
      </c>
      <c r="T1063" s="68" t="e">
        <f t="shared" si="98"/>
        <v>#VALUE!</v>
      </c>
      <c r="U1063" s="69">
        <f t="shared" si="99"/>
        <v>0</v>
      </c>
      <c r="V1063" s="68" t="str">
        <f>IFERROR(VLOOKUP(A1063,已除帳印單!B:D,3,0),"")</f>
        <v/>
      </c>
      <c r="W1063" s="69" t="str">
        <f>IFERROR(VLOOKUP(A1063,已除帳印單!B:E,4,0),"")</f>
        <v/>
      </c>
      <c r="X1063" s="68" t="str">
        <f>IFERROR(INDEX(刷條碼區!A:C,MATCH(點上線資訊!S1063,刷條碼區!C:C,0),1),"")</f>
        <v/>
      </c>
      <c r="Y1063" s="69" t="str">
        <f>IFERROR(INDEX(刷條碼區!A:C,MATCH(點上線資訊!S1063,刷條碼區!C:C,0),2),"")</f>
        <v/>
      </c>
      <c r="Z1063" s="70" t="str">
        <f>IFERROR(INDEX(刷條碼區!D:G,MATCH(點上線資訊!S1063,刷條碼區!F:F,0),1),"")</f>
        <v/>
      </c>
      <c r="AA1063" s="71" t="str">
        <f>IFERROR(INDEX(刷條碼區!D:G,MATCH(點上線資訊!S1063,刷條碼區!F:F,0),2),"")</f>
        <v/>
      </c>
      <c r="AB1063" s="20">
        <f t="shared" si="100"/>
        <v>0</v>
      </c>
      <c r="AC1063" s="20" t="b">
        <f t="shared" si="101"/>
        <v>0</v>
      </c>
      <c r="AD1063" s="17" t="b">
        <f t="shared" si="102"/>
        <v>0</v>
      </c>
      <c r="AE1063" s="17" t="b">
        <f t="shared" si="103"/>
        <v>0</v>
      </c>
    </row>
    <row r="1064" spans="17:31" x14ac:dyDescent="0.2">
      <c r="Q1064" s="17">
        <f>IFERROR(VLOOKUP(A1064,已除帳印單!B:C,1,0),0)*1</f>
        <v>0</v>
      </c>
      <c r="R1064" s="67" t="str">
        <f>IFERROR(VLOOKUP(J1064,線別!A:B,2,1),"")</f>
        <v/>
      </c>
      <c r="S1064" s="17" t="str">
        <f>IFERROR(VLOOKUP(A1064,已除帳印單!B:C,2,0),"")</f>
        <v/>
      </c>
      <c r="T1064" s="68" t="e">
        <f t="shared" si="98"/>
        <v>#VALUE!</v>
      </c>
      <c r="U1064" s="69">
        <f t="shared" si="99"/>
        <v>0</v>
      </c>
      <c r="V1064" s="68" t="str">
        <f>IFERROR(VLOOKUP(A1064,已除帳印單!B:D,3,0),"")</f>
        <v/>
      </c>
      <c r="W1064" s="69" t="str">
        <f>IFERROR(VLOOKUP(A1064,已除帳印單!B:E,4,0),"")</f>
        <v/>
      </c>
      <c r="X1064" s="68" t="str">
        <f>IFERROR(INDEX(刷條碼區!A:C,MATCH(點上線資訊!S1064,刷條碼區!C:C,0),1),"")</f>
        <v/>
      </c>
      <c r="Y1064" s="69" t="str">
        <f>IFERROR(INDEX(刷條碼區!A:C,MATCH(點上線資訊!S1064,刷條碼區!C:C,0),2),"")</f>
        <v/>
      </c>
      <c r="Z1064" s="70" t="str">
        <f>IFERROR(INDEX(刷條碼區!D:G,MATCH(點上線資訊!S1064,刷條碼區!F:F,0),1),"")</f>
        <v/>
      </c>
      <c r="AA1064" s="71" t="str">
        <f>IFERROR(INDEX(刷條碼區!D:G,MATCH(點上線資訊!S1064,刷條碼區!F:F,0),2),"")</f>
        <v/>
      </c>
      <c r="AB1064" s="20">
        <f t="shared" si="100"/>
        <v>0</v>
      </c>
      <c r="AC1064" s="20" t="b">
        <f t="shared" si="101"/>
        <v>0</v>
      </c>
      <c r="AD1064" s="17" t="b">
        <f t="shared" si="102"/>
        <v>0</v>
      </c>
      <c r="AE1064" s="17" t="b">
        <f t="shared" si="103"/>
        <v>0</v>
      </c>
    </row>
    <row r="1065" spans="17:31" x14ac:dyDescent="0.2">
      <c r="Q1065" s="17">
        <f>IFERROR(VLOOKUP(A1065,已除帳印單!B:C,1,0),0)*1</f>
        <v>0</v>
      </c>
      <c r="R1065" s="67" t="str">
        <f>IFERROR(VLOOKUP(J1065,線別!A:B,2,1),"")</f>
        <v/>
      </c>
      <c r="S1065" s="17" t="str">
        <f>IFERROR(VLOOKUP(A1065,已除帳印單!B:C,2,0),"")</f>
        <v/>
      </c>
      <c r="T1065" s="68" t="e">
        <f t="shared" si="98"/>
        <v>#VALUE!</v>
      </c>
      <c r="U1065" s="69">
        <f t="shared" si="99"/>
        <v>0</v>
      </c>
      <c r="V1065" s="68" t="str">
        <f>IFERROR(VLOOKUP(A1065,已除帳印單!B:D,3,0),"")</f>
        <v/>
      </c>
      <c r="W1065" s="69" t="str">
        <f>IFERROR(VLOOKUP(A1065,已除帳印單!B:E,4,0),"")</f>
        <v/>
      </c>
      <c r="X1065" s="68" t="str">
        <f>IFERROR(INDEX(刷條碼區!A:C,MATCH(點上線資訊!S1065,刷條碼區!C:C,0),1),"")</f>
        <v/>
      </c>
      <c r="Y1065" s="69" t="str">
        <f>IFERROR(INDEX(刷條碼區!A:C,MATCH(點上線資訊!S1065,刷條碼區!C:C,0),2),"")</f>
        <v/>
      </c>
      <c r="Z1065" s="70" t="str">
        <f>IFERROR(INDEX(刷條碼區!D:G,MATCH(點上線資訊!S1065,刷條碼區!F:F,0),1),"")</f>
        <v/>
      </c>
      <c r="AA1065" s="71" t="str">
        <f>IFERROR(INDEX(刷條碼區!D:G,MATCH(點上線資訊!S1065,刷條碼區!F:F,0),2),"")</f>
        <v/>
      </c>
      <c r="AB1065" s="20">
        <f t="shared" si="100"/>
        <v>0</v>
      </c>
      <c r="AC1065" s="20" t="b">
        <f t="shared" si="101"/>
        <v>0</v>
      </c>
      <c r="AD1065" s="17" t="b">
        <f t="shared" si="102"/>
        <v>0</v>
      </c>
      <c r="AE1065" s="17" t="b">
        <f t="shared" si="103"/>
        <v>0</v>
      </c>
    </row>
    <row r="1066" spans="17:31" x14ac:dyDescent="0.2">
      <c r="Q1066" s="17">
        <f>IFERROR(VLOOKUP(A1066,已除帳印單!B:C,1,0),0)*1</f>
        <v>0</v>
      </c>
      <c r="R1066" s="67" t="str">
        <f>IFERROR(VLOOKUP(J1066,線別!A:B,2,1),"")</f>
        <v/>
      </c>
      <c r="S1066" s="17" t="str">
        <f>IFERROR(VLOOKUP(A1066,已除帳印單!B:C,2,0),"")</f>
        <v/>
      </c>
      <c r="T1066" s="68" t="e">
        <f t="shared" si="98"/>
        <v>#VALUE!</v>
      </c>
      <c r="U1066" s="69">
        <f t="shared" si="99"/>
        <v>0</v>
      </c>
      <c r="V1066" s="68" t="str">
        <f>IFERROR(VLOOKUP(A1066,已除帳印單!B:D,3,0),"")</f>
        <v/>
      </c>
      <c r="W1066" s="69" t="str">
        <f>IFERROR(VLOOKUP(A1066,已除帳印單!B:E,4,0),"")</f>
        <v/>
      </c>
      <c r="X1066" s="68" t="str">
        <f>IFERROR(INDEX(刷條碼區!A:C,MATCH(點上線資訊!S1066,刷條碼區!C:C,0),1),"")</f>
        <v/>
      </c>
      <c r="Y1066" s="69" t="str">
        <f>IFERROR(INDEX(刷條碼區!A:C,MATCH(點上線資訊!S1066,刷條碼區!C:C,0),2),"")</f>
        <v/>
      </c>
      <c r="Z1066" s="70" t="str">
        <f>IFERROR(INDEX(刷條碼區!D:G,MATCH(點上線資訊!S1066,刷條碼區!F:F,0),1),"")</f>
        <v/>
      </c>
      <c r="AA1066" s="71" t="str">
        <f>IFERROR(INDEX(刷條碼區!D:G,MATCH(點上線資訊!S1066,刷條碼區!F:F,0),2),"")</f>
        <v/>
      </c>
      <c r="AB1066" s="20">
        <f t="shared" si="100"/>
        <v>0</v>
      </c>
      <c r="AC1066" s="20" t="b">
        <f t="shared" si="101"/>
        <v>0</v>
      </c>
      <c r="AD1066" s="17" t="b">
        <f t="shared" si="102"/>
        <v>0</v>
      </c>
      <c r="AE1066" s="17" t="b">
        <f t="shared" si="103"/>
        <v>0</v>
      </c>
    </row>
    <row r="1067" spans="17:31" x14ac:dyDescent="0.2">
      <c r="Q1067" s="17">
        <f>IFERROR(VLOOKUP(A1067,已除帳印單!B:C,1,0),0)*1</f>
        <v>0</v>
      </c>
      <c r="R1067" s="67" t="str">
        <f>IFERROR(VLOOKUP(J1067,線別!A:B,2,1),"")</f>
        <v/>
      </c>
      <c r="S1067" s="17" t="str">
        <f>IFERROR(VLOOKUP(A1067,已除帳印單!B:C,2,0),"")</f>
        <v/>
      </c>
      <c r="T1067" s="68" t="e">
        <f t="shared" si="98"/>
        <v>#VALUE!</v>
      </c>
      <c r="U1067" s="69">
        <f t="shared" si="99"/>
        <v>0</v>
      </c>
      <c r="V1067" s="68" t="str">
        <f>IFERROR(VLOOKUP(A1067,已除帳印單!B:D,3,0),"")</f>
        <v/>
      </c>
      <c r="W1067" s="69" t="str">
        <f>IFERROR(VLOOKUP(A1067,已除帳印單!B:E,4,0),"")</f>
        <v/>
      </c>
      <c r="X1067" s="68" t="str">
        <f>IFERROR(INDEX(刷條碼區!A:C,MATCH(點上線資訊!S1067,刷條碼區!C:C,0),1),"")</f>
        <v/>
      </c>
      <c r="Y1067" s="69" t="str">
        <f>IFERROR(INDEX(刷條碼區!A:C,MATCH(點上線資訊!S1067,刷條碼區!C:C,0),2),"")</f>
        <v/>
      </c>
      <c r="Z1067" s="70" t="str">
        <f>IFERROR(INDEX(刷條碼區!D:G,MATCH(點上線資訊!S1067,刷條碼區!F:F,0),1),"")</f>
        <v/>
      </c>
      <c r="AA1067" s="71" t="str">
        <f>IFERROR(INDEX(刷條碼區!D:G,MATCH(點上線資訊!S1067,刷條碼區!F:F,0),2),"")</f>
        <v/>
      </c>
      <c r="AB1067" s="20">
        <f t="shared" si="100"/>
        <v>0</v>
      </c>
      <c r="AC1067" s="20" t="b">
        <f t="shared" si="101"/>
        <v>0</v>
      </c>
      <c r="AD1067" s="17" t="b">
        <f t="shared" si="102"/>
        <v>0</v>
      </c>
      <c r="AE1067" s="17" t="b">
        <f t="shared" si="103"/>
        <v>0</v>
      </c>
    </row>
    <row r="1068" spans="17:31" x14ac:dyDescent="0.2">
      <c r="Q1068" s="17">
        <f>IFERROR(VLOOKUP(A1068,已除帳印單!B:C,1,0),0)*1</f>
        <v>0</v>
      </c>
      <c r="R1068" s="67" t="str">
        <f>IFERROR(VLOOKUP(J1068,線別!A:B,2,1),"")</f>
        <v/>
      </c>
      <c r="S1068" s="17" t="str">
        <f>IFERROR(VLOOKUP(A1068,已除帳印單!B:C,2,0),"")</f>
        <v/>
      </c>
      <c r="T1068" s="68" t="e">
        <f t="shared" si="98"/>
        <v>#VALUE!</v>
      </c>
      <c r="U1068" s="69">
        <f t="shared" si="99"/>
        <v>0</v>
      </c>
      <c r="V1068" s="68" t="str">
        <f>IFERROR(VLOOKUP(A1068,已除帳印單!B:D,3,0),"")</f>
        <v/>
      </c>
      <c r="W1068" s="69" t="str">
        <f>IFERROR(VLOOKUP(A1068,已除帳印單!B:E,4,0),"")</f>
        <v/>
      </c>
      <c r="X1068" s="68" t="str">
        <f>IFERROR(INDEX(刷條碼區!A:C,MATCH(點上線資訊!S1068,刷條碼區!C:C,0),1),"")</f>
        <v/>
      </c>
      <c r="Y1068" s="69" t="str">
        <f>IFERROR(INDEX(刷條碼區!A:C,MATCH(點上線資訊!S1068,刷條碼區!C:C,0),2),"")</f>
        <v/>
      </c>
      <c r="Z1068" s="70" t="str">
        <f>IFERROR(INDEX(刷條碼區!D:G,MATCH(點上線資訊!S1068,刷條碼區!F:F,0),1),"")</f>
        <v/>
      </c>
      <c r="AA1068" s="71" t="str">
        <f>IFERROR(INDEX(刷條碼區!D:G,MATCH(點上線資訊!S1068,刷條碼區!F:F,0),2),"")</f>
        <v/>
      </c>
      <c r="AB1068" s="20">
        <f t="shared" si="100"/>
        <v>0</v>
      </c>
      <c r="AC1068" s="20" t="b">
        <f t="shared" si="101"/>
        <v>0</v>
      </c>
      <c r="AD1068" s="17" t="b">
        <f t="shared" si="102"/>
        <v>0</v>
      </c>
      <c r="AE1068" s="17" t="b">
        <f t="shared" si="103"/>
        <v>0</v>
      </c>
    </row>
    <row r="1069" spans="17:31" x14ac:dyDescent="0.2">
      <c r="Q1069" s="17">
        <f>IFERROR(VLOOKUP(A1069,已除帳印單!B:C,1,0),0)*1</f>
        <v>0</v>
      </c>
      <c r="R1069" s="67" t="str">
        <f>IFERROR(VLOOKUP(J1069,線別!A:B,2,1),"")</f>
        <v/>
      </c>
      <c r="S1069" s="17" t="str">
        <f>IFERROR(VLOOKUP(A1069,已除帳印單!B:C,2,0),"")</f>
        <v/>
      </c>
      <c r="T1069" s="68" t="e">
        <f t="shared" si="98"/>
        <v>#VALUE!</v>
      </c>
      <c r="U1069" s="69">
        <f t="shared" si="99"/>
        <v>0</v>
      </c>
      <c r="V1069" s="68" t="str">
        <f>IFERROR(VLOOKUP(A1069,已除帳印單!B:D,3,0),"")</f>
        <v/>
      </c>
      <c r="W1069" s="69" t="str">
        <f>IFERROR(VLOOKUP(A1069,已除帳印單!B:E,4,0),"")</f>
        <v/>
      </c>
      <c r="X1069" s="68" t="str">
        <f>IFERROR(INDEX(刷條碼區!A:C,MATCH(點上線資訊!S1069,刷條碼區!C:C,0),1),"")</f>
        <v/>
      </c>
      <c r="Y1069" s="69" t="str">
        <f>IFERROR(INDEX(刷條碼區!A:C,MATCH(點上線資訊!S1069,刷條碼區!C:C,0),2),"")</f>
        <v/>
      </c>
      <c r="Z1069" s="70" t="str">
        <f>IFERROR(INDEX(刷條碼區!D:G,MATCH(點上線資訊!S1069,刷條碼區!F:F,0),1),"")</f>
        <v/>
      </c>
      <c r="AA1069" s="71" t="str">
        <f>IFERROR(INDEX(刷條碼區!D:G,MATCH(點上線資訊!S1069,刷條碼區!F:F,0),2),"")</f>
        <v/>
      </c>
      <c r="AB1069" s="20">
        <f t="shared" si="100"/>
        <v>0</v>
      </c>
      <c r="AC1069" s="20" t="b">
        <f t="shared" si="101"/>
        <v>0</v>
      </c>
      <c r="AD1069" s="17" t="b">
        <f t="shared" si="102"/>
        <v>0</v>
      </c>
      <c r="AE1069" s="17" t="b">
        <f t="shared" si="103"/>
        <v>0</v>
      </c>
    </row>
    <row r="1070" spans="17:31" x14ac:dyDescent="0.2">
      <c r="Q1070" s="17">
        <f>IFERROR(VLOOKUP(A1070,已除帳印單!B:C,1,0),0)*1</f>
        <v>0</v>
      </c>
      <c r="R1070" s="67" t="str">
        <f>IFERROR(VLOOKUP(J1070,線別!A:B,2,1),"")</f>
        <v/>
      </c>
      <c r="S1070" s="17" t="str">
        <f>IFERROR(VLOOKUP(A1070,已除帳印單!B:C,2,0),"")</f>
        <v/>
      </c>
      <c r="T1070" s="68" t="e">
        <f t="shared" si="98"/>
        <v>#VALUE!</v>
      </c>
      <c r="U1070" s="69">
        <f t="shared" si="99"/>
        <v>0</v>
      </c>
      <c r="V1070" s="68" t="str">
        <f>IFERROR(VLOOKUP(A1070,已除帳印單!B:D,3,0),"")</f>
        <v/>
      </c>
      <c r="W1070" s="69" t="str">
        <f>IFERROR(VLOOKUP(A1070,已除帳印單!B:E,4,0),"")</f>
        <v/>
      </c>
      <c r="X1070" s="68" t="str">
        <f>IFERROR(INDEX(刷條碼區!A:C,MATCH(點上線資訊!S1070,刷條碼區!C:C,0),1),"")</f>
        <v/>
      </c>
      <c r="Y1070" s="69" t="str">
        <f>IFERROR(INDEX(刷條碼區!A:C,MATCH(點上線資訊!S1070,刷條碼區!C:C,0),2),"")</f>
        <v/>
      </c>
      <c r="Z1070" s="70" t="str">
        <f>IFERROR(INDEX(刷條碼區!D:G,MATCH(點上線資訊!S1070,刷條碼區!F:F,0),1),"")</f>
        <v/>
      </c>
      <c r="AA1070" s="71" t="str">
        <f>IFERROR(INDEX(刷條碼區!D:G,MATCH(點上線資訊!S1070,刷條碼區!F:F,0),2),"")</f>
        <v/>
      </c>
      <c r="AB1070" s="20">
        <f t="shared" si="100"/>
        <v>0</v>
      </c>
      <c r="AC1070" s="20" t="b">
        <f t="shared" si="101"/>
        <v>0</v>
      </c>
      <c r="AD1070" s="17" t="b">
        <f t="shared" si="102"/>
        <v>0</v>
      </c>
      <c r="AE1070" s="17" t="b">
        <f t="shared" si="103"/>
        <v>0</v>
      </c>
    </row>
    <row r="1071" spans="17:31" x14ac:dyDescent="0.2">
      <c r="Q1071" s="17">
        <f>IFERROR(VLOOKUP(A1071,已除帳印單!B:C,1,0),0)*1</f>
        <v>0</v>
      </c>
      <c r="R1071" s="67" t="str">
        <f>IFERROR(VLOOKUP(J1071,線別!A:B,2,1),"")</f>
        <v/>
      </c>
      <c r="S1071" s="17" t="str">
        <f>IFERROR(VLOOKUP(A1071,已除帳印單!B:C,2,0),"")</f>
        <v/>
      </c>
      <c r="T1071" s="68" t="e">
        <f t="shared" si="98"/>
        <v>#VALUE!</v>
      </c>
      <c r="U1071" s="69">
        <f t="shared" si="99"/>
        <v>0</v>
      </c>
      <c r="V1071" s="68" t="str">
        <f>IFERROR(VLOOKUP(A1071,已除帳印單!B:D,3,0),"")</f>
        <v/>
      </c>
      <c r="W1071" s="69" t="str">
        <f>IFERROR(VLOOKUP(A1071,已除帳印單!B:E,4,0),"")</f>
        <v/>
      </c>
      <c r="X1071" s="68" t="str">
        <f>IFERROR(INDEX(刷條碼區!A:C,MATCH(點上線資訊!S1071,刷條碼區!C:C,0),1),"")</f>
        <v/>
      </c>
      <c r="Y1071" s="69" t="str">
        <f>IFERROR(INDEX(刷條碼區!A:C,MATCH(點上線資訊!S1071,刷條碼區!C:C,0),2),"")</f>
        <v/>
      </c>
      <c r="Z1071" s="70" t="str">
        <f>IFERROR(INDEX(刷條碼區!D:G,MATCH(點上線資訊!S1071,刷條碼區!F:F,0),1),"")</f>
        <v/>
      </c>
      <c r="AA1071" s="71" t="str">
        <f>IFERROR(INDEX(刷條碼區!D:G,MATCH(點上線資訊!S1071,刷條碼區!F:F,0),2),"")</f>
        <v/>
      </c>
      <c r="AB1071" s="20">
        <f t="shared" si="100"/>
        <v>0</v>
      </c>
      <c r="AC1071" s="20" t="b">
        <f t="shared" si="101"/>
        <v>0</v>
      </c>
      <c r="AD1071" s="17" t="b">
        <f t="shared" si="102"/>
        <v>0</v>
      </c>
      <c r="AE1071" s="17" t="b">
        <f t="shared" si="103"/>
        <v>0</v>
      </c>
    </row>
    <row r="1072" spans="17:31" x14ac:dyDescent="0.2">
      <c r="Q1072" s="17">
        <f>IFERROR(VLOOKUP(A1072,已除帳印單!B:C,1,0),0)*1</f>
        <v>0</v>
      </c>
      <c r="R1072" s="67" t="str">
        <f>IFERROR(VLOOKUP(J1072,線別!A:B,2,1),"")</f>
        <v/>
      </c>
      <c r="S1072" s="17" t="str">
        <f>IFERROR(VLOOKUP(A1072,已除帳印單!B:C,2,0),"")</f>
        <v/>
      </c>
      <c r="T1072" s="68" t="e">
        <f t="shared" si="98"/>
        <v>#VALUE!</v>
      </c>
      <c r="U1072" s="69">
        <f t="shared" si="99"/>
        <v>0</v>
      </c>
      <c r="V1072" s="68" t="str">
        <f>IFERROR(VLOOKUP(A1072,已除帳印單!B:D,3,0),"")</f>
        <v/>
      </c>
      <c r="W1072" s="69" t="str">
        <f>IFERROR(VLOOKUP(A1072,已除帳印單!B:E,4,0),"")</f>
        <v/>
      </c>
      <c r="X1072" s="68" t="str">
        <f>IFERROR(INDEX(刷條碼區!A:C,MATCH(點上線資訊!S1072,刷條碼區!C:C,0),1),"")</f>
        <v/>
      </c>
      <c r="Y1072" s="69" t="str">
        <f>IFERROR(INDEX(刷條碼區!A:C,MATCH(點上線資訊!S1072,刷條碼區!C:C,0),2),"")</f>
        <v/>
      </c>
      <c r="Z1072" s="70" t="str">
        <f>IFERROR(INDEX(刷條碼區!D:G,MATCH(點上線資訊!S1072,刷條碼區!F:F,0),1),"")</f>
        <v/>
      </c>
      <c r="AA1072" s="71" t="str">
        <f>IFERROR(INDEX(刷條碼區!D:G,MATCH(點上線資訊!S1072,刷條碼區!F:F,0),2),"")</f>
        <v/>
      </c>
      <c r="AB1072" s="20">
        <f t="shared" si="100"/>
        <v>0</v>
      </c>
      <c r="AC1072" s="20" t="b">
        <f t="shared" si="101"/>
        <v>0</v>
      </c>
      <c r="AD1072" s="17" t="b">
        <f t="shared" si="102"/>
        <v>0</v>
      </c>
      <c r="AE1072" s="17" t="b">
        <f t="shared" si="103"/>
        <v>0</v>
      </c>
    </row>
    <row r="1073" spans="17:31" x14ac:dyDescent="0.2">
      <c r="Q1073" s="17">
        <f>IFERROR(VLOOKUP(A1073,已除帳印單!B:C,1,0),0)*1</f>
        <v>0</v>
      </c>
      <c r="R1073" s="67" t="str">
        <f>IFERROR(VLOOKUP(J1073,線別!A:B,2,1),"")</f>
        <v/>
      </c>
      <c r="S1073" s="17" t="str">
        <f>IFERROR(VLOOKUP(A1073,已除帳印單!B:C,2,0),"")</f>
        <v/>
      </c>
      <c r="T1073" s="68" t="e">
        <f t="shared" si="98"/>
        <v>#VALUE!</v>
      </c>
      <c r="U1073" s="69">
        <f t="shared" si="99"/>
        <v>0</v>
      </c>
      <c r="V1073" s="68" t="str">
        <f>IFERROR(VLOOKUP(A1073,已除帳印單!B:D,3,0),"")</f>
        <v/>
      </c>
      <c r="W1073" s="69" t="str">
        <f>IFERROR(VLOOKUP(A1073,已除帳印單!B:E,4,0),"")</f>
        <v/>
      </c>
      <c r="X1073" s="68" t="str">
        <f>IFERROR(INDEX(刷條碼區!A:C,MATCH(點上線資訊!S1073,刷條碼區!C:C,0),1),"")</f>
        <v/>
      </c>
      <c r="Y1073" s="69" t="str">
        <f>IFERROR(INDEX(刷條碼區!A:C,MATCH(點上線資訊!S1073,刷條碼區!C:C,0),2),"")</f>
        <v/>
      </c>
      <c r="Z1073" s="70" t="str">
        <f>IFERROR(INDEX(刷條碼區!D:G,MATCH(點上線資訊!S1073,刷條碼區!F:F,0),1),"")</f>
        <v/>
      </c>
      <c r="AA1073" s="71" t="str">
        <f>IFERROR(INDEX(刷條碼區!D:G,MATCH(點上線資訊!S1073,刷條碼區!F:F,0),2),"")</f>
        <v/>
      </c>
      <c r="AB1073" s="20">
        <f t="shared" si="100"/>
        <v>0</v>
      </c>
      <c r="AC1073" s="20" t="b">
        <f t="shared" si="101"/>
        <v>0</v>
      </c>
      <c r="AD1073" s="17" t="b">
        <f t="shared" si="102"/>
        <v>0</v>
      </c>
      <c r="AE1073" s="17" t="b">
        <f t="shared" si="103"/>
        <v>0</v>
      </c>
    </row>
    <row r="1074" spans="17:31" x14ac:dyDescent="0.2">
      <c r="Q1074" s="17">
        <f>IFERROR(VLOOKUP(A1074,已除帳印單!B:C,1,0),0)*1</f>
        <v>0</v>
      </c>
      <c r="R1074" s="67" t="str">
        <f>IFERROR(VLOOKUP(J1074,線別!A:B,2,1),"")</f>
        <v/>
      </c>
      <c r="S1074" s="17" t="str">
        <f>IFERROR(VLOOKUP(A1074,已除帳印單!B:C,2,0),"")</f>
        <v/>
      </c>
      <c r="T1074" s="68" t="e">
        <f t="shared" si="98"/>
        <v>#VALUE!</v>
      </c>
      <c r="U1074" s="69">
        <f t="shared" si="99"/>
        <v>0</v>
      </c>
      <c r="V1074" s="68" t="str">
        <f>IFERROR(VLOOKUP(A1074,已除帳印單!B:D,3,0),"")</f>
        <v/>
      </c>
      <c r="W1074" s="69" t="str">
        <f>IFERROR(VLOOKUP(A1074,已除帳印單!B:E,4,0),"")</f>
        <v/>
      </c>
      <c r="X1074" s="68" t="str">
        <f>IFERROR(INDEX(刷條碼區!A:C,MATCH(點上線資訊!S1074,刷條碼區!C:C,0),1),"")</f>
        <v/>
      </c>
      <c r="Y1074" s="69" t="str">
        <f>IFERROR(INDEX(刷條碼區!A:C,MATCH(點上線資訊!S1074,刷條碼區!C:C,0),2),"")</f>
        <v/>
      </c>
      <c r="Z1074" s="70" t="str">
        <f>IFERROR(INDEX(刷條碼區!D:G,MATCH(點上線資訊!S1074,刷條碼區!F:F,0),1),"")</f>
        <v/>
      </c>
      <c r="AA1074" s="71" t="str">
        <f>IFERROR(INDEX(刷條碼區!D:G,MATCH(點上線資訊!S1074,刷條碼區!F:F,0),2),"")</f>
        <v/>
      </c>
      <c r="AB1074" s="20">
        <f t="shared" si="100"/>
        <v>0</v>
      </c>
      <c r="AC1074" s="20" t="b">
        <f t="shared" si="101"/>
        <v>0</v>
      </c>
      <c r="AD1074" s="17" t="b">
        <f t="shared" si="102"/>
        <v>0</v>
      </c>
      <c r="AE1074" s="17" t="b">
        <f t="shared" si="103"/>
        <v>0</v>
      </c>
    </row>
    <row r="1075" spans="17:31" x14ac:dyDescent="0.2">
      <c r="Q1075" s="17">
        <f>IFERROR(VLOOKUP(A1075,已除帳印單!B:C,1,0),0)*1</f>
        <v>0</v>
      </c>
      <c r="R1075" s="67" t="str">
        <f>IFERROR(VLOOKUP(J1075,線別!A:B,2,1),"")</f>
        <v/>
      </c>
      <c r="S1075" s="17" t="str">
        <f>IFERROR(VLOOKUP(A1075,已除帳印單!B:C,2,0),"")</f>
        <v/>
      </c>
      <c r="T1075" s="68" t="e">
        <f t="shared" si="98"/>
        <v>#VALUE!</v>
      </c>
      <c r="U1075" s="69">
        <f t="shared" si="99"/>
        <v>0</v>
      </c>
      <c r="V1075" s="68" t="str">
        <f>IFERROR(VLOOKUP(A1075,已除帳印單!B:D,3,0),"")</f>
        <v/>
      </c>
      <c r="W1075" s="69" t="str">
        <f>IFERROR(VLOOKUP(A1075,已除帳印單!B:E,4,0),"")</f>
        <v/>
      </c>
      <c r="X1075" s="68" t="str">
        <f>IFERROR(INDEX(刷條碼區!A:C,MATCH(點上線資訊!S1075,刷條碼區!C:C,0),1),"")</f>
        <v/>
      </c>
      <c r="Y1075" s="69" t="str">
        <f>IFERROR(INDEX(刷條碼區!A:C,MATCH(點上線資訊!S1075,刷條碼區!C:C,0),2),"")</f>
        <v/>
      </c>
      <c r="Z1075" s="70" t="str">
        <f>IFERROR(INDEX(刷條碼區!D:G,MATCH(點上線資訊!S1075,刷條碼區!F:F,0),1),"")</f>
        <v/>
      </c>
      <c r="AA1075" s="71" t="str">
        <f>IFERROR(INDEX(刷條碼區!D:G,MATCH(點上線資訊!S1075,刷條碼區!F:F,0),2),"")</f>
        <v/>
      </c>
      <c r="AB1075" s="20">
        <f t="shared" si="100"/>
        <v>0</v>
      </c>
      <c r="AC1075" s="20" t="b">
        <f t="shared" si="101"/>
        <v>0</v>
      </c>
      <c r="AD1075" s="17" t="b">
        <f t="shared" si="102"/>
        <v>0</v>
      </c>
      <c r="AE1075" s="17" t="b">
        <f t="shared" si="103"/>
        <v>0</v>
      </c>
    </row>
    <row r="1076" spans="17:31" x14ac:dyDescent="0.2">
      <c r="Q1076" s="17">
        <f>IFERROR(VLOOKUP(A1076,已除帳印單!B:C,1,0),0)*1</f>
        <v>0</v>
      </c>
      <c r="R1076" s="67" t="str">
        <f>IFERROR(VLOOKUP(J1076,線別!A:B,2,1),"")</f>
        <v/>
      </c>
      <c r="S1076" s="17" t="str">
        <f>IFERROR(VLOOKUP(A1076,已除帳印單!B:C,2,0),"")</f>
        <v/>
      </c>
      <c r="T1076" s="68" t="e">
        <f t="shared" si="98"/>
        <v>#VALUE!</v>
      </c>
      <c r="U1076" s="69">
        <f t="shared" si="99"/>
        <v>0</v>
      </c>
      <c r="V1076" s="68" t="str">
        <f>IFERROR(VLOOKUP(A1076,已除帳印單!B:D,3,0),"")</f>
        <v/>
      </c>
      <c r="W1076" s="69" t="str">
        <f>IFERROR(VLOOKUP(A1076,已除帳印單!B:E,4,0),"")</f>
        <v/>
      </c>
      <c r="X1076" s="68" t="str">
        <f>IFERROR(INDEX(刷條碼區!A:C,MATCH(點上線資訊!S1076,刷條碼區!C:C,0),1),"")</f>
        <v/>
      </c>
      <c r="Y1076" s="69" t="str">
        <f>IFERROR(INDEX(刷條碼區!A:C,MATCH(點上線資訊!S1076,刷條碼區!C:C,0),2),"")</f>
        <v/>
      </c>
      <c r="Z1076" s="70" t="str">
        <f>IFERROR(INDEX(刷條碼區!D:G,MATCH(點上線資訊!S1076,刷條碼區!F:F,0),1),"")</f>
        <v/>
      </c>
      <c r="AA1076" s="71" t="str">
        <f>IFERROR(INDEX(刷條碼區!D:G,MATCH(點上線資訊!S1076,刷條碼區!F:F,0),2),"")</f>
        <v/>
      </c>
      <c r="AB1076" s="20">
        <f t="shared" si="100"/>
        <v>0</v>
      </c>
      <c r="AC1076" s="20" t="b">
        <f t="shared" si="101"/>
        <v>0</v>
      </c>
      <c r="AD1076" s="17" t="b">
        <f t="shared" si="102"/>
        <v>0</v>
      </c>
      <c r="AE1076" s="17" t="b">
        <f t="shared" si="103"/>
        <v>0</v>
      </c>
    </row>
    <row r="1077" spans="17:31" x14ac:dyDescent="0.2">
      <c r="Q1077" s="17">
        <f>IFERROR(VLOOKUP(A1077,已除帳印單!B:C,1,0),0)*1</f>
        <v>0</v>
      </c>
      <c r="R1077" s="67" t="str">
        <f>IFERROR(VLOOKUP(J1077,線別!A:B,2,1),"")</f>
        <v/>
      </c>
      <c r="S1077" s="17" t="str">
        <f>IFERROR(VLOOKUP(A1077,已除帳印單!B:C,2,0),"")</f>
        <v/>
      </c>
      <c r="T1077" s="68" t="e">
        <f t="shared" ref="T1077:T1140" si="104">--TEXT(B1077,"0000-00-00")</f>
        <v>#VALUE!</v>
      </c>
      <c r="U1077" s="69">
        <f t="shared" ref="U1077:U1140" si="105">--TEXT(C1077,"00\:00\:00")</f>
        <v>0</v>
      </c>
      <c r="V1077" s="68" t="str">
        <f>IFERROR(VLOOKUP(A1077,已除帳印單!B:D,3,0),"")</f>
        <v/>
      </c>
      <c r="W1077" s="69" t="str">
        <f>IFERROR(VLOOKUP(A1077,已除帳印單!B:E,4,0),"")</f>
        <v/>
      </c>
      <c r="X1077" s="68" t="str">
        <f>IFERROR(INDEX(刷條碼區!A:C,MATCH(點上線資訊!S1077,刷條碼區!C:C,0),1),"")</f>
        <v/>
      </c>
      <c r="Y1077" s="69" t="str">
        <f>IFERROR(INDEX(刷條碼區!A:C,MATCH(點上線資訊!S1077,刷條碼區!C:C,0),2),"")</f>
        <v/>
      </c>
      <c r="Z1077" s="70" t="str">
        <f>IFERROR(INDEX(刷條碼區!D:G,MATCH(點上線資訊!S1077,刷條碼區!F:F,0),1),"")</f>
        <v/>
      </c>
      <c r="AA1077" s="71" t="str">
        <f>IFERROR(INDEX(刷條碼區!D:G,MATCH(點上線資訊!S1077,刷條碼區!F:F,0),2),"")</f>
        <v/>
      </c>
      <c r="AB1077" s="20">
        <f t="shared" ref="AB1077:AB1140" si="106">IF(K1077&amp;N1077="",G1077)</f>
        <v>0</v>
      </c>
      <c r="AC1077" s="20" t="b">
        <f t="shared" ref="AC1077:AC1140" si="107">IF(S1077&lt;&gt;"",G1077)</f>
        <v>0</v>
      </c>
      <c r="AD1077" s="17" t="b">
        <f t="shared" ref="AD1077:AD1140" si="108">IF(X1077&lt;&gt;"",G1077)</f>
        <v>0</v>
      </c>
      <c r="AE1077" s="17" t="b">
        <f t="shared" ref="AE1077:AE1140" si="109">IF(Z1077&lt;&gt;"",G1077)</f>
        <v>0</v>
      </c>
    </row>
    <row r="1078" spans="17:31" x14ac:dyDescent="0.2">
      <c r="Q1078" s="17">
        <f>IFERROR(VLOOKUP(A1078,已除帳印單!B:C,1,0),0)*1</f>
        <v>0</v>
      </c>
      <c r="R1078" s="67" t="str">
        <f>IFERROR(VLOOKUP(J1078,線別!A:B,2,1),"")</f>
        <v/>
      </c>
      <c r="S1078" s="17" t="str">
        <f>IFERROR(VLOOKUP(A1078,已除帳印單!B:C,2,0),"")</f>
        <v/>
      </c>
      <c r="T1078" s="68" t="e">
        <f t="shared" si="104"/>
        <v>#VALUE!</v>
      </c>
      <c r="U1078" s="69">
        <f t="shared" si="105"/>
        <v>0</v>
      </c>
      <c r="V1078" s="68" t="str">
        <f>IFERROR(VLOOKUP(A1078,已除帳印單!B:D,3,0),"")</f>
        <v/>
      </c>
      <c r="W1078" s="69" t="str">
        <f>IFERROR(VLOOKUP(A1078,已除帳印單!B:E,4,0),"")</f>
        <v/>
      </c>
      <c r="X1078" s="68" t="str">
        <f>IFERROR(INDEX(刷條碼區!A:C,MATCH(點上線資訊!S1078,刷條碼區!C:C,0),1),"")</f>
        <v/>
      </c>
      <c r="Y1078" s="69" t="str">
        <f>IFERROR(INDEX(刷條碼區!A:C,MATCH(點上線資訊!S1078,刷條碼區!C:C,0),2),"")</f>
        <v/>
      </c>
      <c r="Z1078" s="70" t="str">
        <f>IFERROR(INDEX(刷條碼區!D:G,MATCH(點上線資訊!S1078,刷條碼區!F:F,0),1),"")</f>
        <v/>
      </c>
      <c r="AA1078" s="71" t="str">
        <f>IFERROR(INDEX(刷條碼區!D:G,MATCH(點上線資訊!S1078,刷條碼區!F:F,0),2),"")</f>
        <v/>
      </c>
      <c r="AB1078" s="20">
        <f t="shared" si="106"/>
        <v>0</v>
      </c>
      <c r="AC1078" s="20" t="b">
        <f t="shared" si="107"/>
        <v>0</v>
      </c>
      <c r="AD1078" s="17" t="b">
        <f t="shared" si="108"/>
        <v>0</v>
      </c>
      <c r="AE1078" s="17" t="b">
        <f t="shared" si="109"/>
        <v>0</v>
      </c>
    </row>
    <row r="1079" spans="17:31" x14ac:dyDescent="0.2">
      <c r="Q1079" s="17">
        <f>IFERROR(VLOOKUP(A1079,已除帳印單!B:C,1,0),0)*1</f>
        <v>0</v>
      </c>
      <c r="R1079" s="67" t="str">
        <f>IFERROR(VLOOKUP(J1079,線別!A:B,2,1),"")</f>
        <v/>
      </c>
      <c r="S1079" s="17" t="str">
        <f>IFERROR(VLOOKUP(A1079,已除帳印單!B:C,2,0),"")</f>
        <v/>
      </c>
      <c r="T1079" s="68" t="e">
        <f t="shared" si="104"/>
        <v>#VALUE!</v>
      </c>
      <c r="U1079" s="69">
        <f t="shared" si="105"/>
        <v>0</v>
      </c>
      <c r="V1079" s="68" t="str">
        <f>IFERROR(VLOOKUP(A1079,已除帳印單!B:D,3,0),"")</f>
        <v/>
      </c>
      <c r="W1079" s="69" t="str">
        <f>IFERROR(VLOOKUP(A1079,已除帳印單!B:E,4,0),"")</f>
        <v/>
      </c>
      <c r="X1079" s="68" t="str">
        <f>IFERROR(INDEX(刷條碼區!A:C,MATCH(點上線資訊!S1079,刷條碼區!C:C,0),1),"")</f>
        <v/>
      </c>
      <c r="Y1079" s="69" t="str">
        <f>IFERROR(INDEX(刷條碼區!A:C,MATCH(點上線資訊!S1079,刷條碼區!C:C,0),2),"")</f>
        <v/>
      </c>
      <c r="Z1079" s="70" t="str">
        <f>IFERROR(INDEX(刷條碼區!D:G,MATCH(點上線資訊!S1079,刷條碼區!F:F,0),1),"")</f>
        <v/>
      </c>
      <c r="AA1079" s="71" t="str">
        <f>IFERROR(INDEX(刷條碼區!D:G,MATCH(點上線資訊!S1079,刷條碼區!F:F,0),2),"")</f>
        <v/>
      </c>
      <c r="AB1079" s="20">
        <f t="shared" si="106"/>
        <v>0</v>
      </c>
      <c r="AC1079" s="20" t="b">
        <f t="shared" si="107"/>
        <v>0</v>
      </c>
      <c r="AD1079" s="17" t="b">
        <f t="shared" si="108"/>
        <v>0</v>
      </c>
      <c r="AE1079" s="17" t="b">
        <f t="shared" si="109"/>
        <v>0</v>
      </c>
    </row>
    <row r="1080" spans="17:31" x14ac:dyDescent="0.2">
      <c r="Q1080" s="17">
        <f>IFERROR(VLOOKUP(A1080,已除帳印單!B:C,1,0),0)*1</f>
        <v>0</v>
      </c>
      <c r="R1080" s="67" t="str">
        <f>IFERROR(VLOOKUP(J1080,線別!A:B,2,1),"")</f>
        <v/>
      </c>
      <c r="S1080" s="17" t="str">
        <f>IFERROR(VLOOKUP(A1080,已除帳印單!B:C,2,0),"")</f>
        <v/>
      </c>
      <c r="T1080" s="68" t="e">
        <f t="shared" si="104"/>
        <v>#VALUE!</v>
      </c>
      <c r="U1080" s="69">
        <f t="shared" si="105"/>
        <v>0</v>
      </c>
      <c r="V1080" s="68" t="str">
        <f>IFERROR(VLOOKUP(A1080,已除帳印單!B:D,3,0),"")</f>
        <v/>
      </c>
      <c r="W1080" s="69" t="str">
        <f>IFERROR(VLOOKUP(A1080,已除帳印單!B:E,4,0),"")</f>
        <v/>
      </c>
      <c r="X1080" s="68" t="str">
        <f>IFERROR(INDEX(刷條碼區!A:C,MATCH(點上線資訊!S1080,刷條碼區!C:C,0),1),"")</f>
        <v/>
      </c>
      <c r="Y1080" s="69" t="str">
        <f>IFERROR(INDEX(刷條碼區!A:C,MATCH(點上線資訊!S1080,刷條碼區!C:C,0),2),"")</f>
        <v/>
      </c>
      <c r="Z1080" s="70" t="str">
        <f>IFERROR(INDEX(刷條碼區!D:G,MATCH(點上線資訊!S1080,刷條碼區!F:F,0),1),"")</f>
        <v/>
      </c>
      <c r="AA1080" s="71" t="str">
        <f>IFERROR(INDEX(刷條碼區!D:G,MATCH(點上線資訊!S1080,刷條碼區!F:F,0),2),"")</f>
        <v/>
      </c>
      <c r="AB1080" s="20">
        <f t="shared" si="106"/>
        <v>0</v>
      </c>
      <c r="AC1080" s="20" t="b">
        <f t="shared" si="107"/>
        <v>0</v>
      </c>
      <c r="AD1080" s="17" t="b">
        <f t="shared" si="108"/>
        <v>0</v>
      </c>
      <c r="AE1080" s="17" t="b">
        <f t="shared" si="109"/>
        <v>0</v>
      </c>
    </row>
    <row r="1081" spans="17:31" x14ac:dyDescent="0.2">
      <c r="Q1081" s="17">
        <f>IFERROR(VLOOKUP(A1081,已除帳印單!B:C,1,0),0)*1</f>
        <v>0</v>
      </c>
      <c r="R1081" s="67" t="str">
        <f>IFERROR(VLOOKUP(J1081,線別!A:B,2,1),"")</f>
        <v/>
      </c>
      <c r="S1081" s="17" t="str">
        <f>IFERROR(VLOOKUP(A1081,已除帳印單!B:C,2,0),"")</f>
        <v/>
      </c>
      <c r="T1081" s="68" t="e">
        <f t="shared" si="104"/>
        <v>#VALUE!</v>
      </c>
      <c r="U1081" s="69">
        <f t="shared" si="105"/>
        <v>0</v>
      </c>
      <c r="V1081" s="68" t="str">
        <f>IFERROR(VLOOKUP(A1081,已除帳印單!B:D,3,0),"")</f>
        <v/>
      </c>
      <c r="W1081" s="69" t="str">
        <f>IFERROR(VLOOKUP(A1081,已除帳印單!B:E,4,0),"")</f>
        <v/>
      </c>
      <c r="X1081" s="68" t="str">
        <f>IFERROR(INDEX(刷條碼區!A:C,MATCH(點上線資訊!S1081,刷條碼區!C:C,0),1),"")</f>
        <v/>
      </c>
      <c r="Y1081" s="69" t="str">
        <f>IFERROR(INDEX(刷條碼區!A:C,MATCH(點上線資訊!S1081,刷條碼區!C:C,0),2),"")</f>
        <v/>
      </c>
      <c r="Z1081" s="70" t="str">
        <f>IFERROR(INDEX(刷條碼區!D:G,MATCH(點上線資訊!S1081,刷條碼區!F:F,0),1),"")</f>
        <v/>
      </c>
      <c r="AA1081" s="71" t="str">
        <f>IFERROR(INDEX(刷條碼區!D:G,MATCH(點上線資訊!S1081,刷條碼區!F:F,0),2),"")</f>
        <v/>
      </c>
      <c r="AB1081" s="20">
        <f t="shared" si="106"/>
        <v>0</v>
      </c>
      <c r="AC1081" s="20" t="b">
        <f t="shared" si="107"/>
        <v>0</v>
      </c>
      <c r="AD1081" s="17" t="b">
        <f t="shared" si="108"/>
        <v>0</v>
      </c>
      <c r="AE1081" s="17" t="b">
        <f t="shared" si="109"/>
        <v>0</v>
      </c>
    </row>
    <row r="1082" spans="17:31" x14ac:dyDescent="0.2">
      <c r="Q1082" s="17">
        <f>IFERROR(VLOOKUP(A1082,已除帳印單!B:C,1,0),0)*1</f>
        <v>0</v>
      </c>
      <c r="R1082" s="67" t="str">
        <f>IFERROR(VLOOKUP(J1082,線別!A:B,2,1),"")</f>
        <v/>
      </c>
      <c r="S1082" s="17" t="str">
        <f>IFERROR(VLOOKUP(A1082,已除帳印單!B:C,2,0),"")</f>
        <v/>
      </c>
      <c r="T1082" s="68" t="e">
        <f t="shared" si="104"/>
        <v>#VALUE!</v>
      </c>
      <c r="U1082" s="69">
        <f t="shared" si="105"/>
        <v>0</v>
      </c>
      <c r="V1082" s="68" t="str">
        <f>IFERROR(VLOOKUP(A1082,已除帳印單!B:D,3,0),"")</f>
        <v/>
      </c>
      <c r="W1082" s="69" t="str">
        <f>IFERROR(VLOOKUP(A1082,已除帳印單!B:E,4,0),"")</f>
        <v/>
      </c>
      <c r="X1082" s="68" t="str">
        <f>IFERROR(INDEX(刷條碼區!A:C,MATCH(點上線資訊!S1082,刷條碼區!C:C,0),1),"")</f>
        <v/>
      </c>
      <c r="Y1082" s="69" t="str">
        <f>IFERROR(INDEX(刷條碼區!A:C,MATCH(點上線資訊!S1082,刷條碼區!C:C,0),2),"")</f>
        <v/>
      </c>
      <c r="Z1082" s="70" t="str">
        <f>IFERROR(INDEX(刷條碼區!D:G,MATCH(點上線資訊!S1082,刷條碼區!F:F,0),1),"")</f>
        <v/>
      </c>
      <c r="AA1082" s="71" t="str">
        <f>IFERROR(INDEX(刷條碼區!D:G,MATCH(點上線資訊!S1082,刷條碼區!F:F,0),2),"")</f>
        <v/>
      </c>
      <c r="AB1082" s="20">
        <f t="shared" si="106"/>
        <v>0</v>
      </c>
      <c r="AC1082" s="20" t="b">
        <f t="shared" si="107"/>
        <v>0</v>
      </c>
      <c r="AD1082" s="17" t="b">
        <f t="shared" si="108"/>
        <v>0</v>
      </c>
      <c r="AE1082" s="17" t="b">
        <f t="shared" si="109"/>
        <v>0</v>
      </c>
    </row>
    <row r="1083" spans="17:31" x14ac:dyDescent="0.2">
      <c r="Q1083" s="17">
        <f>IFERROR(VLOOKUP(A1083,已除帳印單!B:C,1,0),0)*1</f>
        <v>0</v>
      </c>
      <c r="R1083" s="67" t="str">
        <f>IFERROR(VLOOKUP(J1083,線別!A:B,2,1),"")</f>
        <v/>
      </c>
      <c r="S1083" s="17" t="str">
        <f>IFERROR(VLOOKUP(A1083,已除帳印單!B:C,2,0),"")</f>
        <v/>
      </c>
      <c r="T1083" s="68" t="e">
        <f t="shared" si="104"/>
        <v>#VALUE!</v>
      </c>
      <c r="U1083" s="69">
        <f t="shared" si="105"/>
        <v>0</v>
      </c>
      <c r="V1083" s="68" t="str">
        <f>IFERROR(VLOOKUP(A1083,已除帳印單!B:D,3,0),"")</f>
        <v/>
      </c>
      <c r="W1083" s="69" t="str">
        <f>IFERROR(VLOOKUP(A1083,已除帳印單!B:E,4,0),"")</f>
        <v/>
      </c>
      <c r="X1083" s="68" t="str">
        <f>IFERROR(INDEX(刷條碼區!A:C,MATCH(點上線資訊!S1083,刷條碼區!C:C,0),1),"")</f>
        <v/>
      </c>
      <c r="Y1083" s="69" t="str">
        <f>IFERROR(INDEX(刷條碼區!A:C,MATCH(點上線資訊!S1083,刷條碼區!C:C,0),2),"")</f>
        <v/>
      </c>
      <c r="Z1083" s="70" t="str">
        <f>IFERROR(INDEX(刷條碼區!D:G,MATCH(點上線資訊!S1083,刷條碼區!F:F,0),1),"")</f>
        <v/>
      </c>
      <c r="AA1083" s="71" t="str">
        <f>IFERROR(INDEX(刷條碼區!D:G,MATCH(點上線資訊!S1083,刷條碼區!F:F,0),2),"")</f>
        <v/>
      </c>
      <c r="AB1083" s="20">
        <f t="shared" si="106"/>
        <v>0</v>
      </c>
      <c r="AC1083" s="20" t="b">
        <f t="shared" si="107"/>
        <v>0</v>
      </c>
      <c r="AD1083" s="17" t="b">
        <f t="shared" si="108"/>
        <v>0</v>
      </c>
      <c r="AE1083" s="17" t="b">
        <f t="shared" si="109"/>
        <v>0</v>
      </c>
    </row>
    <row r="1084" spans="17:31" x14ac:dyDescent="0.2">
      <c r="Q1084" s="17">
        <f>IFERROR(VLOOKUP(A1084,已除帳印單!B:C,1,0),0)*1</f>
        <v>0</v>
      </c>
      <c r="R1084" s="67" t="str">
        <f>IFERROR(VLOOKUP(J1084,線別!A:B,2,1),"")</f>
        <v/>
      </c>
      <c r="S1084" s="17" t="str">
        <f>IFERROR(VLOOKUP(A1084,已除帳印單!B:C,2,0),"")</f>
        <v/>
      </c>
      <c r="T1084" s="68" t="e">
        <f t="shared" si="104"/>
        <v>#VALUE!</v>
      </c>
      <c r="U1084" s="69">
        <f t="shared" si="105"/>
        <v>0</v>
      </c>
      <c r="V1084" s="68" t="str">
        <f>IFERROR(VLOOKUP(A1084,已除帳印單!B:D,3,0),"")</f>
        <v/>
      </c>
      <c r="W1084" s="69" t="str">
        <f>IFERROR(VLOOKUP(A1084,已除帳印單!B:E,4,0),"")</f>
        <v/>
      </c>
      <c r="X1084" s="68" t="str">
        <f>IFERROR(INDEX(刷條碼區!A:C,MATCH(點上線資訊!S1084,刷條碼區!C:C,0),1),"")</f>
        <v/>
      </c>
      <c r="Y1084" s="69" t="str">
        <f>IFERROR(INDEX(刷條碼區!A:C,MATCH(點上線資訊!S1084,刷條碼區!C:C,0),2),"")</f>
        <v/>
      </c>
      <c r="Z1084" s="70" t="str">
        <f>IFERROR(INDEX(刷條碼區!D:G,MATCH(點上線資訊!S1084,刷條碼區!F:F,0),1),"")</f>
        <v/>
      </c>
      <c r="AA1084" s="71" t="str">
        <f>IFERROR(INDEX(刷條碼區!D:G,MATCH(點上線資訊!S1084,刷條碼區!F:F,0),2),"")</f>
        <v/>
      </c>
      <c r="AB1084" s="20">
        <f t="shared" si="106"/>
        <v>0</v>
      </c>
      <c r="AC1084" s="20" t="b">
        <f t="shared" si="107"/>
        <v>0</v>
      </c>
      <c r="AD1084" s="17" t="b">
        <f t="shared" si="108"/>
        <v>0</v>
      </c>
      <c r="AE1084" s="17" t="b">
        <f t="shared" si="109"/>
        <v>0</v>
      </c>
    </row>
    <row r="1085" spans="17:31" x14ac:dyDescent="0.2">
      <c r="Q1085" s="17">
        <f>IFERROR(VLOOKUP(A1085,已除帳印單!B:C,1,0),0)*1</f>
        <v>0</v>
      </c>
      <c r="R1085" s="67" t="str">
        <f>IFERROR(VLOOKUP(J1085,線別!A:B,2,1),"")</f>
        <v/>
      </c>
      <c r="S1085" s="17" t="str">
        <f>IFERROR(VLOOKUP(A1085,已除帳印單!B:C,2,0),"")</f>
        <v/>
      </c>
      <c r="T1085" s="68" t="e">
        <f t="shared" si="104"/>
        <v>#VALUE!</v>
      </c>
      <c r="U1085" s="69">
        <f t="shared" si="105"/>
        <v>0</v>
      </c>
      <c r="V1085" s="68" t="str">
        <f>IFERROR(VLOOKUP(A1085,已除帳印單!B:D,3,0),"")</f>
        <v/>
      </c>
      <c r="W1085" s="69" t="str">
        <f>IFERROR(VLOOKUP(A1085,已除帳印單!B:E,4,0),"")</f>
        <v/>
      </c>
      <c r="X1085" s="68" t="str">
        <f>IFERROR(INDEX(刷條碼區!A:C,MATCH(點上線資訊!S1085,刷條碼區!C:C,0),1),"")</f>
        <v/>
      </c>
      <c r="Y1085" s="69" t="str">
        <f>IFERROR(INDEX(刷條碼區!A:C,MATCH(點上線資訊!S1085,刷條碼區!C:C,0),2),"")</f>
        <v/>
      </c>
      <c r="Z1085" s="70" t="str">
        <f>IFERROR(INDEX(刷條碼區!D:G,MATCH(點上線資訊!S1085,刷條碼區!F:F,0),1),"")</f>
        <v/>
      </c>
      <c r="AA1085" s="71" t="str">
        <f>IFERROR(INDEX(刷條碼區!D:G,MATCH(點上線資訊!S1085,刷條碼區!F:F,0),2),"")</f>
        <v/>
      </c>
      <c r="AB1085" s="20">
        <f t="shared" si="106"/>
        <v>0</v>
      </c>
      <c r="AC1085" s="20" t="b">
        <f t="shared" si="107"/>
        <v>0</v>
      </c>
      <c r="AD1085" s="17" t="b">
        <f t="shared" si="108"/>
        <v>0</v>
      </c>
      <c r="AE1085" s="17" t="b">
        <f t="shared" si="109"/>
        <v>0</v>
      </c>
    </row>
    <row r="1086" spans="17:31" x14ac:dyDescent="0.2">
      <c r="Q1086" s="17">
        <f>IFERROR(VLOOKUP(A1086,已除帳印單!B:C,1,0),0)*1</f>
        <v>0</v>
      </c>
      <c r="R1086" s="67" t="str">
        <f>IFERROR(VLOOKUP(J1086,線別!A:B,2,1),"")</f>
        <v/>
      </c>
      <c r="S1086" s="17" t="str">
        <f>IFERROR(VLOOKUP(A1086,已除帳印單!B:C,2,0),"")</f>
        <v/>
      </c>
      <c r="T1086" s="68" t="e">
        <f t="shared" si="104"/>
        <v>#VALUE!</v>
      </c>
      <c r="U1086" s="69">
        <f t="shared" si="105"/>
        <v>0</v>
      </c>
      <c r="V1086" s="68" t="str">
        <f>IFERROR(VLOOKUP(A1086,已除帳印單!B:D,3,0),"")</f>
        <v/>
      </c>
      <c r="W1086" s="69" t="str">
        <f>IFERROR(VLOOKUP(A1086,已除帳印單!B:E,4,0),"")</f>
        <v/>
      </c>
      <c r="X1086" s="68" t="str">
        <f>IFERROR(INDEX(刷條碼區!A:C,MATCH(點上線資訊!S1086,刷條碼區!C:C,0),1),"")</f>
        <v/>
      </c>
      <c r="Y1086" s="69" t="str">
        <f>IFERROR(INDEX(刷條碼區!A:C,MATCH(點上線資訊!S1086,刷條碼區!C:C,0),2),"")</f>
        <v/>
      </c>
      <c r="Z1086" s="70" t="str">
        <f>IFERROR(INDEX(刷條碼區!D:G,MATCH(點上線資訊!S1086,刷條碼區!F:F,0),1),"")</f>
        <v/>
      </c>
      <c r="AA1086" s="71" t="str">
        <f>IFERROR(INDEX(刷條碼區!D:G,MATCH(點上線資訊!S1086,刷條碼區!F:F,0),2),"")</f>
        <v/>
      </c>
      <c r="AB1086" s="20">
        <f t="shared" si="106"/>
        <v>0</v>
      </c>
      <c r="AC1086" s="20" t="b">
        <f t="shared" si="107"/>
        <v>0</v>
      </c>
      <c r="AD1086" s="17" t="b">
        <f t="shared" si="108"/>
        <v>0</v>
      </c>
      <c r="AE1086" s="17" t="b">
        <f t="shared" si="109"/>
        <v>0</v>
      </c>
    </row>
    <row r="1087" spans="17:31" x14ac:dyDescent="0.2">
      <c r="Q1087" s="17">
        <f>IFERROR(VLOOKUP(A1087,已除帳印單!B:C,1,0),0)*1</f>
        <v>0</v>
      </c>
      <c r="R1087" s="67" t="str">
        <f>IFERROR(VLOOKUP(J1087,線別!A:B,2,1),"")</f>
        <v/>
      </c>
      <c r="S1087" s="17" t="str">
        <f>IFERROR(VLOOKUP(A1087,已除帳印單!B:C,2,0),"")</f>
        <v/>
      </c>
      <c r="T1087" s="68" t="e">
        <f t="shared" si="104"/>
        <v>#VALUE!</v>
      </c>
      <c r="U1087" s="69">
        <f t="shared" si="105"/>
        <v>0</v>
      </c>
      <c r="V1087" s="68" t="str">
        <f>IFERROR(VLOOKUP(A1087,已除帳印單!B:D,3,0),"")</f>
        <v/>
      </c>
      <c r="W1087" s="69" t="str">
        <f>IFERROR(VLOOKUP(A1087,已除帳印單!B:E,4,0),"")</f>
        <v/>
      </c>
      <c r="X1087" s="68" t="str">
        <f>IFERROR(INDEX(刷條碼區!A:C,MATCH(點上線資訊!S1087,刷條碼區!C:C,0),1),"")</f>
        <v/>
      </c>
      <c r="Y1087" s="69" t="str">
        <f>IFERROR(INDEX(刷條碼區!A:C,MATCH(點上線資訊!S1087,刷條碼區!C:C,0),2),"")</f>
        <v/>
      </c>
      <c r="Z1087" s="70" t="str">
        <f>IFERROR(INDEX(刷條碼區!D:G,MATCH(點上線資訊!S1087,刷條碼區!F:F,0),1),"")</f>
        <v/>
      </c>
      <c r="AA1087" s="71" t="str">
        <f>IFERROR(INDEX(刷條碼區!D:G,MATCH(點上線資訊!S1087,刷條碼區!F:F,0),2),"")</f>
        <v/>
      </c>
      <c r="AB1087" s="20">
        <f t="shared" si="106"/>
        <v>0</v>
      </c>
      <c r="AC1087" s="20" t="b">
        <f t="shared" si="107"/>
        <v>0</v>
      </c>
      <c r="AD1087" s="17" t="b">
        <f t="shared" si="108"/>
        <v>0</v>
      </c>
      <c r="AE1087" s="17" t="b">
        <f t="shared" si="109"/>
        <v>0</v>
      </c>
    </row>
    <row r="1088" spans="17:31" x14ac:dyDescent="0.2">
      <c r="Q1088" s="17">
        <f>IFERROR(VLOOKUP(A1088,已除帳印單!B:C,1,0),0)*1</f>
        <v>0</v>
      </c>
      <c r="R1088" s="67" t="str">
        <f>IFERROR(VLOOKUP(J1088,線別!A:B,2,1),"")</f>
        <v/>
      </c>
      <c r="S1088" s="17" t="str">
        <f>IFERROR(VLOOKUP(A1088,已除帳印單!B:C,2,0),"")</f>
        <v/>
      </c>
      <c r="T1088" s="68" t="e">
        <f t="shared" si="104"/>
        <v>#VALUE!</v>
      </c>
      <c r="U1088" s="69">
        <f t="shared" si="105"/>
        <v>0</v>
      </c>
      <c r="V1088" s="68" t="str">
        <f>IFERROR(VLOOKUP(A1088,已除帳印單!B:D,3,0),"")</f>
        <v/>
      </c>
      <c r="W1088" s="69" t="str">
        <f>IFERROR(VLOOKUP(A1088,已除帳印單!B:E,4,0),"")</f>
        <v/>
      </c>
      <c r="X1088" s="68" t="str">
        <f>IFERROR(INDEX(刷條碼區!A:C,MATCH(點上線資訊!S1088,刷條碼區!C:C,0),1),"")</f>
        <v/>
      </c>
      <c r="Y1088" s="69" t="str">
        <f>IFERROR(INDEX(刷條碼區!A:C,MATCH(點上線資訊!S1088,刷條碼區!C:C,0),2),"")</f>
        <v/>
      </c>
      <c r="Z1088" s="70" t="str">
        <f>IFERROR(INDEX(刷條碼區!D:G,MATCH(點上線資訊!S1088,刷條碼區!F:F,0),1),"")</f>
        <v/>
      </c>
      <c r="AA1088" s="71" t="str">
        <f>IFERROR(INDEX(刷條碼區!D:G,MATCH(點上線資訊!S1088,刷條碼區!F:F,0),2),"")</f>
        <v/>
      </c>
      <c r="AB1088" s="20">
        <f t="shared" si="106"/>
        <v>0</v>
      </c>
      <c r="AC1088" s="20" t="b">
        <f t="shared" si="107"/>
        <v>0</v>
      </c>
      <c r="AD1088" s="17" t="b">
        <f t="shared" si="108"/>
        <v>0</v>
      </c>
      <c r="AE1088" s="17" t="b">
        <f t="shared" si="109"/>
        <v>0</v>
      </c>
    </row>
    <row r="1089" spans="17:31" x14ac:dyDescent="0.2">
      <c r="Q1089" s="17">
        <f>IFERROR(VLOOKUP(A1089,已除帳印單!B:C,1,0),0)*1</f>
        <v>0</v>
      </c>
      <c r="R1089" s="67" t="str">
        <f>IFERROR(VLOOKUP(J1089,線別!A:B,2,1),"")</f>
        <v/>
      </c>
      <c r="S1089" s="17" t="str">
        <f>IFERROR(VLOOKUP(A1089,已除帳印單!B:C,2,0),"")</f>
        <v/>
      </c>
      <c r="T1089" s="68" t="e">
        <f t="shared" si="104"/>
        <v>#VALUE!</v>
      </c>
      <c r="U1089" s="69">
        <f t="shared" si="105"/>
        <v>0</v>
      </c>
      <c r="V1089" s="68" t="str">
        <f>IFERROR(VLOOKUP(A1089,已除帳印單!B:D,3,0),"")</f>
        <v/>
      </c>
      <c r="W1089" s="69" t="str">
        <f>IFERROR(VLOOKUP(A1089,已除帳印單!B:E,4,0),"")</f>
        <v/>
      </c>
      <c r="X1089" s="68" t="str">
        <f>IFERROR(INDEX(刷條碼區!A:C,MATCH(點上線資訊!S1089,刷條碼區!C:C,0),1),"")</f>
        <v/>
      </c>
      <c r="Y1089" s="69" t="str">
        <f>IFERROR(INDEX(刷條碼區!A:C,MATCH(點上線資訊!S1089,刷條碼區!C:C,0),2),"")</f>
        <v/>
      </c>
      <c r="Z1089" s="70" t="str">
        <f>IFERROR(INDEX(刷條碼區!D:G,MATCH(點上線資訊!S1089,刷條碼區!F:F,0),1),"")</f>
        <v/>
      </c>
      <c r="AA1089" s="71" t="str">
        <f>IFERROR(INDEX(刷條碼區!D:G,MATCH(點上線資訊!S1089,刷條碼區!F:F,0),2),"")</f>
        <v/>
      </c>
      <c r="AB1089" s="20">
        <f t="shared" si="106"/>
        <v>0</v>
      </c>
      <c r="AC1089" s="20" t="b">
        <f t="shared" si="107"/>
        <v>0</v>
      </c>
      <c r="AD1089" s="17" t="b">
        <f t="shared" si="108"/>
        <v>0</v>
      </c>
      <c r="AE1089" s="17" t="b">
        <f t="shared" si="109"/>
        <v>0</v>
      </c>
    </row>
    <row r="1090" spans="17:31" x14ac:dyDescent="0.2">
      <c r="Q1090" s="17">
        <f>IFERROR(VLOOKUP(A1090,已除帳印單!B:C,1,0),0)*1</f>
        <v>0</v>
      </c>
      <c r="R1090" s="67" t="str">
        <f>IFERROR(VLOOKUP(J1090,線別!A:B,2,1),"")</f>
        <v/>
      </c>
      <c r="S1090" s="17" t="str">
        <f>IFERROR(VLOOKUP(A1090,已除帳印單!B:C,2,0),"")</f>
        <v/>
      </c>
      <c r="T1090" s="68" t="e">
        <f t="shared" si="104"/>
        <v>#VALUE!</v>
      </c>
      <c r="U1090" s="69">
        <f t="shared" si="105"/>
        <v>0</v>
      </c>
      <c r="V1090" s="68" t="str">
        <f>IFERROR(VLOOKUP(A1090,已除帳印單!B:D,3,0),"")</f>
        <v/>
      </c>
      <c r="W1090" s="69" t="str">
        <f>IFERROR(VLOOKUP(A1090,已除帳印單!B:E,4,0),"")</f>
        <v/>
      </c>
      <c r="X1090" s="68" t="str">
        <f>IFERROR(INDEX(刷條碼區!A:C,MATCH(點上線資訊!S1090,刷條碼區!C:C,0),1),"")</f>
        <v/>
      </c>
      <c r="Y1090" s="69" t="str">
        <f>IFERROR(INDEX(刷條碼區!A:C,MATCH(點上線資訊!S1090,刷條碼區!C:C,0),2),"")</f>
        <v/>
      </c>
      <c r="Z1090" s="70" t="str">
        <f>IFERROR(INDEX(刷條碼區!D:G,MATCH(點上線資訊!S1090,刷條碼區!F:F,0),1),"")</f>
        <v/>
      </c>
      <c r="AA1090" s="71" t="str">
        <f>IFERROR(INDEX(刷條碼區!D:G,MATCH(點上線資訊!S1090,刷條碼區!F:F,0),2),"")</f>
        <v/>
      </c>
      <c r="AB1090" s="20">
        <f t="shared" si="106"/>
        <v>0</v>
      </c>
      <c r="AC1090" s="20" t="b">
        <f t="shared" si="107"/>
        <v>0</v>
      </c>
      <c r="AD1090" s="17" t="b">
        <f t="shared" si="108"/>
        <v>0</v>
      </c>
      <c r="AE1090" s="17" t="b">
        <f t="shared" si="109"/>
        <v>0</v>
      </c>
    </row>
    <row r="1091" spans="17:31" x14ac:dyDescent="0.2">
      <c r="Q1091" s="17">
        <f>IFERROR(VLOOKUP(A1091,已除帳印單!B:C,1,0),0)*1</f>
        <v>0</v>
      </c>
      <c r="R1091" s="67" t="str">
        <f>IFERROR(VLOOKUP(J1091,線別!A:B,2,1),"")</f>
        <v/>
      </c>
      <c r="S1091" s="17" t="str">
        <f>IFERROR(VLOOKUP(A1091,已除帳印單!B:C,2,0),"")</f>
        <v/>
      </c>
      <c r="T1091" s="68" t="e">
        <f t="shared" si="104"/>
        <v>#VALUE!</v>
      </c>
      <c r="U1091" s="69">
        <f t="shared" si="105"/>
        <v>0</v>
      </c>
      <c r="V1091" s="68" t="str">
        <f>IFERROR(VLOOKUP(A1091,已除帳印單!B:D,3,0),"")</f>
        <v/>
      </c>
      <c r="W1091" s="69" t="str">
        <f>IFERROR(VLOOKUP(A1091,已除帳印單!B:E,4,0),"")</f>
        <v/>
      </c>
      <c r="X1091" s="68" t="str">
        <f>IFERROR(INDEX(刷條碼區!A:C,MATCH(點上線資訊!S1091,刷條碼區!C:C,0),1),"")</f>
        <v/>
      </c>
      <c r="Y1091" s="69" t="str">
        <f>IFERROR(INDEX(刷條碼區!A:C,MATCH(點上線資訊!S1091,刷條碼區!C:C,0),2),"")</f>
        <v/>
      </c>
      <c r="Z1091" s="70" t="str">
        <f>IFERROR(INDEX(刷條碼區!D:G,MATCH(點上線資訊!S1091,刷條碼區!F:F,0),1),"")</f>
        <v/>
      </c>
      <c r="AA1091" s="71" t="str">
        <f>IFERROR(INDEX(刷條碼區!D:G,MATCH(點上線資訊!S1091,刷條碼區!F:F,0),2),"")</f>
        <v/>
      </c>
      <c r="AB1091" s="20">
        <f t="shared" si="106"/>
        <v>0</v>
      </c>
      <c r="AC1091" s="20" t="b">
        <f t="shared" si="107"/>
        <v>0</v>
      </c>
      <c r="AD1091" s="17" t="b">
        <f t="shared" si="108"/>
        <v>0</v>
      </c>
      <c r="AE1091" s="17" t="b">
        <f t="shared" si="109"/>
        <v>0</v>
      </c>
    </row>
    <row r="1092" spans="17:31" x14ac:dyDescent="0.2">
      <c r="Q1092" s="17">
        <f>IFERROR(VLOOKUP(A1092,已除帳印單!B:C,1,0),0)*1</f>
        <v>0</v>
      </c>
      <c r="R1092" s="67" t="str">
        <f>IFERROR(VLOOKUP(J1092,線別!A:B,2,1),"")</f>
        <v/>
      </c>
      <c r="S1092" s="17" t="str">
        <f>IFERROR(VLOOKUP(A1092,已除帳印單!B:C,2,0),"")</f>
        <v/>
      </c>
      <c r="T1092" s="68" t="e">
        <f t="shared" si="104"/>
        <v>#VALUE!</v>
      </c>
      <c r="U1092" s="69">
        <f t="shared" si="105"/>
        <v>0</v>
      </c>
      <c r="V1092" s="68" t="str">
        <f>IFERROR(VLOOKUP(A1092,已除帳印單!B:D,3,0),"")</f>
        <v/>
      </c>
      <c r="W1092" s="69" t="str">
        <f>IFERROR(VLOOKUP(A1092,已除帳印單!B:E,4,0),"")</f>
        <v/>
      </c>
      <c r="X1092" s="68" t="str">
        <f>IFERROR(INDEX(刷條碼區!A:C,MATCH(點上線資訊!S1092,刷條碼區!C:C,0),1),"")</f>
        <v/>
      </c>
      <c r="Y1092" s="69" t="str">
        <f>IFERROR(INDEX(刷條碼區!A:C,MATCH(點上線資訊!S1092,刷條碼區!C:C,0),2),"")</f>
        <v/>
      </c>
      <c r="Z1092" s="70" t="str">
        <f>IFERROR(INDEX(刷條碼區!D:G,MATCH(點上線資訊!S1092,刷條碼區!F:F,0),1),"")</f>
        <v/>
      </c>
      <c r="AA1092" s="71" t="str">
        <f>IFERROR(INDEX(刷條碼區!D:G,MATCH(點上線資訊!S1092,刷條碼區!F:F,0),2),"")</f>
        <v/>
      </c>
      <c r="AB1092" s="20">
        <f t="shared" si="106"/>
        <v>0</v>
      </c>
      <c r="AC1092" s="20" t="b">
        <f t="shared" si="107"/>
        <v>0</v>
      </c>
      <c r="AD1092" s="17" t="b">
        <f t="shared" si="108"/>
        <v>0</v>
      </c>
      <c r="AE1092" s="17" t="b">
        <f t="shared" si="109"/>
        <v>0</v>
      </c>
    </row>
    <row r="1093" spans="17:31" x14ac:dyDescent="0.2">
      <c r="Q1093" s="17">
        <f>IFERROR(VLOOKUP(A1093,已除帳印單!B:C,1,0),0)*1</f>
        <v>0</v>
      </c>
      <c r="R1093" s="67" t="str">
        <f>IFERROR(VLOOKUP(J1093,線別!A:B,2,1),"")</f>
        <v/>
      </c>
      <c r="S1093" s="17" t="str">
        <f>IFERROR(VLOOKUP(A1093,已除帳印單!B:C,2,0),"")</f>
        <v/>
      </c>
      <c r="T1093" s="68" t="e">
        <f t="shared" si="104"/>
        <v>#VALUE!</v>
      </c>
      <c r="U1093" s="69">
        <f t="shared" si="105"/>
        <v>0</v>
      </c>
      <c r="V1093" s="68" t="str">
        <f>IFERROR(VLOOKUP(A1093,已除帳印單!B:D,3,0),"")</f>
        <v/>
      </c>
      <c r="W1093" s="69" t="str">
        <f>IFERROR(VLOOKUP(A1093,已除帳印單!B:E,4,0),"")</f>
        <v/>
      </c>
      <c r="X1093" s="68" t="str">
        <f>IFERROR(INDEX(刷條碼區!A:C,MATCH(點上線資訊!S1093,刷條碼區!C:C,0),1),"")</f>
        <v/>
      </c>
      <c r="Y1093" s="69" t="str">
        <f>IFERROR(INDEX(刷條碼區!A:C,MATCH(點上線資訊!S1093,刷條碼區!C:C,0),2),"")</f>
        <v/>
      </c>
      <c r="Z1093" s="70" t="str">
        <f>IFERROR(INDEX(刷條碼區!D:G,MATCH(點上線資訊!S1093,刷條碼區!F:F,0),1),"")</f>
        <v/>
      </c>
      <c r="AA1093" s="71" t="str">
        <f>IFERROR(INDEX(刷條碼區!D:G,MATCH(點上線資訊!S1093,刷條碼區!F:F,0),2),"")</f>
        <v/>
      </c>
      <c r="AB1093" s="20">
        <f t="shared" si="106"/>
        <v>0</v>
      </c>
      <c r="AC1093" s="20" t="b">
        <f t="shared" si="107"/>
        <v>0</v>
      </c>
      <c r="AD1093" s="17" t="b">
        <f t="shared" si="108"/>
        <v>0</v>
      </c>
      <c r="AE1093" s="17" t="b">
        <f t="shared" si="109"/>
        <v>0</v>
      </c>
    </row>
    <row r="1094" spans="17:31" x14ac:dyDescent="0.2">
      <c r="Q1094" s="17">
        <f>IFERROR(VLOOKUP(A1094,已除帳印單!B:C,1,0),0)*1</f>
        <v>0</v>
      </c>
      <c r="R1094" s="67" t="str">
        <f>IFERROR(VLOOKUP(J1094,線別!A:B,2,1),"")</f>
        <v/>
      </c>
      <c r="S1094" s="17" t="str">
        <f>IFERROR(VLOOKUP(A1094,已除帳印單!B:C,2,0),"")</f>
        <v/>
      </c>
      <c r="T1094" s="68" t="e">
        <f t="shared" si="104"/>
        <v>#VALUE!</v>
      </c>
      <c r="U1094" s="69">
        <f t="shared" si="105"/>
        <v>0</v>
      </c>
      <c r="V1094" s="68" t="str">
        <f>IFERROR(VLOOKUP(A1094,已除帳印單!B:D,3,0),"")</f>
        <v/>
      </c>
      <c r="W1094" s="69" t="str">
        <f>IFERROR(VLOOKUP(A1094,已除帳印單!B:E,4,0),"")</f>
        <v/>
      </c>
      <c r="X1094" s="68" t="str">
        <f>IFERROR(INDEX(刷條碼區!A:C,MATCH(點上線資訊!S1094,刷條碼區!C:C,0),1),"")</f>
        <v/>
      </c>
      <c r="Y1094" s="69" t="str">
        <f>IFERROR(INDEX(刷條碼區!A:C,MATCH(點上線資訊!S1094,刷條碼區!C:C,0),2),"")</f>
        <v/>
      </c>
      <c r="Z1094" s="70" t="str">
        <f>IFERROR(INDEX(刷條碼區!D:G,MATCH(點上線資訊!S1094,刷條碼區!F:F,0),1),"")</f>
        <v/>
      </c>
      <c r="AA1094" s="71" t="str">
        <f>IFERROR(INDEX(刷條碼區!D:G,MATCH(點上線資訊!S1094,刷條碼區!F:F,0),2),"")</f>
        <v/>
      </c>
      <c r="AB1094" s="20">
        <f t="shared" si="106"/>
        <v>0</v>
      </c>
      <c r="AC1094" s="20" t="b">
        <f t="shared" si="107"/>
        <v>0</v>
      </c>
      <c r="AD1094" s="17" t="b">
        <f t="shared" si="108"/>
        <v>0</v>
      </c>
      <c r="AE1094" s="17" t="b">
        <f t="shared" si="109"/>
        <v>0</v>
      </c>
    </row>
    <row r="1095" spans="17:31" x14ac:dyDescent="0.2">
      <c r="Q1095" s="17">
        <f>IFERROR(VLOOKUP(A1095,已除帳印單!B:C,1,0),0)*1</f>
        <v>0</v>
      </c>
      <c r="R1095" s="67" t="str">
        <f>IFERROR(VLOOKUP(J1095,線別!A:B,2,1),"")</f>
        <v/>
      </c>
      <c r="S1095" s="17" t="str">
        <f>IFERROR(VLOOKUP(A1095,已除帳印單!B:C,2,0),"")</f>
        <v/>
      </c>
      <c r="T1095" s="68" t="e">
        <f t="shared" si="104"/>
        <v>#VALUE!</v>
      </c>
      <c r="U1095" s="69">
        <f t="shared" si="105"/>
        <v>0</v>
      </c>
      <c r="V1095" s="68" t="str">
        <f>IFERROR(VLOOKUP(A1095,已除帳印單!B:D,3,0),"")</f>
        <v/>
      </c>
      <c r="W1095" s="69" t="str">
        <f>IFERROR(VLOOKUP(A1095,已除帳印單!B:E,4,0),"")</f>
        <v/>
      </c>
      <c r="X1095" s="68" t="str">
        <f>IFERROR(INDEX(刷條碼區!A:C,MATCH(點上線資訊!S1095,刷條碼區!C:C,0),1),"")</f>
        <v/>
      </c>
      <c r="Y1095" s="69" t="str">
        <f>IFERROR(INDEX(刷條碼區!A:C,MATCH(點上線資訊!S1095,刷條碼區!C:C,0),2),"")</f>
        <v/>
      </c>
      <c r="Z1095" s="70" t="str">
        <f>IFERROR(INDEX(刷條碼區!D:G,MATCH(點上線資訊!S1095,刷條碼區!F:F,0),1),"")</f>
        <v/>
      </c>
      <c r="AA1095" s="71" t="str">
        <f>IFERROR(INDEX(刷條碼區!D:G,MATCH(點上線資訊!S1095,刷條碼區!F:F,0),2),"")</f>
        <v/>
      </c>
      <c r="AB1095" s="20">
        <f t="shared" si="106"/>
        <v>0</v>
      </c>
      <c r="AC1095" s="20" t="b">
        <f t="shared" si="107"/>
        <v>0</v>
      </c>
      <c r="AD1095" s="17" t="b">
        <f t="shared" si="108"/>
        <v>0</v>
      </c>
      <c r="AE1095" s="17" t="b">
        <f t="shared" si="109"/>
        <v>0</v>
      </c>
    </row>
    <row r="1096" spans="17:31" x14ac:dyDescent="0.2">
      <c r="Q1096" s="17">
        <f>IFERROR(VLOOKUP(A1096,已除帳印單!B:C,1,0),0)*1</f>
        <v>0</v>
      </c>
      <c r="R1096" s="67" t="str">
        <f>IFERROR(VLOOKUP(J1096,線別!A:B,2,1),"")</f>
        <v/>
      </c>
      <c r="S1096" s="17" t="str">
        <f>IFERROR(VLOOKUP(A1096,已除帳印單!B:C,2,0),"")</f>
        <v/>
      </c>
      <c r="T1096" s="68" t="e">
        <f t="shared" si="104"/>
        <v>#VALUE!</v>
      </c>
      <c r="U1096" s="69">
        <f t="shared" si="105"/>
        <v>0</v>
      </c>
      <c r="V1096" s="68" t="str">
        <f>IFERROR(VLOOKUP(A1096,已除帳印單!B:D,3,0),"")</f>
        <v/>
      </c>
      <c r="W1096" s="69" t="str">
        <f>IFERROR(VLOOKUP(A1096,已除帳印單!B:E,4,0),"")</f>
        <v/>
      </c>
      <c r="X1096" s="68" t="str">
        <f>IFERROR(INDEX(刷條碼區!A:C,MATCH(點上線資訊!S1096,刷條碼區!C:C,0),1),"")</f>
        <v/>
      </c>
      <c r="Y1096" s="69" t="str">
        <f>IFERROR(INDEX(刷條碼區!A:C,MATCH(點上線資訊!S1096,刷條碼區!C:C,0),2),"")</f>
        <v/>
      </c>
      <c r="Z1096" s="70" t="str">
        <f>IFERROR(INDEX(刷條碼區!D:G,MATCH(點上線資訊!S1096,刷條碼區!F:F,0),1),"")</f>
        <v/>
      </c>
      <c r="AA1096" s="71" t="str">
        <f>IFERROR(INDEX(刷條碼區!D:G,MATCH(點上線資訊!S1096,刷條碼區!F:F,0),2),"")</f>
        <v/>
      </c>
      <c r="AB1096" s="20">
        <f t="shared" si="106"/>
        <v>0</v>
      </c>
      <c r="AC1096" s="20" t="b">
        <f t="shared" si="107"/>
        <v>0</v>
      </c>
      <c r="AD1096" s="17" t="b">
        <f t="shared" si="108"/>
        <v>0</v>
      </c>
      <c r="AE1096" s="17" t="b">
        <f t="shared" si="109"/>
        <v>0</v>
      </c>
    </row>
    <row r="1097" spans="17:31" x14ac:dyDescent="0.2">
      <c r="Q1097" s="17">
        <f>IFERROR(VLOOKUP(A1097,已除帳印單!B:C,1,0),0)*1</f>
        <v>0</v>
      </c>
      <c r="R1097" s="67" t="str">
        <f>IFERROR(VLOOKUP(J1097,線別!A:B,2,1),"")</f>
        <v/>
      </c>
      <c r="S1097" s="17" t="str">
        <f>IFERROR(VLOOKUP(A1097,已除帳印單!B:C,2,0),"")</f>
        <v/>
      </c>
      <c r="T1097" s="68" t="e">
        <f t="shared" si="104"/>
        <v>#VALUE!</v>
      </c>
      <c r="U1097" s="69">
        <f t="shared" si="105"/>
        <v>0</v>
      </c>
      <c r="V1097" s="68" t="str">
        <f>IFERROR(VLOOKUP(A1097,已除帳印單!B:D,3,0),"")</f>
        <v/>
      </c>
      <c r="W1097" s="69" t="str">
        <f>IFERROR(VLOOKUP(A1097,已除帳印單!B:E,4,0),"")</f>
        <v/>
      </c>
      <c r="X1097" s="68" t="str">
        <f>IFERROR(INDEX(刷條碼區!A:C,MATCH(點上線資訊!S1097,刷條碼區!C:C,0),1),"")</f>
        <v/>
      </c>
      <c r="Y1097" s="69" t="str">
        <f>IFERROR(INDEX(刷條碼區!A:C,MATCH(點上線資訊!S1097,刷條碼區!C:C,0),2),"")</f>
        <v/>
      </c>
      <c r="Z1097" s="70" t="str">
        <f>IFERROR(INDEX(刷條碼區!D:G,MATCH(點上線資訊!S1097,刷條碼區!F:F,0),1),"")</f>
        <v/>
      </c>
      <c r="AA1097" s="71" t="str">
        <f>IFERROR(INDEX(刷條碼區!D:G,MATCH(點上線資訊!S1097,刷條碼區!F:F,0),2),"")</f>
        <v/>
      </c>
      <c r="AB1097" s="20">
        <f t="shared" si="106"/>
        <v>0</v>
      </c>
      <c r="AC1097" s="20" t="b">
        <f t="shared" si="107"/>
        <v>0</v>
      </c>
      <c r="AD1097" s="17" t="b">
        <f t="shared" si="108"/>
        <v>0</v>
      </c>
      <c r="AE1097" s="17" t="b">
        <f t="shared" si="109"/>
        <v>0</v>
      </c>
    </row>
    <row r="1098" spans="17:31" x14ac:dyDescent="0.2">
      <c r="Q1098" s="17">
        <f>IFERROR(VLOOKUP(A1098,已除帳印單!B:C,1,0),0)*1</f>
        <v>0</v>
      </c>
      <c r="R1098" s="67" t="str">
        <f>IFERROR(VLOOKUP(J1098,線別!A:B,2,1),"")</f>
        <v/>
      </c>
      <c r="S1098" s="17" t="str">
        <f>IFERROR(VLOOKUP(A1098,已除帳印單!B:C,2,0),"")</f>
        <v/>
      </c>
      <c r="T1098" s="68" t="e">
        <f t="shared" si="104"/>
        <v>#VALUE!</v>
      </c>
      <c r="U1098" s="69">
        <f t="shared" si="105"/>
        <v>0</v>
      </c>
      <c r="V1098" s="68" t="str">
        <f>IFERROR(VLOOKUP(A1098,已除帳印單!B:D,3,0),"")</f>
        <v/>
      </c>
      <c r="W1098" s="69" t="str">
        <f>IFERROR(VLOOKUP(A1098,已除帳印單!B:E,4,0),"")</f>
        <v/>
      </c>
      <c r="X1098" s="68" t="str">
        <f>IFERROR(INDEX(刷條碼區!A:C,MATCH(點上線資訊!S1098,刷條碼區!C:C,0),1),"")</f>
        <v/>
      </c>
      <c r="Y1098" s="69" t="str">
        <f>IFERROR(INDEX(刷條碼區!A:C,MATCH(點上線資訊!S1098,刷條碼區!C:C,0),2),"")</f>
        <v/>
      </c>
      <c r="Z1098" s="70" t="str">
        <f>IFERROR(INDEX(刷條碼區!D:G,MATCH(點上線資訊!S1098,刷條碼區!F:F,0),1),"")</f>
        <v/>
      </c>
      <c r="AA1098" s="71" t="str">
        <f>IFERROR(INDEX(刷條碼區!D:G,MATCH(點上線資訊!S1098,刷條碼區!F:F,0),2),"")</f>
        <v/>
      </c>
      <c r="AB1098" s="20">
        <f t="shared" si="106"/>
        <v>0</v>
      </c>
      <c r="AC1098" s="20" t="b">
        <f t="shared" si="107"/>
        <v>0</v>
      </c>
      <c r="AD1098" s="17" t="b">
        <f t="shared" si="108"/>
        <v>0</v>
      </c>
      <c r="AE1098" s="17" t="b">
        <f t="shared" si="109"/>
        <v>0</v>
      </c>
    </row>
    <row r="1099" spans="17:31" x14ac:dyDescent="0.2">
      <c r="Q1099" s="17">
        <f>IFERROR(VLOOKUP(A1099,已除帳印單!B:C,1,0),0)*1</f>
        <v>0</v>
      </c>
      <c r="R1099" s="67" t="str">
        <f>IFERROR(VLOOKUP(J1099,線別!A:B,2,1),"")</f>
        <v/>
      </c>
      <c r="S1099" s="17" t="str">
        <f>IFERROR(VLOOKUP(A1099,已除帳印單!B:C,2,0),"")</f>
        <v/>
      </c>
      <c r="T1099" s="68" t="e">
        <f t="shared" si="104"/>
        <v>#VALUE!</v>
      </c>
      <c r="U1099" s="69">
        <f t="shared" si="105"/>
        <v>0</v>
      </c>
      <c r="V1099" s="68" t="str">
        <f>IFERROR(VLOOKUP(A1099,已除帳印單!B:D,3,0),"")</f>
        <v/>
      </c>
      <c r="W1099" s="69" t="str">
        <f>IFERROR(VLOOKUP(A1099,已除帳印單!B:E,4,0),"")</f>
        <v/>
      </c>
      <c r="X1099" s="68" t="str">
        <f>IFERROR(INDEX(刷條碼區!A:C,MATCH(點上線資訊!S1099,刷條碼區!C:C,0),1),"")</f>
        <v/>
      </c>
      <c r="Y1099" s="69" t="str">
        <f>IFERROR(INDEX(刷條碼區!A:C,MATCH(點上線資訊!S1099,刷條碼區!C:C,0),2),"")</f>
        <v/>
      </c>
      <c r="Z1099" s="70" t="str">
        <f>IFERROR(INDEX(刷條碼區!D:G,MATCH(點上線資訊!S1099,刷條碼區!F:F,0),1),"")</f>
        <v/>
      </c>
      <c r="AA1099" s="71" t="str">
        <f>IFERROR(INDEX(刷條碼區!D:G,MATCH(點上線資訊!S1099,刷條碼區!F:F,0),2),"")</f>
        <v/>
      </c>
      <c r="AB1099" s="20">
        <f t="shared" si="106"/>
        <v>0</v>
      </c>
      <c r="AC1099" s="20" t="b">
        <f t="shared" si="107"/>
        <v>0</v>
      </c>
      <c r="AD1099" s="17" t="b">
        <f t="shared" si="108"/>
        <v>0</v>
      </c>
      <c r="AE1099" s="17" t="b">
        <f t="shared" si="109"/>
        <v>0</v>
      </c>
    </row>
    <row r="1100" spans="17:31" x14ac:dyDescent="0.2">
      <c r="Q1100" s="17">
        <f>IFERROR(VLOOKUP(A1100,已除帳印單!B:C,1,0),0)*1</f>
        <v>0</v>
      </c>
      <c r="R1100" s="67" t="str">
        <f>IFERROR(VLOOKUP(J1100,線別!A:B,2,1),"")</f>
        <v/>
      </c>
      <c r="S1100" s="17" t="str">
        <f>IFERROR(VLOOKUP(A1100,已除帳印單!B:C,2,0),"")</f>
        <v/>
      </c>
      <c r="T1100" s="68" t="e">
        <f t="shared" si="104"/>
        <v>#VALUE!</v>
      </c>
      <c r="U1100" s="69">
        <f t="shared" si="105"/>
        <v>0</v>
      </c>
      <c r="V1100" s="68" t="str">
        <f>IFERROR(VLOOKUP(A1100,已除帳印單!B:D,3,0),"")</f>
        <v/>
      </c>
      <c r="W1100" s="69" t="str">
        <f>IFERROR(VLOOKUP(A1100,已除帳印單!B:E,4,0),"")</f>
        <v/>
      </c>
      <c r="X1100" s="68" t="str">
        <f>IFERROR(INDEX(刷條碼區!A:C,MATCH(點上線資訊!S1100,刷條碼區!C:C,0),1),"")</f>
        <v/>
      </c>
      <c r="Y1100" s="69" t="str">
        <f>IFERROR(INDEX(刷條碼區!A:C,MATCH(點上線資訊!S1100,刷條碼區!C:C,0),2),"")</f>
        <v/>
      </c>
      <c r="Z1100" s="70" t="str">
        <f>IFERROR(INDEX(刷條碼區!D:G,MATCH(點上線資訊!S1100,刷條碼區!F:F,0),1),"")</f>
        <v/>
      </c>
      <c r="AA1100" s="71" t="str">
        <f>IFERROR(INDEX(刷條碼區!D:G,MATCH(點上線資訊!S1100,刷條碼區!F:F,0),2),"")</f>
        <v/>
      </c>
      <c r="AB1100" s="20">
        <f t="shared" si="106"/>
        <v>0</v>
      </c>
      <c r="AC1100" s="20" t="b">
        <f t="shared" si="107"/>
        <v>0</v>
      </c>
      <c r="AD1100" s="17" t="b">
        <f t="shared" si="108"/>
        <v>0</v>
      </c>
      <c r="AE1100" s="17" t="b">
        <f t="shared" si="109"/>
        <v>0</v>
      </c>
    </row>
    <row r="1101" spans="17:31" x14ac:dyDescent="0.2">
      <c r="Q1101" s="17">
        <f>IFERROR(VLOOKUP(A1101,已除帳印單!B:C,1,0),0)*1</f>
        <v>0</v>
      </c>
      <c r="R1101" s="67" t="str">
        <f>IFERROR(VLOOKUP(J1101,線別!A:B,2,1),"")</f>
        <v/>
      </c>
      <c r="S1101" s="17" t="str">
        <f>IFERROR(VLOOKUP(A1101,已除帳印單!B:C,2,0),"")</f>
        <v/>
      </c>
      <c r="T1101" s="68" t="e">
        <f t="shared" si="104"/>
        <v>#VALUE!</v>
      </c>
      <c r="U1101" s="69">
        <f t="shared" si="105"/>
        <v>0</v>
      </c>
      <c r="V1101" s="68" t="str">
        <f>IFERROR(VLOOKUP(A1101,已除帳印單!B:D,3,0),"")</f>
        <v/>
      </c>
      <c r="W1101" s="69" t="str">
        <f>IFERROR(VLOOKUP(A1101,已除帳印單!B:E,4,0),"")</f>
        <v/>
      </c>
      <c r="X1101" s="68" t="str">
        <f>IFERROR(INDEX(刷條碼區!A:C,MATCH(點上線資訊!S1101,刷條碼區!C:C,0),1),"")</f>
        <v/>
      </c>
      <c r="Y1101" s="69" t="str">
        <f>IFERROR(INDEX(刷條碼區!A:C,MATCH(點上線資訊!S1101,刷條碼區!C:C,0),2),"")</f>
        <v/>
      </c>
      <c r="Z1101" s="70" t="str">
        <f>IFERROR(INDEX(刷條碼區!D:G,MATCH(點上線資訊!S1101,刷條碼區!F:F,0),1),"")</f>
        <v/>
      </c>
      <c r="AA1101" s="71" t="str">
        <f>IFERROR(INDEX(刷條碼區!D:G,MATCH(點上線資訊!S1101,刷條碼區!F:F,0),2),"")</f>
        <v/>
      </c>
      <c r="AB1101" s="20">
        <f t="shared" si="106"/>
        <v>0</v>
      </c>
      <c r="AC1101" s="20" t="b">
        <f t="shared" si="107"/>
        <v>0</v>
      </c>
      <c r="AD1101" s="17" t="b">
        <f t="shared" si="108"/>
        <v>0</v>
      </c>
      <c r="AE1101" s="17" t="b">
        <f t="shared" si="109"/>
        <v>0</v>
      </c>
    </row>
    <row r="1102" spans="17:31" x14ac:dyDescent="0.2">
      <c r="Q1102" s="17">
        <f>IFERROR(VLOOKUP(A1102,已除帳印單!B:C,1,0),0)*1</f>
        <v>0</v>
      </c>
      <c r="R1102" s="67" t="str">
        <f>IFERROR(VLOOKUP(J1102,線別!A:B,2,1),"")</f>
        <v/>
      </c>
      <c r="S1102" s="17" t="str">
        <f>IFERROR(VLOOKUP(A1102,已除帳印單!B:C,2,0),"")</f>
        <v/>
      </c>
      <c r="T1102" s="68" t="e">
        <f t="shared" si="104"/>
        <v>#VALUE!</v>
      </c>
      <c r="U1102" s="69">
        <f t="shared" si="105"/>
        <v>0</v>
      </c>
      <c r="V1102" s="68" t="str">
        <f>IFERROR(VLOOKUP(A1102,已除帳印單!B:D,3,0),"")</f>
        <v/>
      </c>
      <c r="W1102" s="69" t="str">
        <f>IFERROR(VLOOKUP(A1102,已除帳印單!B:E,4,0),"")</f>
        <v/>
      </c>
      <c r="X1102" s="68" t="str">
        <f>IFERROR(INDEX(刷條碼區!A:C,MATCH(點上線資訊!S1102,刷條碼區!C:C,0),1),"")</f>
        <v/>
      </c>
      <c r="Y1102" s="69" t="str">
        <f>IFERROR(INDEX(刷條碼區!A:C,MATCH(點上線資訊!S1102,刷條碼區!C:C,0),2),"")</f>
        <v/>
      </c>
      <c r="Z1102" s="70" t="str">
        <f>IFERROR(INDEX(刷條碼區!D:G,MATCH(點上線資訊!S1102,刷條碼區!F:F,0),1),"")</f>
        <v/>
      </c>
      <c r="AA1102" s="71" t="str">
        <f>IFERROR(INDEX(刷條碼區!D:G,MATCH(點上線資訊!S1102,刷條碼區!F:F,0),2),"")</f>
        <v/>
      </c>
      <c r="AB1102" s="20">
        <f t="shared" si="106"/>
        <v>0</v>
      </c>
      <c r="AC1102" s="20" t="b">
        <f t="shared" si="107"/>
        <v>0</v>
      </c>
      <c r="AD1102" s="17" t="b">
        <f t="shared" si="108"/>
        <v>0</v>
      </c>
      <c r="AE1102" s="17" t="b">
        <f t="shared" si="109"/>
        <v>0</v>
      </c>
    </row>
    <row r="1103" spans="17:31" x14ac:dyDescent="0.2">
      <c r="Q1103" s="17">
        <f>IFERROR(VLOOKUP(A1103,已除帳印單!B:C,1,0),0)*1</f>
        <v>0</v>
      </c>
      <c r="R1103" s="67" t="str">
        <f>IFERROR(VLOOKUP(J1103,線別!A:B,2,1),"")</f>
        <v/>
      </c>
      <c r="S1103" s="17" t="str">
        <f>IFERROR(VLOOKUP(A1103,已除帳印單!B:C,2,0),"")</f>
        <v/>
      </c>
      <c r="T1103" s="68" t="e">
        <f t="shared" si="104"/>
        <v>#VALUE!</v>
      </c>
      <c r="U1103" s="69">
        <f t="shared" si="105"/>
        <v>0</v>
      </c>
      <c r="V1103" s="68" t="str">
        <f>IFERROR(VLOOKUP(A1103,已除帳印單!B:D,3,0),"")</f>
        <v/>
      </c>
      <c r="W1103" s="69" t="str">
        <f>IFERROR(VLOOKUP(A1103,已除帳印單!B:E,4,0),"")</f>
        <v/>
      </c>
      <c r="X1103" s="68" t="str">
        <f>IFERROR(INDEX(刷條碼區!A:C,MATCH(點上線資訊!S1103,刷條碼區!C:C,0),1),"")</f>
        <v/>
      </c>
      <c r="Y1103" s="69" t="str">
        <f>IFERROR(INDEX(刷條碼區!A:C,MATCH(點上線資訊!S1103,刷條碼區!C:C,0),2),"")</f>
        <v/>
      </c>
      <c r="Z1103" s="70" t="str">
        <f>IFERROR(INDEX(刷條碼區!D:G,MATCH(點上線資訊!S1103,刷條碼區!F:F,0),1),"")</f>
        <v/>
      </c>
      <c r="AA1103" s="71" t="str">
        <f>IFERROR(INDEX(刷條碼區!D:G,MATCH(點上線資訊!S1103,刷條碼區!F:F,0),2),"")</f>
        <v/>
      </c>
      <c r="AB1103" s="20">
        <f t="shared" si="106"/>
        <v>0</v>
      </c>
      <c r="AC1103" s="20" t="b">
        <f t="shared" si="107"/>
        <v>0</v>
      </c>
      <c r="AD1103" s="17" t="b">
        <f t="shared" si="108"/>
        <v>0</v>
      </c>
      <c r="AE1103" s="17" t="b">
        <f t="shared" si="109"/>
        <v>0</v>
      </c>
    </row>
    <row r="1104" spans="17:31" x14ac:dyDescent="0.2">
      <c r="Q1104" s="17">
        <f>IFERROR(VLOOKUP(A1104,已除帳印單!B:C,1,0),0)*1</f>
        <v>0</v>
      </c>
      <c r="R1104" s="67" t="str">
        <f>IFERROR(VLOOKUP(J1104,線別!A:B,2,1),"")</f>
        <v/>
      </c>
      <c r="S1104" s="17" t="str">
        <f>IFERROR(VLOOKUP(A1104,已除帳印單!B:C,2,0),"")</f>
        <v/>
      </c>
      <c r="T1104" s="68" t="e">
        <f t="shared" si="104"/>
        <v>#VALUE!</v>
      </c>
      <c r="U1104" s="69">
        <f t="shared" si="105"/>
        <v>0</v>
      </c>
      <c r="V1104" s="68" t="str">
        <f>IFERROR(VLOOKUP(A1104,已除帳印單!B:D,3,0),"")</f>
        <v/>
      </c>
      <c r="W1104" s="69" t="str">
        <f>IFERROR(VLOOKUP(A1104,已除帳印單!B:E,4,0),"")</f>
        <v/>
      </c>
      <c r="X1104" s="68" t="str">
        <f>IFERROR(INDEX(刷條碼區!A:C,MATCH(點上線資訊!S1104,刷條碼區!C:C,0),1),"")</f>
        <v/>
      </c>
      <c r="Y1104" s="69" t="str">
        <f>IFERROR(INDEX(刷條碼區!A:C,MATCH(點上線資訊!S1104,刷條碼區!C:C,0),2),"")</f>
        <v/>
      </c>
      <c r="Z1104" s="70" t="str">
        <f>IFERROR(INDEX(刷條碼區!D:G,MATCH(點上線資訊!S1104,刷條碼區!F:F,0),1),"")</f>
        <v/>
      </c>
      <c r="AA1104" s="71" t="str">
        <f>IFERROR(INDEX(刷條碼區!D:G,MATCH(點上線資訊!S1104,刷條碼區!F:F,0),2),"")</f>
        <v/>
      </c>
      <c r="AB1104" s="20">
        <f t="shared" si="106"/>
        <v>0</v>
      </c>
      <c r="AC1104" s="20" t="b">
        <f t="shared" si="107"/>
        <v>0</v>
      </c>
      <c r="AD1104" s="17" t="b">
        <f t="shared" si="108"/>
        <v>0</v>
      </c>
      <c r="AE1104" s="17" t="b">
        <f t="shared" si="109"/>
        <v>0</v>
      </c>
    </row>
    <row r="1105" spans="17:31" x14ac:dyDescent="0.2">
      <c r="Q1105" s="17">
        <f>IFERROR(VLOOKUP(A1105,已除帳印單!B:C,1,0),0)*1</f>
        <v>0</v>
      </c>
      <c r="R1105" s="67" t="str">
        <f>IFERROR(VLOOKUP(J1105,線別!A:B,2,1),"")</f>
        <v/>
      </c>
      <c r="S1105" s="17" t="str">
        <f>IFERROR(VLOOKUP(A1105,已除帳印單!B:C,2,0),"")</f>
        <v/>
      </c>
      <c r="T1105" s="68" t="e">
        <f t="shared" si="104"/>
        <v>#VALUE!</v>
      </c>
      <c r="U1105" s="69">
        <f t="shared" si="105"/>
        <v>0</v>
      </c>
      <c r="V1105" s="68" t="str">
        <f>IFERROR(VLOOKUP(A1105,已除帳印單!B:D,3,0),"")</f>
        <v/>
      </c>
      <c r="W1105" s="69" t="str">
        <f>IFERROR(VLOOKUP(A1105,已除帳印單!B:E,4,0),"")</f>
        <v/>
      </c>
      <c r="X1105" s="68" t="str">
        <f>IFERROR(INDEX(刷條碼區!A:C,MATCH(點上線資訊!S1105,刷條碼區!C:C,0),1),"")</f>
        <v/>
      </c>
      <c r="Y1105" s="69" t="str">
        <f>IFERROR(INDEX(刷條碼區!A:C,MATCH(點上線資訊!S1105,刷條碼區!C:C,0),2),"")</f>
        <v/>
      </c>
      <c r="Z1105" s="70" t="str">
        <f>IFERROR(INDEX(刷條碼區!D:G,MATCH(點上線資訊!S1105,刷條碼區!F:F,0),1),"")</f>
        <v/>
      </c>
      <c r="AA1105" s="71" t="str">
        <f>IFERROR(INDEX(刷條碼區!D:G,MATCH(點上線資訊!S1105,刷條碼區!F:F,0),2),"")</f>
        <v/>
      </c>
      <c r="AB1105" s="20">
        <f t="shared" si="106"/>
        <v>0</v>
      </c>
      <c r="AC1105" s="20" t="b">
        <f t="shared" si="107"/>
        <v>0</v>
      </c>
      <c r="AD1105" s="17" t="b">
        <f t="shared" si="108"/>
        <v>0</v>
      </c>
      <c r="AE1105" s="17" t="b">
        <f t="shared" si="109"/>
        <v>0</v>
      </c>
    </row>
    <row r="1106" spans="17:31" x14ac:dyDescent="0.2">
      <c r="Q1106" s="17">
        <f>IFERROR(VLOOKUP(A1106,已除帳印單!B:C,1,0),0)*1</f>
        <v>0</v>
      </c>
      <c r="R1106" s="67" t="str">
        <f>IFERROR(VLOOKUP(J1106,線別!A:B,2,1),"")</f>
        <v/>
      </c>
      <c r="S1106" s="17" t="str">
        <f>IFERROR(VLOOKUP(A1106,已除帳印單!B:C,2,0),"")</f>
        <v/>
      </c>
      <c r="T1106" s="68" t="e">
        <f t="shared" si="104"/>
        <v>#VALUE!</v>
      </c>
      <c r="U1106" s="69">
        <f t="shared" si="105"/>
        <v>0</v>
      </c>
      <c r="V1106" s="68" t="str">
        <f>IFERROR(VLOOKUP(A1106,已除帳印單!B:D,3,0),"")</f>
        <v/>
      </c>
      <c r="W1106" s="69" t="str">
        <f>IFERROR(VLOOKUP(A1106,已除帳印單!B:E,4,0),"")</f>
        <v/>
      </c>
      <c r="X1106" s="68" t="str">
        <f>IFERROR(INDEX(刷條碼區!A:C,MATCH(點上線資訊!S1106,刷條碼區!C:C,0),1),"")</f>
        <v/>
      </c>
      <c r="Y1106" s="69" t="str">
        <f>IFERROR(INDEX(刷條碼區!A:C,MATCH(點上線資訊!S1106,刷條碼區!C:C,0),2),"")</f>
        <v/>
      </c>
      <c r="Z1106" s="70" t="str">
        <f>IFERROR(INDEX(刷條碼區!D:G,MATCH(點上線資訊!S1106,刷條碼區!F:F,0),1),"")</f>
        <v/>
      </c>
      <c r="AA1106" s="71" t="str">
        <f>IFERROR(INDEX(刷條碼區!D:G,MATCH(點上線資訊!S1106,刷條碼區!F:F,0),2),"")</f>
        <v/>
      </c>
      <c r="AB1106" s="20">
        <f t="shared" si="106"/>
        <v>0</v>
      </c>
      <c r="AC1106" s="20" t="b">
        <f t="shared" si="107"/>
        <v>0</v>
      </c>
      <c r="AD1106" s="17" t="b">
        <f t="shared" si="108"/>
        <v>0</v>
      </c>
      <c r="AE1106" s="17" t="b">
        <f t="shared" si="109"/>
        <v>0</v>
      </c>
    </row>
    <row r="1107" spans="17:31" x14ac:dyDescent="0.2">
      <c r="Q1107" s="17">
        <f>IFERROR(VLOOKUP(A1107,已除帳印單!B:C,1,0),0)*1</f>
        <v>0</v>
      </c>
      <c r="R1107" s="67" t="str">
        <f>IFERROR(VLOOKUP(J1107,線別!A:B,2,1),"")</f>
        <v/>
      </c>
      <c r="S1107" s="17" t="str">
        <f>IFERROR(VLOOKUP(A1107,已除帳印單!B:C,2,0),"")</f>
        <v/>
      </c>
      <c r="T1107" s="68" t="e">
        <f t="shared" si="104"/>
        <v>#VALUE!</v>
      </c>
      <c r="U1107" s="69">
        <f t="shared" si="105"/>
        <v>0</v>
      </c>
      <c r="V1107" s="68" t="str">
        <f>IFERROR(VLOOKUP(A1107,已除帳印單!B:D,3,0),"")</f>
        <v/>
      </c>
      <c r="W1107" s="69" t="str">
        <f>IFERROR(VLOOKUP(A1107,已除帳印單!B:E,4,0),"")</f>
        <v/>
      </c>
      <c r="X1107" s="68" t="str">
        <f>IFERROR(INDEX(刷條碼區!A:C,MATCH(點上線資訊!S1107,刷條碼區!C:C,0),1),"")</f>
        <v/>
      </c>
      <c r="Y1107" s="69" t="str">
        <f>IFERROR(INDEX(刷條碼區!A:C,MATCH(點上線資訊!S1107,刷條碼區!C:C,0),2),"")</f>
        <v/>
      </c>
      <c r="Z1107" s="70" t="str">
        <f>IFERROR(INDEX(刷條碼區!D:G,MATCH(點上線資訊!S1107,刷條碼區!F:F,0),1),"")</f>
        <v/>
      </c>
      <c r="AA1107" s="71" t="str">
        <f>IFERROR(INDEX(刷條碼區!D:G,MATCH(點上線資訊!S1107,刷條碼區!F:F,0),2),"")</f>
        <v/>
      </c>
      <c r="AB1107" s="20">
        <f t="shared" si="106"/>
        <v>0</v>
      </c>
      <c r="AC1107" s="20" t="b">
        <f t="shared" si="107"/>
        <v>0</v>
      </c>
      <c r="AD1107" s="17" t="b">
        <f t="shared" si="108"/>
        <v>0</v>
      </c>
      <c r="AE1107" s="17" t="b">
        <f t="shared" si="109"/>
        <v>0</v>
      </c>
    </row>
    <row r="1108" spans="17:31" x14ac:dyDescent="0.2">
      <c r="Q1108" s="17">
        <f>IFERROR(VLOOKUP(A1108,已除帳印單!B:C,1,0),0)*1</f>
        <v>0</v>
      </c>
      <c r="R1108" s="67" t="str">
        <f>IFERROR(VLOOKUP(J1108,線別!A:B,2,1),"")</f>
        <v/>
      </c>
      <c r="S1108" s="17" t="str">
        <f>IFERROR(VLOOKUP(A1108,已除帳印單!B:C,2,0),"")</f>
        <v/>
      </c>
      <c r="T1108" s="68" t="e">
        <f t="shared" si="104"/>
        <v>#VALUE!</v>
      </c>
      <c r="U1108" s="69">
        <f t="shared" si="105"/>
        <v>0</v>
      </c>
      <c r="V1108" s="68" t="str">
        <f>IFERROR(VLOOKUP(A1108,已除帳印單!B:D,3,0),"")</f>
        <v/>
      </c>
      <c r="W1108" s="69" t="str">
        <f>IFERROR(VLOOKUP(A1108,已除帳印單!B:E,4,0),"")</f>
        <v/>
      </c>
      <c r="X1108" s="68" t="str">
        <f>IFERROR(INDEX(刷條碼區!A:C,MATCH(點上線資訊!S1108,刷條碼區!C:C,0),1),"")</f>
        <v/>
      </c>
      <c r="Y1108" s="69" t="str">
        <f>IFERROR(INDEX(刷條碼區!A:C,MATCH(點上線資訊!S1108,刷條碼區!C:C,0),2),"")</f>
        <v/>
      </c>
      <c r="Z1108" s="70" t="str">
        <f>IFERROR(INDEX(刷條碼區!D:G,MATCH(點上線資訊!S1108,刷條碼區!F:F,0),1),"")</f>
        <v/>
      </c>
      <c r="AA1108" s="71" t="str">
        <f>IFERROR(INDEX(刷條碼區!D:G,MATCH(點上線資訊!S1108,刷條碼區!F:F,0),2),"")</f>
        <v/>
      </c>
      <c r="AB1108" s="20">
        <f t="shared" si="106"/>
        <v>0</v>
      </c>
      <c r="AC1108" s="20" t="b">
        <f t="shared" si="107"/>
        <v>0</v>
      </c>
      <c r="AD1108" s="17" t="b">
        <f t="shared" si="108"/>
        <v>0</v>
      </c>
      <c r="AE1108" s="17" t="b">
        <f t="shared" si="109"/>
        <v>0</v>
      </c>
    </row>
    <row r="1109" spans="17:31" x14ac:dyDescent="0.2">
      <c r="Q1109" s="17">
        <f>IFERROR(VLOOKUP(A1109,已除帳印單!B:C,1,0),0)*1</f>
        <v>0</v>
      </c>
      <c r="R1109" s="67" t="str">
        <f>IFERROR(VLOOKUP(J1109,線別!A:B,2,1),"")</f>
        <v/>
      </c>
      <c r="S1109" s="17" t="str">
        <f>IFERROR(VLOOKUP(A1109,已除帳印單!B:C,2,0),"")</f>
        <v/>
      </c>
      <c r="T1109" s="68" t="e">
        <f t="shared" si="104"/>
        <v>#VALUE!</v>
      </c>
      <c r="U1109" s="69">
        <f t="shared" si="105"/>
        <v>0</v>
      </c>
      <c r="V1109" s="68" t="str">
        <f>IFERROR(VLOOKUP(A1109,已除帳印單!B:D,3,0),"")</f>
        <v/>
      </c>
      <c r="W1109" s="69" t="str">
        <f>IFERROR(VLOOKUP(A1109,已除帳印單!B:E,4,0),"")</f>
        <v/>
      </c>
      <c r="X1109" s="68" t="str">
        <f>IFERROR(INDEX(刷條碼區!A:C,MATCH(點上線資訊!S1109,刷條碼區!C:C,0),1),"")</f>
        <v/>
      </c>
      <c r="Y1109" s="69" t="str">
        <f>IFERROR(INDEX(刷條碼區!A:C,MATCH(點上線資訊!S1109,刷條碼區!C:C,0),2),"")</f>
        <v/>
      </c>
      <c r="Z1109" s="70" t="str">
        <f>IFERROR(INDEX(刷條碼區!D:G,MATCH(點上線資訊!S1109,刷條碼區!F:F,0),1),"")</f>
        <v/>
      </c>
      <c r="AA1109" s="71" t="str">
        <f>IFERROR(INDEX(刷條碼區!D:G,MATCH(點上線資訊!S1109,刷條碼區!F:F,0),2),"")</f>
        <v/>
      </c>
      <c r="AB1109" s="20">
        <f t="shared" si="106"/>
        <v>0</v>
      </c>
      <c r="AC1109" s="20" t="b">
        <f t="shared" si="107"/>
        <v>0</v>
      </c>
      <c r="AD1109" s="17" t="b">
        <f t="shared" si="108"/>
        <v>0</v>
      </c>
      <c r="AE1109" s="17" t="b">
        <f t="shared" si="109"/>
        <v>0</v>
      </c>
    </row>
    <row r="1110" spans="17:31" x14ac:dyDescent="0.2">
      <c r="Q1110" s="17">
        <f>IFERROR(VLOOKUP(A1110,已除帳印單!B:C,1,0),0)*1</f>
        <v>0</v>
      </c>
      <c r="R1110" s="67" t="str">
        <f>IFERROR(VLOOKUP(J1110,線別!A:B,2,1),"")</f>
        <v/>
      </c>
      <c r="S1110" s="17" t="str">
        <f>IFERROR(VLOOKUP(A1110,已除帳印單!B:C,2,0),"")</f>
        <v/>
      </c>
      <c r="T1110" s="68" t="e">
        <f t="shared" si="104"/>
        <v>#VALUE!</v>
      </c>
      <c r="U1110" s="69">
        <f t="shared" si="105"/>
        <v>0</v>
      </c>
      <c r="V1110" s="68" t="str">
        <f>IFERROR(VLOOKUP(A1110,已除帳印單!B:D,3,0),"")</f>
        <v/>
      </c>
      <c r="W1110" s="69" t="str">
        <f>IFERROR(VLOOKUP(A1110,已除帳印單!B:E,4,0),"")</f>
        <v/>
      </c>
      <c r="X1110" s="68" t="str">
        <f>IFERROR(INDEX(刷條碼區!A:C,MATCH(點上線資訊!S1110,刷條碼區!C:C,0),1),"")</f>
        <v/>
      </c>
      <c r="Y1110" s="69" t="str">
        <f>IFERROR(INDEX(刷條碼區!A:C,MATCH(點上線資訊!S1110,刷條碼區!C:C,0),2),"")</f>
        <v/>
      </c>
      <c r="Z1110" s="70" t="str">
        <f>IFERROR(INDEX(刷條碼區!D:G,MATCH(點上線資訊!S1110,刷條碼區!F:F,0),1),"")</f>
        <v/>
      </c>
      <c r="AA1110" s="71" t="str">
        <f>IFERROR(INDEX(刷條碼區!D:G,MATCH(點上線資訊!S1110,刷條碼區!F:F,0),2),"")</f>
        <v/>
      </c>
      <c r="AB1110" s="20">
        <f t="shared" si="106"/>
        <v>0</v>
      </c>
      <c r="AC1110" s="20" t="b">
        <f t="shared" si="107"/>
        <v>0</v>
      </c>
      <c r="AD1110" s="17" t="b">
        <f t="shared" si="108"/>
        <v>0</v>
      </c>
      <c r="AE1110" s="17" t="b">
        <f t="shared" si="109"/>
        <v>0</v>
      </c>
    </row>
    <row r="1111" spans="17:31" x14ac:dyDescent="0.2">
      <c r="Q1111" s="17">
        <f>IFERROR(VLOOKUP(A1111,已除帳印單!B:C,1,0),0)*1</f>
        <v>0</v>
      </c>
      <c r="R1111" s="67" t="str">
        <f>IFERROR(VLOOKUP(J1111,線別!A:B,2,1),"")</f>
        <v/>
      </c>
      <c r="S1111" s="17" t="str">
        <f>IFERROR(VLOOKUP(A1111,已除帳印單!B:C,2,0),"")</f>
        <v/>
      </c>
      <c r="T1111" s="68" t="e">
        <f t="shared" si="104"/>
        <v>#VALUE!</v>
      </c>
      <c r="U1111" s="69">
        <f t="shared" si="105"/>
        <v>0</v>
      </c>
      <c r="V1111" s="68" t="str">
        <f>IFERROR(VLOOKUP(A1111,已除帳印單!B:D,3,0),"")</f>
        <v/>
      </c>
      <c r="W1111" s="69" t="str">
        <f>IFERROR(VLOOKUP(A1111,已除帳印單!B:E,4,0),"")</f>
        <v/>
      </c>
      <c r="X1111" s="68" t="str">
        <f>IFERROR(INDEX(刷條碼區!A:C,MATCH(點上線資訊!S1111,刷條碼區!C:C,0),1),"")</f>
        <v/>
      </c>
      <c r="Y1111" s="69" t="str">
        <f>IFERROR(INDEX(刷條碼區!A:C,MATCH(點上線資訊!S1111,刷條碼區!C:C,0),2),"")</f>
        <v/>
      </c>
      <c r="Z1111" s="70" t="str">
        <f>IFERROR(INDEX(刷條碼區!D:G,MATCH(點上線資訊!S1111,刷條碼區!F:F,0),1),"")</f>
        <v/>
      </c>
      <c r="AA1111" s="71" t="str">
        <f>IFERROR(INDEX(刷條碼區!D:G,MATCH(點上線資訊!S1111,刷條碼區!F:F,0),2),"")</f>
        <v/>
      </c>
      <c r="AB1111" s="20">
        <f t="shared" si="106"/>
        <v>0</v>
      </c>
      <c r="AC1111" s="20" t="b">
        <f t="shared" si="107"/>
        <v>0</v>
      </c>
      <c r="AD1111" s="17" t="b">
        <f t="shared" si="108"/>
        <v>0</v>
      </c>
      <c r="AE1111" s="17" t="b">
        <f t="shared" si="109"/>
        <v>0</v>
      </c>
    </row>
    <row r="1112" spans="17:31" x14ac:dyDescent="0.2">
      <c r="Q1112" s="17">
        <f>IFERROR(VLOOKUP(A1112,已除帳印單!B:C,1,0),0)*1</f>
        <v>0</v>
      </c>
      <c r="R1112" s="67" t="str">
        <f>IFERROR(VLOOKUP(J1112,線別!A:B,2,1),"")</f>
        <v/>
      </c>
      <c r="S1112" s="17" t="str">
        <f>IFERROR(VLOOKUP(A1112,已除帳印單!B:C,2,0),"")</f>
        <v/>
      </c>
      <c r="T1112" s="68" t="e">
        <f t="shared" si="104"/>
        <v>#VALUE!</v>
      </c>
      <c r="U1112" s="69">
        <f t="shared" si="105"/>
        <v>0</v>
      </c>
      <c r="V1112" s="68" t="str">
        <f>IFERROR(VLOOKUP(A1112,已除帳印單!B:D,3,0),"")</f>
        <v/>
      </c>
      <c r="W1112" s="69" t="str">
        <f>IFERROR(VLOOKUP(A1112,已除帳印單!B:E,4,0),"")</f>
        <v/>
      </c>
      <c r="X1112" s="68" t="str">
        <f>IFERROR(INDEX(刷條碼區!A:C,MATCH(點上線資訊!S1112,刷條碼區!C:C,0),1),"")</f>
        <v/>
      </c>
      <c r="Y1112" s="69" t="str">
        <f>IFERROR(INDEX(刷條碼區!A:C,MATCH(點上線資訊!S1112,刷條碼區!C:C,0),2),"")</f>
        <v/>
      </c>
      <c r="Z1112" s="70" t="str">
        <f>IFERROR(INDEX(刷條碼區!D:G,MATCH(點上線資訊!S1112,刷條碼區!F:F,0),1),"")</f>
        <v/>
      </c>
      <c r="AA1112" s="71" t="str">
        <f>IFERROR(INDEX(刷條碼區!D:G,MATCH(點上線資訊!S1112,刷條碼區!F:F,0),2),"")</f>
        <v/>
      </c>
      <c r="AB1112" s="20">
        <f t="shared" si="106"/>
        <v>0</v>
      </c>
      <c r="AC1112" s="20" t="b">
        <f t="shared" si="107"/>
        <v>0</v>
      </c>
      <c r="AD1112" s="17" t="b">
        <f t="shared" si="108"/>
        <v>0</v>
      </c>
      <c r="AE1112" s="17" t="b">
        <f t="shared" si="109"/>
        <v>0</v>
      </c>
    </row>
    <row r="1113" spans="17:31" x14ac:dyDescent="0.2">
      <c r="Q1113" s="17">
        <f>IFERROR(VLOOKUP(A1113,已除帳印單!B:C,1,0),0)*1</f>
        <v>0</v>
      </c>
      <c r="R1113" s="67" t="str">
        <f>IFERROR(VLOOKUP(J1113,線別!A:B,2,1),"")</f>
        <v/>
      </c>
      <c r="S1113" s="17" t="str">
        <f>IFERROR(VLOOKUP(A1113,已除帳印單!B:C,2,0),"")</f>
        <v/>
      </c>
      <c r="T1113" s="68" t="e">
        <f t="shared" si="104"/>
        <v>#VALUE!</v>
      </c>
      <c r="U1113" s="69">
        <f t="shared" si="105"/>
        <v>0</v>
      </c>
      <c r="V1113" s="68" t="str">
        <f>IFERROR(VLOOKUP(A1113,已除帳印單!B:D,3,0),"")</f>
        <v/>
      </c>
      <c r="W1113" s="69" t="str">
        <f>IFERROR(VLOOKUP(A1113,已除帳印單!B:E,4,0),"")</f>
        <v/>
      </c>
      <c r="X1113" s="68" t="str">
        <f>IFERROR(INDEX(刷條碼區!A:C,MATCH(點上線資訊!S1113,刷條碼區!C:C,0),1),"")</f>
        <v/>
      </c>
      <c r="Y1113" s="69" t="str">
        <f>IFERROR(INDEX(刷條碼區!A:C,MATCH(點上線資訊!S1113,刷條碼區!C:C,0),2),"")</f>
        <v/>
      </c>
      <c r="Z1113" s="70" t="str">
        <f>IFERROR(INDEX(刷條碼區!D:G,MATCH(點上線資訊!S1113,刷條碼區!F:F,0),1),"")</f>
        <v/>
      </c>
      <c r="AA1113" s="71" t="str">
        <f>IFERROR(INDEX(刷條碼區!D:G,MATCH(點上線資訊!S1113,刷條碼區!F:F,0),2),"")</f>
        <v/>
      </c>
      <c r="AB1113" s="20">
        <f t="shared" si="106"/>
        <v>0</v>
      </c>
      <c r="AC1113" s="20" t="b">
        <f t="shared" si="107"/>
        <v>0</v>
      </c>
      <c r="AD1113" s="17" t="b">
        <f t="shared" si="108"/>
        <v>0</v>
      </c>
      <c r="AE1113" s="17" t="b">
        <f t="shared" si="109"/>
        <v>0</v>
      </c>
    </row>
    <row r="1114" spans="17:31" x14ac:dyDescent="0.2">
      <c r="Q1114" s="17">
        <f>IFERROR(VLOOKUP(A1114,已除帳印單!B:C,1,0),0)*1</f>
        <v>0</v>
      </c>
      <c r="R1114" s="67" t="str">
        <f>IFERROR(VLOOKUP(J1114,線別!A:B,2,1),"")</f>
        <v/>
      </c>
      <c r="S1114" s="17" t="str">
        <f>IFERROR(VLOOKUP(A1114,已除帳印單!B:C,2,0),"")</f>
        <v/>
      </c>
      <c r="T1114" s="68" t="e">
        <f t="shared" si="104"/>
        <v>#VALUE!</v>
      </c>
      <c r="U1114" s="69">
        <f t="shared" si="105"/>
        <v>0</v>
      </c>
      <c r="V1114" s="68" t="str">
        <f>IFERROR(VLOOKUP(A1114,已除帳印單!B:D,3,0),"")</f>
        <v/>
      </c>
      <c r="W1114" s="69" t="str">
        <f>IFERROR(VLOOKUP(A1114,已除帳印單!B:E,4,0),"")</f>
        <v/>
      </c>
      <c r="X1114" s="68" t="str">
        <f>IFERROR(INDEX(刷條碼區!A:C,MATCH(點上線資訊!S1114,刷條碼區!C:C,0),1),"")</f>
        <v/>
      </c>
      <c r="Y1114" s="69" t="str">
        <f>IFERROR(INDEX(刷條碼區!A:C,MATCH(點上線資訊!S1114,刷條碼區!C:C,0),2),"")</f>
        <v/>
      </c>
      <c r="Z1114" s="70" t="str">
        <f>IFERROR(INDEX(刷條碼區!D:G,MATCH(點上線資訊!S1114,刷條碼區!F:F,0),1),"")</f>
        <v/>
      </c>
      <c r="AA1114" s="71" t="str">
        <f>IFERROR(INDEX(刷條碼區!D:G,MATCH(點上線資訊!S1114,刷條碼區!F:F,0),2),"")</f>
        <v/>
      </c>
      <c r="AB1114" s="20">
        <f t="shared" si="106"/>
        <v>0</v>
      </c>
      <c r="AC1114" s="20" t="b">
        <f t="shared" si="107"/>
        <v>0</v>
      </c>
      <c r="AD1114" s="17" t="b">
        <f t="shared" si="108"/>
        <v>0</v>
      </c>
      <c r="AE1114" s="17" t="b">
        <f t="shared" si="109"/>
        <v>0</v>
      </c>
    </row>
    <row r="1115" spans="17:31" x14ac:dyDescent="0.2">
      <c r="Q1115" s="17">
        <f>IFERROR(VLOOKUP(A1115,已除帳印單!B:C,1,0),0)*1</f>
        <v>0</v>
      </c>
      <c r="R1115" s="67" t="str">
        <f>IFERROR(VLOOKUP(J1115,線別!A:B,2,1),"")</f>
        <v/>
      </c>
      <c r="S1115" s="17" t="str">
        <f>IFERROR(VLOOKUP(A1115,已除帳印單!B:C,2,0),"")</f>
        <v/>
      </c>
      <c r="T1115" s="68" t="e">
        <f t="shared" si="104"/>
        <v>#VALUE!</v>
      </c>
      <c r="U1115" s="69">
        <f t="shared" si="105"/>
        <v>0</v>
      </c>
      <c r="V1115" s="68" t="str">
        <f>IFERROR(VLOOKUP(A1115,已除帳印單!B:D,3,0),"")</f>
        <v/>
      </c>
      <c r="W1115" s="69" t="str">
        <f>IFERROR(VLOOKUP(A1115,已除帳印單!B:E,4,0),"")</f>
        <v/>
      </c>
      <c r="X1115" s="68" t="str">
        <f>IFERROR(INDEX(刷條碼區!A:C,MATCH(點上線資訊!S1115,刷條碼區!C:C,0),1),"")</f>
        <v/>
      </c>
      <c r="Y1115" s="69" t="str">
        <f>IFERROR(INDEX(刷條碼區!A:C,MATCH(點上線資訊!S1115,刷條碼區!C:C,0),2),"")</f>
        <v/>
      </c>
      <c r="Z1115" s="70" t="str">
        <f>IFERROR(INDEX(刷條碼區!D:G,MATCH(點上線資訊!S1115,刷條碼區!F:F,0),1),"")</f>
        <v/>
      </c>
      <c r="AA1115" s="71" t="str">
        <f>IFERROR(INDEX(刷條碼區!D:G,MATCH(點上線資訊!S1115,刷條碼區!F:F,0),2),"")</f>
        <v/>
      </c>
      <c r="AB1115" s="20">
        <f t="shared" si="106"/>
        <v>0</v>
      </c>
      <c r="AC1115" s="20" t="b">
        <f t="shared" si="107"/>
        <v>0</v>
      </c>
      <c r="AD1115" s="17" t="b">
        <f t="shared" si="108"/>
        <v>0</v>
      </c>
      <c r="AE1115" s="17" t="b">
        <f t="shared" si="109"/>
        <v>0</v>
      </c>
    </row>
    <row r="1116" spans="17:31" x14ac:dyDescent="0.2">
      <c r="Q1116" s="17">
        <f>IFERROR(VLOOKUP(A1116,已除帳印單!B:C,1,0),0)*1</f>
        <v>0</v>
      </c>
      <c r="R1116" s="67" t="str">
        <f>IFERROR(VLOOKUP(J1116,線別!A:B,2,1),"")</f>
        <v/>
      </c>
      <c r="S1116" s="17" t="str">
        <f>IFERROR(VLOOKUP(A1116,已除帳印單!B:C,2,0),"")</f>
        <v/>
      </c>
      <c r="T1116" s="68" t="e">
        <f t="shared" si="104"/>
        <v>#VALUE!</v>
      </c>
      <c r="U1116" s="69">
        <f t="shared" si="105"/>
        <v>0</v>
      </c>
      <c r="V1116" s="68" t="str">
        <f>IFERROR(VLOOKUP(A1116,已除帳印單!B:D,3,0),"")</f>
        <v/>
      </c>
      <c r="W1116" s="69" t="str">
        <f>IFERROR(VLOOKUP(A1116,已除帳印單!B:E,4,0),"")</f>
        <v/>
      </c>
      <c r="X1116" s="68" t="str">
        <f>IFERROR(INDEX(刷條碼區!A:C,MATCH(點上線資訊!S1116,刷條碼區!C:C,0),1),"")</f>
        <v/>
      </c>
      <c r="Y1116" s="69" t="str">
        <f>IFERROR(INDEX(刷條碼區!A:C,MATCH(點上線資訊!S1116,刷條碼區!C:C,0),2),"")</f>
        <v/>
      </c>
      <c r="Z1116" s="70" t="str">
        <f>IFERROR(INDEX(刷條碼區!D:G,MATCH(點上線資訊!S1116,刷條碼區!F:F,0),1),"")</f>
        <v/>
      </c>
      <c r="AA1116" s="71" t="str">
        <f>IFERROR(INDEX(刷條碼區!D:G,MATCH(點上線資訊!S1116,刷條碼區!F:F,0),2),"")</f>
        <v/>
      </c>
      <c r="AB1116" s="20">
        <f t="shared" si="106"/>
        <v>0</v>
      </c>
      <c r="AC1116" s="20" t="b">
        <f t="shared" si="107"/>
        <v>0</v>
      </c>
      <c r="AD1116" s="17" t="b">
        <f t="shared" si="108"/>
        <v>0</v>
      </c>
      <c r="AE1116" s="17" t="b">
        <f t="shared" si="109"/>
        <v>0</v>
      </c>
    </row>
    <row r="1117" spans="17:31" x14ac:dyDescent="0.2">
      <c r="Q1117" s="17">
        <f>IFERROR(VLOOKUP(A1117,已除帳印單!B:C,1,0),0)*1</f>
        <v>0</v>
      </c>
      <c r="R1117" s="67" t="str">
        <f>IFERROR(VLOOKUP(J1117,線別!A:B,2,1),"")</f>
        <v/>
      </c>
      <c r="S1117" s="17" t="str">
        <f>IFERROR(VLOOKUP(A1117,已除帳印單!B:C,2,0),"")</f>
        <v/>
      </c>
      <c r="T1117" s="68" t="e">
        <f t="shared" si="104"/>
        <v>#VALUE!</v>
      </c>
      <c r="U1117" s="69">
        <f t="shared" si="105"/>
        <v>0</v>
      </c>
      <c r="V1117" s="68" t="str">
        <f>IFERROR(VLOOKUP(A1117,已除帳印單!B:D,3,0),"")</f>
        <v/>
      </c>
      <c r="W1117" s="69" t="str">
        <f>IFERROR(VLOOKUP(A1117,已除帳印單!B:E,4,0),"")</f>
        <v/>
      </c>
      <c r="X1117" s="68" t="str">
        <f>IFERROR(INDEX(刷條碼區!A:C,MATCH(點上線資訊!S1117,刷條碼區!C:C,0),1),"")</f>
        <v/>
      </c>
      <c r="Y1117" s="69" t="str">
        <f>IFERROR(INDEX(刷條碼區!A:C,MATCH(點上線資訊!S1117,刷條碼區!C:C,0),2),"")</f>
        <v/>
      </c>
      <c r="Z1117" s="70" t="str">
        <f>IFERROR(INDEX(刷條碼區!D:G,MATCH(點上線資訊!S1117,刷條碼區!F:F,0),1),"")</f>
        <v/>
      </c>
      <c r="AA1117" s="71" t="str">
        <f>IFERROR(INDEX(刷條碼區!D:G,MATCH(點上線資訊!S1117,刷條碼區!F:F,0),2),"")</f>
        <v/>
      </c>
      <c r="AB1117" s="20">
        <f t="shared" si="106"/>
        <v>0</v>
      </c>
      <c r="AC1117" s="20" t="b">
        <f t="shared" si="107"/>
        <v>0</v>
      </c>
      <c r="AD1117" s="17" t="b">
        <f t="shared" si="108"/>
        <v>0</v>
      </c>
      <c r="AE1117" s="17" t="b">
        <f t="shared" si="109"/>
        <v>0</v>
      </c>
    </row>
    <row r="1118" spans="17:31" x14ac:dyDescent="0.2">
      <c r="Q1118" s="17">
        <f>IFERROR(VLOOKUP(A1118,已除帳印單!B:C,1,0),0)*1</f>
        <v>0</v>
      </c>
      <c r="R1118" s="67" t="str">
        <f>IFERROR(VLOOKUP(J1118,線別!A:B,2,1),"")</f>
        <v/>
      </c>
      <c r="S1118" s="17" t="str">
        <f>IFERROR(VLOOKUP(A1118,已除帳印單!B:C,2,0),"")</f>
        <v/>
      </c>
      <c r="T1118" s="68" t="e">
        <f t="shared" si="104"/>
        <v>#VALUE!</v>
      </c>
      <c r="U1118" s="69">
        <f t="shared" si="105"/>
        <v>0</v>
      </c>
      <c r="V1118" s="68" t="str">
        <f>IFERROR(VLOOKUP(A1118,已除帳印單!B:D,3,0),"")</f>
        <v/>
      </c>
      <c r="W1118" s="69" t="str">
        <f>IFERROR(VLOOKUP(A1118,已除帳印單!B:E,4,0),"")</f>
        <v/>
      </c>
      <c r="X1118" s="68" t="str">
        <f>IFERROR(INDEX(刷條碼區!A:C,MATCH(點上線資訊!S1118,刷條碼區!C:C,0),1),"")</f>
        <v/>
      </c>
      <c r="Y1118" s="69" t="str">
        <f>IFERROR(INDEX(刷條碼區!A:C,MATCH(點上線資訊!S1118,刷條碼區!C:C,0),2),"")</f>
        <v/>
      </c>
      <c r="Z1118" s="70" t="str">
        <f>IFERROR(INDEX(刷條碼區!D:G,MATCH(點上線資訊!S1118,刷條碼區!F:F,0),1),"")</f>
        <v/>
      </c>
      <c r="AA1118" s="71" t="str">
        <f>IFERROR(INDEX(刷條碼區!D:G,MATCH(點上線資訊!S1118,刷條碼區!F:F,0),2),"")</f>
        <v/>
      </c>
      <c r="AB1118" s="20">
        <f t="shared" si="106"/>
        <v>0</v>
      </c>
      <c r="AC1118" s="20" t="b">
        <f t="shared" si="107"/>
        <v>0</v>
      </c>
      <c r="AD1118" s="17" t="b">
        <f t="shared" si="108"/>
        <v>0</v>
      </c>
      <c r="AE1118" s="17" t="b">
        <f t="shared" si="109"/>
        <v>0</v>
      </c>
    </row>
    <row r="1119" spans="17:31" x14ac:dyDescent="0.2">
      <c r="Q1119" s="17">
        <f>IFERROR(VLOOKUP(A1119,已除帳印單!B:C,1,0),0)*1</f>
        <v>0</v>
      </c>
      <c r="R1119" s="67" t="str">
        <f>IFERROR(VLOOKUP(J1119,線別!A:B,2,1),"")</f>
        <v/>
      </c>
      <c r="S1119" s="17" t="str">
        <f>IFERROR(VLOOKUP(A1119,已除帳印單!B:C,2,0),"")</f>
        <v/>
      </c>
      <c r="T1119" s="68" t="e">
        <f t="shared" si="104"/>
        <v>#VALUE!</v>
      </c>
      <c r="U1119" s="69">
        <f t="shared" si="105"/>
        <v>0</v>
      </c>
      <c r="V1119" s="68" t="str">
        <f>IFERROR(VLOOKUP(A1119,已除帳印單!B:D,3,0),"")</f>
        <v/>
      </c>
      <c r="W1119" s="69" t="str">
        <f>IFERROR(VLOOKUP(A1119,已除帳印單!B:E,4,0),"")</f>
        <v/>
      </c>
      <c r="X1119" s="68" t="str">
        <f>IFERROR(INDEX(刷條碼區!A:C,MATCH(點上線資訊!S1119,刷條碼區!C:C,0),1),"")</f>
        <v/>
      </c>
      <c r="Y1119" s="69" t="str">
        <f>IFERROR(INDEX(刷條碼區!A:C,MATCH(點上線資訊!S1119,刷條碼區!C:C,0),2),"")</f>
        <v/>
      </c>
      <c r="Z1119" s="70" t="str">
        <f>IFERROR(INDEX(刷條碼區!D:G,MATCH(點上線資訊!S1119,刷條碼區!F:F,0),1),"")</f>
        <v/>
      </c>
      <c r="AA1119" s="71" t="str">
        <f>IFERROR(INDEX(刷條碼區!D:G,MATCH(點上線資訊!S1119,刷條碼區!F:F,0),2),"")</f>
        <v/>
      </c>
      <c r="AB1119" s="20">
        <f t="shared" si="106"/>
        <v>0</v>
      </c>
      <c r="AC1119" s="20" t="b">
        <f t="shared" si="107"/>
        <v>0</v>
      </c>
      <c r="AD1119" s="17" t="b">
        <f t="shared" si="108"/>
        <v>0</v>
      </c>
      <c r="AE1119" s="17" t="b">
        <f t="shared" si="109"/>
        <v>0</v>
      </c>
    </row>
    <row r="1120" spans="17:31" x14ac:dyDescent="0.2">
      <c r="Q1120" s="17">
        <f>IFERROR(VLOOKUP(A1120,已除帳印單!B:C,1,0),0)*1</f>
        <v>0</v>
      </c>
      <c r="R1120" s="67" t="str">
        <f>IFERROR(VLOOKUP(J1120,線別!A:B,2,1),"")</f>
        <v/>
      </c>
      <c r="S1120" s="17" t="str">
        <f>IFERROR(VLOOKUP(A1120,已除帳印單!B:C,2,0),"")</f>
        <v/>
      </c>
      <c r="T1120" s="68" t="e">
        <f t="shared" si="104"/>
        <v>#VALUE!</v>
      </c>
      <c r="U1120" s="69">
        <f t="shared" si="105"/>
        <v>0</v>
      </c>
      <c r="V1120" s="68" t="str">
        <f>IFERROR(VLOOKUP(A1120,已除帳印單!B:D,3,0),"")</f>
        <v/>
      </c>
      <c r="W1120" s="69" t="str">
        <f>IFERROR(VLOOKUP(A1120,已除帳印單!B:E,4,0),"")</f>
        <v/>
      </c>
      <c r="X1120" s="68" t="str">
        <f>IFERROR(INDEX(刷條碼區!A:C,MATCH(點上線資訊!S1120,刷條碼區!C:C,0),1),"")</f>
        <v/>
      </c>
      <c r="Y1120" s="69" t="str">
        <f>IFERROR(INDEX(刷條碼區!A:C,MATCH(點上線資訊!S1120,刷條碼區!C:C,0),2),"")</f>
        <v/>
      </c>
      <c r="Z1120" s="70" t="str">
        <f>IFERROR(INDEX(刷條碼區!D:G,MATCH(點上線資訊!S1120,刷條碼區!F:F,0),1),"")</f>
        <v/>
      </c>
      <c r="AA1120" s="71" t="str">
        <f>IFERROR(INDEX(刷條碼區!D:G,MATCH(點上線資訊!S1120,刷條碼區!F:F,0),2),"")</f>
        <v/>
      </c>
      <c r="AB1120" s="20">
        <f t="shared" si="106"/>
        <v>0</v>
      </c>
      <c r="AC1120" s="20" t="b">
        <f t="shared" si="107"/>
        <v>0</v>
      </c>
      <c r="AD1120" s="17" t="b">
        <f t="shared" si="108"/>
        <v>0</v>
      </c>
      <c r="AE1120" s="17" t="b">
        <f t="shared" si="109"/>
        <v>0</v>
      </c>
    </row>
    <row r="1121" spans="17:31" x14ac:dyDescent="0.2">
      <c r="Q1121" s="17">
        <f>IFERROR(VLOOKUP(A1121,已除帳印單!B:C,1,0),0)*1</f>
        <v>0</v>
      </c>
      <c r="R1121" s="67" t="str">
        <f>IFERROR(VLOOKUP(J1121,線別!A:B,2,1),"")</f>
        <v/>
      </c>
      <c r="S1121" s="17" t="str">
        <f>IFERROR(VLOOKUP(A1121,已除帳印單!B:C,2,0),"")</f>
        <v/>
      </c>
      <c r="T1121" s="68" t="e">
        <f t="shared" si="104"/>
        <v>#VALUE!</v>
      </c>
      <c r="U1121" s="69">
        <f t="shared" si="105"/>
        <v>0</v>
      </c>
      <c r="V1121" s="68" t="str">
        <f>IFERROR(VLOOKUP(A1121,已除帳印單!B:D,3,0),"")</f>
        <v/>
      </c>
      <c r="W1121" s="69" t="str">
        <f>IFERROR(VLOOKUP(A1121,已除帳印單!B:E,4,0),"")</f>
        <v/>
      </c>
      <c r="X1121" s="68" t="str">
        <f>IFERROR(INDEX(刷條碼區!A:C,MATCH(點上線資訊!S1121,刷條碼區!C:C,0),1),"")</f>
        <v/>
      </c>
      <c r="Y1121" s="69" t="str">
        <f>IFERROR(INDEX(刷條碼區!A:C,MATCH(點上線資訊!S1121,刷條碼區!C:C,0),2),"")</f>
        <v/>
      </c>
      <c r="Z1121" s="70" t="str">
        <f>IFERROR(INDEX(刷條碼區!D:G,MATCH(點上線資訊!S1121,刷條碼區!F:F,0),1),"")</f>
        <v/>
      </c>
      <c r="AA1121" s="71" t="str">
        <f>IFERROR(INDEX(刷條碼區!D:G,MATCH(點上線資訊!S1121,刷條碼區!F:F,0),2),"")</f>
        <v/>
      </c>
      <c r="AB1121" s="20">
        <f t="shared" si="106"/>
        <v>0</v>
      </c>
      <c r="AC1121" s="20" t="b">
        <f t="shared" si="107"/>
        <v>0</v>
      </c>
      <c r="AD1121" s="17" t="b">
        <f t="shared" si="108"/>
        <v>0</v>
      </c>
      <c r="AE1121" s="17" t="b">
        <f t="shared" si="109"/>
        <v>0</v>
      </c>
    </row>
    <row r="1122" spans="17:31" x14ac:dyDescent="0.2">
      <c r="Q1122" s="17">
        <f>IFERROR(VLOOKUP(A1122,已除帳印單!B:C,1,0),0)*1</f>
        <v>0</v>
      </c>
      <c r="R1122" s="67" t="str">
        <f>IFERROR(VLOOKUP(J1122,線別!A:B,2,1),"")</f>
        <v/>
      </c>
      <c r="S1122" s="17" t="str">
        <f>IFERROR(VLOOKUP(A1122,已除帳印單!B:C,2,0),"")</f>
        <v/>
      </c>
      <c r="T1122" s="68" t="e">
        <f t="shared" si="104"/>
        <v>#VALUE!</v>
      </c>
      <c r="U1122" s="69">
        <f t="shared" si="105"/>
        <v>0</v>
      </c>
      <c r="V1122" s="68" t="str">
        <f>IFERROR(VLOOKUP(A1122,已除帳印單!B:D,3,0),"")</f>
        <v/>
      </c>
      <c r="W1122" s="69" t="str">
        <f>IFERROR(VLOOKUP(A1122,已除帳印單!B:E,4,0),"")</f>
        <v/>
      </c>
      <c r="X1122" s="68" t="str">
        <f>IFERROR(INDEX(刷條碼區!A:C,MATCH(點上線資訊!S1122,刷條碼區!C:C,0),1),"")</f>
        <v/>
      </c>
      <c r="Y1122" s="69" t="str">
        <f>IFERROR(INDEX(刷條碼區!A:C,MATCH(點上線資訊!S1122,刷條碼區!C:C,0),2),"")</f>
        <v/>
      </c>
      <c r="Z1122" s="70" t="str">
        <f>IFERROR(INDEX(刷條碼區!D:G,MATCH(點上線資訊!S1122,刷條碼區!F:F,0),1),"")</f>
        <v/>
      </c>
      <c r="AA1122" s="71" t="str">
        <f>IFERROR(INDEX(刷條碼區!D:G,MATCH(點上線資訊!S1122,刷條碼區!F:F,0),2),"")</f>
        <v/>
      </c>
      <c r="AB1122" s="20">
        <f t="shared" si="106"/>
        <v>0</v>
      </c>
      <c r="AC1122" s="20" t="b">
        <f t="shared" si="107"/>
        <v>0</v>
      </c>
      <c r="AD1122" s="17" t="b">
        <f t="shared" si="108"/>
        <v>0</v>
      </c>
      <c r="AE1122" s="17" t="b">
        <f t="shared" si="109"/>
        <v>0</v>
      </c>
    </row>
    <row r="1123" spans="17:31" x14ac:dyDescent="0.2">
      <c r="Q1123" s="17">
        <f>IFERROR(VLOOKUP(A1123,已除帳印單!B:C,1,0),0)*1</f>
        <v>0</v>
      </c>
      <c r="R1123" s="67" t="str">
        <f>IFERROR(VLOOKUP(J1123,線別!A:B,2,1),"")</f>
        <v/>
      </c>
      <c r="S1123" s="17" t="str">
        <f>IFERROR(VLOOKUP(A1123,已除帳印單!B:C,2,0),"")</f>
        <v/>
      </c>
      <c r="T1123" s="68" t="e">
        <f t="shared" si="104"/>
        <v>#VALUE!</v>
      </c>
      <c r="U1123" s="69">
        <f t="shared" si="105"/>
        <v>0</v>
      </c>
      <c r="V1123" s="68" t="str">
        <f>IFERROR(VLOOKUP(A1123,已除帳印單!B:D,3,0),"")</f>
        <v/>
      </c>
      <c r="W1123" s="69" t="str">
        <f>IFERROR(VLOOKUP(A1123,已除帳印單!B:E,4,0),"")</f>
        <v/>
      </c>
      <c r="X1123" s="68" t="str">
        <f>IFERROR(INDEX(刷條碼區!A:C,MATCH(點上線資訊!S1123,刷條碼區!C:C,0),1),"")</f>
        <v/>
      </c>
      <c r="Y1123" s="69" t="str">
        <f>IFERROR(INDEX(刷條碼區!A:C,MATCH(點上線資訊!S1123,刷條碼區!C:C,0),2),"")</f>
        <v/>
      </c>
      <c r="Z1123" s="70" t="str">
        <f>IFERROR(INDEX(刷條碼區!D:G,MATCH(點上線資訊!S1123,刷條碼區!F:F,0),1),"")</f>
        <v/>
      </c>
      <c r="AA1123" s="71" t="str">
        <f>IFERROR(INDEX(刷條碼區!D:G,MATCH(點上線資訊!S1123,刷條碼區!F:F,0),2),"")</f>
        <v/>
      </c>
      <c r="AB1123" s="20">
        <f t="shared" si="106"/>
        <v>0</v>
      </c>
      <c r="AC1123" s="20" t="b">
        <f t="shared" si="107"/>
        <v>0</v>
      </c>
      <c r="AD1123" s="17" t="b">
        <f t="shared" si="108"/>
        <v>0</v>
      </c>
      <c r="AE1123" s="17" t="b">
        <f t="shared" si="109"/>
        <v>0</v>
      </c>
    </row>
    <row r="1124" spans="17:31" x14ac:dyDescent="0.2">
      <c r="Q1124" s="17">
        <f>IFERROR(VLOOKUP(A1124,已除帳印單!B:C,1,0),0)*1</f>
        <v>0</v>
      </c>
      <c r="R1124" s="67" t="str">
        <f>IFERROR(VLOOKUP(J1124,線別!A:B,2,1),"")</f>
        <v/>
      </c>
      <c r="S1124" s="17" t="str">
        <f>IFERROR(VLOOKUP(A1124,已除帳印單!B:C,2,0),"")</f>
        <v/>
      </c>
      <c r="T1124" s="68" t="e">
        <f t="shared" si="104"/>
        <v>#VALUE!</v>
      </c>
      <c r="U1124" s="69">
        <f t="shared" si="105"/>
        <v>0</v>
      </c>
      <c r="V1124" s="68" t="str">
        <f>IFERROR(VLOOKUP(A1124,已除帳印單!B:D,3,0),"")</f>
        <v/>
      </c>
      <c r="W1124" s="69" t="str">
        <f>IFERROR(VLOOKUP(A1124,已除帳印單!B:E,4,0),"")</f>
        <v/>
      </c>
      <c r="X1124" s="68" t="str">
        <f>IFERROR(INDEX(刷條碼區!A:C,MATCH(點上線資訊!S1124,刷條碼區!C:C,0),1),"")</f>
        <v/>
      </c>
      <c r="Y1124" s="69" t="str">
        <f>IFERROR(INDEX(刷條碼區!A:C,MATCH(點上線資訊!S1124,刷條碼區!C:C,0),2),"")</f>
        <v/>
      </c>
      <c r="Z1124" s="70" t="str">
        <f>IFERROR(INDEX(刷條碼區!D:G,MATCH(點上線資訊!S1124,刷條碼區!F:F,0),1),"")</f>
        <v/>
      </c>
      <c r="AA1124" s="71" t="str">
        <f>IFERROR(INDEX(刷條碼區!D:G,MATCH(點上線資訊!S1124,刷條碼區!F:F,0),2),"")</f>
        <v/>
      </c>
      <c r="AB1124" s="20">
        <f t="shared" si="106"/>
        <v>0</v>
      </c>
      <c r="AC1124" s="20" t="b">
        <f t="shared" si="107"/>
        <v>0</v>
      </c>
      <c r="AD1124" s="17" t="b">
        <f t="shared" si="108"/>
        <v>0</v>
      </c>
      <c r="AE1124" s="17" t="b">
        <f t="shared" si="109"/>
        <v>0</v>
      </c>
    </row>
    <row r="1125" spans="17:31" x14ac:dyDescent="0.2">
      <c r="Q1125" s="17">
        <f>IFERROR(VLOOKUP(A1125,已除帳印單!B:C,1,0),0)*1</f>
        <v>0</v>
      </c>
      <c r="R1125" s="67" t="str">
        <f>IFERROR(VLOOKUP(J1125,線別!A:B,2,1),"")</f>
        <v/>
      </c>
      <c r="S1125" s="17" t="str">
        <f>IFERROR(VLOOKUP(A1125,已除帳印單!B:C,2,0),"")</f>
        <v/>
      </c>
      <c r="T1125" s="68" t="e">
        <f t="shared" si="104"/>
        <v>#VALUE!</v>
      </c>
      <c r="U1125" s="69">
        <f t="shared" si="105"/>
        <v>0</v>
      </c>
      <c r="V1125" s="68" t="str">
        <f>IFERROR(VLOOKUP(A1125,已除帳印單!B:D,3,0),"")</f>
        <v/>
      </c>
      <c r="W1125" s="69" t="str">
        <f>IFERROR(VLOOKUP(A1125,已除帳印單!B:E,4,0),"")</f>
        <v/>
      </c>
      <c r="X1125" s="68" t="str">
        <f>IFERROR(INDEX(刷條碼區!A:C,MATCH(點上線資訊!S1125,刷條碼區!C:C,0),1),"")</f>
        <v/>
      </c>
      <c r="Y1125" s="69" t="str">
        <f>IFERROR(INDEX(刷條碼區!A:C,MATCH(點上線資訊!S1125,刷條碼區!C:C,0),2),"")</f>
        <v/>
      </c>
      <c r="Z1125" s="70" t="str">
        <f>IFERROR(INDEX(刷條碼區!D:G,MATCH(點上線資訊!S1125,刷條碼區!F:F,0),1),"")</f>
        <v/>
      </c>
      <c r="AA1125" s="71" t="str">
        <f>IFERROR(INDEX(刷條碼區!D:G,MATCH(點上線資訊!S1125,刷條碼區!F:F,0),2),"")</f>
        <v/>
      </c>
      <c r="AB1125" s="20">
        <f t="shared" si="106"/>
        <v>0</v>
      </c>
      <c r="AC1125" s="20" t="b">
        <f t="shared" si="107"/>
        <v>0</v>
      </c>
      <c r="AD1125" s="17" t="b">
        <f t="shared" si="108"/>
        <v>0</v>
      </c>
      <c r="AE1125" s="17" t="b">
        <f t="shared" si="109"/>
        <v>0</v>
      </c>
    </row>
    <row r="1126" spans="17:31" x14ac:dyDescent="0.2">
      <c r="Q1126" s="17">
        <f>IFERROR(VLOOKUP(A1126,已除帳印單!B:C,1,0),0)*1</f>
        <v>0</v>
      </c>
      <c r="R1126" s="67" t="str">
        <f>IFERROR(VLOOKUP(J1126,線別!A:B,2,1),"")</f>
        <v/>
      </c>
      <c r="S1126" s="17" t="str">
        <f>IFERROR(VLOOKUP(A1126,已除帳印單!B:C,2,0),"")</f>
        <v/>
      </c>
      <c r="T1126" s="68" t="e">
        <f t="shared" si="104"/>
        <v>#VALUE!</v>
      </c>
      <c r="U1126" s="69">
        <f t="shared" si="105"/>
        <v>0</v>
      </c>
      <c r="V1126" s="68" t="str">
        <f>IFERROR(VLOOKUP(A1126,已除帳印單!B:D,3,0),"")</f>
        <v/>
      </c>
      <c r="W1126" s="69" t="str">
        <f>IFERROR(VLOOKUP(A1126,已除帳印單!B:E,4,0),"")</f>
        <v/>
      </c>
      <c r="X1126" s="68" t="str">
        <f>IFERROR(INDEX(刷條碼區!A:C,MATCH(點上線資訊!S1126,刷條碼區!C:C,0),1),"")</f>
        <v/>
      </c>
      <c r="Y1126" s="69" t="str">
        <f>IFERROR(INDEX(刷條碼區!A:C,MATCH(點上線資訊!S1126,刷條碼區!C:C,0),2),"")</f>
        <v/>
      </c>
      <c r="Z1126" s="70" t="str">
        <f>IFERROR(INDEX(刷條碼區!D:G,MATCH(點上線資訊!S1126,刷條碼區!F:F,0),1),"")</f>
        <v/>
      </c>
      <c r="AA1126" s="71" t="str">
        <f>IFERROR(INDEX(刷條碼區!D:G,MATCH(點上線資訊!S1126,刷條碼區!F:F,0),2),"")</f>
        <v/>
      </c>
      <c r="AB1126" s="20">
        <f t="shared" si="106"/>
        <v>0</v>
      </c>
      <c r="AC1126" s="20" t="b">
        <f t="shared" si="107"/>
        <v>0</v>
      </c>
      <c r="AD1126" s="17" t="b">
        <f t="shared" si="108"/>
        <v>0</v>
      </c>
      <c r="AE1126" s="17" t="b">
        <f t="shared" si="109"/>
        <v>0</v>
      </c>
    </row>
    <row r="1127" spans="17:31" x14ac:dyDescent="0.2">
      <c r="Q1127" s="17">
        <f>IFERROR(VLOOKUP(A1127,已除帳印單!B:C,1,0),0)*1</f>
        <v>0</v>
      </c>
      <c r="R1127" s="67" t="str">
        <f>IFERROR(VLOOKUP(J1127,線別!A:B,2,1),"")</f>
        <v/>
      </c>
      <c r="S1127" s="17" t="str">
        <f>IFERROR(VLOOKUP(A1127,已除帳印單!B:C,2,0),"")</f>
        <v/>
      </c>
      <c r="T1127" s="68" t="e">
        <f t="shared" si="104"/>
        <v>#VALUE!</v>
      </c>
      <c r="U1127" s="69">
        <f t="shared" si="105"/>
        <v>0</v>
      </c>
      <c r="V1127" s="68" t="str">
        <f>IFERROR(VLOOKUP(A1127,已除帳印單!B:D,3,0),"")</f>
        <v/>
      </c>
      <c r="W1127" s="69" t="str">
        <f>IFERROR(VLOOKUP(A1127,已除帳印單!B:E,4,0),"")</f>
        <v/>
      </c>
      <c r="X1127" s="68" t="str">
        <f>IFERROR(INDEX(刷條碼區!A:C,MATCH(點上線資訊!S1127,刷條碼區!C:C,0),1),"")</f>
        <v/>
      </c>
      <c r="Y1127" s="69" t="str">
        <f>IFERROR(INDEX(刷條碼區!A:C,MATCH(點上線資訊!S1127,刷條碼區!C:C,0),2),"")</f>
        <v/>
      </c>
      <c r="Z1127" s="70" t="str">
        <f>IFERROR(INDEX(刷條碼區!D:G,MATCH(點上線資訊!S1127,刷條碼區!F:F,0),1),"")</f>
        <v/>
      </c>
      <c r="AA1127" s="71" t="str">
        <f>IFERROR(INDEX(刷條碼區!D:G,MATCH(點上線資訊!S1127,刷條碼區!F:F,0),2),"")</f>
        <v/>
      </c>
      <c r="AB1127" s="20">
        <f t="shared" si="106"/>
        <v>0</v>
      </c>
      <c r="AC1127" s="20" t="b">
        <f t="shared" si="107"/>
        <v>0</v>
      </c>
      <c r="AD1127" s="17" t="b">
        <f t="shared" si="108"/>
        <v>0</v>
      </c>
      <c r="AE1127" s="17" t="b">
        <f t="shared" si="109"/>
        <v>0</v>
      </c>
    </row>
    <row r="1128" spans="17:31" x14ac:dyDescent="0.2">
      <c r="Q1128" s="17">
        <f>IFERROR(VLOOKUP(A1128,已除帳印單!B:C,1,0),0)*1</f>
        <v>0</v>
      </c>
      <c r="R1128" s="67" t="str">
        <f>IFERROR(VLOOKUP(J1128,線別!A:B,2,1),"")</f>
        <v/>
      </c>
      <c r="S1128" s="17" t="str">
        <f>IFERROR(VLOOKUP(A1128,已除帳印單!B:C,2,0),"")</f>
        <v/>
      </c>
      <c r="T1128" s="68" t="e">
        <f t="shared" si="104"/>
        <v>#VALUE!</v>
      </c>
      <c r="U1128" s="69">
        <f t="shared" si="105"/>
        <v>0</v>
      </c>
      <c r="V1128" s="68" t="str">
        <f>IFERROR(VLOOKUP(A1128,已除帳印單!B:D,3,0),"")</f>
        <v/>
      </c>
      <c r="W1128" s="69" t="str">
        <f>IFERROR(VLOOKUP(A1128,已除帳印單!B:E,4,0),"")</f>
        <v/>
      </c>
      <c r="X1128" s="68" t="str">
        <f>IFERROR(INDEX(刷條碼區!A:C,MATCH(點上線資訊!S1128,刷條碼區!C:C,0),1),"")</f>
        <v/>
      </c>
      <c r="Y1128" s="69" t="str">
        <f>IFERROR(INDEX(刷條碼區!A:C,MATCH(點上線資訊!S1128,刷條碼區!C:C,0),2),"")</f>
        <v/>
      </c>
      <c r="Z1128" s="70" t="str">
        <f>IFERROR(INDEX(刷條碼區!D:G,MATCH(點上線資訊!S1128,刷條碼區!F:F,0),1),"")</f>
        <v/>
      </c>
      <c r="AA1128" s="71" t="str">
        <f>IFERROR(INDEX(刷條碼區!D:G,MATCH(點上線資訊!S1128,刷條碼區!F:F,0),2),"")</f>
        <v/>
      </c>
      <c r="AB1128" s="20">
        <f t="shared" si="106"/>
        <v>0</v>
      </c>
      <c r="AC1128" s="20" t="b">
        <f t="shared" si="107"/>
        <v>0</v>
      </c>
      <c r="AD1128" s="17" t="b">
        <f t="shared" si="108"/>
        <v>0</v>
      </c>
      <c r="AE1128" s="17" t="b">
        <f t="shared" si="109"/>
        <v>0</v>
      </c>
    </row>
    <row r="1129" spans="17:31" x14ac:dyDescent="0.2">
      <c r="Q1129" s="17">
        <f>IFERROR(VLOOKUP(A1129,已除帳印單!B:C,1,0),0)*1</f>
        <v>0</v>
      </c>
      <c r="R1129" s="67" t="str">
        <f>IFERROR(VLOOKUP(J1129,線別!A:B,2,1),"")</f>
        <v/>
      </c>
      <c r="S1129" s="17" t="str">
        <f>IFERROR(VLOOKUP(A1129,已除帳印單!B:C,2,0),"")</f>
        <v/>
      </c>
      <c r="T1129" s="68" t="e">
        <f t="shared" si="104"/>
        <v>#VALUE!</v>
      </c>
      <c r="U1129" s="69">
        <f t="shared" si="105"/>
        <v>0</v>
      </c>
      <c r="V1129" s="68" t="str">
        <f>IFERROR(VLOOKUP(A1129,已除帳印單!B:D,3,0),"")</f>
        <v/>
      </c>
      <c r="W1129" s="69" t="str">
        <f>IFERROR(VLOOKUP(A1129,已除帳印單!B:E,4,0),"")</f>
        <v/>
      </c>
      <c r="X1129" s="68" t="str">
        <f>IFERROR(INDEX(刷條碼區!A:C,MATCH(點上線資訊!S1129,刷條碼區!C:C,0),1),"")</f>
        <v/>
      </c>
      <c r="Y1129" s="69" t="str">
        <f>IFERROR(INDEX(刷條碼區!A:C,MATCH(點上線資訊!S1129,刷條碼區!C:C,0),2),"")</f>
        <v/>
      </c>
      <c r="Z1129" s="70" t="str">
        <f>IFERROR(INDEX(刷條碼區!D:G,MATCH(點上線資訊!S1129,刷條碼區!F:F,0),1),"")</f>
        <v/>
      </c>
      <c r="AA1129" s="71" t="str">
        <f>IFERROR(INDEX(刷條碼區!D:G,MATCH(點上線資訊!S1129,刷條碼區!F:F,0),2),"")</f>
        <v/>
      </c>
      <c r="AB1129" s="20">
        <f t="shared" si="106"/>
        <v>0</v>
      </c>
      <c r="AC1129" s="20" t="b">
        <f t="shared" si="107"/>
        <v>0</v>
      </c>
      <c r="AD1129" s="17" t="b">
        <f t="shared" si="108"/>
        <v>0</v>
      </c>
      <c r="AE1129" s="17" t="b">
        <f t="shared" si="109"/>
        <v>0</v>
      </c>
    </row>
    <row r="1130" spans="17:31" x14ac:dyDescent="0.2">
      <c r="Q1130" s="17">
        <f>IFERROR(VLOOKUP(A1130,已除帳印單!B:C,1,0),0)*1</f>
        <v>0</v>
      </c>
      <c r="R1130" s="67" t="str">
        <f>IFERROR(VLOOKUP(J1130,線別!A:B,2,1),"")</f>
        <v/>
      </c>
      <c r="S1130" s="17" t="str">
        <f>IFERROR(VLOOKUP(A1130,已除帳印單!B:C,2,0),"")</f>
        <v/>
      </c>
      <c r="T1130" s="68" t="e">
        <f t="shared" si="104"/>
        <v>#VALUE!</v>
      </c>
      <c r="U1130" s="69">
        <f t="shared" si="105"/>
        <v>0</v>
      </c>
      <c r="V1130" s="68" t="str">
        <f>IFERROR(VLOOKUP(A1130,已除帳印單!B:D,3,0),"")</f>
        <v/>
      </c>
      <c r="W1130" s="69" t="str">
        <f>IFERROR(VLOOKUP(A1130,已除帳印單!B:E,4,0),"")</f>
        <v/>
      </c>
      <c r="X1130" s="68" t="str">
        <f>IFERROR(INDEX(刷條碼區!A:C,MATCH(點上線資訊!S1130,刷條碼區!C:C,0),1),"")</f>
        <v/>
      </c>
      <c r="Y1130" s="69" t="str">
        <f>IFERROR(INDEX(刷條碼區!A:C,MATCH(點上線資訊!S1130,刷條碼區!C:C,0),2),"")</f>
        <v/>
      </c>
      <c r="Z1130" s="70" t="str">
        <f>IFERROR(INDEX(刷條碼區!D:G,MATCH(點上線資訊!S1130,刷條碼區!F:F,0),1),"")</f>
        <v/>
      </c>
      <c r="AA1130" s="71" t="str">
        <f>IFERROR(INDEX(刷條碼區!D:G,MATCH(點上線資訊!S1130,刷條碼區!F:F,0),2),"")</f>
        <v/>
      </c>
      <c r="AB1130" s="20">
        <f t="shared" si="106"/>
        <v>0</v>
      </c>
      <c r="AC1130" s="20" t="b">
        <f t="shared" si="107"/>
        <v>0</v>
      </c>
      <c r="AD1130" s="17" t="b">
        <f t="shared" si="108"/>
        <v>0</v>
      </c>
      <c r="AE1130" s="17" t="b">
        <f t="shared" si="109"/>
        <v>0</v>
      </c>
    </row>
    <row r="1131" spans="17:31" x14ac:dyDescent="0.2">
      <c r="Q1131" s="17">
        <f>IFERROR(VLOOKUP(A1131,已除帳印單!B:C,1,0),0)*1</f>
        <v>0</v>
      </c>
      <c r="R1131" s="67" t="str">
        <f>IFERROR(VLOOKUP(J1131,線別!A:B,2,1),"")</f>
        <v/>
      </c>
      <c r="S1131" s="17" t="str">
        <f>IFERROR(VLOOKUP(A1131,已除帳印單!B:C,2,0),"")</f>
        <v/>
      </c>
      <c r="T1131" s="68" t="e">
        <f t="shared" si="104"/>
        <v>#VALUE!</v>
      </c>
      <c r="U1131" s="69">
        <f t="shared" si="105"/>
        <v>0</v>
      </c>
      <c r="V1131" s="68" t="str">
        <f>IFERROR(VLOOKUP(A1131,已除帳印單!B:D,3,0),"")</f>
        <v/>
      </c>
      <c r="W1131" s="69" t="str">
        <f>IFERROR(VLOOKUP(A1131,已除帳印單!B:E,4,0),"")</f>
        <v/>
      </c>
      <c r="X1131" s="68" t="str">
        <f>IFERROR(INDEX(刷條碼區!A:C,MATCH(點上線資訊!S1131,刷條碼區!C:C,0),1),"")</f>
        <v/>
      </c>
      <c r="Y1131" s="69" t="str">
        <f>IFERROR(INDEX(刷條碼區!A:C,MATCH(點上線資訊!S1131,刷條碼區!C:C,0),2),"")</f>
        <v/>
      </c>
      <c r="Z1131" s="70" t="str">
        <f>IFERROR(INDEX(刷條碼區!D:G,MATCH(點上線資訊!S1131,刷條碼區!F:F,0),1),"")</f>
        <v/>
      </c>
      <c r="AA1131" s="71" t="str">
        <f>IFERROR(INDEX(刷條碼區!D:G,MATCH(點上線資訊!S1131,刷條碼區!F:F,0),2),"")</f>
        <v/>
      </c>
      <c r="AB1131" s="20">
        <f t="shared" si="106"/>
        <v>0</v>
      </c>
      <c r="AC1131" s="20" t="b">
        <f t="shared" si="107"/>
        <v>0</v>
      </c>
      <c r="AD1131" s="17" t="b">
        <f t="shared" si="108"/>
        <v>0</v>
      </c>
      <c r="AE1131" s="17" t="b">
        <f t="shared" si="109"/>
        <v>0</v>
      </c>
    </row>
    <row r="1132" spans="17:31" x14ac:dyDescent="0.2">
      <c r="Q1132" s="17">
        <f>IFERROR(VLOOKUP(A1132,已除帳印單!B:C,1,0),0)*1</f>
        <v>0</v>
      </c>
      <c r="R1132" s="67" t="str">
        <f>IFERROR(VLOOKUP(J1132,線別!A:B,2,1),"")</f>
        <v/>
      </c>
      <c r="S1132" s="17" t="str">
        <f>IFERROR(VLOOKUP(A1132,已除帳印單!B:C,2,0),"")</f>
        <v/>
      </c>
      <c r="T1132" s="68" t="e">
        <f t="shared" si="104"/>
        <v>#VALUE!</v>
      </c>
      <c r="U1132" s="69">
        <f t="shared" si="105"/>
        <v>0</v>
      </c>
      <c r="V1132" s="68" t="str">
        <f>IFERROR(VLOOKUP(A1132,已除帳印單!B:D,3,0),"")</f>
        <v/>
      </c>
      <c r="W1132" s="69" t="str">
        <f>IFERROR(VLOOKUP(A1132,已除帳印單!B:E,4,0),"")</f>
        <v/>
      </c>
      <c r="X1132" s="68" t="str">
        <f>IFERROR(INDEX(刷條碼區!A:C,MATCH(點上線資訊!S1132,刷條碼區!C:C,0),1),"")</f>
        <v/>
      </c>
      <c r="Y1132" s="69" t="str">
        <f>IFERROR(INDEX(刷條碼區!A:C,MATCH(點上線資訊!S1132,刷條碼區!C:C,0),2),"")</f>
        <v/>
      </c>
      <c r="Z1132" s="70" t="str">
        <f>IFERROR(INDEX(刷條碼區!D:G,MATCH(點上線資訊!S1132,刷條碼區!F:F,0),1),"")</f>
        <v/>
      </c>
      <c r="AA1132" s="71" t="str">
        <f>IFERROR(INDEX(刷條碼區!D:G,MATCH(點上線資訊!S1132,刷條碼區!F:F,0),2),"")</f>
        <v/>
      </c>
      <c r="AB1132" s="20">
        <f t="shared" si="106"/>
        <v>0</v>
      </c>
      <c r="AC1132" s="20" t="b">
        <f t="shared" si="107"/>
        <v>0</v>
      </c>
      <c r="AD1132" s="17" t="b">
        <f t="shared" si="108"/>
        <v>0</v>
      </c>
      <c r="AE1132" s="17" t="b">
        <f t="shared" si="109"/>
        <v>0</v>
      </c>
    </row>
    <row r="1133" spans="17:31" x14ac:dyDescent="0.2">
      <c r="Q1133" s="17">
        <f>IFERROR(VLOOKUP(A1133,已除帳印單!B:C,1,0),0)*1</f>
        <v>0</v>
      </c>
      <c r="R1133" s="67" t="str">
        <f>IFERROR(VLOOKUP(J1133,線別!A:B,2,1),"")</f>
        <v/>
      </c>
      <c r="S1133" s="17" t="str">
        <f>IFERROR(VLOOKUP(A1133,已除帳印單!B:C,2,0),"")</f>
        <v/>
      </c>
      <c r="T1133" s="68" t="e">
        <f t="shared" si="104"/>
        <v>#VALUE!</v>
      </c>
      <c r="U1133" s="69">
        <f t="shared" si="105"/>
        <v>0</v>
      </c>
      <c r="V1133" s="68" t="str">
        <f>IFERROR(VLOOKUP(A1133,已除帳印單!B:D,3,0),"")</f>
        <v/>
      </c>
      <c r="W1133" s="69" t="str">
        <f>IFERROR(VLOOKUP(A1133,已除帳印單!B:E,4,0),"")</f>
        <v/>
      </c>
      <c r="X1133" s="68" t="str">
        <f>IFERROR(INDEX(刷條碼區!A:C,MATCH(點上線資訊!S1133,刷條碼區!C:C,0),1),"")</f>
        <v/>
      </c>
      <c r="Y1133" s="69" t="str">
        <f>IFERROR(INDEX(刷條碼區!A:C,MATCH(點上線資訊!S1133,刷條碼區!C:C,0),2),"")</f>
        <v/>
      </c>
      <c r="Z1133" s="70" t="str">
        <f>IFERROR(INDEX(刷條碼區!D:G,MATCH(點上線資訊!S1133,刷條碼區!F:F,0),1),"")</f>
        <v/>
      </c>
      <c r="AA1133" s="71" t="str">
        <f>IFERROR(INDEX(刷條碼區!D:G,MATCH(點上線資訊!S1133,刷條碼區!F:F,0),2),"")</f>
        <v/>
      </c>
      <c r="AB1133" s="20">
        <f t="shared" si="106"/>
        <v>0</v>
      </c>
      <c r="AC1133" s="20" t="b">
        <f t="shared" si="107"/>
        <v>0</v>
      </c>
      <c r="AD1133" s="17" t="b">
        <f t="shared" si="108"/>
        <v>0</v>
      </c>
      <c r="AE1133" s="17" t="b">
        <f t="shared" si="109"/>
        <v>0</v>
      </c>
    </row>
    <row r="1134" spans="17:31" x14ac:dyDescent="0.2">
      <c r="Q1134" s="17">
        <f>IFERROR(VLOOKUP(A1134,已除帳印單!B:C,1,0),0)*1</f>
        <v>0</v>
      </c>
      <c r="R1134" s="67" t="str">
        <f>IFERROR(VLOOKUP(J1134,線別!A:B,2,1),"")</f>
        <v/>
      </c>
      <c r="S1134" s="17" t="str">
        <f>IFERROR(VLOOKUP(A1134,已除帳印單!B:C,2,0),"")</f>
        <v/>
      </c>
      <c r="T1134" s="68" t="e">
        <f t="shared" si="104"/>
        <v>#VALUE!</v>
      </c>
      <c r="U1134" s="69">
        <f t="shared" si="105"/>
        <v>0</v>
      </c>
      <c r="V1134" s="68" t="str">
        <f>IFERROR(VLOOKUP(A1134,已除帳印單!B:D,3,0),"")</f>
        <v/>
      </c>
      <c r="W1134" s="69" t="str">
        <f>IFERROR(VLOOKUP(A1134,已除帳印單!B:E,4,0),"")</f>
        <v/>
      </c>
      <c r="X1134" s="68" t="str">
        <f>IFERROR(INDEX(刷條碼區!A:C,MATCH(點上線資訊!S1134,刷條碼區!C:C,0),1),"")</f>
        <v/>
      </c>
      <c r="Y1134" s="69" t="str">
        <f>IFERROR(INDEX(刷條碼區!A:C,MATCH(點上線資訊!S1134,刷條碼區!C:C,0),2),"")</f>
        <v/>
      </c>
      <c r="Z1134" s="70" t="str">
        <f>IFERROR(INDEX(刷條碼區!D:G,MATCH(點上線資訊!S1134,刷條碼區!F:F,0),1),"")</f>
        <v/>
      </c>
      <c r="AA1134" s="71" t="str">
        <f>IFERROR(INDEX(刷條碼區!D:G,MATCH(點上線資訊!S1134,刷條碼區!F:F,0),2),"")</f>
        <v/>
      </c>
      <c r="AB1134" s="20">
        <f t="shared" si="106"/>
        <v>0</v>
      </c>
      <c r="AC1134" s="20" t="b">
        <f t="shared" si="107"/>
        <v>0</v>
      </c>
      <c r="AD1134" s="17" t="b">
        <f t="shared" si="108"/>
        <v>0</v>
      </c>
      <c r="AE1134" s="17" t="b">
        <f t="shared" si="109"/>
        <v>0</v>
      </c>
    </row>
    <row r="1135" spans="17:31" x14ac:dyDescent="0.2">
      <c r="Q1135" s="17">
        <f>IFERROR(VLOOKUP(A1135,已除帳印單!B:C,1,0),0)*1</f>
        <v>0</v>
      </c>
      <c r="R1135" s="67" t="str">
        <f>IFERROR(VLOOKUP(J1135,線別!A:B,2,1),"")</f>
        <v/>
      </c>
      <c r="S1135" s="17" t="str">
        <f>IFERROR(VLOOKUP(A1135,已除帳印單!B:C,2,0),"")</f>
        <v/>
      </c>
      <c r="T1135" s="68" t="e">
        <f t="shared" si="104"/>
        <v>#VALUE!</v>
      </c>
      <c r="U1135" s="69">
        <f t="shared" si="105"/>
        <v>0</v>
      </c>
      <c r="V1135" s="68" t="str">
        <f>IFERROR(VLOOKUP(A1135,已除帳印單!B:D,3,0),"")</f>
        <v/>
      </c>
      <c r="W1135" s="69" t="str">
        <f>IFERROR(VLOOKUP(A1135,已除帳印單!B:E,4,0),"")</f>
        <v/>
      </c>
      <c r="X1135" s="68" t="str">
        <f>IFERROR(INDEX(刷條碼區!A:C,MATCH(點上線資訊!S1135,刷條碼區!C:C,0),1),"")</f>
        <v/>
      </c>
      <c r="Y1135" s="69" t="str">
        <f>IFERROR(INDEX(刷條碼區!A:C,MATCH(點上線資訊!S1135,刷條碼區!C:C,0),2),"")</f>
        <v/>
      </c>
      <c r="Z1135" s="70" t="str">
        <f>IFERROR(INDEX(刷條碼區!D:G,MATCH(點上線資訊!S1135,刷條碼區!F:F,0),1),"")</f>
        <v/>
      </c>
      <c r="AA1135" s="71" t="str">
        <f>IFERROR(INDEX(刷條碼區!D:G,MATCH(點上線資訊!S1135,刷條碼區!F:F,0),2),"")</f>
        <v/>
      </c>
      <c r="AB1135" s="20">
        <f t="shared" si="106"/>
        <v>0</v>
      </c>
      <c r="AC1135" s="20" t="b">
        <f t="shared" si="107"/>
        <v>0</v>
      </c>
      <c r="AD1135" s="17" t="b">
        <f t="shared" si="108"/>
        <v>0</v>
      </c>
      <c r="AE1135" s="17" t="b">
        <f t="shared" si="109"/>
        <v>0</v>
      </c>
    </row>
    <row r="1136" spans="17:31" x14ac:dyDescent="0.2">
      <c r="Q1136" s="17">
        <f>IFERROR(VLOOKUP(A1136,已除帳印單!B:C,1,0),0)*1</f>
        <v>0</v>
      </c>
      <c r="R1136" s="67" t="str">
        <f>IFERROR(VLOOKUP(J1136,線別!A:B,2,1),"")</f>
        <v/>
      </c>
      <c r="S1136" s="17" t="str">
        <f>IFERROR(VLOOKUP(A1136,已除帳印單!B:C,2,0),"")</f>
        <v/>
      </c>
      <c r="T1136" s="68" t="e">
        <f t="shared" si="104"/>
        <v>#VALUE!</v>
      </c>
      <c r="U1136" s="69">
        <f t="shared" si="105"/>
        <v>0</v>
      </c>
      <c r="V1136" s="68" t="str">
        <f>IFERROR(VLOOKUP(A1136,已除帳印單!B:D,3,0),"")</f>
        <v/>
      </c>
      <c r="W1136" s="69" t="str">
        <f>IFERROR(VLOOKUP(A1136,已除帳印單!B:E,4,0),"")</f>
        <v/>
      </c>
      <c r="X1136" s="68" t="str">
        <f>IFERROR(INDEX(刷條碼區!A:C,MATCH(點上線資訊!S1136,刷條碼區!C:C,0),1),"")</f>
        <v/>
      </c>
      <c r="Y1136" s="69" t="str">
        <f>IFERROR(INDEX(刷條碼區!A:C,MATCH(點上線資訊!S1136,刷條碼區!C:C,0),2),"")</f>
        <v/>
      </c>
      <c r="Z1136" s="70" t="str">
        <f>IFERROR(INDEX(刷條碼區!D:G,MATCH(點上線資訊!S1136,刷條碼區!F:F,0),1),"")</f>
        <v/>
      </c>
      <c r="AA1136" s="71" t="str">
        <f>IFERROR(INDEX(刷條碼區!D:G,MATCH(點上線資訊!S1136,刷條碼區!F:F,0),2),"")</f>
        <v/>
      </c>
      <c r="AB1136" s="20">
        <f t="shared" si="106"/>
        <v>0</v>
      </c>
      <c r="AC1136" s="20" t="b">
        <f t="shared" si="107"/>
        <v>0</v>
      </c>
      <c r="AD1136" s="17" t="b">
        <f t="shared" si="108"/>
        <v>0</v>
      </c>
      <c r="AE1136" s="17" t="b">
        <f t="shared" si="109"/>
        <v>0</v>
      </c>
    </row>
    <row r="1137" spans="17:31" x14ac:dyDescent="0.2">
      <c r="Q1137" s="17">
        <f>IFERROR(VLOOKUP(A1137,已除帳印單!B:C,1,0),0)*1</f>
        <v>0</v>
      </c>
      <c r="R1137" s="67" t="str">
        <f>IFERROR(VLOOKUP(J1137,線別!A:B,2,1),"")</f>
        <v/>
      </c>
      <c r="S1137" s="17" t="str">
        <f>IFERROR(VLOOKUP(A1137,已除帳印單!B:C,2,0),"")</f>
        <v/>
      </c>
      <c r="T1137" s="68" t="e">
        <f t="shared" si="104"/>
        <v>#VALUE!</v>
      </c>
      <c r="U1137" s="69">
        <f t="shared" si="105"/>
        <v>0</v>
      </c>
      <c r="V1137" s="68" t="str">
        <f>IFERROR(VLOOKUP(A1137,已除帳印單!B:D,3,0),"")</f>
        <v/>
      </c>
      <c r="W1137" s="69" t="str">
        <f>IFERROR(VLOOKUP(A1137,已除帳印單!B:E,4,0),"")</f>
        <v/>
      </c>
      <c r="X1137" s="68" t="str">
        <f>IFERROR(INDEX(刷條碼區!A:C,MATCH(點上線資訊!S1137,刷條碼區!C:C,0),1),"")</f>
        <v/>
      </c>
      <c r="Y1137" s="69" t="str">
        <f>IFERROR(INDEX(刷條碼區!A:C,MATCH(點上線資訊!S1137,刷條碼區!C:C,0),2),"")</f>
        <v/>
      </c>
      <c r="Z1137" s="70" t="str">
        <f>IFERROR(INDEX(刷條碼區!D:G,MATCH(點上線資訊!S1137,刷條碼區!F:F,0),1),"")</f>
        <v/>
      </c>
      <c r="AA1137" s="71" t="str">
        <f>IFERROR(INDEX(刷條碼區!D:G,MATCH(點上線資訊!S1137,刷條碼區!F:F,0),2),"")</f>
        <v/>
      </c>
      <c r="AB1137" s="20">
        <f t="shared" si="106"/>
        <v>0</v>
      </c>
      <c r="AC1137" s="20" t="b">
        <f t="shared" si="107"/>
        <v>0</v>
      </c>
      <c r="AD1137" s="17" t="b">
        <f t="shared" si="108"/>
        <v>0</v>
      </c>
      <c r="AE1137" s="17" t="b">
        <f t="shared" si="109"/>
        <v>0</v>
      </c>
    </row>
    <row r="1138" spans="17:31" x14ac:dyDescent="0.2">
      <c r="Q1138" s="17">
        <f>IFERROR(VLOOKUP(A1138,已除帳印單!B:C,1,0),0)*1</f>
        <v>0</v>
      </c>
      <c r="R1138" s="67" t="str">
        <f>IFERROR(VLOOKUP(J1138,線別!A:B,2,1),"")</f>
        <v/>
      </c>
      <c r="S1138" s="17" t="str">
        <f>IFERROR(VLOOKUP(A1138,已除帳印單!B:C,2,0),"")</f>
        <v/>
      </c>
      <c r="T1138" s="68" t="e">
        <f t="shared" si="104"/>
        <v>#VALUE!</v>
      </c>
      <c r="U1138" s="69">
        <f t="shared" si="105"/>
        <v>0</v>
      </c>
      <c r="V1138" s="68" t="str">
        <f>IFERROR(VLOOKUP(A1138,已除帳印單!B:D,3,0),"")</f>
        <v/>
      </c>
      <c r="W1138" s="69" t="str">
        <f>IFERROR(VLOOKUP(A1138,已除帳印單!B:E,4,0),"")</f>
        <v/>
      </c>
      <c r="X1138" s="68" t="str">
        <f>IFERROR(INDEX(刷條碼區!A:C,MATCH(點上線資訊!S1138,刷條碼區!C:C,0),1),"")</f>
        <v/>
      </c>
      <c r="Y1138" s="69" t="str">
        <f>IFERROR(INDEX(刷條碼區!A:C,MATCH(點上線資訊!S1138,刷條碼區!C:C,0),2),"")</f>
        <v/>
      </c>
      <c r="Z1138" s="70" t="str">
        <f>IFERROR(INDEX(刷條碼區!D:G,MATCH(點上線資訊!S1138,刷條碼區!F:F,0),1),"")</f>
        <v/>
      </c>
      <c r="AA1138" s="71" t="str">
        <f>IFERROR(INDEX(刷條碼區!D:G,MATCH(點上線資訊!S1138,刷條碼區!F:F,0),2),"")</f>
        <v/>
      </c>
      <c r="AB1138" s="20">
        <f t="shared" si="106"/>
        <v>0</v>
      </c>
      <c r="AC1138" s="20" t="b">
        <f t="shared" si="107"/>
        <v>0</v>
      </c>
      <c r="AD1138" s="17" t="b">
        <f t="shared" si="108"/>
        <v>0</v>
      </c>
      <c r="AE1138" s="17" t="b">
        <f t="shared" si="109"/>
        <v>0</v>
      </c>
    </row>
    <row r="1139" spans="17:31" x14ac:dyDescent="0.2">
      <c r="Q1139" s="17">
        <f>IFERROR(VLOOKUP(A1139,已除帳印單!B:C,1,0),0)*1</f>
        <v>0</v>
      </c>
      <c r="R1139" s="67" t="str">
        <f>IFERROR(VLOOKUP(J1139,線別!A:B,2,1),"")</f>
        <v/>
      </c>
      <c r="S1139" s="17" t="str">
        <f>IFERROR(VLOOKUP(A1139,已除帳印單!B:C,2,0),"")</f>
        <v/>
      </c>
      <c r="T1139" s="68" t="e">
        <f t="shared" si="104"/>
        <v>#VALUE!</v>
      </c>
      <c r="U1139" s="69">
        <f t="shared" si="105"/>
        <v>0</v>
      </c>
      <c r="V1139" s="68" t="str">
        <f>IFERROR(VLOOKUP(A1139,已除帳印單!B:D,3,0),"")</f>
        <v/>
      </c>
      <c r="W1139" s="69" t="str">
        <f>IFERROR(VLOOKUP(A1139,已除帳印單!B:E,4,0),"")</f>
        <v/>
      </c>
      <c r="X1139" s="68" t="str">
        <f>IFERROR(INDEX(刷條碼區!A:C,MATCH(點上線資訊!S1139,刷條碼區!C:C,0),1),"")</f>
        <v/>
      </c>
      <c r="Y1139" s="69" t="str">
        <f>IFERROR(INDEX(刷條碼區!A:C,MATCH(點上線資訊!S1139,刷條碼區!C:C,0),2),"")</f>
        <v/>
      </c>
      <c r="Z1139" s="70" t="str">
        <f>IFERROR(INDEX(刷條碼區!D:G,MATCH(點上線資訊!S1139,刷條碼區!F:F,0),1),"")</f>
        <v/>
      </c>
      <c r="AA1139" s="71" t="str">
        <f>IFERROR(INDEX(刷條碼區!D:G,MATCH(點上線資訊!S1139,刷條碼區!F:F,0),2),"")</f>
        <v/>
      </c>
      <c r="AB1139" s="20">
        <f t="shared" si="106"/>
        <v>0</v>
      </c>
      <c r="AC1139" s="20" t="b">
        <f t="shared" si="107"/>
        <v>0</v>
      </c>
      <c r="AD1139" s="17" t="b">
        <f t="shared" si="108"/>
        <v>0</v>
      </c>
      <c r="AE1139" s="17" t="b">
        <f t="shared" si="109"/>
        <v>0</v>
      </c>
    </row>
    <row r="1140" spans="17:31" x14ac:dyDescent="0.2">
      <c r="Q1140" s="17">
        <f>IFERROR(VLOOKUP(A1140,已除帳印單!B:C,1,0),0)*1</f>
        <v>0</v>
      </c>
      <c r="R1140" s="67" t="str">
        <f>IFERROR(VLOOKUP(J1140,線別!A:B,2,1),"")</f>
        <v/>
      </c>
      <c r="S1140" s="17" t="str">
        <f>IFERROR(VLOOKUP(A1140,已除帳印單!B:C,2,0),"")</f>
        <v/>
      </c>
      <c r="T1140" s="68" t="e">
        <f t="shared" si="104"/>
        <v>#VALUE!</v>
      </c>
      <c r="U1140" s="69">
        <f t="shared" si="105"/>
        <v>0</v>
      </c>
      <c r="V1140" s="68" t="str">
        <f>IFERROR(VLOOKUP(A1140,已除帳印單!B:D,3,0),"")</f>
        <v/>
      </c>
      <c r="W1140" s="69" t="str">
        <f>IFERROR(VLOOKUP(A1140,已除帳印單!B:E,4,0),"")</f>
        <v/>
      </c>
      <c r="X1140" s="68" t="str">
        <f>IFERROR(INDEX(刷條碼區!A:C,MATCH(點上線資訊!S1140,刷條碼區!C:C,0),1),"")</f>
        <v/>
      </c>
      <c r="Y1140" s="69" t="str">
        <f>IFERROR(INDEX(刷條碼區!A:C,MATCH(點上線資訊!S1140,刷條碼區!C:C,0),2),"")</f>
        <v/>
      </c>
      <c r="Z1140" s="70" t="str">
        <f>IFERROR(INDEX(刷條碼區!D:G,MATCH(點上線資訊!S1140,刷條碼區!F:F,0),1),"")</f>
        <v/>
      </c>
      <c r="AA1140" s="71" t="str">
        <f>IFERROR(INDEX(刷條碼區!D:G,MATCH(點上線資訊!S1140,刷條碼區!F:F,0),2),"")</f>
        <v/>
      </c>
      <c r="AB1140" s="20">
        <f t="shared" si="106"/>
        <v>0</v>
      </c>
      <c r="AC1140" s="20" t="b">
        <f t="shared" si="107"/>
        <v>0</v>
      </c>
      <c r="AD1140" s="17" t="b">
        <f t="shared" si="108"/>
        <v>0</v>
      </c>
      <c r="AE1140" s="17" t="b">
        <f t="shared" si="109"/>
        <v>0</v>
      </c>
    </row>
    <row r="1141" spans="17:31" x14ac:dyDescent="0.2">
      <c r="Q1141" s="17">
        <f>IFERROR(VLOOKUP(A1141,已除帳印單!B:C,1,0),0)*1</f>
        <v>0</v>
      </c>
      <c r="R1141" s="67" t="str">
        <f>IFERROR(VLOOKUP(J1141,線別!A:B,2,1),"")</f>
        <v/>
      </c>
      <c r="S1141" s="17" t="str">
        <f>IFERROR(VLOOKUP(A1141,已除帳印單!B:C,2,0),"")</f>
        <v/>
      </c>
      <c r="T1141" s="68" t="e">
        <f t="shared" ref="T1141:T1204" si="110">--TEXT(B1141,"0000-00-00")</f>
        <v>#VALUE!</v>
      </c>
      <c r="U1141" s="69">
        <f t="shared" ref="U1141:U1204" si="111">--TEXT(C1141,"00\:00\:00")</f>
        <v>0</v>
      </c>
      <c r="V1141" s="68" t="str">
        <f>IFERROR(VLOOKUP(A1141,已除帳印單!B:D,3,0),"")</f>
        <v/>
      </c>
      <c r="W1141" s="69" t="str">
        <f>IFERROR(VLOOKUP(A1141,已除帳印單!B:E,4,0),"")</f>
        <v/>
      </c>
      <c r="X1141" s="68" t="str">
        <f>IFERROR(INDEX(刷條碼區!A:C,MATCH(點上線資訊!S1141,刷條碼區!C:C,0),1),"")</f>
        <v/>
      </c>
      <c r="Y1141" s="69" t="str">
        <f>IFERROR(INDEX(刷條碼區!A:C,MATCH(點上線資訊!S1141,刷條碼區!C:C,0),2),"")</f>
        <v/>
      </c>
      <c r="Z1141" s="70" t="str">
        <f>IFERROR(INDEX(刷條碼區!D:G,MATCH(點上線資訊!S1141,刷條碼區!F:F,0),1),"")</f>
        <v/>
      </c>
      <c r="AA1141" s="71" t="str">
        <f>IFERROR(INDEX(刷條碼區!D:G,MATCH(點上線資訊!S1141,刷條碼區!F:F,0),2),"")</f>
        <v/>
      </c>
      <c r="AB1141" s="20">
        <f t="shared" ref="AB1141:AB1204" si="112">IF(K1141&amp;N1141="",G1141)</f>
        <v>0</v>
      </c>
      <c r="AC1141" s="20" t="b">
        <f t="shared" ref="AC1141:AC1204" si="113">IF(S1141&lt;&gt;"",G1141)</f>
        <v>0</v>
      </c>
      <c r="AD1141" s="17" t="b">
        <f t="shared" ref="AD1141:AD1204" si="114">IF(X1141&lt;&gt;"",G1141)</f>
        <v>0</v>
      </c>
      <c r="AE1141" s="17" t="b">
        <f t="shared" ref="AE1141:AE1204" si="115">IF(Z1141&lt;&gt;"",G1141)</f>
        <v>0</v>
      </c>
    </row>
    <row r="1142" spans="17:31" x14ac:dyDescent="0.2">
      <c r="Q1142" s="17">
        <f>IFERROR(VLOOKUP(A1142,已除帳印單!B:C,1,0),0)*1</f>
        <v>0</v>
      </c>
      <c r="R1142" s="67" t="str">
        <f>IFERROR(VLOOKUP(J1142,線別!A:B,2,1),"")</f>
        <v/>
      </c>
      <c r="S1142" s="17" t="str">
        <f>IFERROR(VLOOKUP(A1142,已除帳印單!B:C,2,0),"")</f>
        <v/>
      </c>
      <c r="T1142" s="68" t="e">
        <f t="shared" si="110"/>
        <v>#VALUE!</v>
      </c>
      <c r="U1142" s="69">
        <f t="shared" si="111"/>
        <v>0</v>
      </c>
      <c r="V1142" s="68" t="str">
        <f>IFERROR(VLOOKUP(A1142,已除帳印單!B:D,3,0),"")</f>
        <v/>
      </c>
      <c r="W1142" s="69" t="str">
        <f>IFERROR(VLOOKUP(A1142,已除帳印單!B:E,4,0),"")</f>
        <v/>
      </c>
      <c r="X1142" s="68" t="str">
        <f>IFERROR(INDEX(刷條碼區!A:C,MATCH(點上線資訊!S1142,刷條碼區!C:C,0),1),"")</f>
        <v/>
      </c>
      <c r="Y1142" s="69" t="str">
        <f>IFERROR(INDEX(刷條碼區!A:C,MATCH(點上線資訊!S1142,刷條碼區!C:C,0),2),"")</f>
        <v/>
      </c>
      <c r="Z1142" s="70" t="str">
        <f>IFERROR(INDEX(刷條碼區!D:G,MATCH(點上線資訊!S1142,刷條碼區!F:F,0),1),"")</f>
        <v/>
      </c>
      <c r="AA1142" s="71" t="str">
        <f>IFERROR(INDEX(刷條碼區!D:G,MATCH(點上線資訊!S1142,刷條碼區!F:F,0),2),"")</f>
        <v/>
      </c>
      <c r="AB1142" s="20">
        <f t="shared" si="112"/>
        <v>0</v>
      </c>
      <c r="AC1142" s="20" t="b">
        <f t="shared" si="113"/>
        <v>0</v>
      </c>
      <c r="AD1142" s="17" t="b">
        <f t="shared" si="114"/>
        <v>0</v>
      </c>
      <c r="AE1142" s="17" t="b">
        <f t="shared" si="115"/>
        <v>0</v>
      </c>
    </row>
    <row r="1143" spans="17:31" x14ac:dyDescent="0.2">
      <c r="Q1143" s="17">
        <f>IFERROR(VLOOKUP(A1143,已除帳印單!B:C,1,0),0)*1</f>
        <v>0</v>
      </c>
      <c r="R1143" s="67" t="str">
        <f>IFERROR(VLOOKUP(J1143,線別!A:B,2,1),"")</f>
        <v/>
      </c>
      <c r="S1143" s="17" t="str">
        <f>IFERROR(VLOOKUP(A1143,已除帳印單!B:C,2,0),"")</f>
        <v/>
      </c>
      <c r="T1143" s="68" t="e">
        <f t="shared" si="110"/>
        <v>#VALUE!</v>
      </c>
      <c r="U1143" s="69">
        <f t="shared" si="111"/>
        <v>0</v>
      </c>
      <c r="V1143" s="68" t="str">
        <f>IFERROR(VLOOKUP(A1143,已除帳印單!B:D,3,0),"")</f>
        <v/>
      </c>
      <c r="W1143" s="69" t="str">
        <f>IFERROR(VLOOKUP(A1143,已除帳印單!B:E,4,0),"")</f>
        <v/>
      </c>
      <c r="X1143" s="68" t="str">
        <f>IFERROR(INDEX(刷條碼區!A:C,MATCH(點上線資訊!S1143,刷條碼區!C:C,0),1),"")</f>
        <v/>
      </c>
      <c r="Y1143" s="69" t="str">
        <f>IFERROR(INDEX(刷條碼區!A:C,MATCH(點上線資訊!S1143,刷條碼區!C:C,0),2),"")</f>
        <v/>
      </c>
      <c r="Z1143" s="70" t="str">
        <f>IFERROR(INDEX(刷條碼區!D:G,MATCH(點上線資訊!S1143,刷條碼區!F:F,0),1),"")</f>
        <v/>
      </c>
      <c r="AA1143" s="71" t="str">
        <f>IFERROR(INDEX(刷條碼區!D:G,MATCH(點上線資訊!S1143,刷條碼區!F:F,0),2),"")</f>
        <v/>
      </c>
      <c r="AB1143" s="20">
        <f t="shared" si="112"/>
        <v>0</v>
      </c>
      <c r="AC1143" s="20" t="b">
        <f t="shared" si="113"/>
        <v>0</v>
      </c>
      <c r="AD1143" s="17" t="b">
        <f t="shared" si="114"/>
        <v>0</v>
      </c>
      <c r="AE1143" s="17" t="b">
        <f t="shared" si="115"/>
        <v>0</v>
      </c>
    </row>
    <row r="1144" spans="17:31" x14ac:dyDescent="0.2">
      <c r="Q1144" s="17">
        <f>IFERROR(VLOOKUP(A1144,已除帳印單!B:C,1,0),0)*1</f>
        <v>0</v>
      </c>
      <c r="R1144" s="67" t="str">
        <f>IFERROR(VLOOKUP(J1144,線別!A:B,2,1),"")</f>
        <v/>
      </c>
      <c r="S1144" s="17" t="str">
        <f>IFERROR(VLOOKUP(A1144,已除帳印單!B:C,2,0),"")</f>
        <v/>
      </c>
      <c r="T1144" s="68" t="e">
        <f t="shared" si="110"/>
        <v>#VALUE!</v>
      </c>
      <c r="U1144" s="69">
        <f t="shared" si="111"/>
        <v>0</v>
      </c>
      <c r="V1144" s="68" t="str">
        <f>IFERROR(VLOOKUP(A1144,已除帳印單!B:D,3,0),"")</f>
        <v/>
      </c>
      <c r="W1144" s="69" t="str">
        <f>IFERROR(VLOOKUP(A1144,已除帳印單!B:E,4,0),"")</f>
        <v/>
      </c>
      <c r="X1144" s="68" t="str">
        <f>IFERROR(INDEX(刷條碼區!A:C,MATCH(點上線資訊!S1144,刷條碼區!C:C,0),1),"")</f>
        <v/>
      </c>
      <c r="Y1144" s="69" t="str">
        <f>IFERROR(INDEX(刷條碼區!A:C,MATCH(點上線資訊!S1144,刷條碼區!C:C,0),2),"")</f>
        <v/>
      </c>
      <c r="Z1144" s="70" t="str">
        <f>IFERROR(INDEX(刷條碼區!D:G,MATCH(點上線資訊!S1144,刷條碼區!F:F,0),1),"")</f>
        <v/>
      </c>
      <c r="AA1144" s="71" t="str">
        <f>IFERROR(INDEX(刷條碼區!D:G,MATCH(點上線資訊!S1144,刷條碼區!F:F,0),2),"")</f>
        <v/>
      </c>
      <c r="AB1144" s="20">
        <f t="shared" si="112"/>
        <v>0</v>
      </c>
      <c r="AC1144" s="20" t="b">
        <f t="shared" si="113"/>
        <v>0</v>
      </c>
      <c r="AD1144" s="17" t="b">
        <f t="shared" si="114"/>
        <v>0</v>
      </c>
      <c r="AE1144" s="17" t="b">
        <f t="shared" si="115"/>
        <v>0</v>
      </c>
    </row>
    <row r="1145" spans="17:31" x14ac:dyDescent="0.2">
      <c r="Q1145" s="17">
        <f>IFERROR(VLOOKUP(A1145,已除帳印單!B:C,1,0),0)*1</f>
        <v>0</v>
      </c>
      <c r="R1145" s="67" t="str">
        <f>IFERROR(VLOOKUP(J1145,線別!A:B,2,1),"")</f>
        <v/>
      </c>
      <c r="S1145" s="17" t="str">
        <f>IFERROR(VLOOKUP(A1145,已除帳印單!B:C,2,0),"")</f>
        <v/>
      </c>
      <c r="T1145" s="68" t="e">
        <f t="shared" si="110"/>
        <v>#VALUE!</v>
      </c>
      <c r="U1145" s="69">
        <f t="shared" si="111"/>
        <v>0</v>
      </c>
      <c r="V1145" s="68" t="str">
        <f>IFERROR(VLOOKUP(A1145,已除帳印單!B:D,3,0),"")</f>
        <v/>
      </c>
      <c r="W1145" s="69" t="str">
        <f>IFERROR(VLOOKUP(A1145,已除帳印單!B:E,4,0),"")</f>
        <v/>
      </c>
      <c r="X1145" s="68" t="str">
        <f>IFERROR(INDEX(刷條碼區!A:C,MATCH(點上線資訊!S1145,刷條碼區!C:C,0),1),"")</f>
        <v/>
      </c>
      <c r="Y1145" s="69" t="str">
        <f>IFERROR(INDEX(刷條碼區!A:C,MATCH(點上線資訊!S1145,刷條碼區!C:C,0),2),"")</f>
        <v/>
      </c>
      <c r="Z1145" s="70" t="str">
        <f>IFERROR(INDEX(刷條碼區!D:G,MATCH(點上線資訊!S1145,刷條碼區!F:F,0),1),"")</f>
        <v/>
      </c>
      <c r="AA1145" s="71" t="str">
        <f>IFERROR(INDEX(刷條碼區!D:G,MATCH(點上線資訊!S1145,刷條碼區!F:F,0),2),"")</f>
        <v/>
      </c>
      <c r="AB1145" s="20">
        <f t="shared" si="112"/>
        <v>0</v>
      </c>
      <c r="AC1145" s="20" t="b">
        <f t="shared" si="113"/>
        <v>0</v>
      </c>
      <c r="AD1145" s="17" t="b">
        <f t="shared" si="114"/>
        <v>0</v>
      </c>
      <c r="AE1145" s="17" t="b">
        <f t="shared" si="115"/>
        <v>0</v>
      </c>
    </row>
    <row r="1146" spans="17:31" x14ac:dyDescent="0.2">
      <c r="Q1146" s="17">
        <f>IFERROR(VLOOKUP(A1146,已除帳印單!B:C,1,0),0)*1</f>
        <v>0</v>
      </c>
      <c r="R1146" s="67" t="str">
        <f>IFERROR(VLOOKUP(J1146,線別!A:B,2,1),"")</f>
        <v/>
      </c>
      <c r="S1146" s="17" t="str">
        <f>IFERROR(VLOOKUP(A1146,已除帳印單!B:C,2,0),"")</f>
        <v/>
      </c>
      <c r="T1146" s="68" t="e">
        <f t="shared" si="110"/>
        <v>#VALUE!</v>
      </c>
      <c r="U1146" s="69">
        <f t="shared" si="111"/>
        <v>0</v>
      </c>
      <c r="V1146" s="68" t="str">
        <f>IFERROR(VLOOKUP(A1146,已除帳印單!B:D,3,0),"")</f>
        <v/>
      </c>
      <c r="W1146" s="69" t="str">
        <f>IFERROR(VLOOKUP(A1146,已除帳印單!B:E,4,0),"")</f>
        <v/>
      </c>
      <c r="X1146" s="68" t="str">
        <f>IFERROR(INDEX(刷條碼區!A:C,MATCH(點上線資訊!S1146,刷條碼區!C:C,0),1),"")</f>
        <v/>
      </c>
      <c r="Y1146" s="69" t="str">
        <f>IFERROR(INDEX(刷條碼區!A:C,MATCH(點上線資訊!S1146,刷條碼區!C:C,0),2),"")</f>
        <v/>
      </c>
      <c r="Z1146" s="70" t="str">
        <f>IFERROR(INDEX(刷條碼區!D:G,MATCH(點上線資訊!S1146,刷條碼區!F:F,0),1),"")</f>
        <v/>
      </c>
      <c r="AA1146" s="71" t="str">
        <f>IFERROR(INDEX(刷條碼區!D:G,MATCH(點上線資訊!S1146,刷條碼區!F:F,0),2),"")</f>
        <v/>
      </c>
      <c r="AB1146" s="20">
        <f t="shared" si="112"/>
        <v>0</v>
      </c>
      <c r="AC1146" s="20" t="b">
        <f t="shared" si="113"/>
        <v>0</v>
      </c>
      <c r="AD1146" s="17" t="b">
        <f t="shared" si="114"/>
        <v>0</v>
      </c>
      <c r="AE1146" s="17" t="b">
        <f t="shared" si="115"/>
        <v>0</v>
      </c>
    </row>
    <row r="1147" spans="17:31" x14ac:dyDescent="0.2">
      <c r="Q1147" s="17">
        <f>IFERROR(VLOOKUP(A1147,已除帳印單!B:C,1,0),0)*1</f>
        <v>0</v>
      </c>
      <c r="R1147" s="67" t="str">
        <f>IFERROR(VLOOKUP(J1147,線別!A:B,2,1),"")</f>
        <v/>
      </c>
      <c r="S1147" s="17" t="str">
        <f>IFERROR(VLOOKUP(A1147,已除帳印單!B:C,2,0),"")</f>
        <v/>
      </c>
      <c r="T1147" s="68" t="e">
        <f t="shared" si="110"/>
        <v>#VALUE!</v>
      </c>
      <c r="U1147" s="69">
        <f t="shared" si="111"/>
        <v>0</v>
      </c>
      <c r="V1147" s="68" t="str">
        <f>IFERROR(VLOOKUP(A1147,已除帳印單!B:D,3,0),"")</f>
        <v/>
      </c>
      <c r="W1147" s="69" t="str">
        <f>IFERROR(VLOOKUP(A1147,已除帳印單!B:E,4,0),"")</f>
        <v/>
      </c>
      <c r="X1147" s="68" t="str">
        <f>IFERROR(INDEX(刷條碼區!A:C,MATCH(點上線資訊!S1147,刷條碼區!C:C,0),1),"")</f>
        <v/>
      </c>
      <c r="Y1147" s="69" t="str">
        <f>IFERROR(INDEX(刷條碼區!A:C,MATCH(點上線資訊!S1147,刷條碼區!C:C,0),2),"")</f>
        <v/>
      </c>
      <c r="Z1147" s="70" t="str">
        <f>IFERROR(INDEX(刷條碼區!D:G,MATCH(點上線資訊!S1147,刷條碼區!F:F,0),1),"")</f>
        <v/>
      </c>
      <c r="AA1147" s="71" t="str">
        <f>IFERROR(INDEX(刷條碼區!D:G,MATCH(點上線資訊!S1147,刷條碼區!F:F,0),2),"")</f>
        <v/>
      </c>
      <c r="AB1147" s="20">
        <f t="shared" si="112"/>
        <v>0</v>
      </c>
      <c r="AC1147" s="20" t="b">
        <f t="shared" si="113"/>
        <v>0</v>
      </c>
      <c r="AD1147" s="17" t="b">
        <f t="shared" si="114"/>
        <v>0</v>
      </c>
      <c r="AE1147" s="17" t="b">
        <f t="shared" si="115"/>
        <v>0</v>
      </c>
    </row>
    <row r="1148" spans="17:31" x14ac:dyDescent="0.2">
      <c r="Q1148" s="17">
        <f>IFERROR(VLOOKUP(A1148,已除帳印單!B:C,1,0),0)*1</f>
        <v>0</v>
      </c>
      <c r="R1148" s="67" t="str">
        <f>IFERROR(VLOOKUP(J1148,線別!A:B,2,1),"")</f>
        <v/>
      </c>
      <c r="S1148" s="17" t="str">
        <f>IFERROR(VLOOKUP(A1148,已除帳印單!B:C,2,0),"")</f>
        <v/>
      </c>
      <c r="T1148" s="68" t="e">
        <f t="shared" si="110"/>
        <v>#VALUE!</v>
      </c>
      <c r="U1148" s="69">
        <f t="shared" si="111"/>
        <v>0</v>
      </c>
      <c r="V1148" s="68" t="str">
        <f>IFERROR(VLOOKUP(A1148,已除帳印單!B:D,3,0),"")</f>
        <v/>
      </c>
      <c r="W1148" s="69" t="str">
        <f>IFERROR(VLOOKUP(A1148,已除帳印單!B:E,4,0),"")</f>
        <v/>
      </c>
      <c r="X1148" s="68" t="str">
        <f>IFERROR(INDEX(刷條碼區!A:C,MATCH(點上線資訊!S1148,刷條碼區!C:C,0),1),"")</f>
        <v/>
      </c>
      <c r="Y1148" s="69" t="str">
        <f>IFERROR(INDEX(刷條碼區!A:C,MATCH(點上線資訊!S1148,刷條碼區!C:C,0),2),"")</f>
        <v/>
      </c>
      <c r="Z1148" s="70" t="str">
        <f>IFERROR(INDEX(刷條碼區!D:G,MATCH(點上線資訊!S1148,刷條碼區!F:F,0),1),"")</f>
        <v/>
      </c>
      <c r="AA1148" s="71" t="str">
        <f>IFERROR(INDEX(刷條碼區!D:G,MATCH(點上線資訊!S1148,刷條碼區!F:F,0),2),"")</f>
        <v/>
      </c>
      <c r="AB1148" s="20">
        <f t="shared" si="112"/>
        <v>0</v>
      </c>
      <c r="AC1148" s="20" t="b">
        <f t="shared" si="113"/>
        <v>0</v>
      </c>
      <c r="AD1148" s="17" t="b">
        <f t="shared" si="114"/>
        <v>0</v>
      </c>
      <c r="AE1148" s="17" t="b">
        <f t="shared" si="115"/>
        <v>0</v>
      </c>
    </row>
    <row r="1149" spans="17:31" x14ac:dyDescent="0.2">
      <c r="Q1149" s="17">
        <f>IFERROR(VLOOKUP(A1149,已除帳印單!B:C,1,0),0)*1</f>
        <v>0</v>
      </c>
      <c r="R1149" s="67" t="str">
        <f>IFERROR(VLOOKUP(J1149,線別!A:B,2,1),"")</f>
        <v/>
      </c>
      <c r="S1149" s="17" t="str">
        <f>IFERROR(VLOOKUP(A1149,已除帳印單!B:C,2,0),"")</f>
        <v/>
      </c>
      <c r="T1149" s="68" t="e">
        <f t="shared" si="110"/>
        <v>#VALUE!</v>
      </c>
      <c r="U1149" s="69">
        <f t="shared" si="111"/>
        <v>0</v>
      </c>
      <c r="V1149" s="68" t="str">
        <f>IFERROR(VLOOKUP(A1149,已除帳印單!B:D,3,0),"")</f>
        <v/>
      </c>
      <c r="W1149" s="69" t="str">
        <f>IFERROR(VLOOKUP(A1149,已除帳印單!B:E,4,0),"")</f>
        <v/>
      </c>
      <c r="X1149" s="68" t="str">
        <f>IFERROR(INDEX(刷條碼區!A:C,MATCH(點上線資訊!S1149,刷條碼區!C:C,0),1),"")</f>
        <v/>
      </c>
      <c r="Y1149" s="69" t="str">
        <f>IFERROR(INDEX(刷條碼區!A:C,MATCH(點上線資訊!S1149,刷條碼區!C:C,0),2),"")</f>
        <v/>
      </c>
      <c r="Z1149" s="70" t="str">
        <f>IFERROR(INDEX(刷條碼區!D:G,MATCH(點上線資訊!S1149,刷條碼區!F:F,0),1),"")</f>
        <v/>
      </c>
      <c r="AA1149" s="71" t="str">
        <f>IFERROR(INDEX(刷條碼區!D:G,MATCH(點上線資訊!S1149,刷條碼區!F:F,0),2),"")</f>
        <v/>
      </c>
      <c r="AB1149" s="20">
        <f t="shared" si="112"/>
        <v>0</v>
      </c>
      <c r="AC1149" s="20" t="b">
        <f t="shared" si="113"/>
        <v>0</v>
      </c>
      <c r="AD1149" s="17" t="b">
        <f t="shared" si="114"/>
        <v>0</v>
      </c>
      <c r="AE1149" s="17" t="b">
        <f t="shared" si="115"/>
        <v>0</v>
      </c>
    </row>
    <row r="1150" spans="17:31" x14ac:dyDescent="0.2">
      <c r="Q1150" s="17">
        <f>IFERROR(VLOOKUP(A1150,已除帳印單!B:C,1,0),0)*1</f>
        <v>0</v>
      </c>
      <c r="R1150" s="67" t="str">
        <f>IFERROR(VLOOKUP(J1150,線別!A:B,2,1),"")</f>
        <v/>
      </c>
      <c r="S1150" s="17" t="str">
        <f>IFERROR(VLOOKUP(A1150,已除帳印單!B:C,2,0),"")</f>
        <v/>
      </c>
      <c r="T1150" s="68" t="e">
        <f t="shared" si="110"/>
        <v>#VALUE!</v>
      </c>
      <c r="U1150" s="69">
        <f t="shared" si="111"/>
        <v>0</v>
      </c>
      <c r="V1150" s="68" t="str">
        <f>IFERROR(VLOOKUP(A1150,已除帳印單!B:D,3,0),"")</f>
        <v/>
      </c>
      <c r="W1150" s="69" t="str">
        <f>IFERROR(VLOOKUP(A1150,已除帳印單!B:E,4,0),"")</f>
        <v/>
      </c>
      <c r="X1150" s="68" t="str">
        <f>IFERROR(INDEX(刷條碼區!A:C,MATCH(點上線資訊!S1150,刷條碼區!C:C,0),1),"")</f>
        <v/>
      </c>
      <c r="Y1150" s="69" t="str">
        <f>IFERROR(INDEX(刷條碼區!A:C,MATCH(點上線資訊!S1150,刷條碼區!C:C,0),2),"")</f>
        <v/>
      </c>
      <c r="Z1150" s="70" t="str">
        <f>IFERROR(INDEX(刷條碼區!D:G,MATCH(點上線資訊!S1150,刷條碼區!F:F,0),1),"")</f>
        <v/>
      </c>
      <c r="AA1150" s="71" t="str">
        <f>IFERROR(INDEX(刷條碼區!D:G,MATCH(點上線資訊!S1150,刷條碼區!F:F,0),2),"")</f>
        <v/>
      </c>
      <c r="AB1150" s="20">
        <f t="shared" si="112"/>
        <v>0</v>
      </c>
      <c r="AC1150" s="20" t="b">
        <f t="shared" si="113"/>
        <v>0</v>
      </c>
      <c r="AD1150" s="17" t="b">
        <f t="shared" si="114"/>
        <v>0</v>
      </c>
      <c r="AE1150" s="17" t="b">
        <f t="shared" si="115"/>
        <v>0</v>
      </c>
    </row>
    <row r="1151" spans="17:31" x14ac:dyDescent="0.2">
      <c r="Q1151" s="17">
        <f>IFERROR(VLOOKUP(A1151,已除帳印單!B:C,1,0),0)*1</f>
        <v>0</v>
      </c>
      <c r="R1151" s="67" t="str">
        <f>IFERROR(VLOOKUP(J1151,線別!A:B,2,1),"")</f>
        <v/>
      </c>
      <c r="S1151" s="17" t="str">
        <f>IFERROR(VLOOKUP(A1151,已除帳印單!B:C,2,0),"")</f>
        <v/>
      </c>
      <c r="T1151" s="68" t="e">
        <f t="shared" si="110"/>
        <v>#VALUE!</v>
      </c>
      <c r="U1151" s="69">
        <f t="shared" si="111"/>
        <v>0</v>
      </c>
      <c r="V1151" s="68" t="str">
        <f>IFERROR(VLOOKUP(A1151,已除帳印單!B:D,3,0),"")</f>
        <v/>
      </c>
      <c r="W1151" s="69" t="str">
        <f>IFERROR(VLOOKUP(A1151,已除帳印單!B:E,4,0),"")</f>
        <v/>
      </c>
      <c r="X1151" s="68" t="str">
        <f>IFERROR(INDEX(刷條碼區!A:C,MATCH(點上線資訊!S1151,刷條碼區!C:C,0),1),"")</f>
        <v/>
      </c>
      <c r="Y1151" s="69" t="str">
        <f>IFERROR(INDEX(刷條碼區!A:C,MATCH(點上線資訊!S1151,刷條碼區!C:C,0),2),"")</f>
        <v/>
      </c>
      <c r="Z1151" s="70" t="str">
        <f>IFERROR(INDEX(刷條碼區!D:G,MATCH(點上線資訊!S1151,刷條碼區!F:F,0),1),"")</f>
        <v/>
      </c>
      <c r="AA1151" s="71" t="str">
        <f>IFERROR(INDEX(刷條碼區!D:G,MATCH(點上線資訊!S1151,刷條碼區!F:F,0),2),"")</f>
        <v/>
      </c>
      <c r="AB1151" s="20">
        <f t="shared" si="112"/>
        <v>0</v>
      </c>
      <c r="AC1151" s="20" t="b">
        <f t="shared" si="113"/>
        <v>0</v>
      </c>
      <c r="AD1151" s="17" t="b">
        <f t="shared" si="114"/>
        <v>0</v>
      </c>
      <c r="AE1151" s="17" t="b">
        <f t="shared" si="115"/>
        <v>0</v>
      </c>
    </row>
    <row r="1152" spans="17:31" x14ac:dyDescent="0.2">
      <c r="Q1152" s="17">
        <f>IFERROR(VLOOKUP(A1152,已除帳印單!B:C,1,0),0)*1</f>
        <v>0</v>
      </c>
      <c r="R1152" s="67" t="str">
        <f>IFERROR(VLOOKUP(J1152,線別!A:B,2,1),"")</f>
        <v/>
      </c>
      <c r="S1152" s="17" t="str">
        <f>IFERROR(VLOOKUP(A1152,已除帳印單!B:C,2,0),"")</f>
        <v/>
      </c>
      <c r="T1152" s="68" t="e">
        <f t="shared" si="110"/>
        <v>#VALUE!</v>
      </c>
      <c r="U1152" s="69">
        <f t="shared" si="111"/>
        <v>0</v>
      </c>
      <c r="V1152" s="68" t="str">
        <f>IFERROR(VLOOKUP(A1152,已除帳印單!B:D,3,0),"")</f>
        <v/>
      </c>
      <c r="W1152" s="69" t="str">
        <f>IFERROR(VLOOKUP(A1152,已除帳印單!B:E,4,0),"")</f>
        <v/>
      </c>
      <c r="X1152" s="68" t="str">
        <f>IFERROR(INDEX(刷條碼區!A:C,MATCH(點上線資訊!S1152,刷條碼區!C:C,0),1),"")</f>
        <v/>
      </c>
      <c r="Y1152" s="69" t="str">
        <f>IFERROR(INDEX(刷條碼區!A:C,MATCH(點上線資訊!S1152,刷條碼區!C:C,0),2),"")</f>
        <v/>
      </c>
      <c r="Z1152" s="70" t="str">
        <f>IFERROR(INDEX(刷條碼區!D:G,MATCH(點上線資訊!S1152,刷條碼區!F:F,0),1),"")</f>
        <v/>
      </c>
      <c r="AA1152" s="71" t="str">
        <f>IFERROR(INDEX(刷條碼區!D:G,MATCH(點上線資訊!S1152,刷條碼區!F:F,0),2),"")</f>
        <v/>
      </c>
      <c r="AB1152" s="20">
        <f t="shared" si="112"/>
        <v>0</v>
      </c>
      <c r="AC1152" s="20" t="b">
        <f t="shared" si="113"/>
        <v>0</v>
      </c>
      <c r="AD1152" s="17" t="b">
        <f t="shared" si="114"/>
        <v>0</v>
      </c>
      <c r="AE1152" s="17" t="b">
        <f t="shared" si="115"/>
        <v>0</v>
      </c>
    </row>
    <row r="1153" spans="17:31" x14ac:dyDescent="0.2">
      <c r="Q1153" s="17">
        <f>IFERROR(VLOOKUP(A1153,已除帳印單!B:C,1,0),0)*1</f>
        <v>0</v>
      </c>
      <c r="R1153" s="67" t="str">
        <f>IFERROR(VLOOKUP(J1153,線別!A:B,2,1),"")</f>
        <v/>
      </c>
      <c r="S1153" s="17" t="str">
        <f>IFERROR(VLOOKUP(A1153,已除帳印單!B:C,2,0),"")</f>
        <v/>
      </c>
      <c r="T1153" s="68" t="e">
        <f t="shared" si="110"/>
        <v>#VALUE!</v>
      </c>
      <c r="U1153" s="69">
        <f t="shared" si="111"/>
        <v>0</v>
      </c>
      <c r="V1153" s="68" t="str">
        <f>IFERROR(VLOOKUP(A1153,已除帳印單!B:D,3,0),"")</f>
        <v/>
      </c>
      <c r="W1153" s="69" t="str">
        <f>IFERROR(VLOOKUP(A1153,已除帳印單!B:E,4,0),"")</f>
        <v/>
      </c>
      <c r="X1153" s="68" t="str">
        <f>IFERROR(INDEX(刷條碼區!A:C,MATCH(點上線資訊!S1153,刷條碼區!C:C,0),1),"")</f>
        <v/>
      </c>
      <c r="Y1153" s="69" t="str">
        <f>IFERROR(INDEX(刷條碼區!A:C,MATCH(點上線資訊!S1153,刷條碼區!C:C,0),2),"")</f>
        <v/>
      </c>
      <c r="Z1153" s="70" t="str">
        <f>IFERROR(INDEX(刷條碼區!D:G,MATCH(點上線資訊!S1153,刷條碼區!F:F,0),1),"")</f>
        <v/>
      </c>
      <c r="AA1153" s="71" t="str">
        <f>IFERROR(INDEX(刷條碼區!D:G,MATCH(點上線資訊!S1153,刷條碼區!F:F,0),2),"")</f>
        <v/>
      </c>
      <c r="AB1153" s="20">
        <f t="shared" si="112"/>
        <v>0</v>
      </c>
      <c r="AC1153" s="20" t="b">
        <f t="shared" si="113"/>
        <v>0</v>
      </c>
      <c r="AD1153" s="17" t="b">
        <f t="shared" si="114"/>
        <v>0</v>
      </c>
      <c r="AE1153" s="17" t="b">
        <f t="shared" si="115"/>
        <v>0</v>
      </c>
    </row>
    <row r="1154" spans="17:31" x14ac:dyDescent="0.2">
      <c r="Q1154" s="17">
        <f>IFERROR(VLOOKUP(A1154,已除帳印單!B:C,1,0),0)*1</f>
        <v>0</v>
      </c>
      <c r="R1154" s="67" t="str">
        <f>IFERROR(VLOOKUP(J1154,線別!A:B,2,1),"")</f>
        <v/>
      </c>
      <c r="S1154" s="17" t="str">
        <f>IFERROR(VLOOKUP(A1154,已除帳印單!B:C,2,0),"")</f>
        <v/>
      </c>
      <c r="T1154" s="68" t="e">
        <f t="shared" si="110"/>
        <v>#VALUE!</v>
      </c>
      <c r="U1154" s="69">
        <f t="shared" si="111"/>
        <v>0</v>
      </c>
      <c r="V1154" s="68" t="str">
        <f>IFERROR(VLOOKUP(A1154,已除帳印單!B:D,3,0),"")</f>
        <v/>
      </c>
      <c r="W1154" s="69" t="str">
        <f>IFERROR(VLOOKUP(A1154,已除帳印單!B:E,4,0),"")</f>
        <v/>
      </c>
      <c r="X1154" s="68" t="str">
        <f>IFERROR(INDEX(刷條碼區!A:C,MATCH(點上線資訊!S1154,刷條碼區!C:C,0),1),"")</f>
        <v/>
      </c>
      <c r="Y1154" s="69" t="str">
        <f>IFERROR(INDEX(刷條碼區!A:C,MATCH(點上線資訊!S1154,刷條碼區!C:C,0),2),"")</f>
        <v/>
      </c>
      <c r="Z1154" s="70" t="str">
        <f>IFERROR(INDEX(刷條碼區!D:G,MATCH(點上線資訊!S1154,刷條碼區!F:F,0),1),"")</f>
        <v/>
      </c>
      <c r="AA1154" s="71" t="str">
        <f>IFERROR(INDEX(刷條碼區!D:G,MATCH(點上線資訊!S1154,刷條碼區!F:F,0),2),"")</f>
        <v/>
      </c>
      <c r="AB1154" s="20">
        <f t="shared" si="112"/>
        <v>0</v>
      </c>
      <c r="AC1154" s="20" t="b">
        <f t="shared" si="113"/>
        <v>0</v>
      </c>
      <c r="AD1154" s="17" t="b">
        <f t="shared" si="114"/>
        <v>0</v>
      </c>
      <c r="AE1154" s="17" t="b">
        <f t="shared" si="115"/>
        <v>0</v>
      </c>
    </row>
    <row r="1155" spans="17:31" x14ac:dyDescent="0.2">
      <c r="Q1155" s="17">
        <f>IFERROR(VLOOKUP(A1155,已除帳印單!B:C,1,0),0)*1</f>
        <v>0</v>
      </c>
      <c r="R1155" s="67" t="str">
        <f>IFERROR(VLOOKUP(J1155,線別!A:B,2,1),"")</f>
        <v/>
      </c>
      <c r="S1155" s="17" t="str">
        <f>IFERROR(VLOOKUP(A1155,已除帳印單!B:C,2,0),"")</f>
        <v/>
      </c>
      <c r="T1155" s="68" t="e">
        <f t="shared" si="110"/>
        <v>#VALUE!</v>
      </c>
      <c r="U1155" s="69">
        <f t="shared" si="111"/>
        <v>0</v>
      </c>
      <c r="V1155" s="68" t="str">
        <f>IFERROR(VLOOKUP(A1155,已除帳印單!B:D,3,0),"")</f>
        <v/>
      </c>
      <c r="W1155" s="69" t="str">
        <f>IFERROR(VLOOKUP(A1155,已除帳印單!B:E,4,0),"")</f>
        <v/>
      </c>
      <c r="X1155" s="68" t="str">
        <f>IFERROR(INDEX(刷條碼區!A:C,MATCH(點上線資訊!S1155,刷條碼區!C:C,0),1),"")</f>
        <v/>
      </c>
      <c r="Y1155" s="69" t="str">
        <f>IFERROR(INDEX(刷條碼區!A:C,MATCH(點上線資訊!S1155,刷條碼區!C:C,0),2),"")</f>
        <v/>
      </c>
      <c r="Z1155" s="70" t="str">
        <f>IFERROR(INDEX(刷條碼區!D:G,MATCH(點上線資訊!S1155,刷條碼區!F:F,0),1),"")</f>
        <v/>
      </c>
      <c r="AA1155" s="71" t="str">
        <f>IFERROR(INDEX(刷條碼區!D:G,MATCH(點上線資訊!S1155,刷條碼區!F:F,0),2),"")</f>
        <v/>
      </c>
      <c r="AB1155" s="20">
        <f t="shared" si="112"/>
        <v>0</v>
      </c>
      <c r="AC1155" s="20" t="b">
        <f t="shared" si="113"/>
        <v>0</v>
      </c>
      <c r="AD1155" s="17" t="b">
        <f t="shared" si="114"/>
        <v>0</v>
      </c>
      <c r="AE1155" s="17" t="b">
        <f t="shared" si="115"/>
        <v>0</v>
      </c>
    </row>
    <row r="1156" spans="17:31" x14ac:dyDescent="0.2">
      <c r="Q1156" s="17">
        <f>IFERROR(VLOOKUP(A1156,已除帳印單!B:C,1,0),0)*1</f>
        <v>0</v>
      </c>
      <c r="R1156" s="67" t="str">
        <f>IFERROR(VLOOKUP(J1156,線別!A:B,2,1),"")</f>
        <v/>
      </c>
      <c r="S1156" s="17" t="str">
        <f>IFERROR(VLOOKUP(A1156,已除帳印單!B:C,2,0),"")</f>
        <v/>
      </c>
      <c r="T1156" s="68" t="e">
        <f t="shared" si="110"/>
        <v>#VALUE!</v>
      </c>
      <c r="U1156" s="69">
        <f t="shared" si="111"/>
        <v>0</v>
      </c>
      <c r="V1156" s="68" t="str">
        <f>IFERROR(VLOOKUP(A1156,已除帳印單!B:D,3,0),"")</f>
        <v/>
      </c>
      <c r="W1156" s="69" t="str">
        <f>IFERROR(VLOOKUP(A1156,已除帳印單!B:E,4,0),"")</f>
        <v/>
      </c>
      <c r="X1156" s="68" t="str">
        <f>IFERROR(INDEX(刷條碼區!A:C,MATCH(點上線資訊!S1156,刷條碼區!C:C,0),1),"")</f>
        <v/>
      </c>
      <c r="Y1156" s="69" t="str">
        <f>IFERROR(INDEX(刷條碼區!A:C,MATCH(點上線資訊!S1156,刷條碼區!C:C,0),2),"")</f>
        <v/>
      </c>
      <c r="Z1156" s="70" t="str">
        <f>IFERROR(INDEX(刷條碼區!D:G,MATCH(點上線資訊!S1156,刷條碼區!F:F,0),1),"")</f>
        <v/>
      </c>
      <c r="AA1156" s="71" t="str">
        <f>IFERROR(INDEX(刷條碼區!D:G,MATCH(點上線資訊!S1156,刷條碼區!F:F,0),2),"")</f>
        <v/>
      </c>
      <c r="AB1156" s="20">
        <f t="shared" si="112"/>
        <v>0</v>
      </c>
      <c r="AC1156" s="20" t="b">
        <f t="shared" si="113"/>
        <v>0</v>
      </c>
      <c r="AD1156" s="17" t="b">
        <f t="shared" si="114"/>
        <v>0</v>
      </c>
      <c r="AE1156" s="17" t="b">
        <f t="shared" si="115"/>
        <v>0</v>
      </c>
    </row>
    <row r="1157" spans="17:31" x14ac:dyDescent="0.2">
      <c r="Q1157" s="17">
        <f>IFERROR(VLOOKUP(A1157,已除帳印單!B:C,1,0),0)*1</f>
        <v>0</v>
      </c>
      <c r="R1157" s="67" t="str">
        <f>IFERROR(VLOOKUP(J1157,線別!A:B,2,1),"")</f>
        <v/>
      </c>
      <c r="S1157" s="17" t="str">
        <f>IFERROR(VLOOKUP(A1157,已除帳印單!B:C,2,0),"")</f>
        <v/>
      </c>
      <c r="T1157" s="68" t="e">
        <f t="shared" si="110"/>
        <v>#VALUE!</v>
      </c>
      <c r="U1157" s="69">
        <f t="shared" si="111"/>
        <v>0</v>
      </c>
      <c r="V1157" s="68" t="str">
        <f>IFERROR(VLOOKUP(A1157,已除帳印單!B:D,3,0),"")</f>
        <v/>
      </c>
      <c r="W1157" s="69" t="str">
        <f>IFERROR(VLOOKUP(A1157,已除帳印單!B:E,4,0),"")</f>
        <v/>
      </c>
      <c r="X1157" s="68" t="str">
        <f>IFERROR(INDEX(刷條碼區!A:C,MATCH(點上線資訊!S1157,刷條碼區!C:C,0),1),"")</f>
        <v/>
      </c>
      <c r="Y1157" s="69" t="str">
        <f>IFERROR(INDEX(刷條碼區!A:C,MATCH(點上線資訊!S1157,刷條碼區!C:C,0),2),"")</f>
        <v/>
      </c>
      <c r="Z1157" s="70" t="str">
        <f>IFERROR(INDEX(刷條碼區!D:G,MATCH(點上線資訊!S1157,刷條碼區!F:F,0),1),"")</f>
        <v/>
      </c>
      <c r="AA1157" s="71" t="str">
        <f>IFERROR(INDEX(刷條碼區!D:G,MATCH(點上線資訊!S1157,刷條碼區!F:F,0),2),"")</f>
        <v/>
      </c>
      <c r="AB1157" s="20">
        <f t="shared" si="112"/>
        <v>0</v>
      </c>
      <c r="AC1157" s="20" t="b">
        <f t="shared" si="113"/>
        <v>0</v>
      </c>
      <c r="AD1157" s="17" t="b">
        <f t="shared" si="114"/>
        <v>0</v>
      </c>
      <c r="AE1157" s="17" t="b">
        <f t="shared" si="115"/>
        <v>0</v>
      </c>
    </row>
    <row r="1158" spans="17:31" x14ac:dyDescent="0.2">
      <c r="Q1158" s="17">
        <f>IFERROR(VLOOKUP(A1158,已除帳印單!B:C,1,0),0)*1</f>
        <v>0</v>
      </c>
      <c r="R1158" s="67" t="str">
        <f>IFERROR(VLOOKUP(J1158,線別!A:B,2,1),"")</f>
        <v/>
      </c>
      <c r="S1158" s="17" t="str">
        <f>IFERROR(VLOOKUP(A1158,已除帳印單!B:C,2,0),"")</f>
        <v/>
      </c>
      <c r="T1158" s="68" t="e">
        <f t="shared" si="110"/>
        <v>#VALUE!</v>
      </c>
      <c r="U1158" s="69">
        <f t="shared" si="111"/>
        <v>0</v>
      </c>
      <c r="V1158" s="68" t="str">
        <f>IFERROR(VLOOKUP(A1158,已除帳印單!B:D,3,0),"")</f>
        <v/>
      </c>
      <c r="W1158" s="69" t="str">
        <f>IFERROR(VLOOKUP(A1158,已除帳印單!B:E,4,0),"")</f>
        <v/>
      </c>
      <c r="X1158" s="68" t="str">
        <f>IFERROR(INDEX(刷條碼區!A:C,MATCH(點上線資訊!S1158,刷條碼區!C:C,0),1),"")</f>
        <v/>
      </c>
      <c r="Y1158" s="69" t="str">
        <f>IFERROR(INDEX(刷條碼區!A:C,MATCH(點上線資訊!S1158,刷條碼區!C:C,0),2),"")</f>
        <v/>
      </c>
      <c r="Z1158" s="70" t="str">
        <f>IFERROR(INDEX(刷條碼區!D:G,MATCH(點上線資訊!S1158,刷條碼區!F:F,0),1),"")</f>
        <v/>
      </c>
      <c r="AA1158" s="71" t="str">
        <f>IFERROR(INDEX(刷條碼區!D:G,MATCH(點上線資訊!S1158,刷條碼區!F:F,0),2),"")</f>
        <v/>
      </c>
      <c r="AB1158" s="20">
        <f t="shared" si="112"/>
        <v>0</v>
      </c>
      <c r="AC1158" s="20" t="b">
        <f t="shared" si="113"/>
        <v>0</v>
      </c>
      <c r="AD1158" s="17" t="b">
        <f t="shared" si="114"/>
        <v>0</v>
      </c>
      <c r="AE1158" s="17" t="b">
        <f t="shared" si="115"/>
        <v>0</v>
      </c>
    </row>
    <row r="1159" spans="17:31" x14ac:dyDescent="0.2">
      <c r="Q1159" s="17">
        <f>IFERROR(VLOOKUP(A1159,已除帳印單!B:C,1,0),0)*1</f>
        <v>0</v>
      </c>
      <c r="R1159" s="67" t="str">
        <f>IFERROR(VLOOKUP(J1159,線別!A:B,2,1),"")</f>
        <v/>
      </c>
      <c r="S1159" s="17" t="str">
        <f>IFERROR(VLOOKUP(A1159,已除帳印單!B:C,2,0),"")</f>
        <v/>
      </c>
      <c r="T1159" s="68" t="e">
        <f t="shared" si="110"/>
        <v>#VALUE!</v>
      </c>
      <c r="U1159" s="69">
        <f t="shared" si="111"/>
        <v>0</v>
      </c>
      <c r="V1159" s="68" t="str">
        <f>IFERROR(VLOOKUP(A1159,已除帳印單!B:D,3,0),"")</f>
        <v/>
      </c>
      <c r="W1159" s="69" t="str">
        <f>IFERROR(VLOOKUP(A1159,已除帳印單!B:E,4,0),"")</f>
        <v/>
      </c>
      <c r="X1159" s="68" t="str">
        <f>IFERROR(INDEX(刷條碼區!A:C,MATCH(點上線資訊!S1159,刷條碼區!C:C,0),1),"")</f>
        <v/>
      </c>
      <c r="Y1159" s="69" t="str">
        <f>IFERROR(INDEX(刷條碼區!A:C,MATCH(點上線資訊!S1159,刷條碼區!C:C,0),2),"")</f>
        <v/>
      </c>
      <c r="Z1159" s="70" t="str">
        <f>IFERROR(INDEX(刷條碼區!D:G,MATCH(點上線資訊!S1159,刷條碼區!F:F,0),1),"")</f>
        <v/>
      </c>
      <c r="AA1159" s="71" t="str">
        <f>IFERROR(INDEX(刷條碼區!D:G,MATCH(點上線資訊!S1159,刷條碼區!F:F,0),2),"")</f>
        <v/>
      </c>
      <c r="AB1159" s="20">
        <f t="shared" si="112"/>
        <v>0</v>
      </c>
      <c r="AC1159" s="20" t="b">
        <f t="shared" si="113"/>
        <v>0</v>
      </c>
      <c r="AD1159" s="17" t="b">
        <f t="shared" si="114"/>
        <v>0</v>
      </c>
      <c r="AE1159" s="17" t="b">
        <f t="shared" si="115"/>
        <v>0</v>
      </c>
    </row>
    <row r="1160" spans="17:31" x14ac:dyDescent="0.2">
      <c r="Q1160" s="17">
        <f>IFERROR(VLOOKUP(A1160,已除帳印單!B:C,1,0),0)*1</f>
        <v>0</v>
      </c>
      <c r="R1160" s="67" t="str">
        <f>IFERROR(VLOOKUP(J1160,線別!A:B,2,1),"")</f>
        <v/>
      </c>
      <c r="S1160" s="17" t="str">
        <f>IFERROR(VLOOKUP(A1160,已除帳印單!B:C,2,0),"")</f>
        <v/>
      </c>
      <c r="T1160" s="68" t="e">
        <f t="shared" si="110"/>
        <v>#VALUE!</v>
      </c>
      <c r="U1160" s="69">
        <f t="shared" si="111"/>
        <v>0</v>
      </c>
      <c r="V1160" s="68" t="str">
        <f>IFERROR(VLOOKUP(A1160,已除帳印單!B:D,3,0),"")</f>
        <v/>
      </c>
      <c r="W1160" s="69" t="str">
        <f>IFERROR(VLOOKUP(A1160,已除帳印單!B:E,4,0),"")</f>
        <v/>
      </c>
      <c r="X1160" s="68" t="str">
        <f>IFERROR(INDEX(刷條碼區!A:C,MATCH(點上線資訊!S1160,刷條碼區!C:C,0),1),"")</f>
        <v/>
      </c>
      <c r="Y1160" s="69" t="str">
        <f>IFERROR(INDEX(刷條碼區!A:C,MATCH(點上線資訊!S1160,刷條碼區!C:C,0),2),"")</f>
        <v/>
      </c>
      <c r="Z1160" s="70" t="str">
        <f>IFERROR(INDEX(刷條碼區!D:G,MATCH(點上線資訊!S1160,刷條碼區!F:F,0),1),"")</f>
        <v/>
      </c>
      <c r="AA1160" s="71" t="str">
        <f>IFERROR(INDEX(刷條碼區!D:G,MATCH(點上線資訊!S1160,刷條碼區!F:F,0),2),"")</f>
        <v/>
      </c>
      <c r="AB1160" s="20">
        <f t="shared" si="112"/>
        <v>0</v>
      </c>
      <c r="AC1160" s="20" t="b">
        <f t="shared" si="113"/>
        <v>0</v>
      </c>
      <c r="AD1160" s="17" t="b">
        <f t="shared" si="114"/>
        <v>0</v>
      </c>
      <c r="AE1160" s="17" t="b">
        <f t="shared" si="115"/>
        <v>0</v>
      </c>
    </row>
    <row r="1161" spans="17:31" x14ac:dyDescent="0.2">
      <c r="Q1161" s="17">
        <f>IFERROR(VLOOKUP(A1161,已除帳印單!B:C,1,0),0)*1</f>
        <v>0</v>
      </c>
      <c r="R1161" s="67" t="str">
        <f>IFERROR(VLOOKUP(J1161,線別!A:B,2,1),"")</f>
        <v/>
      </c>
      <c r="S1161" s="17" t="str">
        <f>IFERROR(VLOOKUP(A1161,已除帳印單!B:C,2,0),"")</f>
        <v/>
      </c>
      <c r="T1161" s="68" t="e">
        <f t="shared" si="110"/>
        <v>#VALUE!</v>
      </c>
      <c r="U1161" s="69">
        <f t="shared" si="111"/>
        <v>0</v>
      </c>
      <c r="V1161" s="68" t="str">
        <f>IFERROR(VLOOKUP(A1161,已除帳印單!B:D,3,0),"")</f>
        <v/>
      </c>
      <c r="W1161" s="69" t="str">
        <f>IFERROR(VLOOKUP(A1161,已除帳印單!B:E,4,0),"")</f>
        <v/>
      </c>
      <c r="X1161" s="68" t="str">
        <f>IFERROR(INDEX(刷條碼區!A:C,MATCH(點上線資訊!S1161,刷條碼區!C:C,0),1),"")</f>
        <v/>
      </c>
      <c r="Y1161" s="69" t="str">
        <f>IFERROR(INDEX(刷條碼區!A:C,MATCH(點上線資訊!S1161,刷條碼區!C:C,0),2),"")</f>
        <v/>
      </c>
      <c r="Z1161" s="70" t="str">
        <f>IFERROR(INDEX(刷條碼區!D:G,MATCH(點上線資訊!S1161,刷條碼區!F:F,0),1),"")</f>
        <v/>
      </c>
      <c r="AA1161" s="71" t="str">
        <f>IFERROR(INDEX(刷條碼區!D:G,MATCH(點上線資訊!S1161,刷條碼區!F:F,0),2),"")</f>
        <v/>
      </c>
      <c r="AB1161" s="20">
        <f t="shared" si="112"/>
        <v>0</v>
      </c>
      <c r="AC1161" s="20" t="b">
        <f t="shared" si="113"/>
        <v>0</v>
      </c>
      <c r="AD1161" s="17" t="b">
        <f t="shared" si="114"/>
        <v>0</v>
      </c>
      <c r="AE1161" s="17" t="b">
        <f t="shared" si="115"/>
        <v>0</v>
      </c>
    </row>
    <row r="1162" spans="17:31" x14ac:dyDescent="0.2">
      <c r="Q1162" s="17">
        <f>IFERROR(VLOOKUP(A1162,已除帳印單!B:C,1,0),0)*1</f>
        <v>0</v>
      </c>
      <c r="R1162" s="67" t="str">
        <f>IFERROR(VLOOKUP(J1162,線別!A:B,2,1),"")</f>
        <v/>
      </c>
      <c r="S1162" s="17" t="str">
        <f>IFERROR(VLOOKUP(A1162,已除帳印單!B:C,2,0),"")</f>
        <v/>
      </c>
      <c r="T1162" s="68" t="e">
        <f t="shared" si="110"/>
        <v>#VALUE!</v>
      </c>
      <c r="U1162" s="69">
        <f t="shared" si="111"/>
        <v>0</v>
      </c>
      <c r="V1162" s="68" t="str">
        <f>IFERROR(VLOOKUP(A1162,已除帳印單!B:D,3,0),"")</f>
        <v/>
      </c>
      <c r="W1162" s="69" t="str">
        <f>IFERROR(VLOOKUP(A1162,已除帳印單!B:E,4,0),"")</f>
        <v/>
      </c>
      <c r="X1162" s="68" t="str">
        <f>IFERROR(INDEX(刷條碼區!A:C,MATCH(點上線資訊!S1162,刷條碼區!C:C,0),1),"")</f>
        <v/>
      </c>
      <c r="Y1162" s="69" t="str">
        <f>IFERROR(INDEX(刷條碼區!A:C,MATCH(點上線資訊!S1162,刷條碼區!C:C,0),2),"")</f>
        <v/>
      </c>
      <c r="Z1162" s="70" t="str">
        <f>IFERROR(INDEX(刷條碼區!D:G,MATCH(點上線資訊!S1162,刷條碼區!F:F,0),1),"")</f>
        <v/>
      </c>
      <c r="AA1162" s="71" t="str">
        <f>IFERROR(INDEX(刷條碼區!D:G,MATCH(點上線資訊!S1162,刷條碼區!F:F,0),2),"")</f>
        <v/>
      </c>
      <c r="AB1162" s="20">
        <f t="shared" si="112"/>
        <v>0</v>
      </c>
      <c r="AC1162" s="20" t="b">
        <f t="shared" si="113"/>
        <v>0</v>
      </c>
      <c r="AD1162" s="17" t="b">
        <f t="shared" si="114"/>
        <v>0</v>
      </c>
      <c r="AE1162" s="17" t="b">
        <f t="shared" si="115"/>
        <v>0</v>
      </c>
    </row>
    <row r="1163" spans="17:31" x14ac:dyDescent="0.2">
      <c r="Q1163" s="17">
        <f>IFERROR(VLOOKUP(A1163,已除帳印單!B:C,1,0),0)*1</f>
        <v>0</v>
      </c>
      <c r="R1163" s="67" t="str">
        <f>IFERROR(VLOOKUP(J1163,線別!A:B,2,1),"")</f>
        <v/>
      </c>
      <c r="S1163" s="17" t="str">
        <f>IFERROR(VLOOKUP(A1163,已除帳印單!B:C,2,0),"")</f>
        <v/>
      </c>
      <c r="T1163" s="68" t="e">
        <f t="shared" si="110"/>
        <v>#VALUE!</v>
      </c>
      <c r="U1163" s="69">
        <f t="shared" si="111"/>
        <v>0</v>
      </c>
      <c r="V1163" s="68" t="str">
        <f>IFERROR(VLOOKUP(A1163,已除帳印單!B:D,3,0),"")</f>
        <v/>
      </c>
      <c r="W1163" s="69" t="str">
        <f>IFERROR(VLOOKUP(A1163,已除帳印單!B:E,4,0),"")</f>
        <v/>
      </c>
      <c r="X1163" s="68" t="str">
        <f>IFERROR(INDEX(刷條碼區!A:C,MATCH(點上線資訊!S1163,刷條碼區!C:C,0),1),"")</f>
        <v/>
      </c>
      <c r="Y1163" s="69" t="str">
        <f>IFERROR(INDEX(刷條碼區!A:C,MATCH(點上線資訊!S1163,刷條碼區!C:C,0),2),"")</f>
        <v/>
      </c>
      <c r="Z1163" s="70" t="str">
        <f>IFERROR(INDEX(刷條碼區!D:G,MATCH(點上線資訊!S1163,刷條碼區!F:F,0),1),"")</f>
        <v/>
      </c>
      <c r="AA1163" s="71" t="str">
        <f>IFERROR(INDEX(刷條碼區!D:G,MATCH(點上線資訊!S1163,刷條碼區!F:F,0),2),"")</f>
        <v/>
      </c>
      <c r="AB1163" s="20">
        <f t="shared" si="112"/>
        <v>0</v>
      </c>
      <c r="AC1163" s="20" t="b">
        <f t="shared" si="113"/>
        <v>0</v>
      </c>
      <c r="AD1163" s="17" t="b">
        <f t="shared" si="114"/>
        <v>0</v>
      </c>
      <c r="AE1163" s="17" t="b">
        <f t="shared" si="115"/>
        <v>0</v>
      </c>
    </row>
    <row r="1164" spans="17:31" x14ac:dyDescent="0.2">
      <c r="Q1164" s="17">
        <f>IFERROR(VLOOKUP(A1164,已除帳印單!B:C,1,0),0)*1</f>
        <v>0</v>
      </c>
      <c r="R1164" s="67" t="str">
        <f>IFERROR(VLOOKUP(J1164,線別!A:B,2,1),"")</f>
        <v/>
      </c>
      <c r="S1164" s="17" t="str">
        <f>IFERROR(VLOOKUP(A1164,已除帳印單!B:C,2,0),"")</f>
        <v/>
      </c>
      <c r="T1164" s="68" t="e">
        <f t="shared" si="110"/>
        <v>#VALUE!</v>
      </c>
      <c r="U1164" s="69">
        <f t="shared" si="111"/>
        <v>0</v>
      </c>
      <c r="V1164" s="68" t="str">
        <f>IFERROR(VLOOKUP(A1164,已除帳印單!B:D,3,0),"")</f>
        <v/>
      </c>
      <c r="W1164" s="69" t="str">
        <f>IFERROR(VLOOKUP(A1164,已除帳印單!B:E,4,0),"")</f>
        <v/>
      </c>
      <c r="X1164" s="68" t="str">
        <f>IFERROR(INDEX(刷條碼區!A:C,MATCH(點上線資訊!S1164,刷條碼區!C:C,0),1),"")</f>
        <v/>
      </c>
      <c r="Y1164" s="69" t="str">
        <f>IFERROR(INDEX(刷條碼區!A:C,MATCH(點上線資訊!S1164,刷條碼區!C:C,0),2),"")</f>
        <v/>
      </c>
      <c r="Z1164" s="70" t="str">
        <f>IFERROR(INDEX(刷條碼區!D:G,MATCH(點上線資訊!S1164,刷條碼區!F:F,0),1),"")</f>
        <v/>
      </c>
      <c r="AA1164" s="71" t="str">
        <f>IFERROR(INDEX(刷條碼區!D:G,MATCH(點上線資訊!S1164,刷條碼區!F:F,0),2),"")</f>
        <v/>
      </c>
      <c r="AB1164" s="20">
        <f t="shared" si="112"/>
        <v>0</v>
      </c>
      <c r="AC1164" s="20" t="b">
        <f t="shared" si="113"/>
        <v>0</v>
      </c>
      <c r="AD1164" s="17" t="b">
        <f t="shared" si="114"/>
        <v>0</v>
      </c>
      <c r="AE1164" s="17" t="b">
        <f t="shared" si="115"/>
        <v>0</v>
      </c>
    </row>
    <row r="1165" spans="17:31" x14ac:dyDescent="0.2">
      <c r="Q1165" s="17">
        <f>IFERROR(VLOOKUP(A1165,已除帳印單!B:C,1,0),0)*1</f>
        <v>0</v>
      </c>
      <c r="R1165" s="67" t="str">
        <f>IFERROR(VLOOKUP(J1165,線別!A:B,2,1),"")</f>
        <v/>
      </c>
      <c r="S1165" s="17" t="str">
        <f>IFERROR(VLOOKUP(A1165,已除帳印單!B:C,2,0),"")</f>
        <v/>
      </c>
      <c r="T1165" s="68" t="e">
        <f t="shared" si="110"/>
        <v>#VALUE!</v>
      </c>
      <c r="U1165" s="69">
        <f t="shared" si="111"/>
        <v>0</v>
      </c>
      <c r="V1165" s="68" t="str">
        <f>IFERROR(VLOOKUP(A1165,已除帳印單!B:D,3,0),"")</f>
        <v/>
      </c>
      <c r="W1165" s="69" t="str">
        <f>IFERROR(VLOOKUP(A1165,已除帳印單!B:E,4,0),"")</f>
        <v/>
      </c>
      <c r="X1165" s="68" t="str">
        <f>IFERROR(INDEX(刷條碼區!A:C,MATCH(點上線資訊!S1165,刷條碼區!C:C,0),1),"")</f>
        <v/>
      </c>
      <c r="Y1165" s="69" t="str">
        <f>IFERROR(INDEX(刷條碼區!A:C,MATCH(點上線資訊!S1165,刷條碼區!C:C,0),2),"")</f>
        <v/>
      </c>
      <c r="Z1165" s="70" t="str">
        <f>IFERROR(INDEX(刷條碼區!D:G,MATCH(點上線資訊!S1165,刷條碼區!F:F,0),1),"")</f>
        <v/>
      </c>
      <c r="AA1165" s="71" t="str">
        <f>IFERROR(INDEX(刷條碼區!D:G,MATCH(點上線資訊!S1165,刷條碼區!F:F,0),2),"")</f>
        <v/>
      </c>
      <c r="AB1165" s="20">
        <f t="shared" si="112"/>
        <v>0</v>
      </c>
      <c r="AC1165" s="20" t="b">
        <f t="shared" si="113"/>
        <v>0</v>
      </c>
      <c r="AD1165" s="17" t="b">
        <f t="shared" si="114"/>
        <v>0</v>
      </c>
      <c r="AE1165" s="17" t="b">
        <f t="shared" si="115"/>
        <v>0</v>
      </c>
    </row>
    <row r="1166" spans="17:31" x14ac:dyDescent="0.2">
      <c r="Q1166" s="17">
        <f>IFERROR(VLOOKUP(A1166,已除帳印單!B:C,1,0),0)*1</f>
        <v>0</v>
      </c>
      <c r="R1166" s="67" t="str">
        <f>IFERROR(VLOOKUP(J1166,線別!A:B,2,1),"")</f>
        <v/>
      </c>
      <c r="S1166" s="17" t="str">
        <f>IFERROR(VLOOKUP(A1166,已除帳印單!B:C,2,0),"")</f>
        <v/>
      </c>
      <c r="T1166" s="68" t="e">
        <f t="shared" si="110"/>
        <v>#VALUE!</v>
      </c>
      <c r="U1166" s="69">
        <f t="shared" si="111"/>
        <v>0</v>
      </c>
      <c r="V1166" s="68" t="str">
        <f>IFERROR(VLOOKUP(A1166,已除帳印單!B:D,3,0),"")</f>
        <v/>
      </c>
      <c r="W1166" s="69" t="str">
        <f>IFERROR(VLOOKUP(A1166,已除帳印單!B:E,4,0),"")</f>
        <v/>
      </c>
      <c r="X1166" s="68" t="str">
        <f>IFERROR(INDEX(刷條碼區!A:C,MATCH(點上線資訊!S1166,刷條碼區!C:C,0),1),"")</f>
        <v/>
      </c>
      <c r="Y1166" s="69" t="str">
        <f>IFERROR(INDEX(刷條碼區!A:C,MATCH(點上線資訊!S1166,刷條碼區!C:C,0),2),"")</f>
        <v/>
      </c>
      <c r="Z1166" s="70" t="str">
        <f>IFERROR(INDEX(刷條碼區!D:G,MATCH(點上線資訊!S1166,刷條碼區!F:F,0),1),"")</f>
        <v/>
      </c>
      <c r="AA1166" s="71" t="str">
        <f>IFERROR(INDEX(刷條碼區!D:G,MATCH(點上線資訊!S1166,刷條碼區!F:F,0),2),"")</f>
        <v/>
      </c>
      <c r="AB1166" s="20">
        <f t="shared" si="112"/>
        <v>0</v>
      </c>
      <c r="AC1166" s="20" t="b">
        <f t="shared" si="113"/>
        <v>0</v>
      </c>
      <c r="AD1166" s="17" t="b">
        <f t="shared" si="114"/>
        <v>0</v>
      </c>
      <c r="AE1166" s="17" t="b">
        <f t="shared" si="115"/>
        <v>0</v>
      </c>
    </row>
    <row r="1167" spans="17:31" x14ac:dyDescent="0.2">
      <c r="Q1167" s="17">
        <f>IFERROR(VLOOKUP(A1167,已除帳印單!B:C,1,0),0)*1</f>
        <v>0</v>
      </c>
      <c r="R1167" s="67" t="str">
        <f>IFERROR(VLOOKUP(J1167,線別!A:B,2,1),"")</f>
        <v/>
      </c>
      <c r="S1167" s="17" t="str">
        <f>IFERROR(VLOOKUP(A1167,已除帳印單!B:C,2,0),"")</f>
        <v/>
      </c>
      <c r="T1167" s="68" t="e">
        <f t="shared" si="110"/>
        <v>#VALUE!</v>
      </c>
      <c r="U1167" s="69">
        <f t="shared" si="111"/>
        <v>0</v>
      </c>
      <c r="V1167" s="68" t="str">
        <f>IFERROR(VLOOKUP(A1167,已除帳印單!B:D,3,0),"")</f>
        <v/>
      </c>
      <c r="W1167" s="69" t="str">
        <f>IFERROR(VLOOKUP(A1167,已除帳印單!B:E,4,0),"")</f>
        <v/>
      </c>
      <c r="X1167" s="68" t="str">
        <f>IFERROR(INDEX(刷條碼區!A:C,MATCH(點上線資訊!S1167,刷條碼區!C:C,0),1),"")</f>
        <v/>
      </c>
      <c r="Y1167" s="69" t="str">
        <f>IFERROR(INDEX(刷條碼區!A:C,MATCH(點上線資訊!S1167,刷條碼區!C:C,0),2),"")</f>
        <v/>
      </c>
      <c r="Z1167" s="70" t="str">
        <f>IFERROR(INDEX(刷條碼區!D:G,MATCH(點上線資訊!S1167,刷條碼區!F:F,0),1),"")</f>
        <v/>
      </c>
      <c r="AA1167" s="71" t="str">
        <f>IFERROR(INDEX(刷條碼區!D:G,MATCH(點上線資訊!S1167,刷條碼區!F:F,0),2),"")</f>
        <v/>
      </c>
      <c r="AB1167" s="20">
        <f t="shared" si="112"/>
        <v>0</v>
      </c>
      <c r="AC1167" s="20" t="b">
        <f t="shared" si="113"/>
        <v>0</v>
      </c>
      <c r="AD1167" s="17" t="b">
        <f t="shared" si="114"/>
        <v>0</v>
      </c>
      <c r="AE1167" s="17" t="b">
        <f t="shared" si="115"/>
        <v>0</v>
      </c>
    </row>
    <row r="1168" spans="17:31" x14ac:dyDescent="0.2">
      <c r="Q1168" s="17">
        <f>IFERROR(VLOOKUP(A1168,已除帳印單!B:C,1,0),0)*1</f>
        <v>0</v>
      </c>
      <c r="R1168" s="67" t="str">
        <f>IFERROR(VLOOKUP(J1168,線別!A:B,2,1),"")</f>
        <v/>
      </c>
      <c r="S1168" s="17" t="str">
        <f>IFERROR(VLOOKUP(A1168,已除帳印單!B:C,2,0),"")</f>
        <v/>
      </c>
      <c r="T1168" s="68" t="e">
        <f t="shared" si="110"/>
        <v>#VALUE!</v>
      </c>
      <c r="U1168" s="69">
        <f t="shared" si="111"/>
        <v>0</v>
      </c>
      <c r="V1168" s="68" t="str">
        <f>IFERROR(VLOOKUP(A1168,已除帳印單!B:D,3,0),"")</f>
        <v/>
      </c>
      <c r="W1168" s="69" t="str">
        <f>IFERROR(VLOOKUP(A1168,已除帳印單!B:E,4,0),"")</f>
        <v/>
      </c>
      <c r="X1168" s="68" t="str">
        <f>IFERROR(INDEX(刷條碼區!A:C,MATCH(點上線資訊!S1168,刷條碼區!C:C,0),1),"")</f>
        <v/>
      </c>
      <c r="Y1168" s="69" t="str">
        <f>IFERROR(INDEX(刷條碼區!A:C,MATCH(點上線資訊!S1168,刷條碼區!C:C,0),2),"")</f>
        <v/>
      </c>
      <c r="Z1168" s="70" t="str">
        <f>IFERROR(INDEX(刷條碼區!D:G,MATCH(點上線資訊!S1168,刷條碼區!F:F,0),1),"")</f>
        <v/>
      </c>
      <c r="AA1168" s="71" t="str">
        <f>IFERROR(INDEX(刷條碼區!D:G,MATCH(點上線資訊!S1168,刷條碼區!F:F,0),2),"")</f>
        <v/>
      </c>
      <c r="AB1168" s="20">
        <f t="shared" si="112"/>
        <v>0</v>
      </c>
      <c r="AC1168" s="20" t="b">
        <f t="shared" si="113"/>
        <v>0</v>
      </c>
      <c r="AD1168" s="17" t="b">
        <f t="shared" si="114"/>
        <v>0</v>
      </c>
      <c r="AE1168" s="17" t="b">
        <f t="shared" si="115"/>
        <v>0</v>
      </c>
    </row>
    <row r="1169" spans="17:31" x14ac:dyDescent="0.2">
      <c r="Q1169" s="17">
        <f>IFERROR(VLOOKUP(A1169,已除帳印單!B:C,1,0),0)*1</f>
        <v>0</v>
      </c>
      <c r="R1169" s="67" t="str">
        <f>IFERROR(VLOOKUP(J1169,線別!A:B,2,1),"")</f>
        <v/>
      </c>
      <c r="S1169" s="17" t="str">
        <f>IFERROR(VLOOKUP(A1169,已除帳印單!B:C,2,0),"")</f>
        <v/>
      </c>
      <c r="T1169" s="68" t="e">
        <f t="shared" si="110"/>
        <v>#VALUE!</v>
      </c>
      <c r="U1169" s="69">
        <f t="shared" si="111"/>
        <v>0</v>
      </c>
      <c r="V1169" s="68" t="str">
        <f>IFERROR(VLOOKUP(A1169,已除帳印單!B:D,3,0),"")</f>
        <v/>
      </c>
      <c r="W1169" s="69" t="str">
        <f>IFERROR(VLOOKUP(A1169,已除帳印單!B:E,4,0),"")</f>
        <v/>
      </c>
      <c r="X1169" s="68" t="str">
        <f>IFERROR(INDEX(刷條碼區!A:C,MATCH(點上線資訊!S1169,刷條碼區!C:C,0),1),"")</f>
        <v/>
      </c>
      <c r="Y1169" s="69" t="str">
        <f>IFERROR(INDEX(刷條碼區!A:C,MATCH(點上線資訊!S1169,刷條碼區!C:C,0),2),"")</f>
        <v/>
      </c>
      <c r="Z1169" s="70" t="str">
        <f>IFERROR(INDEX(刷條碼區!D:G,MATCH(點上線資訊!S1169,刷條碼區!F:F,0),1),"")</f>
        <v/>
      </c>
      <c r="AA1169" s="71" t="str">
        <f>IFERROR(INDEX(刷條碼區!D:G,MATCH(點上線資訊!S1169,刷條碼區!F:F,0),2),"")</f>
        <v/>
      </c>
      <c r="AB1169" s="20">
        <f t="shared" si="112"/>
        <v>0</v>
      </c>
      <c r="AC1169" s="20" t="b">
        <f t="shared" si="113"/>
        <v>0</v>
      </c>
      <c r="AD1169" s="17" t="b">
        <f t="shared" si="114"/>
        <v>0</v>
      </c>
      <c r="AE1169" s="17" t="b">
        <f t="shared" si="115"/>
        <v>0</v>
      </c>
    </row>
    <row r="1170" spans="17:31" x14ac:dyDescent="0.2">
      <c r="Q1170" s="17">
        <f>IFERROR(VLOOKUP(A1170,已除帳印單!B:C,1,0),0)*1</f>
        <v>0</v>
      </c>
      <c r="R1170" s="67" t="str">
        <f>IFERROR(VLOOKUP(J1170,線別!A:B,2,1),"")</f>
        <v/>
      </c>
      <c r="S1170" s="17" t="str">
        <f>IFERROR(VLOOKUP(A1170,已除帳印單!B:C,2,0),"")</f>
        <v/>
      </c>
      <c r="T1170" s="68" t="e">
        <f t="shared" si="110"/>
        <v>#VALUE!</v>
      </c>
      <c r="U1170" s="69">
        <f t="shared" si="111"/>
        <v>0</v>
      </c>
      <c r="V1170" s="68" t="str">
        <f>IFERROR(VLOOKUP(A1170,已除帳印單!B:D,3,0),"")</f>
        <v/>
      </c>
      <c r="W1170" s="69" t="str">
        <f>IFERROR(VLOOKUP(A1170,已除帳印單!B:E,4,0),"")</f>
        <v/>
      </c>
      <c r="X1170" s="68" t="str">
        <f>IFERROR(INDEX(刷條碼區!A:C,MATCH(點上線資訊!S1170,刷條碼區!C:C,0),1),"")</f>
        <v/>
      </c>
      <c r="Y1170" s="69" t="str">
        <f>IFERROR(INDEX(刷條碼區!A:C,MATCH(點上線資訊!S1170,刷條碼區!C:C,0),2),"")</f>
        <v/>
      </c>
      <c r="Z1170" s="70" t="str">
        <f>IFERROR(INDEX(刷條碼區!D:G,MATCH(點上線資訊!S1170,刷條碼區!F:F,0),1),"")</f>
        <v/>
      </c>
      <c r="AA1170" s="71" t="str">
        <f>IFERROR(INDEX(刷條碼區!D:G,MATCH(點上線資訊!S1170,刷條碼區!F:F,0),2),"")</f>
        <v/>
      </c>
      <c r="AB1170" s="20">
        <f t="shared" si="112"/>
        <v>0</v>
      </c>
      <c r="AC1170" s="20" t="b">
        <f t="shared" si="113"/>
        <v>0</v>
      </c>
      <c r="AD1170" s="17" t="b">
        <f t="shared" si="114"/>
        <v>0</v>
      </c>
      <c r="AE1170" s="17" t="b">
        <f t="shared" si="115"/>
        <v>0</v>
      </c>
    </row>
    <row r="1171" spans="17:31" x14ac:dyDescent="0.2">
      <c r="Q1171" s="17">
        <f>IFERROR(VLOOKUP(A1171,已除帳印單!B:C,1,0),0)*1</f>
        <v>0</v>
      </c>
      <c r="R1171" s="67" t="str">
        <f>IFERROR(VLOOKUP(J1171,線別!A:B,2,1),"")</f>
        <v/>
      </c>
      <c r="S1171" s="17" t="str">
        <f>IFERROR(VLOOKUP(A1171,已除帳印單!B:C,2,0),"")</f>
        <v/>
      </c>
      <c r="T1171" s="68" t="e">
        <f t="shared" si="110"/>
        <v>#VALUE!</v>
      </c>
      <c r="U1171" s="69">
        <f t="shared" si="111"/>
        <v>0</v>
      </c>
      <c r="V1171" s="68" t="str">
        <f>IFERROR(VLOOKUP(A1171,已除帳印單!B:D,3,0),"")</f>
        <v/>
      </c>
      <c r="W1171" s="69" t="str">
        <f>IFERROR(VLOOKUP(A1171,已除帳印單!B:E,4,0),"")</f>
        <v/>
      </c>
      <c r="X1171" s="68" t="str">
        <f>IFERROR(INDEX(刷條碼區!A:C,MATCH(點上線資訊!S1171,刷條碼區!C:C,0),1),"")</f>
        <v/>
      </c>
      <c r="Y1171" s="69" t="str">
        <f>IFERROR(INDEX(刷條碼區!A:C,MATCH(點上線資訊!S1171,刷條碼區!C:C,0),2),"")</f>
        <v/>
      </c>
      <c r="Z1171" s="70" t="str">
        <f>IFERROR(INDEX(刷條碼區!D:G,MATCH(點上線資訊!S1171,刷條碼區!F:F,0),1),"")</f>
        <v/>
      </c>
      <c r="AA1171" s="71" t="str">
        <f>IFERROR(INDEX(刷條碼區!D:G,MATCH(點上線資訊!S1171,刷條碼區!F:F,0),2),"")</f>
        <v/>
      </c>
      <c r="AB1171" s="20">
        <f t="shared" si="112"/>
        <v>0</v>
      </c>
      <c r="AC1171" s="20" t="b">
        <f t="shared" si="113"/>
        <v>0</v>
      </c>
      <c r="AD1171" s="17" t="b">
        <f t="shared" si="114"/>
        <v>0</v>
      </c>
      <c r="AE1171" s="17" t="b">
        <f t="shared" si="115"/>
        <v>0</v>
      </c>
    </row>
    <row r="1172" spans="17:31" x14ac:dyDescent="0.2">
      <c r="Q1172" s="17">
        <f>IFERROR(VLOOKUP(A1172,已除帳印單!B:C,1,0),0)*1</f>
        <v>0</v>
      </c>
      <c r="R1172" s="67" t="str">
        <f>IFERROR(VLOOKUP(J1172,線別!A:B,2,1),"")</f>
        <v/>
      </c>
      <c r="S1172" s="17" t="str">
        <f>IFERROR(VLOOKUP(A1172,已除帳印單!B:C,2,0),"")</f>
        <v/>
      </c>
      <c r="T1172" s="68" t="e">
        <f t="shared" si="110"/>
        <v>#VALUE!</v>
      </c>
      <c r="U1172" s="69">
        <f t="shared" si="111"/>
        <v>0</v>
      </c>
      <c r="V1172" s="68" t="str">
        <f>IFERROR(VLOOKUP(A1172,已除帳印單!B:D,3,0),"")</f>
        <v/>
      </c>
      <c r="W1172" s="69" t="str">
        <f>IFERROR(VLOOKUP(A1172,已除帳印單!B:E,4,0),"")</f>
        <v/>
      </c>
      <c r="X1172" s="68" t="str">
        <f>IFERROR(INDEX(刷條碼區!A:C,MATCH(點上線資訊!S1172,刷條碼區!C:C,0),1),"")</f>
        <v/>
      </c>
      <c r="Y1172" s="69" t="str">
        <f>IFERROR(INDEX(刷條碼區!A:C,MATCH(點上線資訊!S1172,刷條碼區!C:C,0),2),"")</f>
        <v/>
      </c>
      <c r="Z1172" s="70" t="str">
        <f>IFERROR(INDEX(刷條碼區!D:G,MATCH(點上線資訊!S1172,刷條碼區!F:F,0),1),"")</f>
        <v/>
      </c>
      <c r="AA1172" s="71" t="str">
        <f>IFERROR(INDEX(刷條碼區!D:G,MATCH(點上線資訊!S1172,刷條碼區!F:F,0),2),"")</f>
        <v/>
      </c>
      <c r="AB1172" s="20">
        <f t="shared" si="112"/>
        <v>0</v>
      </c>
      <c r="AC1172" s="20" t="b">
        <f t="shared" si="113"/>
        <v>0</v>
      </c>
      <c r="AD1172" s="17" t="b">
        <f t="shared" si="114"/>
        <v>0</v>
      </c>
      <c r="AE1172" s="17" t="b">
        <f t="shared" si="115"/>
        <v>0</v>
      </c>
    </row>
    <row r="1173" spans="17:31" x14ac:dyDescent="0.2">
      <c r="Q1173" s="17">
        <f>IFERROR(VLOOKUP(A1173,已除帳印單!B:C,1,0),0)*1</f>
        <v>0</v>
      </c>
      <c r="R1173" s="67" t="str">
        <f>IFERROR(VLOOKUP(J1173,線別!A:B,2,1),"")</f>
        <v/>
      </c>
      <c r="S1173" s="17" t="str">
        <f>IFERROR(VLOOKUP(A1173,已除帳印單!B:C,2,0),"")</f>
        <v/>
      </c>
      <c r="T1173" s="68" t="e">
        <f t="shared" si="110"/>
        <v>#VALUE!</v>
      </c>
      <c r="U1173" s="69">
        <f t="shared" si="111"/>
        <v>0</v>
      </c>
      <c r="V1173" s="68" t="str">
        <f>IFERROR(VLOOKUP(A1173,已除帳印單!B:D,3,0),"")</f>
        <v/>
      </c>
      <c r="W1173" s="69" t="str">
        <f>IFERROR(VLOOKUP(A1173,已除帳印單!B:E,4,0),"")</f>
        <v/>
      </c>
      <c r="X1173" s="68" t="str">
        <f>IFERROR(INDEX(刷條碼區!A:C,MATCH(點上線資訊!S1173,刷條碼區!C:C,0),1),"")</f>
        <v/>
      </c>
      <c r="Y1173" s="69" t="str">
        <f>IFERROR(INDEX(刷條碼區!A:C,MATCH(點上線資訊!S1173,刷條碼區!C:C,0),2),"")</f>
        <v/>
      </c>
      <c r="Z1173" s="70" t="str">
        <f>IFERROR(INDEX(刷條碼區!D:G,MATCH(點上線資訊!S1173,刷條碼區!F:F,0),1),"")</f>
        <v/>
      </c>
      <c r="AA1173" s="71" t="str">
        <f>IFERROR(INDEX(刷條碼區!D:G,MATCH(點上線資訊!S1173,刷條碼區!F:F,0),2),"")</f>
        <v/>
      </c>
      <c r="AB1173" s="20">
        <f t="shared" si="112"/>
        <v>0</v>
      </c>
      <c r="AC1173" s="20" t="b">
        <f t="shared" si="113"/>
        <v>0</v>
      </c>
      <c r="AD1173" s="17" t="b">
        <f t="shared" si="114"/>
        <v>0</v>
      </c>
      <c r="AE1173" s="17" t="b">
        <f t="shared" si="115"/>
        <v>0</v>
      </c>
    </row>
    <row r="1174" spans="17:31" x14ac:dyDescent="0.2">
      <c r="Q1174" s="17">
        <f>IFERROR(VLOOKUP(A1174,已除帳印單!B:C,1,0),0)*1</f>
        <v>0</v>
      </c>
      <c r="R1174" s="67" t="str">
        <f>IFERROR(VLOOKUP(J1174,線別!A:B,2,1),"")</f>
        <v/>
      </c>
      <c r="S1174" s="17" t="str">
        <f>IFERROR(VLOOKUP(A1174,已除帳印單!B:C,2,0),"")</f>
        <v/>
      </c>
      <c r="T1174" s="68" t="e">
        <f t="shared" si="110"/>
        <v>#VALUE!</v>
      </c>
      <c r="U1174" s="69">
        <f t="shared" si="111"/>
        <v>0</v>
      </c>
      <c r="V1174" s="68" t="str">
        <f>IFERROR(VLOOKUP(A1174,已除帳印單!B:D,3,0),"")</f>
        <v/>
      </c>
      <c r="W1174" s="69" t="str">
        <f>IFERROR(VLOOKUP(A1174,已除帳印單!B:E,4,0),"")</f>
        <v/>
      </c>
      <c r="X1174" s="68" t="str">
        <f>IFERROR(INDEX(刷條碼區!A:C,MATCH(點上線資訊!S1174,刷條碼區!C:C,0),1),"")</f>
        <v/>
      </c>
      <c r="Y1174" s="69" t="str">
        <f>IFERROR(INDEX(刷條碼區!A:C,MATCH(點上線資訊!S1174,刷條碼區!C:C,0),2),"")</f>
        <v/>
      </c>
      <c r="Z1174" s="70" t="str">
        <f>IFERROR(INDEX(刷條碼區!D:G,MATCH(點上線資訊!S1174,刷條碼區!F:F,0),1),"")</f>
        <v/>
      </c>
      <c r="AA1174" s="71" t="str">
        <f>IFERROR(INDEX(刷條碼區!D:G,MATCH(點上線資訊!S1174,刷條碼區!F:F,0),2),"")</f>
        <v/>
      </c>
      <c r="AB1174" s="20">
        <f t="shared" si="112"/>
        <v>0</v>
      </c>
      <c r="AC1174" s="20" t="b">
        <f t="shared" si="113"/>
        <v>0</v>
      </c>
      <c r="AD1174" s="17" t="b">
        <f t="shared" si="114"/>
        <v>0</v>
      </c>
      <c r="AE1174" s="17" t="b">
        <f t="shared" si="115"/>
        <v>0</v>
      </c>
    </row>
    <row r="1175" spans="17:31" x14ac:dyDescent="0.2">
      <c r="Q1175" s="17">
        <f>IFERROR(VLOOKUP(A1175,已除帳印單!B:C,1,0),0)*1</f>
        <v>0</v>
      </c>
      <c r="R1175" s="67" t="str">
        <f>IFERROR(VLOOKUP(J1175,線別!A:B,2,1),"")</f>
        <v/>
      </c>
      <c r="S1175" s="17" t="str">
        <f>IFERROR(VLOOKUP(A1175,已除帳印單!B:C,2,0),"")</f>
        <v/>
      </c>
      <c r="T1175" s="68" t="e">
        <f t="shared" si="110"/>
        <v>#VALUE!</v>
      </c>
      <c r="U1175" s="69">
        <f t="shared" si="111"/>
        <v>0</v>
      </c>
      <c r="V1175" s="68" t="str">
        <f>IFERROR(VLOOKUP(A1175,已除帳印單!B:D,3,0),"")</f>
        <v/>
      </c>
      <c r="W1175" s="69" t="str">
        <f>IFERROR(VLOOKUP(A1175,已除帳印單!B:E,4,0),"")</f>
        <v/>
      </c>
      <c r="X1175" s="68" t="str">
        <f>IFERROR(INDEX(刷條碼區!A:C,MATCH(點上線資訊!S1175,刷條碼區!C:C,0),1),"")</f>
        <v/>
      </c>
      <c r="Y1175" s="69" t="str">
        <f>IFERROR(INDEX(刷條碼區!A:C,MATCH(點上線資訊!S1175,刷條碼區!C:C,0),2),"")</f>
        <v/>
      </c>
      <c r="Z1175" s="70" t="str">
        <f>IFERROR(INDEX(刷條碼區!D:G,MATCH(點上線資訊!S1175,刷條碼區!F:F,0),1),"")</f>
        <v/>
      </c>
      <c r="AA1175" s="71" t="str">
        <f>IFERROR(INDEX(刷條碼區!D:G,MATCH(點上線資訊!S1175,刷條碼區!F:F,0),2),"")</f>
        <v/>
      </c>
      <c r="AB1175" s="20">
        <f t="shared" si="112"/>
        <v>0</v>
      </c>
      <c r="AC1175" s="20" t="b">
        <f t="shared" si="113"/>
        <v>0</v>
      </c>
      <c r="AD1175" s="17" t="b">
        <f t="shared" si="114"/>
        <v>0</v>
      </c>
      <c r="AE1175" s="17" t="b">
        <f t="shared" si="115"/>
        <v>0</v>
      </c>
    </row>
    <row r="1176" spans="17:31" x14ac:dyDescent="0.2">
      <c r="Q1176" s="17">
        <f>IFERROR(VLOOKUP(A1176,已除帳印單!B:C,1,0),0)*1</f>
        <v>0</v>
      </c>
      <c r="R1176" s="67" t="str">
        <f>IFERROR(VLOOKUP(J1176,線別!A:B,2,1),"")</f>
        <v/>
      </c>
      <c r="S1176" s="17" t="str">
        <f>IFERROR(VLOOKUP(A1176,已除帳印單!B:C,2,0),"")</f>
        <v/>
      </c>
      <c r="T1176" s="68" t="e">
        <f t="shared" si="110"/>
        <v>#VALUE!</v>
      </c>
      <c r="U1176" s="69">
        <f t="shared" si="111"/>
        <v>0</v>
      </c>
      <c r="V1176" s="68" t="str">
        <f>IFERROR(VLOOKUP(A1176,已除帳印單!B:D,3,0),"")</f>
        <v/>
      </c>
      <c r="W1176" s="69" t="str">
        <f>IFERROR(VLOOKUP(A1176,已除帳印單!B:E,4,0),"")</f>
        <v/>
      </c>
      <c r="X1176" s="68" t="str">
        <f>IFERROR(INDEX(刷條碼區!A:C,MATCH(點上線資訊!S1176,刷條碼區!C:C,0),1),"")</f>
        <v/>
      </c>
      <c r="Y1176" s="69" t="str">
        <f>IFERROR(INDEX(刷條碼區!A:C,MATCH(點上線資訊!S1176,刷條碼區!C:C,0),2),"")</f>
        <v/>
      </c>
      <c r="Z1176" s="70" t="str">
        <f>IFERROR(INDEX(刷條碼區!D:G,MATCH(點上線資訊!S1176,刷條碼區!F:F,0),1),"")</f>
        <v/>
      </c>
      <c r="AA1176" s="71" t="str">
        <f>IFERROR(INDEX(刷條碼區!D:G,MATCH(點上線資訊!S1176,刷條碼區!F:F,0),2),"")</f>
        <v/>
      </c>
      <c r="AB1176" s="20">
        <f t="shared" si="112"/>
        <v>0</v>
      </c>
      <c r="AC1176" s="20" t="b">
        <f t="shared" si="113"/>
        <v>0</v>
      </c>
      <c r="AD1176" s="17" t="b">
        <f t="shared" si="114"/>
        <v>0</v>
      </c>
      <c r="AE1176" s="17" t="b">
        <f t="shared" si="115"/>
        <v>0</v>
      </c>
    </row>
    <row r="1177" spans="17:31" x14ac:dyDescent="0.2">
      <c r="Q1177" s="17">
        <f>IFERROR(VLOOKUP(A1177,已除帳印單!B:C,1,0),0)*1</f>
        <v>0</v>
      </c>
      <c r="R1177" s="67" t="str">
        <f>IFERROR(VLOOKUP(J1177,線別!A:B,2,1),"")</f>
        <v/>
      </c>
      <c r="S1177" s="17" t="str">
        <f>IFERROR(VLOOKUP(A1177,已除帳印單!B:C,2,0),"")</f>
        <v/>
      </c>
      <c r="T1177" s="68" t="e">
        <f t="shared" si="110"/>
        <v>#VALUE!</v>
      </c>
      <c r="U1177" s="69">
        <f t="shared" si="111"/>
        <v>0</v>
      </c>
      <c r="V1177" s="68" t="str">
        <f>IFERROR(VLOOKUP(A1177,已除帳印單!B:D,3,0),"")</f>
        <v/>
      </c>
      <c r="W1177" s="69" t="str">
        <f>IFERROR(VLOOKUP(A1177,已除帳印單!B:E,4,0),"")</f>
        <v/>
      </c>
      <c r="X1177" s="68" t="str">
        <f>IFERROR(INDEX(刷條碼區!A:C,MATCH(點上線資訊!S1177,刷條碼區!C:C,0),1),"")</f>
        <v/>
      </c>
      <c r="Y1177" s="69" t="str">
        <f>IFERROR(INDEX(刷條碼區!A:C,MATCH(點上線資訊!S1177,刷條碼區!C:C,0),2),"")</f>
        <v/>
      </c>
      <c r="Z1177" s="70" t="str">
        <f>IFERROR(INDEX(刷條碼區!D:G,MATCH(點上線資訊!S1177,刷條碼區!F:F,0),1),"")</f>
        <v/>
      </c>
      <c r="AA1177" s="71" t="str">
        <f>IFERROR(INDEX(刷條碼區!D:G,MATCH(點上線資訊!S1177,刷條碼區!F:F,0),2),"")</f>
        <v/>
      </c>
      <c r="AB1177" s="20">
        <f t="shared" si="112"/>
        <v>0</v>
      </c>
      <c r="AC1177" s="20" t="b">
        <f t="shared" si="113"/>
        <v>0</v>
      </c>
      <c r="AD1177" s="17" t="b">
        <f t="shared" si="114"/>
        <v>0</v>
      </c>
      <c r="AE1177" s="17" t="b">
        <f t="shared" si="115"/>
        <v>0</v>
      </c>
    </row>
    <row r="1178" spans="17:31" x14ac:dyDescent="0.2">
      <c r="Q1178" s="17">
        <f>IFERROR(VLOOKUP(A1178,已除帳印單!B:C,1,0),0)*1</f>
        <v>0</v>
      </c>
      <c r="R1178" s="67" t="str">
        <f>IFERROR(VLOOKUP(J1178,線別!A:B,2,1),"")</f>
        <v/>
      </c>
      <c r="S1178" s="17" t="str">
        <f>IFERROR(VLOOKUP(A1178,已除帳印單!B:C,2,0),"")</f>
        <v/>
      </c>
      <c r="T1178" s="68" t="e">
        <f t="shared" si="110"/>
        <v>#VALUE!</v>
      </c>
      <c r="U1178" s="69">
        <f t="shared" si="111"/>
        <v>0</v>
      </c>
      <c r="V1178" s="68" t="str">
        <f>IFERROR(VLOOKUP(A1178,已除帳印單!B:D,3,0),"")</f>
        <v/>
      </c>
      <c r="W1178" s="69" t="str">
        <f>IFERROR(VLOOKUP(A1178,已除帳印單!B:E,4,0),"")</f>
        <v/>
      </c>
      <c r="X1178" s="68" t="str">
        <f>IFERROR(INDEX(刷條碼區!A:C,MATCH(點上線資訊!S1178,刷條碼區!C:C,0),1),"")</f>
        <v/>
      </c>
      <c r="Y1178" s="69" t="str">
        <f>IFERROR(INDEX(刷條碼區!A:C,MATCH(點上線資訊!S1178,刷條碼區!C:C,0),2),"")</f>
        <v/>
      </c>
      <c r="Z1178" s="70" t="str">
        <f>IFERROR(INDEX(刷條碼區!D:G,MATCH(點上線資訊!S1178,刷條碼區!F:F,0),1),"")</f>
        <v/>
      </c>
      <c r="AA1178" s="71" t="str">
        <f>IFERROR(INDEX(刷條碼區!D:G,MATCH(點上線資訊!S1178,刷條碼區!F:F,0),2),"")</f>
        <v/>
      </c>
      <c r="AB1178" s="20">
        <f t="shared" si="112"/>
        <v>0</v>
      </c>
      <c r="AC1178" s="20" t="b">
        <f t="shared" si="113"/>
        <v>0</v>
      </c>
      <c r="AD1178" s="17" t="b">
        <f t="shared" si="114"/>
        <v>0</v>
      </c>
      <c r="AE1178" s="17" t="b">
        <f t="shared" si="115"/>
        <v>0</v>
      </c>
    </row>
    <row r="1179" spans="17:31" x14ac:dyDescent="0.2">
      <c r="Q1179" s="17">
        <f>IFERROR(VLOOKUP(A1179,已除帳印單!B:C,1,0),0)*1</f>
        <v>0</v>
      </c>
      <c r="R1179" s="67" t="str">
        <f>IFERROR(VLOOKUP(J1179,線別!A:B,2,1),"")</f>
        <v/>
      </c>
      <c r="S1179" s="17" t="str">
        <f>IFERROR(VLOOKUP(A1179,已除帳印單!B:C,2,0),"")</f>
        <v/>
      </c>
      <c r="T1179" s="68" t="e">
        <f t="shared" si="110"/>
        <v>#VALUE!</v>
      </c>
      <c r="U1179" s="69">
        <f t="shared" si="111"/>
        <v>0</v>
      </c>
      <c r="V1179" s="68" t="str">
        <f>IFERROR(VLOOKUP(A1179,已除帳印單!B:D,3,0),"")</f>
        <v/>
      </c>
      <c r="W1179" s="69" t="str">
        <f>IFERROR(VLOOKUP(A1179,已除帳印單!B:E,4,0),"")</f>
        <v/>
      </c>
      <c r="X1179" s="68" t="str">
        <f>IFERROR(INDEX(刷條碼區!A:C,MATCH(點上線資訊!S1179,刷條碼區!C:C,0),1),"")</f>
        <v/>
      </c>
      <c r="Y1179" s="69" t="str">
        <f>IFERROR(INDEX(刷條碼區!A:C,MATCH(點上線資訊!S1179,刷條碼區!C:C,0),2),"")</f>
        <v/>
      </c>
      <c r="Z1179" s="70" t="str">
        <f>IFERROR(INDEX(刷條碼區!D:G,MATCH(點上線資訊!S1179,刷條碼區!F:F,0),1),"")</f>
        <v/>
      </c>
      <c r="AA1179" s="71" t="str">
        <f>IFERROR(INDEX(刷條碼區!D:G,MATCH(點上線資訊!S1179,刷條碼區!F:F,0),2),"")</f>
        <v/>
      </c>
      <c r="AB1179" s="20">
        <f t="shared" si="112"/>
        <v>0</v>
      </c>
      <c r="AC1179" s="20" t="b">
        <f t="shared" si="113"/>
        <v>0</v>
      </c>
      <c r="AD1179" s="17" t="b">
        <f t="shared" si="114"/>
        <v>0</v>
      </c>
      <c r="AE1179" s="17" t="b">
        <f t="shared" si="115"/>
        <v>0</v>
      </c>
    </row>
    <row r="1180" spans="17:31" x14ac:dyDescent="0.2">
      <c r="Q1180" s="17">
        <f>IFERROR(VLOOKUP(A1180,已除帳印單!B:C,1,0),0)*1</f>
        <v>0</v>
      </c>
      <c r="R1180" s="67" t="str">
        <f>IFERROR(VLOOKUP(J1180,線別!A:B,2,1),"")</f>
        <v/>
      </c>
      <c r="S1180" s="17" t="str">
        <f>IFERROR(VLOOKUP(A1180,已除帳印單!B:C,2,0),"")</f>
        <v/>
      </c>
      <c r="T1180" s="68" t="e">
        <f t="shared" si="110"/>
        <v>#VALUE!</v>
      </c>
      <c r="U1180" s="69">
        <f t="shared" si="111"/>
        <v>0</v>
      </c>
      <c r="V1180" s="68" t="str">
        <f>IFERROR(VLOOKUP(A1180,已除帳印單!B:D,3,0),"")</f>
        <v/>
      </c>
      <c r="W1180" s="69" t="str">
        <f>IFERROR(VLOOKUP(A1180,已除帳印單!B:E,4,0),"")</f>
        <v/>
      </c>
      <c r="X1180" s="68" t="str">
        <f>IFERROR(INDEX(刷條碼區!A:C,MATCH(點上線資訊!S1180,刷條碼區!C:C,0),1),"")</f>
        <v/>
      </c>
      <c r="Y1180" s="69" t="str">
        <f>IFERROR(INDEX(刷條碼區!A:C,MATCH(點上線資訊!S1180,刷條碼區!C:C,0),2),"")</f>
        <v/>
      </c>
      <c r="Z1180" s="70" t="str">
        <f>IFERROR(INDEX(刷條碼區!D:G,MATCH(點上線資訊!S1180,刷條碼區!F:F,0),1),"")</f>
        <v/>
      </c>
      <c r="AA1180" s="71" t="str">
        <f>IFERROR(INDEX(刷條碼區!D:G,MATCH(點上線資訊!S1180,刷條碼區!F:F,0),2),"")</f>
        <v/>
      </c>
      <c r="AB1180" s="20">
        <f t="shared" si="112"/>
        <v>0</v>
      </c>
      <c r="AC1180" s="20" t="b">
        <f t="shared" si="113"/>
        <v>0</v>
      </c>
      <c r="AD1180" s="17" t="b">
        <f t="shared" si="114"/>
        <v>0</v>
      </c>
      <c r="AE1180" s="17" t="b">
        <f t="shared" si="115"/>
        <v>0</v>
      </c>
    </row>
    <row r="1181" spans="17:31" x14ac:dyDescent="0.2">
      <c r="Q1181" s="17">
        <f>IFERROR(VLOOKUP(A1181,已除帳印單!B:C,1,0),0)*1</f>
        <v>0</v>
      </c>
      <c r="R1181" s="67" t="str">
        <f>IFERROR(VLOOKUP(J1181,線別!A:B,2,1),"")</f>
        <v/>
      </c>
      <c r="S1181" s="17" t="str">
        <f>IFERROR(VLOOKUP(A1181,已除帳印單!B:C,2,0),"")</f>
        <v/>
      </c>
      <c r="T1181" s="68" t="e">
        <f t="shared" si="110"/>
        <v>#VALUE!</v>
      </c>
      <c r="U1181" s="69">
        <f t="shared" si="111"/>
        <v>0</v>
      </c>
      <c r="V1181" s="68" t="str">
        <f>IFERROR(VLOOKUP(A1181,已除帳印單!B:D,3,0),"")</f>
        <v/>
      </c>
      <c r="W1181" s="69" t="str">
        <f>IFERROR(VLOOKUP(A1181,已除帳印單!B:E,4,0),"")</f>
        <v/>
      </c>
      <c r="X1181" s="68" t="str">
        <f>IFERROR(INDEX(刷條碼區!A:C,MATCH(點上線資訊!S1181,刷條碼區!C:C,0),1),"")</f>
        <v/>
      </c>
      <c r="Y1181" s="69" t="str">
        <f>IFERROR(INDEX(刷條碼區!A:C,MATCH(點上線資訊!S1181,刷條碼區!C:C,0),2),"")</f>
        <v/>
      </c>
      <c r="Z1181" s="70" t="str">
        <f>IFERROR(INDEX(刷條碼區!D:G,MATCH(點上線資訊!S1181,刷條碼區!F:F,0),1),"")</f>
        <v/>
      </c>
      <c r="AA1181" s="71" t="str">
        <f>IFERROR(INDEX(刷條碼區!D:G,MATCH(點上線資訊!S1181,刷條碼區!F:F,0),2),"")</f>
        <v/>
      </c>
      <c r="AB1181" s="20">
        <f t="shared" si="112"/>
        <v>0</v>
      </c>
      <c r="AC1181" s="20" t="b">
        <f t="shared" si="113"/>
        <v>0</v>
      </c>
      <c r="AD1181" s="17" t="b">
        <f t="shared" si="114"/>
        <v>0</v>
      </c>
      <c r="AE1181" s="17" t="b">
        <f t="shared" si="115"/>
        <v>0</v>
      </c>
    </row>
    <row r="1182" spans="17:31" x14ac:dyDescent="0.2">
      <c r="Q1182" s="17">
        <f>IFERROR(VLOOKUP(A1182,已除帳印單!B:C,1,0),0)*1</f>
        <v>0</v>
      </c>
      <c r="R1182" s="67" t="str">
        <f>IFERROR(VLOOKUP(J1182,線別!A:B,2,1),"")</f>
        <v/>
      </c>
      <c r="S1182" s="17" t="str">
        <f>IFERROR(VLOOKUP(A1182,已除帳印單!B:C,2,0),"")</f>
        <v/>
      </c>
      <c r="T1182" s="68" t="e">
        <f t="shared" si="110"/>
        <v>#VALUE!</v>
      </c>
      <c r="U1182" s="69">
        <f t="shared" si="111"/>
        <v>0</v>
      </c>
      <c r="V1182" s="68" t="str">
        <f>IFERROR(VLOOKUP(A1182,已除帳印單!B:D,3,0),"")</f>
        <v/>
      </c>
      <c r="W1182" s="69" t="str">
        <f>IFERROR(VLOOKUP(A1182,已除帳印單!B:E,4,0),"")</f>
        <v/>
      </c>
      <c r="X1182" s="68" t="str">
        <f>IFERROR(INDEX(刷條碼區!A:C,MATCH(點上線資訊!S1182,刷條碼區!C:C,0),1),"")</f>
        <v/>
      </c>
      <c r="Y1182" s="69" t="str">
        <f>IFERROR(INDEX(刷條碼區!A:C,MATCH(點上線資訊!S1182,刷條碼區!C:C,0),2),"")</f>
        <v/>
      </c>
      <c r="Z1182" s="70" t="str">
        <f>IFERROR(INDEX(刷條碼區!D:G,MATCH(點上線資訊!S1182,刷條碼區!F:F,0),1),"")</f>
        <v/>
      </c>
      <c r="AA1182" s="71" t="str">
        <f>IFERROR(INDEX(刷條碼區!D:G,MATCH(點上線資訊!S1182,刷條碼區!F:F,0),2),"")</f>
        <v/>
      </c>
      <c r="AB1182" s="20">
        <f t="shared" si="112"/>
        <v>0</v>
      </c>
      <c r="AC1182" s="20" t="b">
        <f t="shared" si="113"/>
        <v>0</v>
      </c>
      <c r="AD1182" s="17" t="b">
        <f t="shared" si="114"/>
        <v>0</v>
      </c>
      <c r="AE1182" s="17" t="b">
        <f t="shared" si="115"/>
        <v>0</v>
      </c>
    </row>
    <row r="1183" spans="17:31" x14ac:dyDescent="0.2">
      <c r="Q1183" s="17">
        <f>IFERROR(VLOOKUP(A1183,已除帳印單!B:C,1,0),0)*1</f>
        <v>0</v>
      </c>
      <c r="R1183" s="67" t="str">
        <f>IFERROR(VLOOKUP(J1183,線別!A:B,2,1),"")</f>
        <v/>
      </c>
      <c r="S1183" s="17" t="str">
        <f>IFERROR(VLOOKUP(A1183,已除帳印單!B:C,2,0),"")</f>
        <v/>
      </c>
      <c r="T1183" s="68" t="e">
        <f t="shared" si="110"/>
        <v>#VALUE!</v>
      </c>
      <c r="U1183" s="69">
        <f t="shared" si="111"/>
        <v>0</v>
      </c>
      <c r="V1183" s="68" t="str">
        <f>IFERROR(VLOOKUP(A1183,已除帳印單!B:D,3,0),"")</f>
        <v/>
      </c>
      <c r="W1183" s="69" t="str">
        <f>IFERROR(VLOOKUP(A1183,已除帳印單!B:E,4,0),"")</f>
        <v/>
      </c>
      <c r="X1183" s="68" t="str">
        <f>IFERROR(INDEX(刷條碼區!A:C,MATCH(點上線資訊!S1183,刷條碼區!C:C,0),1),"")</f>
        <v/>
      </c>
      <c r="Y1183" s="69" t="str">
        <f>IFERROR(INDEX(刷條碼區!A:C,MATCH(點上線資訊!S1183,刷條碼區!C:C,0),2),"")</f>
        <v/>
      </c>
      <c r="Z1183" s="70" t="str">
        <f>IFERROR(INDEX(刷條碼區!D:G,MATCH(點上線資訊!S1183,刷條碼區!F:F,0),1),"")</f>
        <v/>
      </c>
      <c r="AA1183" s="71" t="str">
        <f>IFERROR(INDEX(刷條碼區!D:G,MATCH(點上線資訊!S1183,刷條碼區!F:F,0),2),"")</f>
        <v/>
      </c>
      <c r="AB1183" s="20">
        <f t="shared" si="112"/>
        <v>0</v>
      </c>
      <c r="AC1183" s="20" t="b">
        <f t="shared" si="113"/>
        <v>0</v>
      </c>
      <c r="AD1183" s="17" t="b">
        <f t="shared" si="114"/>
        <v>0</v>
      </c>
      <c r="AE1183" s="17" t="b">
        <f t="shared" si="115"/>
        <v>0</v>
      </c>
    </row>
    <row r="1184" spans="17:31" x14ac:dyDescent="0.2">
      <c r="Q1184" s="17">
        <f>IFERROR(VLOOKUP(A1184,已除帳印單!B:C,1,0),0)*1</f>
        <v>0</v>
      </c>
      <c r="R1184" s="67" t="str">
        <f>IFERROR(VLOOKUP(J1184,線別!A:B,2,1),"")</f>
        <v/>
      </c>
      <c r="S1184" s="17" t="str">
        <f>IFERROR(VLOOKUP(A1184,已除帳印單!B:C,2,0),"")</f>
        <v/>
      </c>
      <c r="T1184" s="68" t="e">
        <f t="shared" si="110"/>
        <v>#VALUE!</v>
      </c>
      <c r="U1184" s="69">
        <f t="shared" si="111"/>
        <v>0</v>
      </c>
      <c r="V1184" s="68" t="str">
        <f>IFERROR(VLOOKUP(A1184,已除帳印單!B:D,3,0),"")</f>
        <v/>
      </c>
      <c r="W1184" s="69" t="str">
        <f>IFERROR(VLOOKUP(A1184,已除帳印單!B:E,4,0),"")</f>
        <v/>
      </c>
      <c r="X1184" s="68" t="str">
        <f>IFERROR(INDEX(刷條碼區!A:C,MATCH(點上線資訊!S1184,刷條碼區!C:C,0),1),"")</f>
        <v/>
      </c>
      <c r="Y1184" s="69" t="str">
        <f>IFERROR(INDEX(刷條碼區!A:C,MATCH(點上線資訊!S1184,刷條碼區!C:C,0),2),"")</f>
        <v/>
      </c>
      <c r="Z1184" s="70" t="str">
        <f>IFERROR(INDEX(刷條碼區!D:G,MATCH(點上線資訊!S1184,刷條碼區!F:F,0),1),"")</f>
        <v/>
      </c>
      <c r="AA1184" s="71" t="str">
        <f>IFERROR(INDEX(刷條碼區!D:G,MATCH(點上線資訊!S1184,刷條碼區!F:F,0),2),"")</f>
        <v/>
      </c>
      <c r="AB1184" s="20">
        <f t="shared" si="112"/>
        <v>0</v>
      </c>
      <c r="AC1184" s="20" t="b">
        <f t="shared" si="113"/>
        <v>0</v>
      </c>
      <c r="AD1184" s="17" t="b">
        <f t="shared" si="114"/>
        <v>0</v>
      </c>
      <c r="AE1184" s="17" t="b">
        <f t="shared" si="115"/>
        <v>0</v>
      </c>
    </row>
    <row r="1185" spans="17:31" x14ac:dyDescent="0.2">
      <c r="Q1185" s="17">
        <f>IFERROR(VLOOKUP(A1185,已除帳印單!B:C,1,0),0)*1</f>
        <v>0</v>
      </c>
      <c r="R1185" s="67" t="str">
        <f>IFERROR(VLOOKUP(J1185,線別!A:B,2,1),"")</f>
        <v/>
      </c>
      <c r="S1185" s="17" t="str">
        <f>IFERROR(VLOOKUP(A1185,已除帳印單!B:C,2,0),"")</f>
        <v/>
      </c>
      <c r="T1185" s="68" t="e">
        <f t="shared" si="110"/>
        <v>#VALUE!</v>
      </c>
      <c r="U1185" s="69">
        <f t="shared" si="111"/>
        <v>0</v>
      </c>
      <c r="V1185" s="68" t="str">
        <f>IFERROR(VLOOKUP(A1185,已除帳印單!B:D,3,0),"")</f>
        <v/>
      </c>
      <c r="W1185" s="69" t="str">
        <f>IFERROR(VLOOKUP(A1185,已除帳印單!B:E,4,0),"")</f>
        <v/>
      </c>
      <c r="X1185" s="68" t="str">
        <f>IFERROR(INDEX(刷條碼區!A:C,MATCH(點上線資訊!S1185,刷條碼區!C:C,0),1),"")</f>
        <v/>
      </c>
      <c r="Y1185" s="69" t="str">
        <f>IFERROR(INDEX(刷條碼區!A:C,MATCH(點上線資訊!S1185,刷條碼區!C:C,0),2),"")</f>
        <v/>
      </c>
      <c r="Z1185" s="70" t="str">
        <f>IFERROR(INDEX(刷條碼區!D:G,MATCH(點上線資訊!S1185,刷條碼區!F:F,0),1),"")</f>
        <v/>
      </c>
      <c r="AA1185" s="71" t="str">
        <f>IFERROR(INDEX(刷條碼區!D:G,MATCH(點上線資訊!S1185,刷條碼區!F:F,0),2),"")</f>
        <v/>
      </c>
      <c r="AB1185" s="20">
        <f t="shared" si="112"/>
        <v>0</v>
      </c>
      <c r="AC1185" s="20" t="b">
        <f t="shared" si="113"/>
        <v>0</v>
      </c>
      <c r="AD1185" s="17" t="b">
        <f t="shared" si="114"/>
        <v>0</v>
      </c>
      <c r="AE1185" s="17" t="b">
        <f t="shared" si="115"/>
        <v>0</v>
      </c>
    </row>
    <row r="1186" spans="17:31" x14ac:dyDescent="0.2">
      <c r="Q1186" s="17">
        <f>IFERROR(VLOOKUP(A1186,已除帳印單!B:C,1,0),0)*1</f>
        <v>0</v>
      </c>
      <c r="R1186" s="67" t="str">
        <f>IFERROR(VLOOKUP(J1186,線別!A:B,2,1),"")</f>
        <v/>
      </c>
      <c r="S1186" s="17" t="str">
        <f>IFERROR(VLOOKUP(A1186,已除帳印單!B:C,2,0),"")</f>
        <v/>
      </c>
      <c r="T1186" s="68" t="e">
        <f t="shared" si="110"/>
        <v>#VALUE!</v>
      </c>
      <c r="U1186" s="69">
        <f t="shared" si="111"/>
        <v>0</v>
      </c>
      <c r="V1186" s="68" t="str">
        <f>IFERROR(VLOOKUP(A1186,已除帳印單!B:D,3,0),"")</f>
        <v/>
      </c>
      <c r="W1186" s="69" t="str">
        <f>IFERROR(VLOOKUP(A1186,已除帳印單!B:E,4,0),"")</f>
        <v/>
      </c>
      <c r="X1186" s="68" t="str">
        <f>IFERROR(INDEX(刷條碼區!A:C,MATCH(點上線資訊!S1186,刷條碼區!C:C,0),1),"")</f>
        <v/>
      </c>
      <c r="Y1186" s="69" t="str">
        <f>IFERROR(INDEX(刷條碼區!A:C,MATCH(點上線資訊!S1186,刷條碼區!C:C,0),2),"")</f>
        <v/>
      </c>
      <c r="Z1186" s="70" t="str">
        <f>IFERROR(INDEX(刷條碼區!D:G,MATCH(點上線資訊!S1186,刷條碼區!F:F,0),1),"")</f>
        <v/>
      </c>
      <c r="AA1186" s="71" t="str">
        <f>IFERROR(INDEX(刷條碼區!D:G,MATCH(點上線資訊!S1186,刷條碼區!F:F,0),2),"")</f>
        <v/>
      </c>
      <c r="AB1186" s="20">
        <f t="shared" si="112"/>
        <v>0</v>
      </c>
      <c r="AC1186" s="20" t="b">
        <f t="shared" si="113"/>
        <v>0</v>
      </c>
      <c r="AD1186" s="17" t="b">
        <f t="shared" si="114"/>
        <v>0</v>
      </c>
      <c r="AE1186" s="17" t="b">
        <f t="shared" si="115"/>
        <v>0</v>
      </c>
    </row>
    <row r="1187" spans="17:31" x14ac:dyDescent="0.2">
      <c r="Q1187" s="17">
        <f>IFERROR(VLOOKUP(A1187,已除帳印單!B:C,1,0),0)*1</f>
        <v>0</v>
      </c>
      <c r="R1187" s="67" t="str">
        <f>IFERROR(VLOOKUP(J1187,線別!A:B,2,1),"")</f>
        <v/>
      </c>
      <c r="S1187" s="17" t="str">
        <f>IFERROR(VLOOKUP(A1187,已除帳印單!B:C,2,0),"")</f>
        <v/>
      </c>
      <c r="T1187" s="68" t="e">
        <f t="shared" si="110"/>
        <v>#VALUE!</v>
      </c>
      <c r="U1187" s="69">
        <f t="shared" si="111"/>
        <v>0</v>
      </c>
      <c r="V1187" s="68" t="str">
        <f>IFERROR(VLOOKUP(A1187,已除帳印單!B:D,3,0),"")</f>
        <v/>
      </c>
      <c r="W1187" s="69" t="str">
        <f>IFERROR(VLOOKUP(A1187,已除帳印單!B:E,4,0),"")</f>
        <v/>
      </c>
      <c r="X1187" s="68" t="str">
        <f>IFERROR(INDEX(刷條碼區!A:C,MATCH(點上線資訊!S1187,刷條碼區!C:C,0),1),"")</f>
        <v/>
      </c>
      <c r="Y1187" s="69" t="str">
        <f>IFERROR(INDEX(刷條碼區!A:C,MATCH(點上線資訊!S1187,刷條碼區!C:C,0),2),"")</f>
        <v/>
      </c>
      <c r="Z1187" s="70" t="str">
        <f>IFERROR(INDEX(刷條碼區!D:G,MATCH(點上線資訊!S1187,刷條碼區!F:F,0),1),"")</f>
        <v/>
      </c>
      <c r="AA1187" s="71" t="str">
        <f>IFERROR(INDEX(刷條碼區!D:G,MATCH(點上線資訊!S1187,刷條碼區!F:F,0),2),"")</f>
        <v/>
      </c>
      <c r="AB1187" s="20">
        <f t="shared" si="112"/>
        <v>0</v>
      </c>
      <c r="AC1187" s="20" t="b">
        <f t="shared" si="113"/>
        <v>0</v>
      </c>
      <c r="AD1187" s="17" t="b">
        <f t="shared" si="114"/>
        <v>0</v>
      </c>
      <c r="AE1187" s="17" t="b">
        <f t="shared" si="115"/>
        <v>0</v>
      </c>
    </row>
    <row r="1188" spans="17:31" x14ac:dyDescent="0.2">
      <c r="Q1188" s="17">
        <f>IFERROR(VLOOKUP(A1188,已除帳印單!B:C,1,0),0)*1</f>
        <v>0</v>
      </c>
      <c r="R1188" s="67" t="str">
        <f>IFERROR(VLOOKUP(J1188,線別!A:B,2,1),"")</f>
        <v/>
      </c>
      <c r="S1188" s="17" t="str">
        <f>IFERROR(VLOOKUP(A1188,已除帳印單!B:C,2,0),"")</f>
        <v/>
      </c>
      <c r="T1188" s="68" t="e">
        <f t="shared" si="110"/>
        <v>#VALUE!</v>
      </c>
      <c r="U1188" s="69">
        <f t="shared" si="111"/>
        <v>0</v>
      </c>
      <c r="V1188" s="68" t="str">
        <f>IFERROR(VLOOKUP(A1188,已除帳印單!B:D,3,0),"")</f>
        <v/>
      </c>
      <c r="W1188" s="69" t="str">
        <f>IFERROR(VLOOKUP(A1188,已除帳印單!B:E,4,0),"")</f>
        <v/>
      </c>
      <c r="X1188" s="68" t="str">
        <f>IFERROR(INDEX(刷條碼區!A:C,MATCH(點上線資訊!S1188,刷條碼區!C:C,0),1),"")</f>
        <v/>
      </c>
      <c r="Y1188" s="69" t="str">
        <f>IFERROR(INDEX(刷條碼區!A:C,MATCH(點上線資訊!S1188,刷條碼區!C:C,0),2),"")</f>
        <v/>
      </c>
      <c r="Z1188" s="70" t="str">
        <f>IFERROR(INDEX(刷條碼區!D:G,MATCH(點上線資訊!S1188,刷條碼區!F:F,0),1),"")</f>
        <v/>
      </c>
      <c r="AA1188" s="71" t="str">
        <f>IFERROR(INDEX(刷條碼區!D:G,MATCH(點上線資訊!S1188,刷條碼區!F:F,0),2),"")</f>
        <v/>
      </c>
      <c r="AB1188" s="20">
        <f t="shared" si="112"/>
        <v>0</v>
      </c>
      <c r="AC1188" s="20" t="b">
        <f t="shared" si="113"/>
        <v>0</v>
      </c>
      <c r="AD1188" s="17" t="b">
        <f t="shared" si="114"/>
        <v>0</v>
      </c>
      <c r="AE1188" s="17" t="b">
        <f t="shared" si="115"/>
        <v>0</v>
      </c>
    </row>
    <row r="1189" spans="17:31" x14ac:dyDescent="0.2">
      <c r="Q1189" s="17">
        <f>IFERROR(VLOOKUP(A1189,已除帳印單!B:C,1,0),0)*1</f>
        <v>0</v>
      </c>
      <c r="R1189" s="67" t="str">
        <f>IFERROR(VLOOKUP(J1189,線別!A:B,2,1),"")</f>
        <v/>
      </c>
      <c r="S1189" s="17" t="str">
        <f>IFERROR(VLOOKUP(A1189,已除帳印單!B:C,2,0),"")</f>
        <v/>
      </c>
      <c r="T1189" s="68" t="e">
        <f t="shared" si="110"/>
        <v>#VALUE!</v>
      </c>
      <c r="U1189" s="69">
        <f t="shared" si="111"/>
        <v>0</v>
      </c>
      <c r="V1189" s="68" t="str">
        <f>IFERROR(VLOOKUP(A1189,已除帳印單!B:D,3,0),"")</f>
        <v/>
      </c>
      <c r="W1189" s="69" t="str">
        <f>IFERROR(VLOOKUP(A1189,已除帳印單!B:E,4,0),"")</f>
        <v/>
      </c>
      <c r="X1189" s="68" t="str">
        <f>IFERROR(INDEX(刷條碼區!A:C,MATCH(點上線資訊!S1189,刷條碼區!C:C,0),1),"")</f>
        <v/>
      </c>
      <c r="Y1189" s="69" t="str">
        <f>IFERROR(INDEX(刷條碼區!A:C,MATCH(點上線資訊!S1189,刷條碼區!C:C,0),2),"")</f>
        <v/>
      </c>
      <c r="Z1189" s="70" t="str">
        <f>IFERROR(INDEX(刷條碼區!D:G,MATCH(點上線資訊!S1189,刷條碼區!F:F,0),1),"")</f>
        <v/>
      </c>
      <c r="AA1189" s="71" t="str">
        <f>IFERROR(INDEX(刷條碼區!D:G,MATCH(點上線資訊!S1189,刷條碼區!F:F,0),2),"")</f>
        <v/>
      </c>
      <c r="AB1189" s="20">
        <f t="shared" si="112"/>
        <v>0</v>
      </c>
      <c r="AC1189" s="20" t="b">
        <f t="shared" si="113"/>
        <v>0</v>
      </c>
      <c r="AD1189" s="17" t="b">
        <f t="shared" si="114"/>
        <v>0</v>
      </c>
      <c r="AE1189" s="17" t="b">
        <f t="shared" si="115"/>
        <v>0</v>
      </c>
    </row>
    <row r="1190" spans="17:31" x14ac:dyDescent="0.2">
      <c r="Q1190" s="17">
        <f>IFERROR(VLOOKUP(A1190,已除帳印單!B:C,1,0),0)*1</f>
        <v>0</v>
      </c>
      <c r="R1190" s="67" t="str">
        <f>IFERROR(VLOOKUP(J1190,線別!A:B,2,1),"")</f>
        <v/>
      </c>
      <c r="S1190" s="17" t="str">
        <f>IFERROR(VLOOKUP(A1190,已除帳印單!B:C,2,0),"")</f>
        <v/>
      </c>
      <c r="T1190" s="68" t="e">
        <f t="shared" si="110"/>
        <v>#VALUE!</v>
      </c>
      <c r="U1190" s="69">
        <f t="shared" si="111"/>
        <v>0</v>
      </c>
      <c r="V1190" s="68" t="str">
        <f>IFERROR(VLOOKUP(A1190,已除帳印單!B:D,3,0),"")</f>
        <v/>
      </c>
      <c r="W1190" s="69" t="str">
        <f>IFERROR(VLOOKUP(A1190,已除帳印單!B:E,4,0),"")</f>
        <v/>
      </c>
      <c r="X1190" s="68" t="str">
        <f>IFERROR(INDEX(刷條碼區!A:C,MATCH(點上線資訊!S1190,刷條碼區!C:C,0),1),"")</f>
        <v/>
      </c>
      <c r="Y1190" s="69" t="str">
        <f>IFERROR(INDEX(刷條碼區!A:C,MATCH(點上線資訊!S1190,刷條碼區!C:C,0),2),"")</f>
        <v/>
      </c>
      <c r="Z1190" s="70" t="str">
        <f>IFERROR(INDEX(刷條碼區!D:G,MATCH(點上線資訊!S1190,刷條碼區!F:F,0),1),"")</f>
        <v/>
      </c>
      <c r="AA1190" s="71" t="str">
        <f>IFERROR(INDEX(刷條碼區!D:G,MATCH(點上線資訊!S1190,刷條碼區!F:F,0),2),"")</f>
        <v/>
      </c>
      <c r="AB1190" s="20">
        <f t="shared" si="112"/>
        <v>0</v>
      </c>
      <c r="AC1190" s="20" t="b">
        <f t="shared" si="113"/>
        <v>0</v>
      </c>
      <c r="AD1190" s="17" t="b">
        <f t="shared" si="114"/>
        <v>0</v>
      </c>
      <c r="AE1190" s="17" t="b">
        <f t="shared" si="115"/>
        <v>0</v>
      </c>
    </row>
    <row r="1191" spans="17:31" x14ac:dyDescent="0.2">
      <c r="Q1191" s="17">
        <f>IFERROR(VLOOKUP(A1191,已除帳印單!B:C,1,0),0)*1</f>
        <v>0</v>
      </c>
      <c r="R1191" s="67" t="str">
        <f>IFERROR(VLOOKUP(J1191,線別!A:B,2,1),"")</f>
        <v/>
      </c>
      <c r="S1191" s="17" t="str">
        <f>IFERROR(VLOOKUP(A1191,已除帳印單!B:C,2,0),"")</f>
        <v/>
      </c>
      <c r="T1191" s="68" t="e">
        <f t="shared" si="110"/>
        <v>#VALUE!</v>
      </c>
      <c r="U1191" s="69">
        <f t="shared" si="111"/>
        <v>0</v>
      </c>
      <c r="V1191" s="68" t="str">
        <f>IFERROR(VLOOKUP(A1191,已除帳印單!B:D,3,0),"")</f>
        <v/>
      </c>
      <c r="W1191" s="69" t="str">
        <f>IFERROR(VLOOKUP(A1191,已除帳印單!B:E,4,0),"")</f>
        <v/>
      </c>
      <c r="X1191" s="68" t="str">
        <f>IFERROR(INDEX(刷條碼區!A:C,MATCH(點上線資訊!S1191,刷條碼區!C:C,0),1),"")</f>
        <v/>
      </c>
      <c r="Y1191" s="69" t="str">
        <f>IFERROR(INDEX(刷條碼區!A:C,MATCH(點上線資訊!S1191,刷條碼區!C:C,0),2),"")</f>
        <v/>
      </c>
      <c r="Z1191" s="70" t="str">
        <f>IFERROR(INDEX(刷條碼區!D:G,MATCH(點上線資訊!S1191,刷條碼區!F:F,0),1),"")</f>
        <v/>
      </c>
      <c r="AA1191" s="71" t="str">
        <f>IFERROR(INDEX(刷條碼區!D:G,MATCH(點上線資訊!S1191,刷條碼區!F:F,0),2),"")</f>
        <v/>
      </c>
      <c r="AB1191" s="20">
        <f t="shared" si="112"/>
        <v>0</v>
      </c>
      <c r="AC1191" s="20" t="b">
        <f t="shared" si="113"/>
        <v>0</v>
      </c>
      <c r="AD1191" s="17" t="b">
        <f t="shared" si="114"/>
        <v>0</v>
      </c>
      <c r="AE1191" s="17" t="b">
        <f t="shared" si="115"/>
        <v>0</v>
      </c>
    </row>
    <row r="1192" spans="17:31" x14ac:dyDescent="0.2">
      <c r="Q1192" s="17">
        <f>IFERROR(VLOOKUP(A1192,已除帳印單!B:C,1,0),0)*1</f>
        <v>0</v>
      </c>
      <c r="R1192" s="67" t="str">
        <f>IFERROR(VLOOKUP(J1192,線別!A:B,2,1),"")</f>
        <v/>
      </c>
      <c r="S1192" s="17" t="str">
        <f>IFERROR(VLOOKUP(A1192,已除帳印單!B:C,2,0),"")</f>
        <v/>
      </c>
      <c r="T1192" s="68" t="e">
        <f t="shared" si="110"/>
        <v>#VALUE!</v>
      </c>
      <c r="U1192" s="69">
        <f t="shared" si="111"/>
        <v>0</v>
      </c>
      <c r="V1192" s="68" t="str">
        <f>IFERROR(VLOOKUP(A1192,已除帳印單!B:D,3,0),"")</f>
        <v/>
      </c>
      <c r="W1192" s="69" t="str">
        <f>IFERROR(VLOOKUP(A1192,已除帳印單!B:E,4,0),"")</f>
        <v/>
      </c>
      <c r="X1192" s="68" t="str">
        <f>IFERROR(INDEX(刷條碼區!A:C,MATCH(點上線資訊!S1192,刷條碼區!C:C,0),1),"")</f>
        <v/>
      </c>
      <c r="Y1192" s="69" t="str">
        <f>IFERROR(INDEX(刷條碼區!A:C,MATCH(點上線資訊!S1192,刷條碼區!C:C,0),2),"")</f>
        <v/>
      </c>
      <c r="Z1192" s="70" t="str">
        <f>IFERROR(INDEX(刷條碼區!D:G,MATCH(點上線資訊!S1192,刷條碼區!F:F,0),1),"")</f>
        <v/>
      </c>
      <c r="AA1192" s="71" t="str">
        <f>IFERROR(INDEX(刷條碼區!D:G,MATCH(點上線資訊!S1192,刷條碼區!F:F,0),2),"")</f>
        <v/>
      </c>
      <c r="AB1192" s="20">
        <f t="shared" si="112"/>
        <v>0</v>
      </c>
      <c r="AC1192" s="20" t="b">
        <f t="shared" si="113"/>
        <v>0</v>
      </c>
      <c r="AD1192" s="17" t="b">
        <f t="shared" si="114"/>
        <v>0</v>
      </c>
      <c r="AE1192" s="17" t="b">
        <f t="shared" si="115"/>
        <v>0</v>
      </c>
    </row>
    <row r="1193" spans="17:31" x14ac:dyDescent="0.2">
      <c r="Q1193" s="17">
        <f>IFERROR(VLOOKUP(A1193,已除帳印單!B:C,1,0),0)*1</f>
        <v>0</v>
      </c>
      <c r="R1193" s="67" t="str">
        <f>IFERROR(VLOOKUP(J1193,線別!A:B,2,1),"")</f>
        <v/>
      </c>
      <c r="S1193" s="17" t="str">
        <f>IFERROR(VLOOKUP(A1193,已除帳印單!B:C,2,0),"")</f>
        <v/>
      </c>
      <c r="T1193" s="68" t="e">
        <f t="shared" si="110"/>
        <v>#VALUE!</v>
      </c>
      <c r="U1193" s="69">
        <f t="shared" si="111"/>
        <v>0</v>
      </c>
      <c r="V1193" s="68" t="str">
        <f>IFERROR(VLOOKUP(A1193,已除帳印單!B:D,3,0),"")</f>
        <v/>
      </c>
      <c r="W1193" s="69" t="str">
        <f>IFERROR(VLOOKUP(A1193,已除帳印單!B:E,4,0),"")</f>
        <v/>
      </c>
      <c r="X1193" s="68" t="str">
        <f>IFERROR(INDEX(刷條碼區!A:C,MATCH(點上線資訊!S1193,刷條碼區!C:C,0),1),"")</f>
        <v/>
      </c>
      <c r="Y1193" s="69" t="str">
        <f>IFERROR(INDEX(刷條碼區!A:C,MATCH(點上線資訊!S1193,刷條碼區!C:C,0),2),"")</f>
        <v/>
      </c>
      <c r="Z1193" s="70" t="str">
        <f>IFERROR(INDEX(刷條碼區!D:G,MATCH(點上線資訊!S1193,刷條碼區!F:F,0),1),"")</f>
        <v/>
      </c>
      <c r="AA1193" s="71" t="str">
        <f>IFERROR(INDEX(刷條碼區!D:G,MATCH(點上線資訊!S1193,刷條碼區!F:F,0),2),"")</f>
        <v/>
      </c>
      <c r="AB1193" s="20">
        <f t="shared" si="112"/>
        <v>0</v>
      </c>
      <c r="AC1193" s="20" t="b">
        <f t="shared" si="113"/>
        <v>0</v>
      </c>
      <c r="AD1193" s="17" t="b">
        <f t="shared" si="114"/>
        <v>0</v>
      </c>
      <c r="AE1193" s="17" t="b">
        <f t="shared" si="115"/>
        <v>0</v>
      </c>
    </row>
    <row r="1194" spans="17:31" x14ac:dyDescent="0.2">
      <c r="Q1194" s="17">
        <f>IFERROR(VLOOKUP(A1194,已除帳印單!B:C,1,0),0)*1</f>
        <v>0</v>
      </c>
      <c r="R1194" s="67" t="str">
        <f>IFERROR(VLOOKUP(J1194,線別!A:B,2,1),"")</f>
        <v/>
      </c>
      <c r="S1194" s="17" t="str">
        <f>IFERROR(VLOOKUP(A1194,已除帳印單!B:C,2,0),"")</f>
        <v/>
      </c>
      <c r="T1194" s="68" t="e">
        <f t="shared" si="110"/>
        <v>#VALUE!</v>
      </c>
      <c r="U1194" s="69">
        <f t="shared" si="111"/>
        <v>0</v>
      </c>
      <c r="V1194" s="68" t="str">
        <f>IFERROR(VLOOKUP(A1194,已除帳印單!B:D,3,0),"")</f>
        <v/>
      </c>
      <c r="W1194" s="69" t="str">
        <f>IFERROR(VLOOKUP(A1194,已除帳印單!B:E,4,0),"")</f>
        <v/>
      </c>
      <c r="X1194" s="68" t="str">
        <f>IFERROR(INDEX(刷條碼區!A:C,MATCH(點上線資訊!S1194,刷條碼區!C:C,0),1),"")</f>
        <v/>
      </c>
      <c r="Y1194" s="69" t="str">
        <f>IFERROR(INDEX(刷條碼區!A:C,MATCH(點上線資訊!S1194,刷條碼區!C:C,0),2),"")</f>
        <v/>
      </c>
      <c r="Z1194" s="70" t="str">
        <f>IFERROR(INDEX(刷條碼區!D:G,MATCH(點上線資訊!S1194,刷條碼區!F:F,0),1),"")</f>
        <v/>
      </c>
      <c r="AA1194" s="71" t="str">
        <f>IFERROR(INDEX(刷條碼區!D:G,MATCH(點上線資訊!S1194,刷條碼區!F:F,0),2),"")</f>
        <v/>
      </c>
      <c r="AB1194" s="20">
        <f t="shared" si="112"/>
        <v>0</v>
      </c>
      <c r="AC1194" s="20" t="b">
        <f t="shared" si="113"/>
        <v>0</v>
      </c>
      <c r="AD1194" s="17" t="b">
        <f t="shared" si="114"/>
        <v>0</v>
      </c>
      <c r="AE1194" s="17" t="b">
        <f t="shared" si="115"/>
        <v>0</v>
      </c>
    </row>
    <row r="1195" spans="17:31" x14ac:dyDescent="0.2">
      <c r="Q1195" s="17">
        <f>IFERROR(VLOOKUP(A1195,已除帳印單!B:C,1,0),0)*1</f>
        <v>0</v>
      </c>
      <c r="R1195" s="67" t="str">
        <f>IFERROR(VLOOKUP(J1195,線別!A:B,2,1),"")</f>
        <v/>
      </c>
      <c r="S1195" s="17" t="str">
        <f>IFERROR(VLOOKUP(A1195,已除帳印單!B:C,2,0),"")</f>
        <v/>
      </c>
      <c r="T1195" s="68" t="e">
        <f t="shared" si="110"/>
        <v>#VALUE!</v>
      </c>
      <c r="U1195" s="69">
        <f t="shared" si="111"/>
        <v>0</v>
      </c>
      <c r="V1195" s="68" t="str">
        <f>IFERROR(VLOOKUP(A1195,已除帳印單!B:D,3,0),"")</f>
        <v/>
      </c>
      <c r="W1195" s="69" t="str">
        <f>IFERROR(VLOOKUP(A1195,已除帳印單!B:E,4,0),"")</f>
        <v/>
      </c>
      <c r="X1195" s="68" t="str">
        <f>IFERROR(INDEX(刷條碼區!A:C,MATCH(點上線資訊!S1195,刷條碼區!C:C,0),1),"")</f>
        <v/>
      </c>
      <c r="Y1195" s="69" t="str">
        <f>IFERROR(INDEX(刷條碼區!A:C,MATCH(點上線資訊!S1195,刷條碼區!C:C,0),2),"")</f>
        <v/>
      </c>
      <c r="Z1195" s="70" t="str">
        <f>IFERROR(INDEX(刷條碼區!D:G,MATCH(點上線資訊!S1195,刷條碼區!F:F,0),1),"")</f>
        <v/>
      </c>
      <c r="AA1195" s="71" t="str">
        <f>IFERROR(INDEX(刷條碼區!D:G,MATCH(點上線資訊!S1195,刷條碼區!F:F,0),2),"")</f>
        <v/>
      </c>
      <c r="AB1195" s="20">
        <f t="shared" si="112"/>
        <v>0</v>
      </c>
      <c r="AC1195" s="20" t="b">
        <f t="shared" si="113"/>
        <v>0</v>
      </c>
      <c r="AD1195" s="17" t="b">
        <f t="shared" si="114"/>
        <v>0</v>
      </c>
      <c r="AE1195" s="17" t="b">
        <f t="shared" si="115"/>
        <v>0</v>
      </c>
    </row>
    <row r="1196" spans="17:31" x14ac:dyDescent="0.2">
      <c r="Q1196" s="17">
        <f>IFERROR(VLOOKUP(A1196,已除帳印單!B:C,1,0),0)*1</f>
        <v>0</v>
      </c>
      <c r="R1196" s="67" t="str">
        <f>IFERROR(VLOOKUP(J1196,線別!A:B,2,1),"")</f>
        <v/>
      </c>
      <c r="S1196" s="17" t="str">
        <f>IFERROR(VLOOKUP(A1196,已除帳印單!B:C,2,0),"")</f>
        <v/>
      </c>
      <c r="T1196" s="68" t="e">
        <f t="shared" si="110"/>
        <v>#VALUE!</v>
      </c>
      <c r="U1196" s="69">
        <f t="shared" si="111"/>
        <v>0</v>
      </c>
      <c r="V1196" s="68" t="str">
        <f>IFERROR(VLOOKUP(A1196,已除帳印單!B:D,3,0),"")</f>
        <v/>
      </c>
      <c r="W1196" s="69" t="str">
        <f>IFERROR(VLOOKUP(A1196,已除帳印單!B:E,4,0),"")</f>
        <v/>
      </c>
      <c r="X1196" s="68" t="str">
        <f>IFERROR(INDEX(刷條碼區!A:C,MATCH(點上線資訊!S1196,刷條碼區!C:C,0),1),"")</f>
        <v/>
      </c>
      <c r="Y1196" s="69" t="str">
        <f>IFERROR(INDEX(刷條碼區!A:C,MATCH(點上線資訊!S1196,刷條碼區!C:C,0),2),"")</f>
        <v/>
      </c>
      <c r="Z1196" s="70" t="str">
        <f>IFERROR(INDEX(刷條碼區!D:G,MATCH(點上線資訊!S1196,刷條碼區!F:F,0),1),"")</f>
        <v/>
      </c>
      <c r="AA1196" s="71" t="str">
        <f>IFERROR(INDEX(刷條碼區!D:G,MATCH(點上線資訊!S1196,刷條碼區!F:F,0),2),"")</f>
        <v/>
      </c>
      <c r="AB1196" s="20">
        <f t="shared" si="112"/>
        <v>0</v>
      </c>
      <c r="AC1196" s="20" t="b">
        <f t="shared" si="113"/>
        <v>0</v>
      </c>
      <c r="AD1196" s="17" t="b">
        <f t="shared" si="114"/>
        <v>0</v>
      </c>
      <c r="AE1196" s="17" t="b">
        <f t="shared" si="115"/>
        <v>0</v>
      </c>
    </row>
    <row r="1197" spans="17:31" x14ac:dyDescent="0.2">
      <c r="Q1197" s="17">
        <f>IFERROR(VLOOKUP(A1197,已除帳印單!B:C,1,0),0)*1</f>
        <v>0</v>
      </c>
      <c r="R1197" s="67" t="str">
        <f>IFERROR(VLOOKUP(J1197,線別!A:B,2,1),"")</f>
        <v/>
      </c>
      <c r="S1197" s="17" t="str">
        <f>IFERROR(VLOOKUP(A1197,已除帳印單!B:C,2,0),"")</f>
        <v/>
      </c>
      <c r="T1197" s="68" t="e">
        <f t="shared" si="110"/>
        <v>#VALUE!</v>
      </c>
      <c r="U1197" s="69">
        <f t="shared" si="111"/>
        <v>0</v>
      </c>
      <c r="V1197" s="68" t="str">
        <f>IFERROR(VLOOKUP(A1197,已除帳印單!B:D,3,0),"")</f>
        <v/>
      </c>
      <c r="W1197" s="69" t="str">
        <f>IFERROR(VLOOKUP(A1197,已除帳印單!B:E,4,0),"")</f>
        <v/>
      </c>
      <c r="X1197" s="68" t="str">
        <f>IFERROR(INDEX(刷條碼區!A:C,MATCH(點上線資訊!S1197,刷條碼區!C:C,0),1),"")</f>
        <v/>
      </c>
      <c r="Y1197" s="69" t="str">
        <f>IFERROR(INDEX(刷條碼區!A:C,MATCH(點上線資訊!S1197,刷條碼區!C:C,0),2),"")</f>
        <v/>
      </c>
      <c r="Z1197" s="70" t="str">
        <f>IFERROR(INDEX(刷條碼區!D:G,MATCH(點上線資訊!S1197,刷條碼區!F:F,0),1),"")</f>
        <v/>
      </c>
      <c r="AA1197" s="71" t="str">
        <f>IFERROR(INDEX(刷條碼區!D:G,MATCH(點上線資訊!S1197,刷條碼區!F:F,0),2),"")</f>
        <v/>
      </c>
      <c r="AB1197" s="20">
        <f t="shared" si="112"/>
        <v>0</v>
      </c>
      <c r="AC1197" s="20" t="b">
        <f t="shared" si="113"/>
        <v>0</v>
      </c>
      <c r="AD1197" s="17" t="b">
        <f t="shared" si="114"/>
        <v>0</v>
      </c>
      <c r="AE1197" s="17" t="b">
        <f t="shared" si="115"/>
        <v>0</v>
      </c>
    </row>
    <row r="1198" spans="17:31" x14ac:dyDescent="0.2">
      <c r="Q1198" s="17">
        <f>IFERROR(VLOOKUP(A1198,已除帳印單!B:C,1,0),0)*1</f>
        <v>0</v>
      </c>
      <c r="R1198" s="67" t="str">
        <f>IFERROR(VLOOKUP(J1198,線別!A:B,2,1),"")</f>
        <v/>
      </c>
      <c r="S1198" s="17" t="str">
        <f>IFERROR(VLOOKUP(A1198,已除帳印單!B:C,2,0),"")</f>
        <v/>
      </c>
      <c r="T1198" s="68" t="e">
        <f t="shared" si="110"/>
        <v>#VALUE!</v>
      </c>
      <c r="U1198" s="69">
        <f t="shared" si="111"/>
        <v>0</v>
      </c>
      <c r="V1198" s="68" t="str">
        <f>IFERROR(VLOOKUP(A1198,已除帳印單!B:D,3,0),"")</f>
        <v/>
      </c>
      <c r="W1198" s="69" t="str">
        <f>IFERROR(VLOOKUP(A1198,已除帳印單!B:E,4,0),"")</f>
        <v/>
      </c>
      <c r="X1198" s="68" t="str">
        <f>IFERROR(INDEX(刷條碼區!A:C,MATCH(點上線資訊!S1198,刷條碼區!C:C,0),1),"")</f>
        <v/>
      </c>
      <c r="Y1198" s="69" t="str">
        <f>IFERROR(INDEX(刷條碼區!A:C,MATCH(點上線資訊!S1198,刷條碼區!C:C,0),2),"")</f>
        <v/>
      </c>
      <c r="Z1198" s="70" t="str">
        <f>IFERROR(INDEX(刷條碼區!D:G,MATCH(點上線資訊!S1198,刷條碼區!F:F,0),1),"")</f>
        <v/>
      </c>
      <c r="AA1198" s="71" t="str">
        <f>IFERROR(INDEX(刷條碼區!D:G,MATCH(點上線資訊!S1198,刷條碼區!F:F,0),2),"")</f>
        <v/>
      </c>
      <c r="AB1198" s="20">
        <f t="shared" si="112"/>
        <v>0</v>
      </c>
      <c r="AC1198" s="20" t="b">
        <f t="shared" si="113"/>
        <v>0</v>
      </c>
      <c r="AD1198" s="17" t="b">
        <f t="shared" si="114"/>
        <v>0</v>
      </c>
      <c r="AE1198" s="17" t="b">
        <f t="shared" si="115"/>
        <v>0</v>
      </c>
    </row>
    <row r="1199" spans="17:31" x14ac:dyDescent="0.2">
      <c r="Q1199" s="17">
        <f>IFERROR(VLOOKUP(A1199,已除帳印單!B:C,1,0),0)*1</f>
        <v>0</v>
      </c>
      <c r="R1199" s="67" t="str">
        <f>IFERROR(VLOOKUP(J1199,線別!A:B,2,1),"")</f>
        <v/>
      </c>
      <c r="S1199" s="17" t="str">
        <f>IFERROR(VLOOKUP(A1199,已除帳印單!B:C,2,0),"")</f>
        <v/>
      </c>
      <c r="T1199" s="68" t="e">
        <f t="shared" si="110"/>
        <v>#VALUE!</v>
      </c>
      <c r="U1199" s="69">
        <f t="shared" si="111"/>
        <v>0</v>
      </c>
      <c r="V1199" s="68" t="str">
        <f>IFERROR(VLOOKUP(A1199,已除帳印單!B:D,3,0),"")</f>
        <v/>
      </c>
      <c r="W1199" s="69" t="str">
        <f>IFERROR(VLOOKUP(A1199,已除帳印單!B:E,4,0),"")</f>
        <v/>
      </c>
      <c r="X1199" s="68" t="str">
        <f>IFERROR(INDEX(刷條碼區!A:C,MATCH(點上線資訊!S1199,刷條碼區!C:C,0),1),"")</f>
        <v/>
      </c>
      <c r="Y1199" s="69" t="str">
        <f>IFERROR(INDEX(刷條碼區!A:C,MATCH(點上線資訊!S1199,刷條碼區!C:C,0),2),"")</f>
        <v/>
      </c>
      <c r="Z1199" s="70" t="str">
        <f>IFERROR(INDEX(刷條碼區!D:G,MATCH(點上線資訊!S1199,刷條碼區!F:F,0),1),"")</f>
        <v/>
      </c>
      <c r="AA1199" s="71" t="str">
        <f>IFERROR(INDEX(刷條碼區!D:G,MATCH(點上線資訊!S1199,刷條碼區!F:F,0),2),"")</f>
        <v/>
      </c>
      <c r="AB1199" s="20">
        <f t="shared" si="112"/>
        <v>0</v>
      </c>
      <c r="AC1199" s="20" t="b">
        <f t="shared" si="113"/>
        <v>0</v>
      </c>
      <c r="AD1199" s="17" t="b">
        <f t="shared" si="114"/>
        <v>0</v>
      </c>
      <c r="AE1199" s="17" t="b">
        <f t="shared" si="115"/>
        <v>0</v>
      </c>
    </row>
    <row r="1200" spans="17:31" x14ac:dyDescent="0.2">
      <c r="Q1200" s="17">
        <f>IFERROR(VLOOKUP(A1200,已除帳印單!B:C,1,0),0)*1</f>
        <v>0</v>
      </c>
      <c r="R1200" s="67" t="str">
        <f>IFERROR(VLOOKUP(J1200,線別!A:B,2,1),"")</f>
        <v/>
      </c>
      <c r="S1200" s="17" t="str">
        <f>IFERROR(VLOOKUP(A1200,已除帳印單!B:C,2,0),"")</f>
        <v/>
      </c>
      <c r="T1200" s="68" t="e">
        <f t="shared" si="110"/>
        <v>#VALUE!</v>
      </c>
      <c r="U1200" s="69">
        <f t="shared" si="111"/>
        <v>0</v>
      </c>
      <c r="V1200" s="68" t="str">
        <f>IFERROR(VLOOKUP(A1200,已除帳印單!B:D,3,0),"")</f>
        <v/>
      </c>
      <c r="W1200" s="69" t="str">
        <f>IFERROR(VLOOKUP(A1200,已除帳印單!B:E,4,0),"")</f>
        <v/>
      </c>
      <c r="X1200" s="68" t="str">
        <f>IFERROR(INDEX(刷條碼區!A:C,MATCH(點上線資訊!S1200,刷條碼區!C:C,0),1),"")</f>
        <v/>
      </c>
      <c r="Y1200" s="69" t="str">
        <f>IFERROR(INDEX(刷條碼區!A:C,MATCH(點上線資訊!S1200,刷條碼區!C:C,0),2),"")</f>
        <v/>
      </c>
      <c r="Z1200" s="70" t="str">
        <f>IFERROR(INDEX(刷條碼區!D:G,MATCH(點上線資訊!S1200,刷條碼區!F:F,0),1),"")</f>
        <v/>
      </c>
      <c r="AA1200" s="71" t="str">
        <f>IFERROR(INDEX(刷條碼區!D:G,MATCH(點上線資訊!S1200,刷條碼區!F:F,0),2),"")</f>
        <v/>
      </c>
      <c r="AB1200" s="20">
        <f t="shared" si="112"/>
        <v>0</v>
      </c>
      <c r="AC1200" s="20" t="b">
        <f t="shared" si="113"/>
        <v>0</v>
      </c>
      <c r="AD1200" s="17" t="b">
        <f t="shared" si="114"/>
        <v>0</v>
      </c>
      <c r="AE1200" s="17" t="b">
        <f t="shared" si="115"/>
        <v>0</v>
      </c>
    </row>
    <row r="1201" spans="17:31" x14ac:dyDescent="0.2">
      <c r="Q1201" s="17">
        <f>IFERROR(VLOOKUP(A1201,已除帳印單!B:C,1,0),0)*1</f>
        <v>0</v>
      </c>
      <c r="R1201" s="67" t="str">
        <f>IFERROR(VLOOKUP(J1201,線別!A:B,2,1),"")</f>
        <v/>
      </c>
      <c r="S1201" s="17" t="str">
        <f>IFERROR(VLOOKUP(A1201,已除帳印單!B:C,2,0),"")</f>
        <v/>
      </c>
      <c r="T1201" s="68" t="e">
        <f t="shared" si="110"/>
        <v>#VALUE!</v>
      </c>
      <c r="U1201" s="69">
        <f t="shared" si="111"/>
        <v>0</v>
      </c>
      <c r="V1201" s="68" t="str">
        <f>IFERROR(VLOOKUP(A1201,已除帳印單!B:D,3,0),"")</f>
        <v/>
      </c>
      <c r="W1201" s="69" t="str">
        <f>IFERROR(VLOOKUP(A1201,已除帳印單!B:E,4,0),"")</f>
        <v/>
      </c>
      <c r="X1201" s="68" t="str">
        <f>IFERROR(INDEX(刷條碼區!A:C,MATCH(點上線資訊!S1201,刷條碼區!C:C,0),1),"")</f>
        <v/>
      </c>
      <c r="Y1201" s="69" t="str">
        <f>IFERROR(INDEX(刷條碼區!A:C,MATCH(點上線資訊!S1201,刷條碼區!C:C,0),2),"")</f>
        <v/>
      </c>
      <c r="Z1201" s="70" t="str">
        <f>IFERROR(INDEX(刷條碼區!D:G,MATCH(點上線資訊!S1201,刷條碼區!F:F,0),1),"")</f>
        <v/>
      </c>
      <c r="AA1201" s="71" t="str">
        <f>IFERROR(INDEX(刷條碼區!D:G,MATCH(點上線資訊!S1201,刷條碼區!F:F,0),2),"")</f>
        <v/>
      </c>
      <c r="AB1201" s="20">
        <f t="shared" si="112"/>
        <v>0</v>
      </c>
      <c r="AC1201" s="20" t="b">
        <f t="shared" si="113"/>
        <v>0</v>
      </c>
      <c r="AD1201" s="17" t="b">
        <f t="shared" si="114"/>
        <v>0</v>
      </c>
      <c r="AE1201" s="17" t="b">
        <f t="shared" si="115"/>
        <v>0</v>
      </c>
    </row>
    <row r="1202" spans="17:31" x14ac:dyDescent="0.2">
      <c r="Q1202" s="17">
        <f>IFERROR(VLOOKUP(A1202,已除帳印單!B:C,1,0),0)*1</f>
        <v>0</v>
      </c>
      <c r="R1202" s="67" t="str">
        <f>IFERROR(VLOOKUP(J1202,線別!A:B,2,1),"")</f>
        <v/>
      </c>
      <c r="S1202" s="17" t="str">
        <f>IFERROR(VLOOKUP(A1202,已除帳印單!B:C,2,0),"")</f>
        <v/>
      </c>
      <c r="T1202" s="68" t="e">
        <f t="shared" si="110"/>
        <v>#VALUE!</v>
      </c>
      <c r="U1202" s="69">
        <f t="shared" si="111"/>
        <v>0</v>
      </c>
      <c r="V1202" s="68" t="str">
        <f>IFERROR(VLOOKUP(A1202,已除帳印單!B:D,3,0),"")</f>
        <v/>
      </c>
      <c r="W1202" s="69" t="str">
        <f>IFERROR(VLOOKUP(A1202,已除帳印單!B:E,4,0),"")</f>
        <v/>
      </c>
      <c r="X1202" s="68" t="str">
        <f>IFERROR(INDEX(刷條碼區!A:C,MATCH(點上線資訊!S1202,刷條碼區!C:C,0),1),"")</f>
        <v/>
      </c>
      <c r="Y1202" s="69" t="str">
        <f>IFERROR(INDEX(刷條碼區!A:C,MATCH(點上線資訊!S1202,刷條碼區!C:C,0),2),"")</f>
        <v/>
      </c>
      <c r="Z1202" s="70" t="str">
        <f>IFERROR(INDEX(刷條碼區!D:G,MATCH(點上線資訊!S1202,刷條碼區!F:F,0),1),"")</f>
        <v/>
      </c>
      <c r="AA1202" s="71" t="str">
        <f>IFERROR(INDEX(刷條碼區!D:G,MATCH(點上線資訊!S1202,刷條碼區!F:F,0),2),"")</f>
        <v/>
      </c>
      <c r="AB1202" s="20">
        <f t="shared" si="112"/>
        <v>0</v>
      </c>
      <c r="AC1202" s="20" t="b">
        <f t="shared" si="113"/>
        <v>0</v>
      </c>
      <c r="AD1202" s="17" t="b">
        <f t="shared" si="114"/>
        <v>0</v>
      </c>
      <c r="AE1202" s="17" t="b">
        <f t="shared" si="115"/>
        <v>0</v>
      </c>
    </row>
    <row r="1203" spans="17:31" x14ac:dyDescent="0.2">
      <c r="Q1203" s="17">
        <f>IFERROR(VLOOKUP(A1203,已除帳印單!B:C,1,0),0)*1</f>
        <v>0</v>
      </c>
      <c r="R1203" s="67" t="str">
        <f>IFERROR(VLOOKUP(J1203,線別!A:B,2,1),"")</f>
        <v/>
      </c>
      <c r="S1203" s="17" t="str">
        <f>IFERROR(VLOOKUP(A1203,已除帳印單!B:C,2,0),"")</f>
        <v/>
      </c>
      <c r="T1203" s="68" t="e">
        <f t="shared" si="110"/>
        <v>#VALUE!</v>
      </c>
      <c r="U1203" s="69">
        <f t="shared" si="111"/>
        <v>0</v>
      </c>
      <c r="V1203" s="68" t="str">
        <f>IFERROR(VLOOKUP(A1203,已除帳印單!B:D,3,0),"")</f>
        <v/>
      </c>
      <c r="W1203" s="69" t="str">
        <f>IFERROR(VLOOKUP(A1203,已除帳印單!B:E,4,0),"")</f>
        <v/>
      </c>
      <c r="X1203" s="68" t="str">
        <f>IFERROR(INDEX(刷條碼區!A:C,MATCH(點上線資訊!S1203,刷條碼區!C:C,0),1),"")</f>
        <v/>
      </c>
      <c r="Y1203" s="69" t="str">
        <f>IFERROR(INDEX(刷條碼區!A:C,MATCH(點上線資訊!S1203,刷條碼區!C:C,0),2),"")</f>
        <v/>
      </c>
      <c r="Z1203" s="70" t="str">
        <f>IFERROR(INDEX(刷條碼區!D:G,MATCH(點上線資訊!S1203,刷條碼區!F:F,0),1),"")</f>
        <v/>
      </c>
      <c r="AA1203" s="71" t="str">
        <f>IFERROR(INDEX(刷條碼區!D:G,MATCH(點上線資訊!S1203,刷條碼區!F:F,0),2),"")</f>
        <v/>
      </c>
      <c r="AB1203" s="20">
        <f t="shared" si="112"/>
        <v>0</v>
      </c>
      <c r="AC1203" s="20" t="b">
        <f t="shared" si="113"/>
        <v>0</v>
      </c>
      <c r="AD1203" s="17" t="b">
        <f t="shared" si="114"/>
        <v>0</v>
      </c>
      <c r="AE1203" s="17" t="b">
        <f t="shared" si="115"/>
        <v>0</v>
      </c>
    </row>
    <row r="1204" spans="17:31" x14ac:dyDescent="0.2">
      <c r="Q1204" s="17">
        <f>IFERROR(VLOOKUP(A1204,已除帳印單!B:C,1,0),0)*1</f>
        <v>0</v>
      </c>
      <c r="R1204" s="67" t="str">
        <f>IFERROR(VLOOKUP(J1204,線別!A:B,2,1),"")</f>
        <v/>
      </c>
      <c r="S1204" s="17" t="str">
        <f>IFERROR(VLOOKUP(A1204,已除帳印單!B:C,2,0),"")</f>
        <v/>
      </c>
      <c r="T1204" s="68" t="e">
        <f t="shared" si="110"/>
        <v>#VALUE!</v>
      </c>
      <c r="U1204" s="69">
        <f t="shared" si="111"/>
        <v>0</v>
      </c>
      <c r="V1204" s="68" t="str">
        <f>IFERROR(VLOOKUP(A1204,已除帳印單!B:D,3,0),"")</f>
        <v/>
      </c>
      <c r="W1204" s="69" t="str">
        <f>IFERROR(VLOOKUP(A1204,已除帳印單!B:E,4,0),"")</f>
        <v/>
      </c>
      <c r="X1204" s="68" t="str">
        <f>IFERROR(INDEX(刷條碼區!A:C,MATCH(點上線資訊!S1204,刷條碼區!C:C,0),1),"")</f>
        <v/>
      </c>
      <c r="Y1204" s="69" t="str">
        <f>IFERROR(INDEX(刷條碼區!A:C,MATCH(點上線資訊!S1204,刷條碼區!C:C,0),2),"")</f>
        <v/>
      </c>
      <c r="Z1204" s="70" t="str">
        <f>IFERROR(INDEX(刷條碼區!D:G,MATCH(點上線資訊!S1204,刷條碼區!F:F,0),1),"")</f>
        <v/>
      </c>
      <c r="AA1204" s="71" t="str">
        <f>IFERROR(INDEX(刷條碼區!D:G,MATCH(點上線資訊!S1204,刷條碼區!F:F,0),2),"")</f>
        <v/>
      </c>
      <c r="AB1204" s="20">
        <f t="shared" si="112"/>
        <v>0</v>
      </c>
      <c r="AC1204" s="20" t="b">
        <f t="shared" si="113"/>
        <v>0</v>
      </c>
      <c r="AD1204" s="17" t="b">
        <f t="shared" si="114"/>
        <v>0</v>
      </c>
      <c r="AE1204" s="17" t="b">
        <f t="shared" si="115"/>
        <v>0</v>
      </c>
    </row>
    <row r="1205" spans="17:31" x14ac:dyDescent="0.2">
      <c r="Q1205" s="17">
        <f>IFERROR(VLOOKUP(A1205,已除帳印單!B:C,1,0),0)*1</f>
        <v>0</v>
      </c>
      <c r="R1205" s="67" t="str">
        <f>IFERROR(VLOOKUP(J1205,線別!A:B,2,1),"")</f>
        <v/>
      </c>
      <c r="S1205" s="17" t="str">
        <f>IFERROR(VLOOKUP(A1205,已除帳印單!B:C,2,0),"")</f>
        <v/>
      </c>
      <c r="T1205" s="68" t="e">
        <f t="shared" ref="T1205:T1268" si="116">--TEXT(B1205,"0000-00-00")</f>
        <v>#VALUE!</v>
      </c>
      <c r="U1205" s="69">
        <f t="shared" ref="U1205:U1268" si="117">--TEXT(C1205,"00\:00\:00")</f>
        <v>0</v>
      </c>
      <c r="V1205" s="68" t="str">
        <f>IFERROR(VLOOKUP(A1205,已除帳印單!B:D,3,0),"")</f>
        <v/>
      </c>
      <c r="W1205" s="69" t="str">
        <f>IFERROR(VLOOKUP(A1205,已除帳印單!B:E,4,0),"")</f>
        <v/>
      </c>
      <c r="X1205" s="68" t="str">
        <f>IFERROR(INDEX(刷條碼區!A:C,MATCH(點上線資訊!S1205,刷條碼區!C:C,0),1),"")</f>
        <v/>
      </c>
      <c r="Y1205" s="69" t="str">
        <f>IFERROR(INDEX(刷條碼區!A:C,MATCH(點上線資訊!S1205,刷條碼區!C:C,0),2),"")</f>
        <v/>
      </c>
      <c r="Z1205" s="70" t="str">
        <f>IFERROR(INDEX(刷條碼區!D:G,MATCH(點上線資訊!S1205,刷條碼區!F:F,0),1),"")</f>
        <v/>
      </c>
      <c r="AA1205" s="71" t="str">
        <f>IFERROR(INDEX(刷條碼區!D:G,MATCH(點上線資訊!S1205,刷條碼區!F:F,0),2),"")</f>
        <v/>
      </c>
      <c r="AB1205" s="20">
        <f t="shared" ref="AB1205:AB1268" si="118">IF(K1205&amp;N1205="",G1205)</f>
        <v>0</v>
      </c>
      <c r="AC1205" s="20" t="b">
        <f t="shared" ref="AC1205:AC1268" si="119">IF(S1205&lt;&gt;"",G1205)</f>
        <v>0</v>
      </c>
      <c r="AD1205" s="17" t="b">
        <f t="shared" ref="AD1205:AD1268" si="120">IF(X1205&lt;&gt;"",G1205)</f>
        <v>0</v>
      </c>
      <c r="AE1205" s="17" t="b">
        <f t="shared" ref="AE1205:AE1268" si="121">IF(Z1205&lt;&gt;"",G1205)</f>
        <v>0</v>
      </c>
    </row>
    <row r="1206" spans="17:31" x14ac:dyDescent="0.2">
      <c r="Q1206" s="17">
        <f>IFERROR(VLOOKUP(A1206,已除帳印單!B:C,1,0),0)*1</f>
        <v>0</v>
      </c>
      <c r="R1206" s="67" t="str">
        <f>IFERROR(VLOOKUP(J1206,線別!A:B,2,1),"")</f>
        <v/>
      </c>
      <c r="S1206" s="17" t="str">
        <f>IFERROR(VLOOKUP(A1206,已除帳印單!B:C,2,0),"")</f>
        <v/>
      </c>
      <c r="T1206" s="68" t="e">
        <f t="shared" si="116"/>
        <v>#VALUE!</v>
      </c>
      <c r="U1206" s="69">
        <f t="shared" si="117"/>
        <v>0</v>
      </c>
      <c r="V1206" s="68" t="str">
        <f>IFERROR(VLOOKUP(A1206,已除帳印單!B:D,3,0),"")</f>
        <v/>
      </c>
      <c r="W1206" s="69" t="str">
        <f>IFERROR(VLOOKUP(A1206,已除帳印單!B:E,4,0),"")</f>
        <v/>
      </c>
      <c r="X1206" s="68" t="str">
        <f>IFERROR(INDEX(刷條碼區!A:C,MATCH(點上線資訊!S1206,刷條碼區!C:C,0),1),"")</f>
        <v/>
      </c>
      <c r="Y1206" s="69" t="str">
        <f>IFERROR(INDEX(刷條碼區!A:C,MATCH(點上線資訊!S1206,刷條碼區!C:C,0),2),"")</f>
        <v/>
      </c>
      <c r="Z1206" s="70" t="str">
        <f>IFERROR(INDEX(刷條碼區!D:G,MATCH(點上線資訊!S1206,刷條碼區!F:F,0),1),"")</f>
        <v/>
      </c>
      <c r="AA1206" s="71" t="str">
        <f>IFERROR(INDEX(刷條碼區!D:G,MATCH(點上線資訊!S1206,刷條碼區!F:F,0),2),"")</f>
        <v/>
      </c>
      <c r="AB1206" s="20">
        <f t="shared" si="118"/>
        <v>0</v>
      </c>
      <c r="AC1206" s="20" t="b">
        <f t="shared" si="119"/>
        <v>0</v>
      </c>
      <c r="AD1206" s="17" t="b">
        <f t="shared" si="120"/>
        <v>0</v>
      </c>
      <c r="AE1206" s="17" t="b">
        <f t="shared" si="121"/>
        <v>0</v>
      </c>
    </row>
    <row r="1207" spans="17:31" x14ac:dyDescent="0.2">
      <c r="Q1207" s="17">
        <f>IFERROR(VLOOKUP(A1207,已除帳印單!B:C,1,0),0)*1</f>
        <v>0</v>
      </c>
      <c r="R1207" s="67" t="str">
        <f>IFERROR(VLOOKUP(J1207,線別!A:B,2,1),"")</f>
        <v/>
      </c>
      <c r="S1207" s="17" t="str">
        <f>IFERROR(VLOOKUP(A1207,已除帳印單!B:C,2,0),"")</f>
        <v/>
      </c>
      <c r="T1207" s="68" t="e">
        <f t="shared" si="116"/>
        <v>#VALUE!</v>
      </c>
      <c r="U1207" s="69">
        <f t="shared" si="117"/>
        <v>0</v>
      </c>
      <c r="V1207" s="68" t="str">
        <f>IFERROR(VLOOKUP(A1207,已除帳印單!B:D,3,0),"")</f>
        <v/>
      </c>
      <c r="W1207" s="69" t="str">
        <f>IFERROR(VLOOKUP(A1207,已除帳印單!B:E,4,0),"")</f>
        <v/>
      </c>
      <c r="X1207" s="68" t="str">
        <f>IFERROR(INDEX(刷條碼區!A:C,MATCH(點上線資訊!S1207,刷條碼區!C:C,0),1),"")</f>
        <v/>
      </c>
      <c r="Y1207" s="69" t="str">
        <f>IFERROR(INDEX(刷條碼區!A:C,MATCH(點上線資訊!S1207,刷條碼區!C:C,0),2),"")</f>
        <v/>
      </c>
      <c r="Z1207" s="70" t="str">
        <f>IFERROR(INDEX(刷條碼區!D:G,MATCH(點上線資訊!S1207,刷條碼區!F:F,0),1),"")</f>
        <v/>
      </c>
      <c r="AA1207" s="71" t="str">
        <f>IFERROR(INDEX(刷條碼區!D:G,MATCH(點上線資訊!S1207,刷條碼區!F:F,0),2),"")</f>
        <v/>
      </c>
      <c r="AB1207" s="20">
        <f t="shared" si="118"/>
        <v>0</v>
      </c>
      <c r="AC1207" s="20" t="b">
        <f t="shared" si="119"/>
        <v>0</v>
      </c>
      <c r="AD1207" s="17" t="b">
        <f t="shared" si="120"/>
        <v>0</v>
      </c>
      <c r="AE1207" s="17" t="b">
        <f t="shared" si="121"/>
        <v>0</v>
      </c>
    </row>
    <row r="1208" spans="17:31" x14ac:dyDescent="0.2">
      <c r="Q1208" s="17">
        <f>IFERROR(VLOOKUP(A1208,已除帳印單!B:C,1,0),0)*1</f>
        <v>0</v>
      </c>
      <c r="R1208" s="67" t="str">
        <f>IFERROR(VLOOKUP(J1208,線別!A:B,2,1),"")</f>
        <v/>
      </c>
      <c r="S1208" s="17" t="str">
        <f>IFERROR(VLOOKUP(A1208,已除帳印單!B:C,2,0),"")</f>
        <v/>
      </c>
      <c r="T1208" s="68" t="e">
        <f t="shared" si="116"/>
        <v>#VALUE!</v>
      </c>
      <c r="U1208" s="69">
        <f t="shared" si="117"/>
        <v>0</v>
      </c>
      <c r="V1208" s="68" t="str">
        <f>IFERROR(VLOOKUP(A1208,已除帳印單!B:D,3,0),"")</f>
        <v/>
      </c>
      <c r="W1208" s="69" t="str">
        <f>IFERROR(VLOOKUP(A1208,已除帳印單!B:E,4,0),"")</f>
        <v/>
      </c>
      <c r="X1208" s="68" t="str">
        <f>IFERROR(INDEX(刷條碼區!A:C,MATCH(點上線資訊!S1208,刷條碼區!C:C,0),1),"")</f>
        <v/>
      </c>
      <c r="Y1208" s="69" t="str">
        <f>IFERROR(INDEX(刷條碼區!A:C,MATCH(點上線資訊!S1208,刷條碼區!C:C,0),2),"")</f>
        <v/>
      </c>
      <c r="Z1208" s="70" t="str">
        <f>IFERROR(INDEX(刷條碼區!D:G,MATCH(點上線資訊!S1208,刷條碼區!F:F,0),1),"")</f>
        <v/>
      </c>
      <c r="AA1208" s="71" t="str">
        <f>IFERROR(INDEX(刷條碼區!D:G,MATCH(點上線資訊!S1208,刷條碼區!F:F,0),2),"")</f>
        <v/>
      </c>
      <c r="AB1208" s="20">
        <f t="shared" si="118"/>
        <v>0</v>
      </c>
      <c r="AC1208" s="20" t="b">
        <f t="shared" si="119"/>
        <v>0</v>
      </c>
      <c r="AD1208" s="17" t="b">
        <f t="shared" si="120"/>
        <v>0</v>
      </c>
      <c r="AE1208" s="17" t="b">
        <f t="shared" si="121"/>
        <v>0</v>
      </c>
    </row>
    <row r="1209" spans="17:31" x14ac:dyDescent="0.2">
      <c r="Q1209" s="17">
        <f>IFERROR(VLOOKUP(A1209,已除帳印單!B:C,1,0),0)*1</f>
        <v>0</v>
      </c>
      <c r="R1209" s="67" t="str">
        <f>IFERROR(VLOOKUP(J1209,線別!A:B,2,1),"")</f>
        <v/>
      </c>
      <c r="S1209" s="17" t="str">
        <f>IFERROR(VLOOKUP(A1209,已除帳印單!B:C,2,0),"")</f>
        <v/>
      </c>
      <c r="T1209" s="68" t="e">
        <f t="shared" si="116"/>
        <v>#VALUE!</v>
      </c>
      <c r="U1209" s="69">
        <f t="shared" si="117"/>
        <v>0</v>
      </c>
      <c r="V1209" s="68" t="str">
        <f>IFERROR(VLOOKUP(A1209,已除帳印單!B:D,3,0),"")</f>
        <v/>
      </c>
      <c r="W1209" s="69" t="str">
        <f>IFERROR(VLOOKUP(A1209,已除帳印單!B:E,4,0),"")</f>
        <v/>
      </c>
      <c r="X1209" s="68" t="str">
        <f>IFERROR(INDEX(刷條碼區!A:C,MATCH(點上線資訊!S1209,刷條碼區!C:C,0),1),"")</f>
        <v/>
      </c>
      <c r="Y1209" s="69" t="str">
        <f>IFERROR(INDEX(刷條碼區!A:C,MATCH(點上線資訊!S1209,刷條碼區!C:C,0),2),"")</f>
        <v/>
      </c>
      <c r="Z1209" s="70" t="str">
        <f>IFERROR(INDEX(刷條碼區!D:G,MATCH(點上線資訊!S1209,刷條碼區!F:F,0),1),"")</f>
        <v/>
      </c>
      <c r="AA1209" s="71" t="str">
        <f>IFERROR(INDEX(刷條碼區!D:G,MATCH(點上線資訊!S1209,刷條碼區!F:F,0),2),"")</f>
        <v/>
      </c>
      <c r="AB1209" s="20">
        <f t="shared" si="118"/>
        <v>0</v>
      </c>
      <c r="AC1209" s="20" t="b">
        <f t="shared" si="119"/>
        <v>0</v>
      </c>
      <c r="AD1209" s="17" t="b">
        <f t="shared" si="120"/>
        <v>0</v>
      </c>
      <c r="AE1209" s="17" t="b">
        <f t="shared" si="121"/>
        <v>0</v>
      </c>
    </row>
    <row r="1210" spans="17:31" x14ac:dyDescent="0.2">
      <c r="Q1210" s="17">
        <f>IFERROR(VLOOKUP(A1210,已除帳印單!B:C,1,0),0)*1</f>
        <v>0</v>
      </c>
      <c r="R1210" s="67" t="str">
        <f>IFERROR(VLOOKUP(J1210,線別!A:B,2,1),"")</f>
        <v/>
      </c>
      <c r="S1210" s="17" t="str">
        <f>IFERROR(VLOOKUP(A1210,已除帳印單!B:C,2,0),"")</f>
        <v/>
      </c>
      <c r="T1210" s="68" t="e">
        <f t="shared" si="116"/>
        <v>#VALUE!</v>
      </c>
      <c r="U1210" s="69">
        <f t="shared" si="117"/>
        <v>0</v>
      </c>
      <c r="V1210" s="68" t="str">
        <f>IFERROR(VLOOKUP(A1210,已除帳印單!B:D,3,0),"")</f>
        <v/>
      </c>
      <c r="W1210" s="69" t="str">
        <f>IFERROR(VLOOKUP(A1210,已除帳印單!B:E,4,0),"")</f>
        <v/>
      </c>
      <c r="X1210" s="68" t="str">
        <f>IFERROR(INDEX(刷條碼區!A:C,MATCH(點上線資訊!S1210,刷條碼區!C:C,0),1),"")</f>
        <v/>
      </c>
      <c r="Y1210" s="69" t="str">
        <f>IFERROR(INDEX(刷條碼區!A:C,MATCH(點上線資訊!S1210,刷條碼區!C:C,0),2),"")</f>
        <v/>
      </c>
      <c r="Z1210" s="70" t="str">
        <f>IFERROR(INDEX(刷條碼區!D:G,MATCH(點上線資訊!S1210,刷條碼區!F:F,0),1),"")</f>
        <v/>
      </c>
      <c r="AA1210" s="71" t="str">
        <f>IFERROR(INDEX(刷條碼區!D:G,MATCH(點上線資訊!S1210,刷條碼區!F:F,0),2),"")</f>
        <v/>
      </c>
      <c r="AB1210" s="20">
        <f t="shared" si="118"/>
        <v>0</v>
      </c>
      <c r="AC1210" s="20" t="b">
        <f t="shared" si="119"/>
        <v>0</v>
      </c>
      <c r="AD1210" s="17" t="b">
        <f t="shared" si="120"/>
        <v>0</v>
      </c>
      <c r="AE1210" s="17" t="b">
        <f t="shared" si="121"/>
        <v>0</v>
      </c>
    </row>
    <row r="1211" spans="17:31" x14ac:dyDescent="0.2">
      <c r="Q1211" s="17">
        <f>IFERROR(VLOOKUP(A1211,已除帳印單!B:C,1,0),0)*1</f>
        <v>0</v>
      </c>
      <c r="R1211" s="67" t="str">
        <f>IFERROR(VLOOKUP(J1211,線別!A:B,2,1),"")</f>
        <v/>
      </c>
      <c r="S1211" s="17" t="str">
        <f>IFERROR(VLOOKUP(A1211,已除帳印單!B:C,2,0),"")</f>
        <v/>
      </c>
      <c r="T1211" s="68" t="e">
        <f t="shared" si="116"/>
        <v>#VALUE!</v>
      </c>
      <c r="U1211" s="69">
        <f t="shared" si="117"/>
        <v>0</v>
      </c>
      <c r="V1211" s="68" t="str">
        <f>IFERROR(VLOOKUP(A1211,已除帳印單!B:D,3,0),"")</f>
        <v/>
      </c>
      <c r="W1211" s="69" t="str">
        <f>IFERROR(VLOOKUP(A1211,已除帳印單!B:E,4,0),"")</f>
        <v/>
      </c>
      <c r="X1211" s="68" t="str">
        <f>IFERROR(INDEX(刷條碼區!A:C,MATCH(點上線資訊!S1211,刷條碼區!C:C,0),1),"")</f>
        <v/>
      </c>
      <c r="Y1211" s="69" t="str">
        <f>IFERROR(INDEX(刷條碼區!A:C,MATCH(點上線資訊!S1211,刷條碼區!C:C,0),2),"")</f>
        <v/>
      </c>
      <c r="Z1211" s="70" t="str">
        <f>IFERROR(INDEX(刷條碼區!D:G,MATCH(點上線資訊!S1211,刷條碼區!F:F,0),1),"")</f>
        <v/>
      </c>
      <c r="AA1211" s="71" t="str">
        <f>IFERROR(INDEX(刷條碼區!D:G,MATCH(點上線資訊!S1211,刷條碼區!F:F,0),2),"")</f>
        <v/>
      </c>
      <c r="AB1211" s="20">
        <f t="shared" si="118"/>
        <v>0</v>
      </c>
      <c r="AC1211" s="20" t="b">
        <f t="shared" si="119"/>
        <v>0</v>
      </c>
      <c r="AD1211" s="17" t="b">
        <f t="shared" si="120"/>
        <v>0</v>
      </c>
      <c r="AE1211" s="17" t="b">
        <f t="shared" si="121"/>
        <v>0</v>
      </c>
    </row>
    <row r="1212" spans="17:31" x14ac:dyDescent="0.2">
      <c r="Q1212" s="17">
        <f>IFERROR(VLOOKUP(A1212,已除帳印單!B:C,1,0),0)*1</f>
        <v>0</v>
      </c>
      <c r="R1212" s="67" t="str">
        <f>IFERROR(VLOOKUP(J1212,線別!A:B,2,1),"")</f>
        <v/>
      </c>
      <c r="S1212" s="17" t="str">
        <f>IFERROR(VLOOKUP(A1212,已除帳印單!B:C,2,0),"")</f>
        <v/>
      </c>
      <c r="T1212" s="68" t="e">
        <f t="shared" si="116"/>
        <v>#VALUE!</v>
      </c>
      <c r="U1212" s="69">
        <f t="shared" si="117"/>
        <v>0</v>
      </c>
      <c r="V1212" s="68" t="str">
        <f>IFERROR(VLOOKUP(A1212,已除帳印單!B:D,3,0),"")</f>
        <v/>
      </c>
      <c r="W1212" s="69" t="str">
        <f>IFERROR(VLOOKUP(A1212,已除帳印單!B:E,4,0),"")</f>
        <v/>
      </c>
      <c r="X1212" s="68" t="str">
        <f>IFERROR(INDEX(刷條碼區!A:C,MATCH(點上線資訊!S1212,刷條碼區!C:C,0),1),"")</f>
        <v/>
      </c>
      <c r="Y1212" s="69" t="str">
        <f>IFERROR(INDEX(刷條碼區!A:C,MATCH(點上線資訊!S1212,刷條碼區!C:C,0),2),"")</f>
        <v/>
      </c>
      <c r="Z1212" s="70" t="str">
        <f>IFERROR(INDEX(刷條碼區!D:G,MATCH(點上線資訊!S1212,刷條碼區!F:F,0),1),"")</f>
        <v/>
      </c>
      <c r="AA1212" s="71" t="str">
        <f>IFERROR(INDEX(刷條碼區!D:G,MATCH(點上線資訊!S1212,刷條碼區!F:F,0),2),"")</f>
        <v/>
      </c>
      <c r="AB1212" s="20">
        <f t="shared" si="118"/>
        <v>0</v>
      </c>
      <c r="AC1212" s="20" t="b">
        <f t="shared" si="119"/>
        <v>0</v>
      </c>
      <c r="AD1212" s="17" t="b">
        <f t="shared" si="120"/>
        <v>0</v>
      </c>
      <c r="AE1212" s="17" t="b">
        <f t="shared" si="121"/>
        <v>0</v>
      </c>
    </row>
    <row r="1213" spans="17:31" x14ac:dyDescent="0.2">
      <c r="Q1213" s="17">
        <f>IFERROR(VLOOKUP(A1213,已除帳印單!B:C,1,0),0)*1</f>
        <v>0</v>
      </c>
      <c r="R1213" s="67" t="str">
        <f>IFERROR(VLOOKUP(J1213,線別!A:B,2,1),"")</f>
        <v/>
      </c>
      <c r="S1213" s="17" t="str">
        <f>IFERROR(VLOOKUP(A1213,已除帳印單!B:C,2,0),"")</f>
        <v/>
      </c>
      <c r="T1213" s="68" t="e">
        <f t="shared" si="116"/>
        <v>#VALUE!</v>
      </c>
      <c r="U1213" s="69">
        <f t="shared" si="117"/>
        <v>0</v>
      </c>
      <c r="V1213" s="68" t="str">
        <f>IFERROR(VLOOKUP(A1213,已除帳印單!B:D,3,0),"")</f>
        <v/>
      </c>
      <c r="W1213" s="69" t="str">
        <f>IFERROR(VLOOKUP(A1213,已除帳印單!B:E,4,0),"")</f>
        <v/>
      </c>
      <c r="X1213" s="68" t="str">
        <f>IFERROR(INDEX(刷條碼區!A:C,MATCH(點上線資訊!S1213,刷條碼區!C:C,0),1),"")</f>
        <v/>
      </c>
      <c r="Y1213" s="69" t="str">
        <f>IFERROR(INDEX(刷條碼區!A:C,MATCH(點上線資訊!S1213,刷條碼區!C:C,0),2),"")</f>
        <v/>
      </c>
      <c r="Z1213" s="70" t="str">
        <f>IFERROR(INDEX(刷條碼區!D:G,MATCH(點上線資訊!S1213,刷條碼區!F:F,0),1),"")</f>
        <v/>
      </c>
      <c r="AA1213" s="71" t="str">
        <f>IFERROR(INDEX(刷條碼區!D:G,MATCH(點上線資訊!S1213,刷條碼區!F:F,0),2),"")</f>
        <v/>
      </c>
      <c r="AB1213" s="20">
        <f t="shared" si="118"/>
        <v>0</v>
      </c>
      <c r="AC1213" s="20" t="b">
        <f t="shared" si="119"/>
        <v>0</v>
      </c>
      <c r="AD1213" s="17" t="b">
        <f t="shared" si="120"/>
        <v>0</v>
      </c>
      <c r="AE1213" s="17" t="b">
        <f t="shared" si="121"/>
        <v>0</v>
      </c>
    </row>
    <row r="1214" spans="17:31" x14ac:dyDescent="0.2">
      <c r="Q1214" s="17">
        <f>IFERROR(VLOOKUP(A1214,已除帳印單!B:C,1,0),0)*1</f>
        <v>0</v>
      </c>
      <c r="R1214" s="67" t="str">
        <f>IFERROR(VLOOKUP(J1214,線別!A:B,2,1),"")</f>
        <v/>
      </c>
      <c r="S1214" s="17" t="str">
        <f>IFERROR(VLOOKUP(A1214,已除帳印單!B:C,2,0),"")</f>
        <v/>
      </c>
      <c r="T1214" s="68" t="e">
        <f t="shared" si="116"/>
        <v>#VALUE!</v>
      </c>
      <c r="U1214" s="69">
        <f t="shared" si="117"/>
        <v>0</v>
      </c>
      <c r="V1214" s="68" t="str">
        <f>IFERROR(VLOOKUP(A1214,已除帳印單!B:D,3,0),"")</f>
        <v/>
      </c>
      <c r="W1214" s="69" t="str">
        <f>IFERROR(VLOOKUP(A1214,已除帳印單!B:E,4,0),"")</f>
        <v/>
      </c>
      <c r="X1214" s="68" t="str">
        <f>IFERROR(INDEX(刷條碼區!A:C,MATCH(點上線資訊!S1214,刷條碼區!C:C,0),1),"")</f>
        <v/>
      </c>
      <c r="Y1214" s="69" t="str">
        <f>IFERROR(INDEX(刷條碼區!A:C,MATCH(點上線資訊!S1214,刷條碼區!C:C,0),2),"")</f>
        <v/>
      </c>
      <c r="Z1214" s="70" t="str">
        <f>IFERROR(INDEX(刷條碼區!D:G,MATCH(點上線資訊!S1214,刷條碼區!F:F,0),1),"")</f>
        <v/>
      </c>
      <c r="AA1214" s="71" t="str">
        <f>IFERROR(INDEX(刷條碼區!D:G,MATCH(點上線資訊!S1214,刷條碼區!F:F,0),2),"")</f>
        <v/>
      </c>
      <c r="AB1214" s="20">
        <f t="shared" si="118"/>
        <v>0</v>
      </c>
      <c r="AC1214" s="20" t="b">
        <f t="shared" si="119"/>
        <v>0</v>
      </c>
      <c r="AD1214" s="17" t="b">
        <f t="shared" si="120"/>
        <v>0</v>
      </c>
      <c r="AE1214" s="17" t="b">
        <f t="shared" si="121"/>
        <v>0</v>
      </c>
    </row>
    <row r="1215" spans="17:31" x14ac:dyDescent="0.2">
      <c r="Q1215" s="17">
        <f>IFERROR(VLOOKUP(A1215,已除帳印單!B:C,1,0),0)*1</f>
        <v>0</v>
      </c>
      <c r="R1215" s="67" t="str">
        <f>IFERROR(VLOOKUP(J1215,線別!A:B,2,1),"")</f>
        <v/>
      </c>
      <c r="S1215" s="17" t="str">
        <f>IFERROR(VLOOKUP(A1215,已除帳印單!B:C,2,0),"")</f>
        <v/>
      </c>
      <c r="T1215" s="68" t="e">
        <f t="shared" si="116"/>
        <v>#VALUE!</v>
      </c>
      <c r="U1215" s="69">
        <f t="shared" si="117"/>
        <v>0</v>
      </c>
      <c r="V1215" s="68" t="str">
        <f>IFERROR(VLOOKUP(A1215,已除帳印單!B:D,3,0),"")</f>
        <v/>
      </c>
      <c r="W1215" s="69" t="str">
        <f>IFERROR(VLOOKUP(A1215,已除帳印單!B:E,4,0),"")</f>
        <v/>
      </c>
      <c r="X1215" s="68" t="str">
        <f>IFERROR(INDEX(刷條碼區!A:C,MATCH(點上線資訊!S1215,刷條碼區!C:C,0),1),"")</f>
        <v/>
      </c>
      <c r="Y1215" s="69" t="str">
        <f>IFERROR(INDEX(刷條碼區!A:C,MATCH(點上線資訊!S1215,刷條碼區!C:C,0),2),"")</f>
        <v/>
      </c>
      <c r="Z1215" s="70" t="str">
        <f>IFERROR(INDEX(刷條碼區!D:G,MATCH(點上線資訊!S1215,刷條碼區!F:F,0),1),"")</f>
        <v/>
      </c>
      <c r="AA1215" s="71" t="str">
        <f>IFERROR(INDEX(刷條碼區!D:G,MATCH(點上線資訊!S1215,刷條碼區!F:F,0),2),"")</f>
        <v/>
      </c>
      <c r="AB1215" s="20">
        <f t="shared" si="118"/>
        <v>0</v>
      </c>
      <c r="AC1215" s="20" t="b">
        <f t="shared" si="119"/>
        <v>0</v>
      </c>
      <c r="AD1215" s="17" t="b">
        <f t="shared" si="120"/>
        <v>0</v>
      </c>
      <c r="AE1215" s="17" t="b">
        <f t="shared" si="121"/>
        <v>0</v>
      </c>
    </row>
    <row r="1216" spans="17:31" x14ac:dyDescent="0.2">
      <c r="Q1216" s="17">
        <f>IFERROR(VLOOKUP(A1216,已除帳印單!B:C,1,0),0)*1</f>
        <v>0</v>
      </c>
      <c r="R1216" s="67" t="str">
        <f>IFERROR(VLOOKUP(J1216,線別!A:B,2,1),"")</f>
        <v/>
      </c>
      <c r="S1216" s="17" t="str">
        <f>IFERROR(VLOOKUP(A1216,已除帳印單!B:C,2,0),"")</f>
        <v/>
      </c>
      <c r="T1216" s="68" t="e">
        <f t="shared" si="116"/>
        <v>#VALUE!</v>
      </c>
      <c r="U1216" s="69">
        <f t="shared" si="117"/>
        <v>0</v>
      </c>
      <c r="V1216" s="68" t="str">
        <f>IFERROR(VLOOKUP(A1216,已除帳印單!B:D,3,0),"")</f>
        <v/>
      </c>
      <c r="W1216" s="69" t="str">
        <f>IFERROR(VLOOKUP(A1216,已除帳印單!B:E,4,0),"")</f>
        <v/>
      </c>
      <c r="X1216" s="68" t="str">
        <f>IFERROR(INDEX(刷條碼區!A:C,MATCH(點上線資訊!S1216,刷條碼區!C:C,0),1),"")</f>
        <v/>
      </c>
      <c r="Y1216" s="69" t="str">
        <f>IFERROR(INDEX(刷條碼區!A:C,MATCH(點上線資訊!S1216,刷條碼區!C:C,0),2),"")</f>
        <v/>
      </c>
      <c r="Z1216" s="70" t="str">
        <f>IFERROR(INDEX(刷條碼區!D:G,MATCH(點上線資訊!S1216,刷條碼區!F:F,0),1),"")</f>
        <v/>
      </c>
      <c r="AA1216" s="71" t="str">
        <f>IFERROR(INDEX(刷條碼區!D:G,MATCH(點上線資訊!S1216,刷條碼區!F:F,0),2),"")</f>
        <v/>
      </c>
      <c r="AB1216" s="20">
        <f t="shared" si="118"/>
        <v>0</v>
      </c>
      <c r="AC1216" s="20" t="b">
        <f t="shared" si="119"/>
        <v>0</v>
      </c>
      <c r="AD1216" s="17" t="b">
        <f t="shared" si="120"/>
        <v>0</v>
      </c>
      <c r="AE1216" s="17" t="b">
        <f t="shared" si="121"/>
        <v>0</v>
      </c>
    </row>
    <row r="1217" spans="17:31" x14ac:dyDescent="0.2">
      <c r="Q1217" s="17">
        <f>IFERROR(VLOOKUP(A1217,已除帳印單!B:C,1,0),0)*1</f>
        <v>0</v>
      </c>
      <c r="R1217" s="67" t="str">
        <f>IFERROR(VLOOKUP(J1217,線別!A:B,2,1),"")</f>
        <v/>
      </c>
      <c r="S1217" s="17" t="str">
        <f>IFERROR(VLOOKUP(A1217,已除帳印單!B:C,2,0),"")</f>
        <v/>
      </c>
      <c r="T1217" s="68" t="e">
        <f t="shared" si="116"/>
        <v>#VALUE!</v>
      </c>
      <c r="U1217" s="69">
        <f t="shared" si="117"/>
        <v>0</v>
      </c>
      <c r="V1217" s="68" t="str">
        <f>IFERROR(VLOOKUP(A1217,已除帳印單!B:D,3,0),"")</f>
        <v/>
      </c>
      <c r="W1217" s="69" t="str">
        <f>IFERROR(VLOOKUP(A1217,已除帳印單!B:E,4,0),"")</f>
        <v/>
      </c>
      <c r="X1217" s="68" t="str">
        <f>IFERROR(INDEX(刷條碼區!A:C,MATCH(點上線資訊!S1217,刷條碼區!C:C,0),1),"")</f>
        <v/>
      </c>
      <c r="Y1217" s="69" t="str">
        <f>IFERROR(INDEX(刷條碼區!A:C,MATCH(點上線資訊!S1217,刷條碼區!C:C,0),2),"")</f>
        <v/>
      </c>
      <c r="Z1217" s="70" t="str">
        <f>IFERROR(INDEX(刷條碼區!D:G,MATCH(點上線資訊!S1217,刷條碼區!F:F,0),1),"")</f>
        <v/>
      </c>
      <c r="AA1217" s="71" t="str">
        <f>IFERROR(INDEX(刷條碼區!D:G,MATCH(點上線資訊!S1217,刷條碼區!F:F,0),2),"")</f>
        <v/>
      </c>
      <c r="AB1217" s="20">
        <f t="shared" si="118"/>
        <v>0</v>
      </c>
      <c r="AC1217" s="20" t="b">
        <f t="shared" si="119"/>
        <v>0</v>
      </c>
      <c r="AD1217" s="17" t="b">
        <f t="shared" si="120"/>
        <v>0</v>
      </c>
      <c r="AE1217" s="17" t="b">
        <f t="shared" si="121"/>
        <v>0</v>
      </c>
    </row>
    <row r="1218" spans="17:31" x14ac:dyDescent="0.2">
      <c r="Q1218" s="17">
        <f>IFERROR(VLOOKUP(A1218,已除帳印單!B:C,1,0),0)*1</f>
        <v>0</v>
      </c>
      <c r="R1218" s="67" t="str">
        <f>IFERROR(VLOOKUP(J1218,線別!A:B,2,1),"")</f>
        <v/>
      </c>
      <c r="S1218" s="17" t="str">
        <f>IFERROR(VLOOKUP(A1218,已除帳印單!B:C,2,0),"")</f>
        <v/>
      </c>
      <c r="T1218" s="68" t="e">
        <f t="shared" si="116"/>
        <v>#VALUE!</v>
      </c>
      <c r="U1218" s="69">
        <f t="shared" si="117"/>
        <v>0</v>
      </c>
      <c r="V1218" s="68" t="str">
        <f>IFERROR(VLOOKUP(A1218,已除帳印單!B:D,3,0),"")</f>
        <v/>
      </c>
      <c r="W1218" s="69" t="str">
        <f>IFERROR(VLOOKUP(A1218,已除帳印單!B:E,4,0),"")</f>
        <v/>
      </c>
      <c r="X1218" s="68" t="str">
        <f>IFERROR(INDEX(刷條碼區!A:C,MATCH(點上線資訊!S1218,刷條碼區!C:C,0),1),"")</f>
        <v/>
      </c>
      <c r="Y1218" s="69" t="str">
        <f>IFERROR(INDEX(刷條碼區!A:C,MATCH(點上線資訊!S1218,刷條碼區!C:C,0),2),"")</f>
        <v/>
      </c>
      <c r="Z1218" s="70" t="str">
        <f>IFERROR(INDEX(刷條碼區!D:G,MATCH(點上線資訊!S1218,刷條碼區!F:F,0),1),"")</f>
        <v/>
      </c>
      <c r="AA1218" s="71" t="str">
        <f>IFERROR(INDEX(刷條碼區!D:G,MATCH(點上線資訊!S1218,刷條碼區!F:F,0),2),"")</f>
        <v/>
      </c>
      <c r="AB1218" s="20">
        <f t="shared" si="118"/>
        <v>0</v>
      </c>
      <c r="AC1218" s="20" t="b">
        <f t="shared" si="119"/>
        <v>0</v>
      </c>
      <c r="AD1218" s="17" t="b">
        <f t="shared" si="120"/>
        <v>0</v>
      </c>
      <c r="AE1218" s="17" t="b">
        <f t="shared" si="121"/>
        <v>0</v>
      </c>
    </row>
    <row r="1219" spans="17:31" x14ac:dyDescent="0.2">
      <c r="Q1219" s="17">
        <f>IFERROR(VLOOKUP(A1219,已除帳印單!B:C,1,0),0)*1</f>
        <v>0</v>
      </c>
      <c r="R1219" s="67" t="str">
        <f>IFERROR(VLOOKUP(J1219,線別!A:B,2,1),"")</f>
        <v/>
      </c>
      <c r="S1219" s="17" t="str">
        <f>IFERROR(VLOOKUP(A1219,已除帳印單!B:C,2,0),"")</f>
        <v/>
      </c>
      <c r="T1219" s="68" t="e">
        <f t="shared" si="116"/>
        <v>#VALUE!</v>
      </c>
      <c r="U1219" s="69">
        <f t="shared" si="117"/>
        <v>0</v>
      </c>
      <c r="V1219" s="68" t="str">
        <f>IFERROR(VLOOKUP(A1219,已除帳印單!B:D,3,0),"")</f>
        <v/>
      </c>
      <c r="W1219" s="69" t="str">
        <f>IFERROR(VLOOKUP(A1219,已除帳印單!B:E,4,0),"")</f>
        <v/>
      </c>
      <c r="X1219" s="68" t="str">
        <f>IFERROR(INDEX(刷條碼區!A:C,MATCH(點上線資訊!S1219,刷條碼區!C:C,0),1),"")</f>
        <v/>
      </c>
      <c r="Y1219" s="69" t="str">
        <f>IFERROR(INDEX(刷條碼區!A:C,MATCH(點上線資訊!S1219,刷條碼區!C:C,0),2),"")</f>
        <v/>
      </c>
      <c r="Z1219" s="70" t="str">
        <f>IFERROR(INDEX(刷條碼區!D:G,MATCH(點上線資訊!S1219,刷條碼區!F:F,0),1),"")</f>
        <v/>
      </c>
      <c r="AA1219" s="71" t="str">
        <f>IFERROR(INDEX(刷條碼區!D:G,MATCH(點上線資訊!S1219,刷條碼區!F:F,0),2),"")</f>
        <v/>
      </c>
      <c r="AB1219" s="20">
        <f t="shared" si="118"/>
        <v>0</v>
      </c>
      <c r="AC1219" s="20" t="b">
        <f t="shared" si="119"/>
        <v>0</v>
      </c>
      <c r="AD1219" s="17" t="b">
        <f t="shared" si="120"/>
        <v>0</v>
      </c>
      <c r="AE1219" s="17" t="b">
        <f t="shared" si="121"/>
        <v>0</v>
      </c>
    </row>
    <row r="1220" spans="17:31" x14ac:dyDescent="0.2">
      <c r="Q1220" s="17">
        <f>IFERROR(VLOOKUP(A1220,已除帳印單!B:C,1,0),0)*1</f>
        <v>0</v>
      </c>
      <c r="R1220" s="67" t="str">
        <f>IFERROR(VLOOKUP(J1220,線別!A:B,2,1),"")</f>
        <v/>
      </c>
      <c r="S1220" s="17" t="str">
        <f>IFERROR(VLOOKUP(A1220,已除帳印單!B:C,2,0),"")</f>
        <v/>
      </c>
      <c r="T1220" s="68" t="e">
        <f t="shared" si="116"/>
        <v>#VALUE!</v>
      </c>
      <c r="U1220" s="69">
        <f t="shared" si="117"/>
        <v>0</v>
      </c>
      <c r="V1220" s="68" t="str">
        <f>IFERROR(VLOOKUP(A1220,已除帳印單!B:D,3,0),"")</f>
        <v/>
      </c>
      <c r="W1220" s="69" t="str">
        <f>IFERROR(VLOOKUP(A1220,已除帳印單!B:E,4,0),"")</f>
        <v/>
      </c>
      <c r="X1220" s="68" t="str">
        <f>IFERROR(INDEX(刷條碼區!A:C,MATCH(點上線資訊!S1220,刷條碼區!C:C,0),1),"")</f>
        <v/>
      </c>
      <c r="Y1220" s="69" t="str">
        <f>IFERROR(INDEX(刷條碼區!A:C,MATCH(點上線資訊!S1220,刷條碼區!C:C,0),2),"")</f>
        <v/>
      </c>
      <c r="Z1220" s="70" t="str">
        <f>IFERROR(INDEX(刷條碼區!D:G,MATCH(點上線資訊!S1220,刷條碼區!F:F,0),1),"")</f>
        <v/>
      </c>
      <c r="AA1220" s="71" t="str">
        <f>IFERROR(INDEX(刷條碼區!D:G,MATCH(點上線資訊!S1220,刷條碼區!F:F,0),2),"")</f>
        <v/>
      </c>
      <c r="AB1220" s="20">
        <f t="shared" si="118"/>
        <v>0</v>
      </c>
      <c r="AC1220" s="20" t="b">
        <f t="shared" si="119"/>
        <v>0</v>
      </c>
      <c r="AD1220" s="17" t="b">
        <f t="shared" si="120"/>
        <v>0</v>
      </c>
      <c r="AE1220" s="17" t="b">
        <f t="shared" si="121"/>
        <v>0</v>
      </c>
    </row>
    <row r="1221" spans="17:31" x14ac:dyDescent="0.2">
      <c r="Q1221" s="17">
        <f>IFERROR(VLOOKUP(A1221,已除帳印單!B:C,1,0),0)*1</f>
        <v>0</v>
      </c>
      <c r="R1221" s="67" t="str">
        <f>IFERROR(VLOOKUP(J1221,線別!A:B,2,1),"")</f>
        <v/>
      </c>
      <c r="S1221" s="17" t="str">
        <f>IFERROR(VLOOKUP(A1221,已除帳印單!B:C,2,0),"")</f>
        <v/>
      </c>
      <c r="T1221" s="68" t="e">
        <f t="shared" si="116"/>
        <v>#VALUE!</v>
      </c>
      <c r="U1221" s="69">
        <f t="shared" si="117"/>
        <v>0</v>
      </c>
      <c r="V1221" s="68" t="str">
        <f>IFERROR(VLOOKUP(A1221,已除帳印單!B:D,3,0),"")</f>
        <v/>
      </c>
      <c r="W1221" s="69" t="str">
        <f>IFERROR(VLOOKUP(A1221,已除帳印單!B:E,4,0),"")</f>
        <v/>
      </c>
      <c r="X1221" s="68" t="str">
        <f>IFERROR(INDEX(刷條碼區!A:C,MATCH(點上線資訊!S1221,刷條碼區!C:C,0),1),"")</f>
        <v/>
      </c>
      <c r="Y1221" s="69" t="str">
        <f>IFERROR(INDEX(刷條碼區!A:C,MATCH(點上線資訊!S1221,刷條碼區!C:C,0),2),"")</f>
        <v/>
      </c>
      <c r="Z1221" s="70" t="str">
        <f>IFERROR(INDEX(刷條碼區!D:G,MATCH(點上線資訊!S1221,刷條碼區!F:F,0),1),"")</f>
        <v/>
      </c>
      <c r="AA1221" s="71" t="str">
        <f>IFERROR(INDEX(刷條碼區!D:G,MATCH(點上線資訊!S1221,刷條碼區!F:F,0),2),"")</f>
        <v/>
      </c>
      <c r="AB1221" s="20">
        <f t="shared" si="118"/>
        <v>0</v>
      </c>
      <c r="AC1221" s="20" t="b">
        <f t="shared" si="119"/>
        <v>0</v>
      </c>
      <c r="AD1221" s="17" t="b">
        <f t="shared" si="120"/>
        <v>0</v>
      </c>
      <c r="AE1221" s="17" t="b">
        <f t="shared" si="121"/>
        <v>0</v>
      </c>
    </row>
    <row r="1222" spans="17:31" x14ac:dyDescent="0.2">
      <c r="Q1222" s="17">
        <f>IFERROR(VLOOKUP(A1222,已除帳印單!B:C,1,0),0)*1</f>
        <v>0</v>
      </c>
      <c r="R1222" s="67" t="str">
        <f>IFERROR(VLOOKUP(J1222,線別!A:B,2,1),"")</f>
        <v/>
      </c>
      <c r="S1222" s="17" t="str">
        <f>IFERROR(VLOOKUP(A1222,已除帳印單!B:C,2,0),"")</f>
        <v/>
      </c>
      <c r="T1222" s="68" t="e">
        <f t="shared" si="116"/>
        <v>#VALUE!</v>
      </c>
      <c r="U1222" s="69">
        <f t="shared" si="117"/>
        <v>0</v>
      </c>
      <c r="V1222" s="68" t="str">
        <f>IFERROR(VLOOKUP(A1222,已除帳印單!B:D,3,0),"")</f>
        <v/>
      </c>
      <c r="W1222" s="69" t="str">
        <f>IFERROR(VLOOKUP(A1222,已除帳印單!B:E,4,0),"")</f>
        <v/>
      </c>
      <c r="X1222" s="68" t="str">
        <f>IFERROR(INDEX(刷條碼區!A:C,MATCH(點上線資訊!S1222,刷條碼區!C:C,0),1),"")</f>
        <v/>
      </c>
      <c r="Y1222" s="69" t="str">
        <f>IFERROR(INDEX(刷條碼區!A:C,MATCH(點上線資訊!S1222,刷條碼區!C:C,0),2),"")</f>
        <v/>
      </c>
      <c r="Z1222" s="70" t="str">
        <f>IFERROR(INDEX(刷條碼區!D:G,MATCH(點上線資訊!S1222,刷條碼區!F:F,0),1),"")</f>
        <v/>
      </c>
      <c r="AA1222" s="71" t="str">
        <f>IFERROR(INDEX(刷條碼區!D:G,MATCH(點上線資訊!S1222,刷條碼區!F:F,0),2),"")</f>
        <v/>
      </c>
      <c r="AB1222" s="20">
        <f t="shared" si="118"/>
        <v>0</v>
      </c>
      <c r="AC1222" s="20" t="b">
        <f t="shared" si="119"/>
        <v>0</v>
      </c>
      <c r="AD1222" s="17" t="b">
        <f t="shared" si="120"/>
        <v>0</v>
      </c>
      <c r="AE1222" s="17" t="b">
        <f t="shared" si="121"/>
        <v>0</v>
      </c>
    </row>
    <row r="1223" spans="17:31" x14ac:dyDescent="0.2">
      <c r="Q1223" s="17">
        <f>IFERROR(VLOOKUP(A1223,已除帳印單!B:C,1,0),0)*1</f>
        <v>0</v>
      </c>
      <c r="R1223" s="67" t="str">
        <f>IFERROR(VLOOKUP(J1223,線別!A:B,2,1),"")</f>
        <v/>
      </c>
      <c r="S1223" s="17" t="str">
        <f>IFERROR(VLOOKUP(A1223,已除帳印單!B:C,2,0),"")</f>
        <v/>
      </c>
      <c r="T1223" s="68" t="e">
        <f t="shared" si="116"/>
        <v>#VALUE!</v>
      </c>
      <c r="U1223" s="69">
        <f t="shared" si="117"/>
        <v>0</v>
      </c>
      <c r="V1223" s="68" t="str">
        <f>IFERROR(VLOOKUP(A1223,已除帳印單!B:D,3,0),"")</f>
        <v/>
      </c>
      <c r="W1223" s="69" t="str">
        <f>IFERROR(VLOOKUP(A1223,已除帳印單!B:E,4,0),"")</f>
        <v/>
      </c>
      <c r="X1223" s="68" t="str">
        <f>IFERROR(INDEX(刷條碼區!A:C,MATCH(點上線資訊!S1223,刷條碼區!C:C,0),1),"")</f>
        <v/>
      </c>
      <c r="Y1223" s="69" t="str">
        <f>IFERROR(INDEX(刷條碼區!A:C,MATCH(點上線資訊!S1223,刷條碼區!C:C,0),2),"")</f>
        <v/>
      </c>
      <c r="Z1223" s="70" t="str">
        <f>IFERROR(INDEX(刷條碼區!D:G,MATCH(點上線資訊!S1223,刷條碼區!F:F,0),1),"")</f>
        <v/>
      </c>
      <c r="AA1223" s="71" t="str">
        <f>IFERROR(INDEX(刷條碼區!D:G,MATCH(點上線資訊!S1223,刷條碼區!F:F,0),2),"")</f>
        <v/>
      </c>
      <c r="AB1223" s="20">
        <f t="shared" si="118"/>
        <v>0</v>
      </c>
      <c r="AC1223" s="20" t="b">
        <f t="shared" si="119"/>
        <v>0</v>
      </c>
      <c r="AD1223" s="17" t="b">
        <f t="shared" si="120"/>
        <v>0</v>
      </c>
      <c r="AE1223" s="17" t="b">
        <f t="shared" si="121"/>
        <v>0</v>
      </c>
    </row>
    <row r="1224" spans="17:31" x14ac:dyDescent="0.2">
      <c r="Q1224" s="17">
        <f>IFERROR(VLOOKUP(A1224,已除帳印單!B:C,1,0),0)*1</f>
        <v>0</v>
      </c>
      <c r="R1224" s="67" t="str">
        <f>IFERROR(VLOOKUP(J1224,線別!A:B,2,1),"")</f>
        <v/>
      </c>
      <c r="S1224" s="17" t="str">
        <f>IFERROR(VLOOKUP(A1224,已除帳印單!B:C,2,0),"")</f>
        <v/>
      </c>
      <c r="T1224" s="68" t="e">
        <f t="shared" si="116"/>
        <v>#VALUE!</v>
      </c>
      <c r="U1224" s="69">
        <f t="shared" si="117"/>
        <v>0</v>
      </c>
      <c r="V1224" s="68" t="str">
        <f>IFERROR(VLOOKUP(A1224,已除帳印單!B:D,3,0),"")</f>
        <v/>
      </c>
      <c r="W1224" s="69" t="str">
        <f>IFERROR(VLOOKUP(A1224,已除帳印單!B:E,4,0),"")</f>
        <v/>
      </c>
      <c r="X1224" s="68" t="str">
        <f>IFERROR(INDEX(刷條碼區!A:C,MATCH(點上線資訊!S1224,刷條碼區!C:C,0),1),"")</f>
        <v/>
      </c>
      <c r="Y1224" s="69" t="str">
        <f>IFERROR(INDEX(刷條碼區!A:C,MATCH(點上線資訊!S1224,刷條碼區!C:C,0),2),"")</f>
        <v/>
      </c>
      <c r="Z1224" s="70" t="str">
        <f>IFERROR(INDEX(刷條碼區!D:G,MATCH(點上線資訊!S1224,刷條碼區!F:F,0),1),"")</f>
        <v/>
      </c>
      <c r="AA1224" s="71" t="str">
        <f>IFERROR(INDEX(刷條碼區!D:G,MATCH(點上線資訊!S1224,刷條碼區!F:F,0),2),"")</f>
        <v/>
      </c>
      <c r="AB1224" s="20">
        <f t="shared" si="118"/>
        <v>0</v>
      </c>
      <c r="AC1224" s="20" t="b">
        <f t="shared" si="119"/>
        <v>0</v>
      </c>
      <c r="AD1224" s="17" t="b">
        <f t="shared" si="120"/>
        <v>0</v>
      </c>
      <c r="AE1224" s="17" t="b">
        <f t="shared" si="121"/>
        <v>0</v>
      </c>
    </row>
    <row r="1225" spans="17:31" x14ac:dyDescent="0.2">
      <c r="Q1225" s="17">
        <f>IFERROR(VLOOKUP(A1225,已除帳印單!B:C,1,0),0)*1</f>
        <v>0</v>
      </c>
      <c r="R1225" s="67" t="str">
        <f>IFERROR(VLOOKUP(J1225,線別!A:B,2,1),"")</f>
        <v/>
      </c>
      <c r="S1225" s="17" t="str">
        <f>IFERROR(VLOOKUP(A1225,已除帳印單!B:C,2,0),"")</f>
        <v/>
      </c>
      <c r="T1225" s="68" t="e">
        <f t="shared" si="116"/>
        <v>#VALUE!</v>
      </c>
      <c r="U1225" s="69">
        <f t="shared" si="117"/>
        <v>0</v>
      </c>
      <c r="V1225" s="68" t="str">
        <f>IFERROR(VLOOKUP(A1225,已除帳印單!B:D,3,0),"")</f>
        <v/>
      </c>
      <c r="W1225" s="69" t="str">
        <f>IFERROR(VLOOKUP(A1225,已除帳印單!B:E,4,0),"")</f>
        <v/>
      </c>
      <c r="X1225" s="68" t="str">
        <f>IFERROR(INDEX(刷條碼區!A:C,MATCH(點上線資訊!S1225,刷條碼區!C:C,0),1),"")</f>
        <v/>
      </c>
      <c r="Y1225" s="69" t="str">
        <f>IFERROR(INDEX(刷條碼區!A:C,MATCH(點上線資訊!S1225,刷條碼區!C:C,0),2),"")</f>
        <v/>
      </c>
      <c r="Z1225" s="70" t="str">
        <f>IFERROR(INDEX(刷條碼區!D:G,MATCH(點上線資訊!S1225,刷條碼區!F:F,0),1),"")</f>
        <v/>
      </c>
      <c r="AA1225" s="71" t="str">
        <f>IFERROR(INDEX(刷條碼區!D:G,MATCH(點上線資訊!S1225,刷條碼區!F:F,0),2),"")</f>
        <v/>
      </c>
      <c r="AB1225" s="20">
        <f t="shared" si="118"/>
        <v>0</v>
      </c>
      <c r="AC1225" s="20" t="b">
        <f t="shared" si="119"/>
        <v>0</v>
      </c>
      <c r="AD1225" s="17" t="b">
        <f t="shared" si="120"/>
        <v>0</v>
      </c>
      <c r="AE1225" s="17" t="b">
        <f t="shared" si="121"/>
        <v>0</v>
      </c>
    </row>
    <row r="1226" spans="17:31" x14ac:dyDescent="0.2">
      <c r="Q1226" s="17">
        <f>IFERROR(VLOOKUP(A1226,已除帳印單!B:C,1,0),0)*1</f>
        <v>0</v>
      </c>
      <c r="R1226" s="67" t="str">
        <f>IFERROR(VLOOKUP(J1226,線別!A:B,2,1),"")</f>
        <v/>
      </c>
      <c r="S1226" s="17" t="str">
        <f>IFERROR(VLOOKUP(A1226,已除帳印單!B:C,2,0),"")</f>
        <v/>
      </c>
      <c r="T1226" s="68" t="e">
        <f t="shared" si="116"/>
        <v>#VALUE!</v>
      </c>
      <c r="U1226" s="69">
        <f t="shared" si="117"/>
        <v>0</v>
      </c>
      <c r="V1226" s="68" t="str">
        <f>IFERROR(VLOOKUP(A1226,已除帳印單!B:D,3,0),"")</f>
        <v/>
      </c>
      <c r="W1226" s="69" t="str">
        <f>IFERROR(VLOOKUP(A1226,已除帳印單!B:E,4,0),"")</f>
        <v/>
      </c>
      <c r="X1226" s="68" t="str">
        <f>IFERROR(INDEX(刷條碼區!A:C,MATCH(點上線資訊!S1226,刷條碼區!C:C,0),1),"")</f>
        <v/>
      </c>
      <c r="Y1226" s="69" t="str">
        <f>IFERROR(INDEX(刷條碼區!A:C,MATCH(點上線資訊!S1226,刷條碼區!C:C,0),2),"")</f>
        <v/>
      </c>
      <c r="Z1226" s="70" t="str">
        <f>IFERROR(INDEX(刷條碼區!D:G,MATCH(點上線資訊!S1226,刷條碼區!F:F,0),1),"")</f>
        <v/>
      </c>
      <c r="AA1226" s="71" t="str">
        <f>IFERROR(INDEX(刷條碼區!D:G,MATCH(點上線資訊!S1226,刷條碼區!F:F,0),2),"")</f>
        <v/>
      </c>
      <c r="AB1226" s="20">
        <f t="shared" si="118"/>
        <v>0</v>
      </c>
      <c r="AC1226" s="20" t="b">
        <f t="shared" si="119"/>
        <v>0</v>
      </c>
      <c r="AD1226" s="17" t="b">
        <f t="shared" si="120"/>
        <v>0</v>
      </c>
      <c r="AE1226" s="17" t="b">
        <f t="shared" si="121"/>
        <v>0</v>
      </c>
    </row>
    <row r="1227" spans="17:31" x14ac:dyDescent="0.2">
      <c r="Q1227" s="17">
        <f>IFERROR(VLOOKUP(A1227,已除帳印單!B:C,1,0),0)*1</f>
        <v>0</v>
      </c>
      <c r="R1227" s="67" t="str">
        <f>IFERROR(VLOOKUP(J1227,線別!A:B,2,1),"")</f>
        <v/>
      </c>
      <c r="S1227" s="17" t="str">
        <f>IFERROR(VLOOKUP(A1227,已除帳印單!B:C,2,0),"")</f>
        <v/>
      </c>
      <c r="T1227" s="68" t="e">
        <f t="shared" si="116"/>
        <v>#VALUE!</v>
      </c>
      <c r="U1227" s="69">
        <f t="shared" si="117"/>
        <v>0</v>
      </c>
      <c r="V1227" s="68" t="str">
        <f>IFERROR(VLOOKUP(A1227,已除帳印單!B:D,3,0),"")</f>
        <v/>
      </c>
      <c r="W1227" s="69" t="str">
        <f>IFERROR(VLOOKUP(A1227,已除帳印單!B:E,4,0),"")</f>
        <v/>
      </c>
      <c r="X1227" s="68" t="str">
        <f>IFERROR(INDEX(刷條碼區!A:C,MATCH(點上線資訊!S1227,刷條碼區!C:C,0),1),"")</f>
        <v/>
      </c>
      <c r="Y1227" s="69" t="str">
        <f>IFERROR(INDEX(刷條碼區!A:C,MATCH(點上線資訊!S1227,刷條碼區!C:C,0),2),"")</f>
        <v/>
      </c>
      <c r="Z1227" s="70" t="str">
        <f>IFERROR(INDEX(刷條碼區!D:G,MATCH(點上線資訊!S1227,刷條碼區!F:F,0),1),"")</f>
        <v/>
      </c>
      <c r="AA1227" s="71" t="str">
        <f>IFERROR(INDEX(刷條碼區!D:G,MATCH(點上線資訊!S1227,刷條碼區!F:F,0),2),"")</f>
        <v/>
      </c>
      <c r="AB1227" s="20">
        <f t="shared" si="118"/>
        <v>0</v>
      </c>
      <c r="AC1227" s="20" t="b">
        <f t="shared" si="119"/>
        <v>0</v>
      </c>
      <c r="AD1227" s="17" t="b">
        <f t="shared" si="120"/>
        <v>0</v>
      </c>
      <c r="AE1227" s="17" t="b">
        <f t="shared" si="121"/>
        <v>0</v>
      </c>
    </row>
    <row r="1228" spans="17:31" x14ac:dyDescent="0.2">
      <c r="Q1228" s="17">
        <f>IFERROR(VLOOKUP(A1228,已除帳印單!B:C,1,0),0)*1</f>
        <v>0</v>
      </c>
      <c r="R1228" s="67" t="str">
        <f>IFERROR(VLOOKUP(J1228,線別!A:B,2,1),"")</f>
        <v/>
      </c>
      <c r="S1228" s="17" t="str">
        <f>IFERROR(VLOOKUP(A1228,已除帳印單!B:C,2,0),"")</f>
        <v/>
      </c>
      <c r="T1228" s="68" t="e">
        <f t="shared" si="116"/>
        <v>#VALUE!</v>
      </c>
      <c r="U1228" s="69">
        <f t="shared" si="117"/>
        <v>0</v>
      </c>
      <c r="V1228" s="68" t="str">
        <f>IFERROR(VLOOKUP(A1228,已除帳印單!B:D,3,0),"")</f>
        <v/>
      </c>
      <c r="W1228" s="69" t="str">
        <f>IFERROR(VLOOKUP(A1228,已除帳印單!B:E,4,0),"")</f>
        <v/>
      </c>
      <c r="X1228" s="68" t="str">
        <f>IFERROR(INDEX(刷條碼區!A:C,MATCH(點上線資訊!S1228,刷條碼區!C:C,0),1),"")</f>
        <v/>
      </c>
      <c r="Y1228" s="69" t="str">
        <f>IFERROR(INDEX(刷條碼區!A:C,MATCH(點上線資訊!S1228,刷條碼區!C:C,0),2),"")</f>
        <v/>
      </c>
      <c r="Z1228" s="70" t="str">
        <f>IFERROR(INDEX(刷條碼區!D:G,MATCH(點上線資訊!S1228,刷條碼區!F:F,0),1),"")</f>
        <v/>
      </c>
      <c r="AA1228" s="71" t="str">
        <f>IFERROR(INDEX(刷條碼區!D:G,MATCH(點上線資訊!S1228,刷條碼區!F:F,0),2),"")</f>
        <v/>
      </c>
      <c r="AB1228" s="20">
        <f t="shared" si="118"/>
        <v>0</v>
      </c>
      <c r="AC1228" s="20" t="b">
        <f t="shared" si="119"/>
        <v>0</v>
      </c>
      <c r="AD1228" s="17" t="b">
        <f t="shared" si="120"/>
        <v>0</v>
      </c>
      <c r="AE1228" s="17" t="b">
        <f t="shared" si="121"/>
        <v>0</v>
      </c>
    </row>
    <row r="1229" spans="17:31" x14ac:dyDescent="0.2">
      <c r="Q1229" s="17">
        <f>IFERROR(VLOOKUP(A1229,已除帳印單!B:C,1,0),0)*1</f>
        <v>0</v>
      </c>
      <c r="R1229" s="67" t="str">
        <f>IFERROR(VLOOKUP(J1229,線別!A:B,2,1),"")</f>
        <v/>
      </c>
      <c r="S1229" s="17" t="str">
        <f>IFERROR(VLOOKUP(A1229,已除帳印單!B:C,2,0),"")</f>
        <v/>
      </c>
      <c r="T1229" s="68" t="e">
        <f t="shared" si="116"/>
        <v>#VALUE!</v>
      </c>
      <c r="U1229" s="69">
        <f t="shared" si="117"/>
        <v>0</v>
      </c>
      <c r="V1229" s="68" t="str">
        <f>IFERROR(VLOOKUP(A1229,已除帳印單!B:D,3,0),"")</f>
        <v/>
      </c>
      <c r="W1229" s="69" t="str">
        <f>IFERROR(VLOOKUP(A1229,已除帳印單!B:E,4,0),"")</f>
        <v/>
      </c>
      <c r="X1229" s="68" t="str">
        <f>IFERROR(INDEX(刷條碼區!A:C,MATCH(點上線資訊!S1229,刷條碼區!C:C,0),1),"")</f>
        <v/>
      </c>
      <c r="Y1229" s="69" t="str">
        <f>IFERROR(INDEX(刷條碼區!A:C,MATCH(點上線資訊!S1229,刷條碼區!C:C,0),2),"")</f>
        <v/>
      </c>
      <c r="Z1229" s="70" t="str">
        <f>IFERROR(INDEX(刷條碼區!D:G,MATCH(點上線資訊!S1229,刷條碼區!F:F,0),1),"")</f>
        <v/>
      </c>
      <c r="AA1229" s="71" t="str">
        <f>IFERROR(INDEX(刷條碼區!D:G,MATCH(點上線資訊!S1229,刷條碼區!F:F,0),2),"")</f>
        <v/>
      </c>
      <c r="AB1229" s="20">
        <f t="shared" si="118"/>
        <v>0</v>
      </c>
      <c r="AC1229" s="20" t="b">
        <f t="shared" si="119"/>
        <v>0</v>
      </c>
      <c r="AD1229" s="17" t="b">
        <f t="shared" si="120"/>
        <v>0</v>
      </c>
      <c r="AE1229" s="17" t="b">
        <f t="shared" si="121"/>
        <v>0</v>
      </c>
    </row>
    <row r="1230" spans="17:31" x14ac:dyDescent="0.2">
      <c r="Q1230" s="17">
        <f>IFERROR(VLOOKUP(A1230,已除帳印單!B:C,1,0),0)*1</f>
        <v>0</v>
      </c>
      <c r="R1230" s="67" t="str">
        <f>IFERROR(VLOOKUP(J1230,線別!A:B,2,1),"")</f>
        <v/>
      </c>
      <c r="S1230" s="17" t="str">
        <f>IFERROR(VLOOKUP(A1230,已除帳印單!B:C,2,0),"")</f>
        <v/>
      </c>
      <c r="T1230" s="68" t="e">
        <f t="shared" si="116"/>
        <v>#VALUE!</v>
      </c>
      <c r="U1230" s="69">
        <f t="shared" si="117"/>
        <v>0</v>
      </c>
      <c r="V1230" s="68" t="str">
        <f>IFERROR(VLOOKUP(A1230,已除帳印單!B:D,3,0),"")</f>
        <v/>
      </c>
      <c r="W1230" s="69" t="str">
        <f>IFERROR(VLOOKUP(A1230,已除帳印單!B:E,4,0),"")</f>
        <v/>
      </c>
      <c r="X1230" s="68" t="str">
        <f>IFERROR(INDEX(刷條碼區!A:C,MATCH(點上線資訊!S1230,刷條碼區!C:C,0),1),"")</f>
        <v/>
      </c>
      <c r="Y1230" s="69" t="str">
        <f>IFERROR(INDEX(刷條碼區!A:C,MATCH(點上線資訊!S1230,刷條碼區!C:C,0),2),"")</f>
        <v/>
      </c>
      <c r="Z1230" s="70" t="str">
        <f>IFERROR(INDEX(刷條碼區!D:G,MATCH(點上線資訊!S1230,刷條碼區!F:F,0),1),"")</f>
        <v/>
      </c>
      <c r="AA1230" s="71" t="str">
        <f>IFERROR(INDEX(刷條碼區!D:G,MATCH(點上線資訊!S1230,刷條碼區!F:F,0),2),"")</f>
        <v/>
      </c>
      <c r="AB1230" s="20">
        <f t="shared" si="118"/>
        <v>0</v>
      </c>
      <c r="AC1230" s="20" t="b">
        <f t="shared" si="119"/>
        <v>0</v>
      </c>
      <c r="AD1230" s="17" t="b">
        <f t="shared" si="120"/>
        <v>0</v>
      </c>
      <c r="AE1230" s="17" t="b">
        <f t="shared" si="121"/>
        <v>0</v>
      </c>
    </row>
    <row r="1231" spans="17:31" x14ac:dyDescent="0.2">
      <c r="Q1231" s="17">
        <f>IFERROR(VLOOKUP(A1231,已除帳印單!B:C,1,0),0)*1</f>
        <v>0</v>
      </c>
      <c r="R1231" s="67" t="str">
        <f>IFERROR(VLOOKUP(J1231,線別!A:B,2,1),"")</f>
        <v/>
      </c>
      <c r="S1231" s="17" t="str">
        <f>IFERROR(VLOOKUP(A1231,已除帳印單!B:C,2,0),"")</f>
        <v/>
      </c>
      <c r="T1231" s="68" t="e">
        <f t="shared" si="116"/>
        <v>#VALUE!</v>
      </c>
      <c r="U1231" s="69">
        <f t="shared" si="117"/>
        <v>0</v>
      </c>
      <c r="V1231" s="68" t="str">
        <f>IFERROR(VLOOKUP(A1231,已除帳印單!B:D,3,0),"")</f>
        <v/>
      </c>
      <c r="W1231" s="69" t="str">
        <f>IFERROR(VLOOKUP(A1231,已除帳印單!B:E,4,0),"")</f>
        <v/>
      </c>
      <c r="X1231" s="68" t="str">
        <f>IFERROR(INDEX(刷條碼區!A:C,MATCH(點上線資訊!S1231,刷條碼區!C:C,0),1),"")</f>
        <v/>
      </c>
      <c r="Y1231" s="69" t="str">
        <f>IFERROR(INDEX(刷條碼區!A:C,MATCH(點上線資訊!S1231,刷條碼區!C:C,0),2),"")</f>
        <v/>
      </c>
      <c r="Z1231" s="70" t="str">
        <f>IFERROR(INDEX(刷條碼區!D:G,MATCH(點上線資訊!S1231,刷條碼區!F:F,0),1),"")</f>
        <v/>
      </c>
      <c r="AA1231" s="71" t="str">
        <f>IFERROR(INDEX(刷條碼區!D:G,MATCH(點上線資訊!S1231,刷條碼區!F:F,0),2),"")</f>
        <v/>
      </c>
      <c r="AB1231" s="20">
        <f t="shared" si="118"/>
        <v>0</v>
      </c>
      <c r="AC1231" s="20" t="b">
        <f t="shared" si="119"/>
        <v>0</v>
      </c>
      <c r="AD1231" s="17" t="b">
        <f t="shared" si="120"/>
        <v>0</v>
      </c>
      <c r="AE1231" s="17" t="b">
        <f t="shared" si="121"/>
        <v>0</v>
      </c>
    </row>
    <row r="1232" spans="17:31" x14ac:dyDescent="0.2">
      <c r="Q1232" s="17">
        <f>IFERROR(VLOOKUP(A1232,已除帳印單!B:C,1,0),0)*1</f>
        <v>0</v>
      </c>
      <c r="R1232" s="67" t="str">
        <f>IFERROR(VLOOKUP(J1232,線別!A:B,2,1),"")</f>
        <v/>
      </c>
      <c r="S1232" s="17" t="str">
        <f>IFERROR(VLOOKUP(A1232,已除帳印單!B:C,2,0),"")</f>
        <v/>
      </c>
      <c r="T1232" s="68" t="e">
        <f t="shared" si="116"/>
        <v>#VALUE!</v>
      </c>
      <c r="U1232" s="69">
        <f t="shared" si="117"/>
        <v>0</v>
      </c>
      <c r="V1232" s="68" t="str">
        <f>IFERROR(VLOOKUP(A1232,已除帳印單!B:D,3,0),"")</f>
        <v/>
      </c>
      <c r="W1232" s="69" t="str">
        <f>IFERROR(VLOOKUP(A1232,已除帳印單!B:E,4,0),"")</f>
        <v/>
      </c>
      <c r="X1232" s="68" t="str">
        <f>IFERROR(INDEX(刷條碼區!A:C,MATCH(點上線資訊!S1232,刷條碼區!C:C,0),1),"")</f>
        <v/>
      </c>
      <c r="Y1232" s="69" t="str">
        <f>IFERROR(INDEX(刷條碼區!A:C,MATCH(點上線資訊!S1232,刷條碼區!C:C,0),2),"")</f>
        <v/>
      </c>
      <c r="Z1232" s="70" t="str">
        <f>IFERROR(INDEX(刷條碼區!D:G,MATCH(點上線資訊!S1232,刷條碼區!F:F,0),1),"")</f>
        <v/>
      </c>
      <c r="AA1232" s="71" t="str">
        <f>IFERROR(INDEX(刷條碼區!D:G,MATCH(點上線資訊!S1232,刷條碼區!F:F,0),2),"")</f>
        <v/>
      </c>
      <c r="AB1232" s="20">
        <f t="shared" si="118"/>
        <v>0</v>
      </c>
      <c r="AC1232" s="20" t="b">
        <f t="shared" si="119"/>
        <v>0</v>
      </c>
      <c r="AD1232" s="17" t="b">
        <f t="shared" si="120"/>
        <v>0</v>
      </c>
      <c r="AE1232" s="17" t="b">
        <f t="shared" si="121"/>
        <v>0</v>
      </c>
    </row>
    <row r="1233" spans="17:31" x14ac:dyDescent="0.2">
      <c r="Q1233" s="17">
        <f>IFERROR(VLOOKUP(A1233,已除帳印單!B:C,1,0),0)*1</f>
        <v>0</v>
      </c>
      <c r="R1233" s="67" t="str">
        <f>IFERROR(VLOOKUP(J1233,線別!A:B,2,1),"")</f>
        <v/>
      </c>
      <c r="S1233" s="17" t="str">
        <f>IFERROR(VLOOKUP(A1233,已除帳印單!B:C,2,0),"")</f>
        <v/>
      </c>
      <c r="T1233" s="68" t="e">
        <f t="shared" si="116"/>
        <v>#VALUE!</v>
      </c>
      <c r="U1233" s="69">
        <f t="shared" si="117"/>
        <v>0</v>
      </c>
      <c r="V1233" s="68" t="str">
        <f>IFERROR(VLOOKUP(A1233,已除帳印單!B:D,3,0),"")</f>
        <v/>
      </c>
      <c r="W1233" s="69" t="str">
        <f>IFERROR(VLOOKUP(A1233,已除帳印單!B:E,4,0),"")</f>
        <v/>
      </c>
      <c r="X1233" s="68" t="str">
        <f>IFERROR(INDEX(刷條碼區!A:C,MATCH(點上線資訊!S1233,刷條碼區!C:C,0),1),"")</f>
        <v/>
      </c>
      <c r="Y1233" s="69" t="str">
        <f>IFERROR(INDEX(刷條碼區!A:C,MATCH(點上線資訊!S1233,刷條碼區!C:C,0),2),"")</f>
        <v/>
      </c>
      <c r="Z1233" s="70" t="str">
        <f>IFERROR(INDEX(刷條碼區!D:G,MATCH(點上線資訊!S1233,刷條碼區!F:F,0),1),"")</f>
        <v/>
      </c>
      <c r="AA1233" s="71" t="str">
        <f>IFERROR(INDEX(刷條碼區!D:G,MATCH(點上線資訊!S1233,刷條碼區!F:F,0),2),"")</f>
        <v/>
      </c>
      <c r="AB1233" s="20">
        <f t="shared" si="118"/>
        <v>0</v>
      </c>
      <c r="AC1233" s="20" t="b">
        <f t="shared" si="119"/>
        <v>0</v>
      </c>
      <c r="AD1233" s="17" t="b">
        <f t="shared" si="120"/>
        <v>0</v>
      </c>
      <c r="AE1233" s="17" t="b">
        <f t="shared" si="121"/>
        <v>0</v>
      </c>
    </row>
    <row r="1234" spans="17:31" x14ac:dyDescent="0.2">
      <c r="Q1234" s="17">
        <f>IFERROR(VLOOKUP(A1234,已除帳印單!B:C,1,0),0)*1</f>
        <v>0</v>
      </c>
      <c r="R1234" s="67" t="str">
        <f>IFERROR(VLOOKUP(J1234,線別!A:B,2,1),"")</f>
        <v/>
      </c>
      <c r="S1234" s="17" t="str">
        <f>IFERROR(VLOOKUP(A1234,已除帳印單!B:C,2,0),"")</f>
        <v/>
      </c>
      <c r="T1234" s="68" t="e">
        <f t="shared" si="116"/>
        <v>#VALUE!</v>
      </c>
      <c r="U1234" s="69">
        <f t="shared" si="117"/>
        <v>0</v>
      </c>
      <c r="V1234" s="68" t="str">
        <f>IFERROR(VLOOKUP(A1234,已除帳印單!B:D,3,0),"")</f>
        <v/>
      </c>
      <c r="W1234" s="69" t="str">
        <f>IFERROR(VLOOKUP(A1234,已除帳印單!B:E,4,0),"")</f>
        <v/>
      </c>
      <c r="X1234" s="68" t="str">
        <f>IFERROR(INDEX(刷條碼區!A:C,MATCH(點上線資訊!S1234,刷條碼區!C:C,0),1),"")</f>
        <v/>
      </c>
      <c r="Y1234" s="69" t="str">
        <f>IFERROR(INDEX(刷條碼區!A:C,MATCH(點上線資訊!S1234,刷條碼區!C:C,0),2),"")</f>
        <v/>
      </c>
      <c r="Z1234" s="70" t="str">
        <f>IFERROR(INDEX(刷條碼區!D:G,MATCH(點上線資訊!S1234,刷條碼區!F:F,0),1),"")</f>
        <v/>
      </c>
      <c r="AA1234" s="71" t="str">
        <f>IFERROR(INDEX(刷條碼區!D:G,MATCH(點上線資訊!S1234,刷條碼區!F:F,0),2),"")</f>
        <v/>
      </c>
      <c r="AB1234" s="20">
        <f t="shared" si="118"/>
        <v>0</v>
      </c>
      <c r="AC1234" s="20" t="b">
        <f t="shared" si="119"/>
        <v>0</v>
      </c>
      <c r="AD1234" s="17" t="b">
        <f t="shared" si="120"/>
        <v>0</v>
      </c>
      <c r="AE1234" s="17" t="b">
        <f t="shared" si="121"/>
        <v>0</v>
      </c>
    </row>
    <row r="1235" spans="17:31" x14ac:dyDescent="0.2">
      <c r="Q1235" s="17">
        <f>IFERROR(VLOOKUP(A1235,已除帳印單!B:C,1,0),0)*1</f>
        <v>0</v>
      </c>
      <c r="R1235" s="67" t="str">
        <f>IFERROR(VLOOKUP(J1235,線別!A:B,2,1),"")</f>
        <v/>
      </c>
      <c r="S1235" s="17" t="str">
        <f>IFERROR(VLOOKUP(A1235,已除帳印單!B:C,2,0),"")</f>
        <v/>
      </c>
      <c r="T1235" s="68" t="e">
        <f t="shared" si="116"/>
        <v>#VALUE!</v>
      </c>
      <c r="U1235" s="69">
        <f t="shared" si="117"/>
        <v>0</v>
      </c>
      <c r="V1235" s="68" t="str">
        <f>IFERROR(VLOOKUP(A1235,已除帳印單!B:D,3,0),"")</f>
        <v/>
      </c>
      <c r="W1235" s="69" t="str">
        <f>IFERROR(VLOOKUP(A1235,已除帳印單!B:E,4,0),"")</f>
        <v/>
      </c>
      <c r="X1235" s="68" t="str">
        <f>IFERROR(INDEX(刷條碼區!A:C,MATCH(點上線資訊!S1235,刷條碼區!C:C,0),1),"")</f>
        <v/>
      </c>
      <c r="Y1235" s="69" t="str">
        <f>IFERROR(INDEX(刷條碼區!A:C,MATCH(點上線資訊!S1235,刷條碼區!C:C,0),2),"")</f>
        <v/>
      </c>
      <c r="Z1235" s="70" t="str">
        <f>IFERROR(INDEX(刷條碼區!D:G,MATCH(點上線資訊!S1235,刷條碼區!F:F,0),1),"")</f>
        <v/>
      </c>
      <c r="AA1235" s="71" t="str">
        <f>IFERROR(INDEX(刷條碼區!D:G,MATCH(點上線資訊!S1235,刷條碼區!F:F,0),2),"")</f>
        <v/>
      </c>
      <c r="AB1235" s="20">
        <f t="shared" si="118"/>
        <v>0</v>
      </c>
      <c r="AC1235" s="20" t="b">
        <f t="shared" si="119"/>
        <v>0</v>
      </c>
      <c r="AD1235" s="17" t="b">
        <f t="shared" si="120"/>
        <v>0</v>
      </c>
      <c r="AE1235" s="17" t="b">
        <f t="shared" si="121"/>
        <v>0</v>
      </c>
    </row>
    <row r="1236" spans="17:31" x14ac:dyDescent="0.2">
      <c r="Q1236" s="17">
        <f>IFERROR(VLOOKUP(A1236,已除帳印單!B:C,1,0),0)*1</f>
        <v>0</v>
      </c>
      <c r="R1236" s="67" t="str">
        <f>IFERROR(VLOOKUP(J1236,線別!A:B,2,1),"")</f>
        <v/>
      </c>
      <c r="S1236" s="17" t="str">
        <f>IFERROR(VLOOKUP(A1236,已除帳印單!B:C,2,0),"")</f>
        <v/>
      </c>
      <c r="T1236" s="68" t="e">
        <f t="shared" si="116"/>
        <v>#VALUE!</v>
      </c>
      <c r="U1236" s="69">
        <f t="shared" si="117"/>
        <v>0</v>
      </c>
      <c r="V1236" s="68" t="str">
        <f>IFERROR(VLOOKUP(A1236,已除帳印單!B:D,3,0),"")</f>
        <v/>
      </c>
      <c r="W1236" s="69" t="str">
        <f>IFERROR(VLOOKUP(A1236,已除帳印單!B:E,4,0),"")</f>
        <v/>
      </c>
      <c r="X1236" s="68" t="str">
        <f>IFERROR(INDEX(刷條碼區!A:C,MATCH(點上線資訊!S1236,刷條碼區!C:C,0),1),"")</f>
        <v/>
      </c>
      <c r="Y1236" s="69" t="str">
        <f>IFERROR(INDEX(刷條碼區!A:C,MATCH(點上線資訊!S1236,刷條碼區!C:C,0),2),"")</f>
        <v/>
      </c>
      <c r="Z1236" s="70" t="str">
        <f>IFERROR(INDEX(刷條碼區!D:G,MATCH(點上線資訊!S1236,刷條碼區!F:F,0),1),"")</f>
        <v/>
      </c>
      <c r="AA1236" s="71" t="str">
        <f>IFERROR(INDEX(刷條碼區!D:G,MATCH(點上線資訊!S1236,刷條碼區!F:F,0),2),"")</f>
        <v/>
      </c>
      <c r="AB1236" s="20">
        <f t="shared" si="118"/>
        <v>0</v>
      </c>
      <c r="AC1236" s="20" t="b">
        <f t="shared" si="119"/>
        <v>0</v>
      </c>
      <c r="AD1236" s="17" t="b">
        <f t="shared" si="120"/>
        <v>0</v>
      </c>
      <c r="AE1236" s="17" t="b">
        <f t="shared" si="121"/>
        <v>0</v>
      </c>
    </row>
    <row r="1237" spans="17:31" x14ac:dyDescent="0.2">
      <c r="Q1237" s="17">
        <f>IFERROR(VLOOKUP(A1237,已除帳印單!B:C,1,0),0)*1</f>
        <v>0</v>
      </c>
      <c r="R1237" s="67" t="str">
        <f>IFERROR(VLOOKUP(J1237,線別!A:B,2,1),"")</f>
        <v/>
      </c>
      <c r="S1237" s="17" t="str">
        <f>IFERROR(VLOOKUP(A1237,已除帳印單!B:C,2,0),"")</f>
        <v/>
      </c>
      <c r="T1237" s="68" t="e">
        <f t="shared" si="116"/>
        <v>#VALUE!</v>
      </c>
      <c r="U1237" s="69">
        <f t="shared" si="117"/>
        <v>0</v>
      </c>
      <c r="V1237" s="68" t="str">
        <f>IFERROR(VLOOKUP(A1237,已除帳印單!B:D,3,0),"")</f>
        <v/>
      </c>
      <c r="W1237" s="69" t="str">
        <f>IFERROR(VLOOKUP(A1237,已除帳印單!B:E,4,0),"")</f>
        <v/>
      </c>
      <c r="X1237" s="68" t="str">
        <f>IFERROR(INDEX(刷條碼區!A:C,MATCH(點上線資訊!S1237,刷條碼區!C:C,0),1),"")</f>
        <v/>
      </c>
      <c r="Y1237" s="69" t="str">
        <f>IFERROR(INDEX(刷條碼區!A:C,MATCH(點上線資訊!S1237,刷條碼區!C:C,0),2),"")</f>
        <v/>
      </c>
      <c r="Z1237" s="70" t="str">
        <f>IFERROR(INDEX(刷條碼區!D:G,MATCH(點上線資訊!S1237,刷條碼區!F:F,0),1),"")</f>
        <v/>
      </c>
      <c r="AA1237" s="71" t="str">
        <f>IFERROR(INDEX(刷條碼區!D:G,MATCH(點上線資訊!S1237,刷條碼區!F:F,0),2),"")</f>
        <v/>
      </c>
      <c r="AB1237" s="20">
        <f t="shared" si="118"/>
        <v>0</v>
      </c>
      <c r="AC1237" s="20" t="b">
        <f t="shared" si="119"/>
        <v>0</v>
      </c>
      <c r="AD1237" s="17" t="b">
        <f t="shared" si="120"/>
        <v>0</v>
      </c>
      <c r="AE1237" s="17" t="b">
        <f t="shared" si="121"/>
        <v>0</v>
      </c>
    </row>
    <row r="1238" spans="17:31" x14ac:dyDescent="0.2">
      <c r="Q1238" s="17">
        <f>IFERROR(VLOOKUP(A1238,已除帳印單!B:C,1,0),0)*1</f>
        <v>0</v>
      </c>
      <c r="R1238" s="67" t="str">
        <f>IFERROR(VLOOKUP(J1238,線別!A:B,2,1),"")</f>
        <v/>
      </c>
      <c r="S1238" s="17" t="str">
        <f>IFERROR(VLOOKUP(A1238,已除帳印單!B:C,2,0),"")</f>
        <v/>
      </c>
      <c r="T1238" s="68" t="e">
        <f t="shared" si="116"/>
        <v>#VALUE!</v>
      </c>
      <c r="U1238" s="69">
        <f t="shared" si="117"/>
        <v>0</v>
      </c>
      <c r="V1238" s="68" t="str">
        <f>IFERROR(VLOOKUP(A1238,已除帳印單!B:D,3,0),"")</f>
        <v/>
      </c>
      <c r="W1238" s="69" t="str">
        <f>IFERROR(VLOOKUP(A1238,已除帳印單!B:E,4,0),"")</f>
        <v/>
      </c>
      <c r="X1238" s="68" t="str">
        <f>IFERROR(INDEX(刷條碼區!A:C,MATCH(點上線資訊!S1238,刷條碼區!C:C,0),1),"")</f>
        <v/>
      </c>
      <c r="Y1238" s="69" t="str">
        <f>IFERROR(INDEX(刷條碼區!A:C,MATCH(點上線資訊!S1238,刷條碼區!C:C,0),2),"")</f>
        <v/>
      </c>
      <c r="Z1238" s="70" t="str">
        <f>IFERROR(INDEX(刷條碼區!D:G,MATCH(點上線資訊!S1238,刷條碼區!F:F,0),1),"")</f>
        <v/>
      </c>
      <c r="AA1238" s="71" t="str">
        <f>IFERROR(INDEX(刷條碼區!D:G,MATCH(點上線資訊!S1238,刷條碼區!F:F,0),2),"")</f>
        <v/>
      </c>
      <c r="AB1238" s="20">
        <f t="shared" si="118"/>
        <v>0</v>
      </c>
      <c r="AC1238" s="20" t="b">
        <f t="shared" si="119"/>
        <v>0</v>
      </c>
      <c r="AD1238" s="17" t="b">
        <f t="shared" si="120"/>
        <v>0</v>
      </c>
      <c r="AE1238" s="17" t="b">
        <f t="shared" si="121"/>
        <v>0</v>
      </c>
    </row>
    <row r="1239" spans="17:31" x14ac:dyDescent="0.2">
      <c r="Q1239" s="17">
        <f>IFERROR(VLOOKUP(A1239,已除帳印單!B:C,1,0),0)*1</f>
        <v>0</v>
      </c>
      <c r="R1239" s="67" t="str">
        <f>IFERROR(VLOOKUP(J1239,線別!A:B,2,1),"")</f>
        <v/>
      </c>
      <c r="S1239" s="17" t="str">
        <f>IFERROR(VLOOKUP(A1239,已除帳印單!B:C,2,0),"")</f>
        <v/>
      </c>
      <c r="T1239" s="68" t="e">
        <f t="shared" si="116"/>
        <v>#VALUE!</v>
      </c>
      <c r="U1239" s="69">
        <f t="shared" si="117"/>
        <v>0</v>
      </c>
      <c r="V1239" s="68" t="str">
        <f>IFERROR(VLOOKUP(A1239,已除帳印單!B:D,3,0),"")</f>
        <v/>
      </c>
      <c r="W1239" s="69" t="str">
        <f>IFERROR(VLOOKUP(A1239,已除帳印單!B:E,4,0),"")</f>
        <v/>
      </c>
      <c r="X1239" s="68" t="str">
        <f>IFERROR(INDEX(刷條碼區!A:C,MATCH(點上線資訊!S1239,刷條碼區!C:C,0),1),"")</f>
        <v/>
      </c>
      <c r="Y1239" s="69" t="str">
        <f>IFERROR(INDEX(刷條碼區!A:C,MATCH(點上線資訊!S1239,刷條碼區!C:C,0),2),"")</f>
        <v/>
      </c>
      <c r="Z1239" s="70" t="str">
        <f>IFERROR(INDEX(刷條碼區!D:G,MATCH(點上線資訊!S1239,刷條碼區!F:F,0),1),"")</f>
        <v/>
      </c>
      <c r="AA1239" s="71" t="str">
        <f>IFERROR(INDEX(刷條碼區!D:G,MATCH(點上線資訊!S1239,刷條碼區!F:F,0),2),"")</f>
        <v/>
      </c>
      <c r="AB1239" s="20">
        <f t="shared" si="118"/>
        <v>0</v>
      </c>
      <c r="AC1239" s="20" t="b">
        <f t="shared" si="119"/>
        <v>0</v>
      </c>
      <c r="AD1239" s="17" t="b">
        <f t="shared" si="120"/>
        <v>0</v>
      </c>
      <c r="AE1239" s="17" t="b">
        <f t="shared" si="121"/>
        <v>0</v>
      </c>
    </row>
    <row r="1240" spans="17:31" x14ac:dyDescent="0.2">
      <c r="Q1240" s="17">
        <f>IFERROR(VLOOKUP(A1240,已除帳印單!B:C,1,0),0)*1</f>
        <v>0</v>
      </c>
      <c r="R1240" s="67" t="str">
        <f>IFERROR(VLOOKUP(J1240,線別!A:B,2,1),"")</f>
        <v/>
      </c>
      <c r="S1240" s="17" t="str">
        <f>IFERROR(VLOOKUP(A1240,已除帳印單!B:C,2,0),"")</f>
        <v/>
      </c>
      <c r="T1240" s="68" t="e">
        <f t="shared" si="116"/>
        <v>#VALUE!</v>
      </c>
      <c r="U1240" s="69">
        <f t="shared" si="117"/>
        <v>0</v>
      </c>
      <c r="V1240" s="68" t="str">
        <f>IFERROR(VLOOKUP(A1240,已除帳印單!B:D,3,0),"")</f>
        <v/>
      </c>
      <c r="W1240" s="69" t="str">
        <f>IFERROR(VLOOKUP(A1240,已除帳印單!B:E,4,0),"")</f>
        <v/>
      </c>
      <c r="X1240" s="68" t="str">
        <f>IFERROR(INDEX(刷條碼區!A:C,MATCH(點上線資訊!S1240,刷條碼區!C:C,0),1),"")</f>
        <v/>
      </c>
      <c r="Y1240" s="69" t="str">
        <f>IFERROR(INDEX(刷條碼區!A:C,MATCH(點上線資訊!S1240,刷條碼區!C:C,0),2),"")</f>
        <v/>
      </c>
      <c r="Z1240" s="70" t="str">
        <f>IFERROR(INDEX(刷條碼區!D:G,MATCH(點上線資訊!S1240,刷條碼區!F:F,0),1),"")</f>
        <v/>
      </c>
      <c r="AA1240" s="71" t="str">
        <f>IFERROR(INDEX(刷條碼區!D:G,MATCH(點上線資訊!S1240,刷條碼區!F:F,0),2),"")</f>
        <v/>
      </c>
      <c r="AB1240" s="20">
        <f t="shared" si="118"/>
        <v>0</v>
      </c>
      <c r="AC1240" s="20" t="b">
        <f t="shared" si="119"/>
        <v>0</v>
      </c>
      <c r="AD1240" s="17" t="b">
        <f t="shared" si="120"/>
        <v>0</v>
      </c>
      <c r="AE1240" s="17" t="b">
        <f t="shared" si="121"/>
        <v>0</v>
      </c>
    </row>
    <row r="1241" spans="17:31" x14ac:dyDescent="0.2">
      <c r="Q1241" s="17">
        <f>IFERROR(VLOOKUP(A1241,已除帳印單!B:C,1,0),0)*1</f>
        <v>0</v>
      </c>
      <c r="R1241" s="67" t="str">
        <f>IFERROR(VLOOKUP(J1241,線別!A:B,2,1),"")</f>
        <v/>
      </c>
      <c r="S1241" s="17" t="str">
        <f>IFERROR(VLOOKUP(A1241,已除帳印單!B:C,2,0),"")</f>
        <v/>
      </c>
      <c r="T1241" s="68" t="e">
        <f t="shared" si="116"/>
        <v>#VALUE!</v>
      </c>
      <c r="U1241" s="69">
        <f t="shared" si="117"/>
        <v>0</v>
      </c>
      <c r="V1241" s="68" t="str">
        <f>IFERROR(VLOOKUP(A1241,已除帳印單!B:D,3,0),"")</f>
        <v/>
      </c>
      <c r="W1241" s="69" t="str">
        <f>IFERROR(VLOOKUP(A1241,已除帳印單!B:E,4,0),"")</f>
        <v/>
      </c>
      <c r="X1241" s="68" t="str">
        <f>IFERROR(INDEX(刷條碼區!A:C,MATCH(點上線資訊!S1241,刷條碼區!C:C,0),1),"")</f>
        <v/>
      </c>
      <c r="Y1241" s="69" t="str">
        <f>IFERROR(INDEX(刷條碼區!A:C,MATCH(點上線資訊!S1241,刷條碼區!C:C,0),2),"")</f>
        <v/>
      </c>
      <c r="Z1241" s="70" t="str">
        <f>IFERROR(INDEX(刷條碼區!D:G,MATCH(點上線資訊!S1241,刷條碼區!F:F,0),1),"")</f>
        <v/>
      </c>
      <c r="AA1241" s="71" t="str">
        <f>IFERROR(INDEX(刷條碼區!D:G,MATCH(點上線資訊!S1241,刷條碼區!F:F,0),2),"")</f>
        <v/>
      </c>
      <c r="AB1241" s="20">
        <f t="shared" si="118"/>
        <v>0</v>
      </c>
      <c r="AC1241" s="20" t="b">
        <f t="shared" si="119"/>
        <v>0</v>
      </c>
      <c r="AD1241" s="17" t="b">
        <f t="shared" si="120"/>
        <v>0</v>
      </c>
      <c r="AE1241" s="17" t="b">
        <f t="shared" si="121"/>
        <v>0</v>
      </c>
    </row>
    <row r="1242" spans="17:31" x14ac:dyDescent="0.2">
      <c r="Q1242" s="17">
        <f>IFERROR(VLOOKUP(A1242,已除帳印單!B:C,1,0),0)*1</f>
        <v>0</v>
      </c>
      <c r="R1242" s="67" t="str">
        <f>IFERROR(VLOOKUP(J1242,線別!A:B,2,1),"")</f>
        <v/>
      </c>
      <c r="S1242" s="17" t="str">
        <f>IFERROR(VLOOKUP(A1242,已除帳印單!B:C,2,0),"")</f>
        <v/>
      </c>
      <c r="T1242" s="68" t="e">
        <f t="shared" si="116"/>
        <v>#VALUE!</v>
      </c>
      <c r="U1242" s="69">
        <f t="shared" si="117"/>
        <v>0</v>
      </c>
      <c r="V1242" s="68" t="str">
        <f>IFERROR(VLOOKUP(A1242,已除帳印單!B:D,3,0),"")</f>
        <v/>
      </c>
      <c r="W1242" s="69" t="str">
        <f>IFERROR(VLOOKUP(A1242,已除帳印單!B:E,4,0),"")</f>
        <v/>
      </c>
      <c r="X1242" s="68" t="str">
        <f>IFERROR(INDEX(刷條碼區!A:C,MATCH(點上線資訊!S1242,刷條碼區!C:C,0),1),"")</f>
        <v/>
      </c>
      <c r="Y1242" s="69" t="str">
        <f>IFERROR(INDEX(刷條碼區!A:C,MATCH(點上線資訊!S1242,刷條碼區!C:C,0),2),"")</f>
        <v/>
      </c>
      <c r="Z1242" s="70" t="str">
        <f>IFERROR(INDEX(刷條碼區!D:G,MATCH(點上線資訊!S1242,刷條碼區!F:F,0),1),"")</f>
        <v/>
      </c>
      <c r="AA1242" s="71" t="str">
        <f>IFERROR(INDEX(刷條碼區!D:G,MATCH(點上線資訊!S1242,刷條碼區!F:F,0),2),"")</f>
        <v/>
      </c>
      <c r="AB1242" s="20">
        <f t="shared" si="118"/>
        <v>0</v>
      </c>
      <c r="AC1242" s="20" t="b">
        <f t="shared" si="119"/>
        <v>0</v>
      </c>
      <c r="AD1242" s="17" t="b">
        <f t="shared" si="120"/>
        <v>0</v>
      </c>
      <c r="AE1242" s="17" t="b">
        <f t="shared" si="121"/>
        <v>0</v>
      </c>
    </row>
    <row r="1243" spans="17:31" x14ac:dyDescent="0.2">
      <c r="Q1243" s="17">
        <f>IFERROR(VLOOKUP(A1243,已除帳印單!B:C,1,0),0)*1</f>
        <v>0</v>
      </c>
      <c r="R1243" s="67" t="str">
        <f>IFERROR(VLOOKUP(J1243,線別!A:B,2,1),"")</f>
        <v/>
      </c>
      <c r="S1243" s="17" t="str">
        <f>IFERROR(VLOOKUP(A1243,已除帳印單!B:C,2,0),"")</f>
        <v/>
      </c>
      <c r="T1243" s="68" t="e">
        <f t="shared" si="116"/>
        <v>#VALUE!</v>
      </c>
      <c r="U1243" s="69">
        <f t="shared" si="117"/>
        <v>0</v>
      </c>
      <c r="V1243" s="68" t="str">
        <f>IFERROR(VLOOKUP(A1243,已除帳印單!B:D,3,0),"")</f>
        <v/>
      </c>
      <c r="W1243" s="69" t="str">
        <f>IFERROR(VLOOKUP(A1243,已除帳印單!B:E,4,0),"")</f>
        <v/>
      </c>
      <c r="X1243" s="68" t="str">
        <f>IFERROR(INDEX(刷條碼區!A:C,MATCH(點上線資訊!S1243,刷條碼區!C:C,0),1),"")</f>
        <v/>
      </c>
      <c r="Y1243" s="69" t="str">
        <f>IFERROR(INDEX(刷條碼區!A:C,MATCH(點上線資訊!S1243,刷條碼區!C:C,0),2),"")</f>
        <v/>
      </c>
      <c r="Z1243" s="70" t="str">
        <f>IFERROR(INDEX(刷條碼區!D:G,MATCH(點上線資訊!S1243,刷條碼區!F:F,0),1),"")</f>
        <v/>
      </c>
      <c r="AA1243" s="71" t="str">
        <f>IFERROR(INDEX(刷條碼區!D:G,MATCH(點上線資訊!S1243,刷條碼區!F:F,0),2),"")</f>
        <v/>
      </c>
      <c r="AB1243" s="20">
        <f t="shared" si="118"/>
        <v>0</v>
      </c>
      <c r="AC1243" s="20" t="b">
        <f t="shared" si="119"/>
        <v>0</v>
      </c>
      <c r="AD1243" s="17" t="b">
        <f t="shared" si="120"/>
        <v>0</v>
      </c>
      <c r="AE1243" s="17" t="b">
        <f t="shared" si="121"/>
        <v>0</v>
      </c>
    </row>
    <row r="1244" spans="17:31" x14ac:dyDescent="0.2">
      <c r="Q1244" s="17">
        <f>IFERROR(VLOOKUP(A1244,已除帳印單!B:C,1,0),0)*1</f>
        <v>0</v>
      </c>
      <c r="R1244" s="67" t="str">
        <f>IFERROR(VLOOKUP(J1244,線別!A:B,2,1),"")</f>
        <v/>
      </c>
      <c r="S1244" s="17" t="str">
        <f>IFERROR(VLOOKUP(A1244,已除帳印單!B:C,2,0),"")</f>
        <v/>
      </c>
      <c r="T1244" s="68" t="e">
        <f t="shared" si="116"/>
        <v>#VALUE!</v>
      </c>
      <c r="U1244" s="69">
        <f t="shared" si="117"/>
        <v>0</v>
      </c>
      <c r="V1244" s="68" t="str">
        <f>IFERROR(VLOOKUP(A1244,已除帳印單!B:D,3,0),"")</f>
        <v/>
      </c>
      <c r="W1244" s="69" t="str">
        <f>IFERROR(VLOOKUP(A1244,已除帳印單!B:E,4,0),"")</f>
        <v/>
      </c>
      <c r="X1244" s="68" t="str">
        <f>IFERROR(INDEX(刷條碼區!A:C,MATCH(點上線資訊!S1244,刷條碼區!C:C,0),1),"")</f>
        <v/>
      </c>
      <c r="Y1244" s="69" t="str">
        <f>IFERROR(INDEX(刷條碼區!A:C,MATCH(點上線資訊!S1244,刷條碼區!C:C,0),2),"")</f>
        <v/>
      </c>
      <c r="Z1244" s="70" t="str">
        <f>IFERROR(INDEX(刷條碼區!D:G,MATCH(點上線資訊!S1244,刷條碼區!F:F,0),1),"")</f>
        <v/>
      </c>
      <c r="AA1244" s="71" t="str">
        <f>IFERROR(INDEX(刷條碼區!D:G,MATCH(點上線資訊!S1244,刷條碼區!F:F,0),2),"")</f>
        <v/>
      </c>
      <c r="AB1244" s="20">
        <f t="shared" si="118"/>
        <v>0</v>
      </c>
      <c r="AC1244" s="20" t="b">
        <f t="shared" si="119"/>
        <v>0</v>
      </c>
      <c r="AD1244" s="17" t="b">
        <f t="shared" si="120"/>
        <v>0</v>
      </c>
      <c r="AE1244" s="17" t="b">
        <f t="shared" si="121"/>
        <v>0</v>
      </c>
    </row>
    <row r="1245" spans="17:31" x14ac:dyDescent="0.2">
      <c r="Q1245" s="17">
        <f>IFERROR(VLOOKUP(A1245,已除帳印單!B:C,1,0),0)*1</f>
        <v>0</v>
      </c>
      <c r="R1245" s="67" t="str">
        <f>IFERROR(VLOOKUP(J1245,線別!A:B,2,1),"")</f>
        <v/>
      </c>
      <c r="S1245" s="17" t="str">
        <f>IFERROR(VLOOKUP(A1245,已除帳印單!B:C,2,0),"")</f>
        <v/>
      </c>
      <c r="T1245" s="68" t="e">
        <f t="shared" si="116"/>
        <v>#VALUE!</v>
      </c>
      <c r="U1245" s="69">
        <f t="shared" si="117"/>
        <v>0</v>
      </c>
      <c r="V1245" s="68" t="str">
        <f>IFERROR(VLOOKUP(A1245,已除帳印單!B:D,3,0),"")</f>
        <v/>
      </c>
      <c r="W1245" s="69" t="str">
        <f>IFERROR(VLOOKUP(A1245,已除帳印單!B:E,4,0),"")</f>
        <v/>
      </c>
      <c r="X1245" s="68" t="str">
        <f>IFERROR(INDEX(刷條碼區!A:C,MATCH(點上線資訊!S1245,刷條碼區!C:C,0),1),"")</f>
        <v/>
      </c>
      <c r="Y1245" s="69" t="str">
        <f>IFERROR(INDEX(刷條碼區!A:C,MATCH(點上線資訊!S1245,刷條碼區!C:C,0),2),"")</f>
        <v/>
      </c>
      <c r="Z1245" s="70" t="str">
        <f>IFERROR(INDEX(刷條碼區!D:G,MATCH(點上線資訊!S1245,刷條碼區!F:F,0),1),"")</f>
        <v/>
      </c>
      <c r="AA1245" s="71" t="str">
        <f>IFERROR(INDEX(刷條碼區!D:G,MATCH(點上線資訊!S1245,刷條碼區!F:F,0),2),"")</f>
        <v/>
      </c>
      <c r="AB1245" s="20">
        <f t="shared" si="118"/>
        <v>0</v>
      </c>
      <c r="AC1245" s="20" t="b">
        <f t="shared" si="119"/>
        <v>0</v>
      </c>
      <c r="AD1245" s="17" t="b">
        <f t="shared" si="120"/>
        <v>0</v>
      </c>
      <c r="AE1245" s="17" t="b">
        <f t="shared" si="121"/>
        <v>0</v>
      </c>
    </row>
    <row r="1246" spans="17:31" x14ac:dyDescent="0.2">
      <c r="Q1246" s="17">
        <f>IFERROR(VLOOKUP(A1246,已除帳印單!B:C,1,0),0)*1</f>
        <v>0</v>
      </c>
      <c r="R1246" s="67" t="str">
        <f>IFERROR(VLOOKUP(J1246,線別!A:B,2,1),"")</f>
        <v/>
      </c>
      <c r="S1246" s="17" t="str">
        <f>IFERROR(VLOOKUP(A1246,已除帳印單!B:C,2,0),"")</f>
        <v/>
      </c>
      <c r="T1246" s="68" t="e">
        <f t="shared" si="116"/>
        <v>#VALUE!</v>
      </c>
      <c r="U1246" s="69">
        <f t="shared" si="117"/>
        <v>0</v>
      </c>
      <c r="V1246" s="68" t="str">
        <f>IFERROR(VLOOKUP(A1246,已除帳印單!B:D,3,0),"")</f>
        <v/>
      </c>
      <c r="W1246" s="69" t="str">
        <f>IFERROR(VLOOKUP(A1246,已除帳印單!B:E,4,0),"")</f>
        <v/>
      </c>
      <c r="X1246" s="68" t="str">
        <f>IFERROR(INDEX(刷條碼區!A:C,MATCH(點上線資訊!S1246,刷條碼區!C:C,0),1),"")</f>
        <v/>
      </c>
      <c r="Y1246" s="69" t="str">
        <f>IFERROR(INDEX(刷條碼區!A:C,MATCH(點上線資訊!S1246,刷條碼區!C:C,0),2),"")</f>
        <v/>
      </c>
      <c r="Z1246" s="70" t="str">
        <f>IFERROR(INDEX(刷條碼區!D:G,MATCH(點上線資訊!S1246,刷條碼區!F:F,0),1),"")</f>
        <v/>
      </c>
      <c r="AA1246" s="71" t="str">
        <f>IFERROR(INDEX(刷條碼區!D:G,MATCH(點上線資訊!S1246,刷條碼區!F:F,0),2),"")</f>
        <v/>
      </c>
      <c r="AB1246" s="20">
        <f t="shared" si="118"/>
        <v>0</v>
      </c>
      <c r="AC1246" s="20" t="b">
        <f t="shared" si="119"/>
        <v>0</v>
      </c>
      <c r="AD1246" s="17" t="b">
        <f t="shared" si="120"/>
        <v>0</v>
      </c>
      <c r="AE1246" s="17" t="b">
        <f t="shared" si="121"/>
        <v>0</v>
      </c>
    </row>
    <row r="1247" spans="17:31" x14ac:dyDescent="0.2">
      <c r="Q1247" s="17">
        <f>IFERROR(VLOOKUP(A1247,已除帳印單!B:C,1,0),0)*1</f>
        <v>0</v>
      </c>
      <c r="R1247" s="67" t="str">
        <f>IFERROR(VLOOKUP(J1247,線別!A:B,2,1),"")</f>
        <v/>
      </c>
      <c r="S1247" s="17" t="str">
        <f>IFERROR(VLOOKUP(A1247,已除帳印單!B:C,2,0),"")</f>
        <v/>
      </c>
      <c r="T1247" s="68" t="e">
        <f t="shared" si="116"/>
        <v>#VALUE!</v>
      </c>
      <c r="U1247" s="69">
        <f t="shared" si="117"/>
        <v>0</v>
      </c>
      <c r="V1247" s="68" t="str">
        <f>IFERROR(VLOOKUP(A1247,已除帳印單!B:D,3,0),"")</f>
        <v/>
      </c>
      <c r="W1247" s="69" t="str">
        <f>IFERROR(VLOOKUP(A1247,已除帳印單!B:E,4,0),"")</f>
        <v/>
      </c>
      <c r="X1247" s="68" t="str">
        <f>IFERROR(INDEX(刷條碼區!A:C,MATCH(點上線資訊!S1247,刷條碼區!C:C,0),1),"")</f>
        <v/>
      </c>
      <c r="Y1247" s="69" t="str">
        <f>IFERROR(INDEX(刷條碼區!A:C,MATCH(點上線資訊!S1247,刷條碼區!C:C,0),2),"")</f>
        <v/>
      </c>
      <c r="Z1247" s="70" t="str">
        <f>IFERROR(INDEX(刷條碼區!D:G,MATCH(點上線資訊!S1247,刷條碼區!F:F,0),1),"")</f>
        <v/>
      </c>
      <c r="AA1247" s="71" t="str">
        <f>IFERROR(INDEX(刷條碼區!D:G,MATCH(點上線資訊!S1247,刷條碼區!F:F,0),2),"")</f>
        <v/>
      </c>
      <c r="AB1247" s="20">
        <f t="shared" si="118"/>
        <v>0</v>
      </c>
      <c r="AC1247" s="20" t="b">
        <f t="shared" si="119"/>
        <v>0</v>
      </c>
      <c r="AD1247" s="17" t="b">
        <f t="shared" si="120"/>
        <v>0</v>
      </c>
      <c r="AE1247" s="17" t="b">
        <f t="shared" si="121"/>
        <v>0</v>
      </c>
    </row>
    <row r="1248" spans="17:31" x14ac:dyDescent="0.2">
      <c r="Q1248" s="17">
        <f>IFERROR(VLOOKUP(A1248,已除帳印單!B:C,1,0),0)*1</f>
        <v>0</v>
      </c>
      <c r="R1248" s="67" t="str">
        <f>IFERROR(VLOOKUP(J1248,線別!A:B,2,1),"")</f>
        <v/>
      </c>
      <c r="S1248" s="17" t="str">
        <f>IFERROR(VLOOKUP(A1248,已除帳印單!B:C,2,0),"")</f>
        <v/>
      </c>
      <c r="T1248" s="68" t="e">
        <f t="shared" si="116"/>
        <v>#VALUE!</v>
      </c>
      <c r="U1248" s="69">
        <f t="shared" si="117"/>
        <v>0</v>
      </c>
      <c r="V1248" s="68" t="str">
        <f>IFERROR(VLOOKUP(A1248,已除帳印單!B:D,3,0),"")</f>
        <v/>
      </c>
      <c r="W1248" s="69" t="str">
        <f>IFERROR(VLOOKUP(A1248,已除帳印單!B:E,4,0),"")</f>
        <v/>
      </c>
      <c r="X1248" s="68" t="str">
        <f>IFERROR(INDEX(刷條碼區!A:C,MATCH(點上線資訊!S1248,刷條碼區!C:C,0),1),"")</f>
        <v/>
      </c>
      <c r="Y1248" s="69" t="str">
        <f>IFERROR(INDEX(刷條碼區!A:C,MATCH(點上線資訊!S1248,刷條碼區!C:C,0),2),"")</f>
        <v/>
      </c>
      <c r="Z1248" s="70" t="str">
        <f>IFERROR(INDEX(刷條碼區!D:G,MATCH(點上線資訊!S1248,刷條碼區!F:F,0),1),"")</f>
        <v/>
      </c>
      <c r="AA1248" s="71" t="str">
        <f>IFERROR(INDEX(刷條碼區!D:G,MATCH(點上線資訊!S1248,刷條碼區!F:F,0),2),"")</f>
        <v/>
      </c>
      <c r="AB1248" s="20">
        <f t="shared" si="118"/>
        <v>0</v>
      </c>
      <c r="AC1248" s="20" t="b">
        <f t="shared" si="119"/>
        <v>0</v>
      </c>
      <c r="AD1248" s="17" t="b">
        <f t="shared" si="120"/>
        <v>0</v>
      </c>
      <c r="AE1248" s="17" t="b">
        <f t="shared" si="121"/>
        <v>0</v>
      </c>
    </row>
    <row r="1249" spans="17:31" x14ac:dyDescent="0.2">
      <c r="Q1249" s="17">
        <f>IFERROR(VLOOKUP(A1249,已除帳印單!B:C,1,0),0)*1</f>
        <v>0</v>
      </c>
      <c r="R1249" s="67" t="str">
        <f>IFERROR(VLOOKUP(J1249,線別!A:B,2,1),"")</f>
        <v/>
      </c>
      <c r="S1249" s="17" t="str">
        <f>IFERROR(VLOOKUP(A1249,已除帳印單!B:C,2,0),"")</f>
        <v/>
      </c>
      <c r="T1249" s="68" t="e">
        <f t="shared" si="116"/>
        <v>#VALUE!</v>
      </c>
      <c r="U1249" s="69">
        <f t="shared" si="117"/>
        <v>0</v>
      </c>
      <c r="V1249" s="68" t="str">
        <f>IFERROR(VLOOKUP(A1249,已除帳印單!B:D,3,0),"")</f>
        <v/>
      </c>
      <c r="W1249" s="69" t="str">
        <f>IFERROR(VLOOKUP(A1249,已除帳印單!B:E,4,0),"")</f>
        <v/>
      </c>
      <c r="X1249" s="68" t="str">
        <f>IFERROR(INDEX(刷條碼區!A:C,MATCH(點上線資訊!S1249,刷條碼區!C:C,0),1),"")</f>
        <v/>
      </c>
      <c r="Y1249" s="69" t="str">
        <f>IFERROR(INDEX(刷條碼區!A:C,MATCH(點上線資訊!S1249,刷條碼區!C:C,0),2),"")</f>
        <v/>
      </c>
      <c r="Z1249" s="70" t="str">
        <f>IFERROR(INDEX(刷條碼區!D:G,MATCH(點上線資訊!S1249,刷條碼區!F:F,0),1),"")</f>
        <v/>
      </c>
      <c r="AA1249" s="71" t="str">
        <f>IFERROR(INDEX(刷條碼區!D:G,MATCH(點上線資訊!S1249,刷條碼區!F:F,0),2),"")</f>
        <v/>
      </c>
      <c r="AB1249" s="20">
        <f t="shared" si="118"/>
        <v>0</v>
      </c>
      <c r="AC1249" s="20" t="b">
        <f t="shared" si="119"/>
        <v>0</v>
      </c>
      <c r="AD1249" s="17" t="b">
        <f t="shared" si="120"/>
        <v>0</v>
      </c>
      <c r="AE1249" s="17" t="b">
        <f t="shared" si="121"/>
        <v>0</v>
      </c>
    </row>
    <row r="1250" spans="17:31" x14ac:dyDescent="0.2">
      <c r="Q1250" s="17">
        <f>IFERROR(VLOOKUP(A1250,已除帳印單!B:C,1,0),0)*1</f>
        <v>0</v>
      </c>
      <c r="R1250" s="67" t="str">
        <f>IFERROR(VLOOKUP(J1250,線別!A:B,2,1),"")</f>
        <v/>
      </c>
      <c r="S1250" s="17" t="str">
        <f>IFERROR(VLOOKUP(A1250,已除帳印單!B:C,2,0),"")</f>
        <v/>
      </c>
      <c r="T1250" s="68" t="e">
        <f t="shared" si="116"/>
        <v>#VALUE!</v>
      </c>
      <c r="U1250" s="69">
        <f t="shared" si="117"/>
        <v>0</v>
      </c>
      <c r="V1250" s="68" t="str">
        <f>IFERROR(VLOOKUP(A1250,已除帳印單!B:D,3,0),"")</f>
        <v/>
      </c>
      <c r="W1250" s="69" t="str">
        <f>IFERROR(VLOOKUP(A1250,已除帳印單!B:E,4,0),"")</f>
        <v/>
      </c>
      <c r="X1250" s="68" t="str">
        <f>IFERROR(INDEX(刷條碼區!A:C,MATCH(點上線資訊!S1250,刷條碼區!C:C,0),1),"")</f>
        <v/>
      </c>
      <c r="Y1250" s="69" t="str">
        <f>IFERROR(INDEX(刷條碼區!A:C,MATCH(點上線資訊!S1250,刷條碼區!C:C,0),2),"")</f>
        <v/>
      </c>
      <c r="Z1250" s="70" t="str">
        <f>IFERROR(INDEX(刷條碼區!D:G,MATCH(點上線資訊!S1250,刷條碼區!F:F,0),1),"")</f>
        <v/>
      </c>
      <c r="AA1250" s="71" t="str">
        <f>IFERROR(INDEX(刷條碼區!D:G,MATCH(點上線資訊!S1250,刷條碼區!F:F,0),2),"")</f>
        <v/>
      </c>
      <c r="AB1250" s="20">
        <f t="shared" si="118"/>
        <v>0</v>
      </c>
      <c r="AC1250" s="20" t="b">
        <f t="shared" si="119"/>
        <v>0</v>
      </c>
      <c r="AD1250" s="17" t="b">
        <f t="shared" si="120"/>
        <v>0</v>
      </c>
      <c r="AE1250" s="17" t="b">
        <f t="shared" si="121"/>
        <v>0</v>
      </c>
    </row>
    <row r="1251" spans="17:31" x14ac:dyDescent="0.2">
      <c r="Q1251" s="17">
        <f>IFERROR(VLOOKUP(A1251,已除帳印單!B:C,1,0),0)*1</f>
        <v>0</v>
      </c>
      <c r="R1251" s="67" t="str">
        <f>IFERROR(VLOOKUP(J1251,線別!A:B,2,1),"")</f>
        <v/>
      </c>
      <c r="S1251" s="17" t="str">
        <f>IFERROR(VLOOKUP(A1251,已除帳印單!B:C,2,0),"")</f>
        <v/>
      </c>
      <c r="T1251" s="68" t="e">
        <f t="shared" si="116"/>
        <v>#VALUE!</v>
      </c>
      <c r="U1251" s="69">
        <f t="shared" si="117"/>
        <v>0</v>
      </c>
      <c r="V1251" s="68" t="str">
        <f>IFERROR(VLOOKUP(A1251,已除帳印單!B:D,3,0),"")</f>
        <v/>
      </c>
      <c r="W1251" s="69" t="str">
        <f>IFERROR(VLOOKUP(A1251,已除帳印單!B:E,4,0),"")</f>
        <v/>
      </c>
      <c r="X1251" s="68" t="str">
        <f>IFERROR(INDEX(刷條碼區!A:C,MATCH(點上線資訊!S1251,刷條碼區!C:C,0),1),"")</f>
        <v/>
      </c>
      <c r="Y1251" s="69" t="str">
        <f>IFERROR(INDEX(刷條碼區!A:C,MATCH(點上線資訊!S1251,刷條碼區!C:C,0),2),"")</f>
        <v/>
      </c>
      <c r="Z1251" s="70" t="str">
        <f>IFERROR(INDEX(刷條碼區!D:G,MATCH(點上線資訊!S1251,刷條碼區!F:F,0),1),"")</f>
        <v/>
      </c>
      <c r="AA1251" s="71" t="str">
        <f>IFERROR(INDEX(刷條碼區!D:G,MATCH(點上線資訊!S1251,刷條碼區!F:F,0),2),"")</f>
        <v/>
      </c>
      <c r="AB1251" s="20">
        <f t="shared" si="118"/>
        <v>0</v>
      </c>
      <c r="AC1251" s="20" t="b">
        <f t="shared" si="119"/>
        <v>0</v>
      </c>
      <c r="AD1251" s="17" t="b">
        <f t="shared" si="120"/>
        <v>0</v>
      </c>
      <c r="AE1251" s="17" t="b">
        <f t="shared" si="121"/>
        <v>0</v>
      </c>
    </row>
    <row r="1252" spans="17:31" x14ac:dyDescent="0.2">
      <c r="Q1252" s="17">
        <f>IFERROR(VLOOKUP(A1252,已除帳印單!B:C,1,0),0)*1</f>
        <v>0</v>
      </c>
      <c r="R1252" s="67" t="str">
        <f>IFERROR(VLOOKUP(J1252,線別!A:B,2,1),"")</f>
        <v/>
      </c>
      <c r="S1252" s="17" t="str">
        <f>IFERROR(VLOOKUP(A1252,已除帳印單!B:C,2,0),"")</f>
        <v/>
      </c>
      <c r="T1252" s="68" t="e">
        <f t="shared" si="116"/>
        <v>#VALUE!</v>
      </c>
      <c r="U1252" s="69">
        <f t="shared" si="117"/>
        <v>0</v>
      </c>
      <c r="V1252" s="68" t="str">
        <f>IFERROR(VLOOKUP(A1252,已除帳印單!B:D,3,0),"")</f>
        <v/>
      </c>
      <c r="W1252" s="69" t="str">
        <f>IFERROR(VLOOKUP(A1252,已除帳印單!B:E,4,0),"")</f>
        <v/>
      </c>
      <c r="X1252" s="68" t="str">
        <f>IFERROR(INDEX(刷條碼區!A:C,MATCH(點上線資訊!S1252,刷條碼區!C:C,0),1),"")</f>
        <v/>
      </c>
      <c r="Y1252" s="69" t="str">
        <f>IFERROR(INDEX(刷條碼區!A:C,MATCH(點上線資訊!S1252,刷條碼區!C:C,0),2),"")</f>
        <v/>
      </c>
      <c r="Z1252" s="70" t="str">
        <f>IFERROR(INDEX(刷條碼區!D:G,MATCH(點上線資訊!S1252,刷條碼區!F:F,0),1),"")</f>
        <v/>
      </c>
      <c r="AA1252" s="71" t="str">
        <f>IFERROR(INDEX(刷條碼區!D:G,MATCH(點上線資訊!S1252,刷條碼區!F:F,0),2),"")</f>
        <v/>
      </c>
      <c r="AB1252" s="20">
        <f t="shared" si="118"/>
        <v>0</v>
      </c>
      <c r="AC1252" s="20" t="b">
        <f t="shared" si="119"/>
        <v>0</v>
      </c>
      <c r="AD1252" s="17" t="b">
        <f t="shared" si="120"/>
        <v>0</v>
      </c>
      <c r="AE1252" s="17" t="b">
        <f t="shared" si="121"/>
        <v>0</v>
      </c>
    </row>
    <row r="1253" spans="17:31" x14ac:dyDescent="0.2">
      <c r="Q1253" s="17">
        <f>IFERROR(VLOOKUP(A1253,已除帳印單!B:C,1,0),0)*1</f>
        <v>0</v>
      </c>
      <c r="R1253" s="67" t="str">
        <f>IFERROR(VLOOKUP(J1253,線別!A:B,2,1),"")</f>
        <v/>
      </c>
      <c r="S1253" s="17" t="str">
        <f>IFERROR(VLOOKUP(A1253,已除帳印單!B:C,2,0),"")</f>
        <v/>
      </c>
      <c r="T1253" s="68" t="e">
        <f t="shared" si="116"/>
        <v>#VALUE!</v>
      </c>
      <c r="U1253" s="69">
        <f t="shared" si="117"/>
        <v>0</v>
      </c>
      <c r="V1253" s="68" t="str">
        <f>IFERROR(VLOOKUP(A1253,已除帳印單!B:D,3,0),"")</f>
        <v/>
      </c>
      <c r="W1253" s="69" t="str">
        <f>IFERROR(VLOOKUP(A1253,已除帳印單!B:E,4,0),"")</f>
        <v/>
      </c>
      <c r="X1253" s="68" t="str">
        <f>IFERROR(INDEX(刷條碼區!A:C,MATCH(點上線資訊!S1253,刷條碼區!C:C,0),1),"")</f>
        <v/>
      </c>
      <c r="Y1253" s="69" t="str">
        <f>IFERROR(INDEX(刷條碼區!A:C,MATCH(點上線資訊!S1253,刷條碼區!C:C,0),2),"")</f>
        <v/>
      </c>
      <c r="Z1253" s="70" t="str">
        <f>IFERROR(INDEX(刷條碼區!D:G,MATCH(點上線資訊!S1253,刷條碼區!F:F,0),1),"")</f>
        <v/>
      </c>
      <c r="AA1253" s="71" t="str">
        <f>IFERROR(INDEX(刷條碼區!D:G,MATCH(點上線資訊!S1253,刷條碼區!F:F,0),2),"")</f>
        <v/>
      </c>
      <c r="AB1253" s="20">
        <f t="shared" si="118"/>
        <v>0</v>
      </c>
      <c r="AC1253" s="20" t="b">
        <f t="shared" si="119"/>
        <v>0</v>
      </c>
      <c r="AD1253" s="17" t="b">
        <f t="shared" si="120"/>
        <v>0</v>
      </c>
      <c r="AE1253" s="17" t="b">
        <f t="shared" si="121"/>
        <v>0</v>
      </c>
    </row>
    <row r="1254" spans="17:31" x14ac:dyDescent="0.2">
      <c r="Q1254" s="17">
        <f>IFERROR(VLOOKUP(A1254,已除帳印單!B:C,1,0),0)*1</f>
        <v>0</v>
      </c>
      <c r="R1254" s="67" t="str">
        <f>IFERROR(VLOOKUP(J1254,線別!A:B,2,1),"")</f>
        <v/>
      </c>
      <c r="S1254" s="17" t="str">
        <f>IFERROR(VLOOKUP(A1254,已除帳印單!B:C,2,0),"")</f>
        <v/>
      </c>
      <c r="T1254" s="68" t="e">
        <f t="shared" si="116"/>
        <v>#VALUE!</v>
      </c>
      <c r="U1254" s="69">
        <f t="shared" si="117"/>
        <v>0</v>
      </c>
      <c r="V1254" s="68" t="str">
        <f>IFERROR(VLOOKUP(A1254,已除帳印單!B:D,3,0),"")</f>
        <v/>
      </c>
      <c r="W1254" s="69" t="str">
        <f>IFERROR(VLOOKUP(A1254,已除帳印單!B:E,4,0),"")</f>
        <v/>
      </c>
      <c r="X1254" s="68" t="str">
        <f>IFERROR(INDEX(刷條碼區!A:C,MATCH(點上線資訊!S1254,刷條碼區!C:C,0),1),"")</f>
        <v/>
      </c>
      <c r="Y1254" s="69" t="str">
        <f>IFERROR(INDEX(刷條碼區!A:C,MATCH(點上線資訊!S1254,刷條碼區!C:C,0),2),"")</f>
        <v/>
      </c>
      <c r="Z1254" s="70" t="str">
        <f>IFERROR(INDEX(刷條碼區!D:G,MATCH(點上線資訊!S1254,刷條碼區!F:F,0),1),"")</f>
        <v/>
      </c>
      <c r="AA1254" s="71" t="str">
        <f>IFERROR(INDEX(刷條碼區!D:G,MATCH(點上線資訊!S1254,刷條碼區!F:F,0),2),"")</f>
        <v/>
      </c>
      <c r="AB1254" s="20">
        <f t="shared" si="118"/>
        <v>0</v>
      </c>
      <c r="AC1254" s="20" t="b">
        <f t="shared" si="119"/>
        <v>0</v>
      </c>
      <c r="AD1254" s="17" t="b">
        <f t="shared" si="120"/>
        <v>0</v>
      </c>
      <c r="AE1254" s="17" t="b">
        <f t="shared" si="121"/>
        <v>0</v>
      </c>
    </row>
    <row r="1255" spans="17:31" x14ac:dyDescent="0.2">
      <c r="Q1255" s="17">
        <f>IFERROR(VLOOKUP(A1255,已除帳印單!B:C,1,0),0)*1</f>
        <v>0</v>
      </c>
      <c r="R1255" s="67" t="str">
        <f>IFERROR(VLOOKUP(J1255,線別!A:B,2,1),"")</f>
        <v/>
      </c>
      <c r="S1255" s="17" t="str">
        <f>IFERROR(VLOOKUP(A1255,已除帳印單!B:C,2,0),"")</f>
        <v/>
      </c>
      <c r="T1255" s="68" t="e">
        <f t="shared" si="116"/>
        <v>#VALUE!</v>
      </c>
      <c r="U1255" s="69">
        <f t="shared" si="117"/>
        <v>0</v>
      </c>
      <c r="V1255" s="68" t="str">
        <f>IFERROR(VLOOKUP(A1255,已除帳印單!B:D,3,0),"")</f>
        <v/>
      </c>
      <c r="W1255" s="69" t="str">
        <f>IFERROR(VLOOKUP(A1255,已除帳印單!B:E,4,0),"")</f>
        <v/>
      </c>
      <c r="X1255" s="68" t="str">
        <f>IFERROR(INDEX(刷條碼區!A:C,MATCH(點上線資訊!S1255,刷條碼區!C:C,0),1),"")</f>
        <v/>
      </c>
      <c r="Y1255" s="69" t="str">
        <f>IFERROR(INDEX(刷條碼區!A:C,MATCH(點上線資訊!S1255,刷條碼區!C:C,0),2),"")</f>
        <v/>
      </c>
      <c r="Z1255" s="70" t="str">
        <f>IFERROR(INDEX(刷條碼區!D:G,MATCH(點上線資訊!S1255,刷條碼區!F:F,0),1),"")</f>
        <v/>
      </c>
      <c r="AA1255" s="71" t="str">
        <f>IFERROR(INDEX(刷條碼區!D:G,MATCH(點上線資訊!S1255,刷條碼區!F:F,0),2),"")</f>
        <v/>
      </c>
      <c r="AB1255" s="20">
        <f t="shared" si="118"/>
        <v>0</v>
      </c>
      <c r="AC1255" s="20" t="b">
        <f t="shared" si="119"/>
        <v>0</v>
      </c>
      <c r="AD1255" s="17" t="b">
        <f t="shared" si="120"/>
        <v>0</v>
      </c>
      <c r="AE1255" s="17" t="b">
        <f t="shared" si="121"/>
        <v>0</v>
      </c>
    </row>
    <row r="1256" spans="17:31" x14ac:dyDescent="0.2">
      <c r="Q1256" s="17">
        <f>IFERROR(VLOOKUP(A1256,已除帳印單!B:C,1,0),0)*1</f>
        <v>0</v>
      </c>
      <c r="R1256" s="67" t="str">
        <f>IFERROR(VLOOKUP(J1256,線別!A:B,2,1),"")</f>
        <v/>
      </c>
      <c r="S1256" s="17" t="str">
        <f>IFERROR(VLOOKUP(A1256,已除帳印單!B:C,2,0),"")</f>
        <v/>
      </c>
      <c r="T1256" s="68" t="e">
        <f t="shared" si="116"/>
        <v>#VALUE!</v>
      </c>
      <c r="U1256" s="69">
        <f t="shared" si="117"/>
        <v>0</v>
      </c>
      <c r="V1256" s="68" t="str">
        <f>IFERROR(VLOOKUP(A1256,已除帳印單!B:D,3,0),"")</f>
        <v/>
      </c>
      <c r="W1256" s="69" t="str">
        <f>IFERROR(VLOOKUP(A1256,已除帳印單!B:E,4,0),"")</f>
        <v/>
      </c>
      <c r="X1256" s="68" t="str">
        <f>IFERROR(INDEX(刷條碼區!A:C,MATCH(點上線資訊!S1256,刷條碼區!C:C,0),1),"")</f>
        <v/>
      </c>
      <c r="Y1256" s="69" t="str">
        <f>IFERROR(INDEX(刷條碼區!A:C,MATCH(點上線資訊!S1256,刷條碼區!C:C,0),2),"")</f>
        <v/>
      </c>
      <c r="Z1256" s="70" t="str">
        <f>IFERROR(INDEX(刷條碼區!D:G,MATCH(點上線資訊!S1256,刷條碼區!F:F,0),1),"")</f>
        <v/>
      </c>
      <c r="AA1256" s="71" t="str">
        <f>IFERROR(INDEX(刷條碼區!D:G,MATCH(點上線資訊!S1256,刷條碼區!F:F,0),2),"")</f>
        <v/>
      </c>
      <c r="AB1256" s="20">
        <f t="shared" si="118"/>
        <v>0</v>
      </c>
      <c r="AC1256" s="20" t="b">
        <f t="shared" si="119"/>
        <v>0</v>
      </c>
      <c r="AD1256" s="17" t="b">
        <f t="shared" si="120"/>
        <v>0</v>
      </c>
      <c r="AE1256" s="17" t="b">
        <f t="shared" si="121"/>
        <v>0</v>
      </c>
    </row>
    <row r="1257" spans="17:31" x14ac:dyDescent="0.2">
      <c r="Q1257" s="17">
        <f>IFERROR(VLOOKUP(A1257,已除帳印單!B:C,1,0),0)*1</f>
        <v>0</v>
      </c>
      <c r="R1257" s="67" t="str">
        <f>IFERROR(VLOOKUP(J1257,線別!A:B,2,1),"")</f>
        <v/>
      </c>
      <c r="S1257" s="17" t="str">
        <f>IFERROR(VLOOKUP(A1257,已除帳印單!B:C,2,0),"")</f>
        <v/>
      </c>
      <c r="T1257" s="68" t="e">
        <f t="shared" si="116"/>
        <v>#VALUE!</v>
      </c>
      <c r="U1257" s="69">
        <f t="shared" si="117"/>
        <v>0</v>
      </c>
      <c r="V1257" s="68" t="str">
        <f>IFERROR(VLOOKUP(A1257,已除帳印單!B:D,3,0),"")</f>
        <v/>
      </c>
      <c r="W1257" s="69" t="str">
        <f>IFERROR(VLOOKUP(A1257,已除帳印單!B:E,4,0),"")</f>
        <v/>
      </c>
      <c r="X1257" s="68" t="str">
        <f>IFERROR(INDEX(刷條碼區!A:C,MATCH(點上線資訊!S1257,刷條碼區!C:C,0),1),"")</f>
        <v/>
      </c>
      <c r="Y1257" s="69" t="str">
        <f>IFERROR(INDEX(刷條碼區!A:C,MATCH(點上線資訊!S1257,刷條碼區!C:C,0),2),"")</f>
        <v/>
      </c>
      <c r="Z1257" s="70" t="str">
        <f>IFERROR(INDEX(刷條碼區!D:G,MATCH(點上線資訊!S1257,刷條碼區!F:F,0),1),"")</f>
        <v/>
      </c>
      <c r="AA1257" s="71" t="str">
        <f>IFERROR(INDEX(刷條碼區!D:G,MATCH(點上線資訊!S1257,刷條碼區!F:F,0),2),"")</f>
        <v/>
      </c>
      <c r="AB1257" s="20">
        <f t="shared" si="118"/>
        <v>0</v>
      </c>
      <c r="AC1257" s="20" t="b">
        <f t="shared" si="119"/>
        <v>0</v>
      </c>
      <c r="AD1257" s="17" t="b">
        <f t="shared" si="120"/>
        <v>0</v>
      </c>
      <c r="AE1257" s="17" t="b">
        <f t="shared" si="121"/>
        <v>0</v>
      </c>
    </row>
    <row r="1258" spans="17:31" x14ac:dyDescent="0.2">
      <c r="Q1258" s="17">
        <f>IFERROR(VLOOKUP(A1258,已除帳印單!B:C,1,0),0)*1</f>
        <v>0</v>
      </c>
      <c r="R1258" s="67" t="str">
        <f>IFERROR(VLOOKUP(J1258,線別!A:B,2,1),"")</f>
        <v/>
      </c>
      <c r="S1258" s="17" t="str">
        <f>IFERROR(VLOOKUP(A1258,已除帳印單!B:C,2,0),"")</f>
        <v/>
      </c>
      <c r="T1258" s="68" t="e">
        <f t="shared" si="116"/>
        <v>#VALUE!</v>
      </c>
      <c r="U1258" s="69">
        <f t="shared" si="117"/>
        <v>0</v>
      </c>
      <c r="V1258" s="68" t="str">
        <f>IFERROR(VLOOKUP(A1258,已除帳印單!B:D,3,0),"")</f>
        <v/>
      </c>
      <c r="W1258" s="69" t="str">
        <f>IFERROR(VLOOKUP(A1258,已除帳印單!B:E,4,0),"")</f>
        <v/>
      </c>
      <c r="X1258" s="68" t="str">
        <f>IFERROR(INDEX(刷條碼區!A:C,MATCH(點上線資訊!S1258,刷條碼區!C:C,0),1),"")</f>
        <v/>
      </c>
      <c r="Y1258" s="69" t="str">
        <f>IFERROR(INDEX(刷條碼區!A:C,MATCH(點上線資訊!S1258,刷條碼區!C:C,0),2),"")</f>
        <v/>
      </c>
      <c r="Z1258" s="70" t="str">
        <f>IFERROR(INDEX(刷條碼區!D:G,MATCH(點上線資訊!S1258,刷條碼區!F:F,0),1),"")</f>
        <v/>
      </c>
      <c r="AA1258" s="71" t="str">
        <f>IFERROR(INDEX(刷條碼區!D:G,MATCH(點上線資訊!S1258,刷條碼區!F:F,0),2),"")</f>
        <v/>
      </c>
      <c r="AB1258" s="20">
        <f t="shared" si="118"/>
        <v>0</v>
      </c>
      <c r="AC1258" s="20" t="b">
        <f t="shared" si="119"/>
        <v>0</v>
      </c>
      <c r="AD1258" s="17" t="b">
        <f t="shared" si="120"/>
        <v>0</v>
      </c>
      <c r="AE1258" s="17" t="b">
        <f t="shared" si="121"/>
        <v>0</v>
      </c>
    </row>
    <row r="1259" spans="17:31" x14ac:dyDescent="0.2">
      <c r="Q1259" s="17">
        <f>IFERROR(VLOOKUP(A1259,已除帳印單!B:C,1,0),0)*1</f>
        <v>0</v>
      </c>
      <c r="R1259" s="67" t="str">
        <f>IFERROR(VLOOKUP(J1259,線別!A:B,2,1),"")</f>
        <v/>
      </c>
      <c r="S1259" s="17" t="str">
        <f>IFERROR(VLOOKUP(A1259,已除帳印單!B:C,2,0),"")</f>
        <v/>
      </c>
      <c r="T1259" s="68" t="e">
        <f t="shared" si="116"/>
        <v>#VALUE!</v>
      </c>
      <c r="U1259" s="69">
        <f t="shared" si="117"/>
        <v>0</v>
      </c>
      <c r="V1259" s="68" t="str">
        <f>IFERROR(VLOOKUP(A1259,已除帳印單!B:D,3,0),"")</f>
        <v/>
      </c>
      <c r="W1259" s="69" t="str">
        <f>IFERROR(VLOOKUP(A1259,已除帳印單!B:E,4,0),"")</f>
        <v/>
      </c>
      <c r="X1259" s="68" t="str">
        <f>IFERROR(INDEX(刷條碼區!A:C,MATCH(點上線資訊!S1259,刷條碼區!C:C,0),1),"")</f>
        <v/>
      </c>
      <c r="Y1259" s="69" t="str">
        <f>IFERROR(INDEX(刷條碼區!A:C,MATCH(點上線資訊!S1259,刷條碼區!C:C,0),2),"")</f>
        <v/>
      </c>
      <c r="Z1259" s="70" t="str">
        <f>IFERROR(INDEX(刷條碼區!D:G,MATCH(點上線資訊!S1259,刷條碼區!F:F,0),1),"")</f>
        <v/>
      </c>
      <c r="AA1259" s="71" t="str">
        <f>IFERROR(INDEX(刷條碼區!D:G,MATCH(點上線資訊!S1259,刷條碼區!F:F,0),2),"")</f>
        <v/>
      </c>
      <c r="AB1259" s="20">
        <f t="shared" si="118"/>
        <v>0</v>
      </c>
      <c r="AC1259" s="20" t="b">
        <f t="shared" si="119"/>
        <v>0</v>
      </c>
      <c r="AD1259" s="17" t="b">
        <f t="shared" si="120"/>
        <v>0</v>
      </c>
      <c r="AE1259" s="17" t="b">
        <f t="shared" si="121"/>
        <v>0</v>
      </c>
    </row>
    <row r="1260" spans="17:31" x14ac:dyDescent="0.2">
      <c r="Q1260" s="17">
        <f>IFERROR(VLOOKUP(A1260,已除帳印單!B:C,1,0),0)*1</f>
        <v>0</v>
      </c>
      <c r="R1260" s="67" t="str">
        <f>IFERROR(VLOOKUP(J1260,線別!A:B,2,1),"")</f>
        <v/>
      </c>
      <c r="S1260" s="17" t="str">
        <f>IFERROR(VLOOKUP(A1260,已除帳印單!B:C,2,0),"")</f>
        <v/>
      </c>
      <c r="T1260" s="68" t="e">
        <f t="shared" si="116"/>
        <v>#VALUE!</v>
      </c>
      <c r="U1260" s="69">
        <f t="shared" si="117"/>
        <v>0</v>
      </c>
      <c r="V1260" s="68" t="str">
        <f>IFERROR(VLOOKUP(A1260,已除帳印單!B:D,3,0),"")</f>
        <v/>
      </c>
      <c r="W1260" s="69" t="str">
        <f>IFERROR(VLOOKUP(A1260,已除帳印單!B:E,4,0),"")</f>
        <v/>
      </c>
      <c r="X1260" s="68" t="str">
        <f>IFERROR(INDEX(刷條碼區!A:C,MATCH(點上線資訊!S1260,刷條碼區!C:C,0),1),"")</f>
        <v/>
      </c>
      <c r="Y1260" s="69" t="str">
        <f>IFERROR(INDEX(刷條碼區!A:C,MATCH(點上線資訊!S1260,刷條碼區!C:C,0),2),"")</f>
        <v/>
      </c>
      <c r="Z1260" s="70" t="str">
        <f>IFERROR(INDEX(刷條碼區!D:G,MATCH(點上線資訊!S1260,刷條碼區!F:F,0),1),"")</f>
        <v/>
      </c>
      <c r="AA1260" s="71" t="str">
        <f>IFERROR(INDEX(刷條碼區!D:G,MATCH(點上線資訊!S1260,刷條碼區!F:F,0),2),"")</f>
        <v/>
      </c>
      <c r="AB1260" s="20">
        <f t="shared" si="118"/>
        <v>0</v>
      </c>
      <c r="AC1260" s="20" t="b">
        <f t="shared" si="119"/>
        <v>0</v>
      </c>
      <c r="AD1260" s="17" t="b">
        <f t="shared" si="120"/>
        <v>0</v>
      </c>
      <c r="AE1260" s="17" t="b">
        <f t="shared" si="121"/>
        <v>0</v>
      </c>
    </row>
    <row r="1261" spans="17:31" x14ac:dyDescent="0.2">
      <c r="Q1261" s="17">
        <f>IFERROR(VLOOKUP(A1261,已除帳印單!B:C,1,0),0)*1</f>
        <v>0</v>
      </c>
      <c r="R1261" s="67" t="str">
        <f>IFERROR(VLOOKUP(J1261,線別!A:B,2,1),"")</f>
        <v/>
      </c>
      <c r="S1261" s="17" t="str">
        <f>IFERROR(VLOOKUP(A1261,已除帳印單!B:C,2,0),"")</f>
        <v/>
      </c>
      <c r="T1261" s="68" t="e">
        <f t="shared" si="116"/>
        <v>#VALUE!</v>
      </c>
      <c r="U1261" s="69">
        <f t="shared" si="117"/>
        <v>0</v>
      </c>
      <c r="V1261" s="68" t="str">
        <f>IFERROR(VLOOKUP(A1261,已除帳印單!B:D,3,0),"")</f>
        <v/>
      </c>
      <c r="W1261" s="69" t="str">
        <f>IFERROR(VLOOKUP(A1261,已除帳印單!B:E,4,0),"")</f>
        <v/>
      </c>
      <c r="X1261" s="68" t="str">
        <f>IFERROR(INDEX(刷條碼區!A:C,MATCH(點上線資訊!S1261,刷條碼區!C:C,0),1),"")</f>
        <v/>
      </c>
      <c r="Y1261" s="69" t="str">
        <f>IFERROR(INDEX(刷條碼區!A:C,MATCH(點上線資訊!S1261,刷條碼區!C:C,0),2),"")</f>
        <v/>
      </c>
      <c r="Z1261" s="70" t="str">
        <f>IFERROR(INDEX(刷條碼區!D:G,MATCH(點上線資訊!S1261,刷條碼區!F:F,0),1),"")</f>
        <v/>
      </c>
      <c r="AA1261" s="71" t="str">
        <f>IFERROR(INDEX(刷條碼區!D:G,MATCH(點上線資訊!S1261,刷條碼區!F:F,0),2),"")</f>
        <v/>
      </c>
      <c r="AB1261" s="20">
        <f t="shared" si="118"/>
        <v>0</v>
      </c>
      <c r="AC1261" s="20" t="b">
        <f t="shared" si="119"/>
        <v>0</v>
      </c>
      <c r="AD1261" s="17" t="b">
        <f t="shared" si="120"/>
        <v>0</v>
      </c>
      <c r="AE1261" s="17" t="b">
        <f t="shared" si="121"/>
        <v>0</v>
      </c>
    </row>
    <row r="1262" spans="17:31" x14ac:dyDescent="0.2">
      <c r="Q1262" s="17">
        <f>IFERROR(VLOOKUP(A1262,已除帳印單!B:C,1,0),0)*1</f>
        <v>0</v>
      </c>
      <c r="R1262" s="67" t="str">
        <f>IFERROR(VLOOKUP(J1262,線別!A:B,2,1),"")</f>
        <v/>
      </c>
      <c r="S1262" s="17" t="str">
        <f>IFERROR(VLOOKUP(A1262,已除帳印單!B:C,2,0),"")</f>
        <v/>
      </c>
      <c r="T1262" s="68" t="e">
        <f t="shared" si="116"/>
        <v>#VALUE!</v>
      </c>
      <c r="U1262" s="69">
        <f t="shared" si="117"/>
        <v>0</v>
      </c>
      <c r="V1262" s="68" t="str">
        <f>IFERROR(VLOOKUP(A1262,已除帳印單!B:D,3,0),"")</f>
        <v/>
      </c>
      <c r="W1262" s="69" t="str">
        <f>IFERROR(VLOOKUP(A1262,已除帳印單!B:E,4,0),"")</f>
        <v/>
      </c>
      <c r="X1262" s="68" t="str">
        <f>IFERROR(INDEX(刷條碼區!A:C,MATCH(點上線資訊!S1262,刷條碼區!C:C,0),1),"")</f>
        <v/>
      </c>
      <c r="Y1262" s="69" t="str">
        <f>IFERROR(INDEX(刷條碼區!A:C,MATCH(點上線資訊!S1262,刷條碼區!C:C,0),2),"")</f>
        <v/>
      </c>
      <c r="Z1262" s="70" t="str">
        <f>IFERROR(INDEX(刷條碼區!D:G,MATCH(點上線資訊!S1262,刷條碼區!F:F,0),1),"")</f>
        <v/>
      </c>
      <c r="AA1262" s="71" t="str">
        <f>IFERROR(INDEX(刷條碼區!D:G,MATCH(點上線資訊!S1262,刷條碼區!F:F,0),2),"")</f>
        <v/>
      </c>
      <c r="AB1262" s="20">
        <f t="shared" si="118"/>
        <v>0</v>
      </c>
      <c r="AC1262" s="20" t="b">
        <f t="shared" si="119"/>
        <v>0</v>
      </c>
      <c r="AD1262" s="17" t="b">
        <f t="shared" si="120"/>
        <v>0</v>
      </c>
      <c r="AE1262" s="17" t="b">
        <f t="shared" si="121"/>
        <v>0</v>
      </c>
    </row>
    <row r="1263" spans="17:31" x14ac:dyDescent="0.2">
      <c r="Q1263" s="17">
        <f>IFERROR(VLOOKUP(A1263,已除帳印單!B:C,1,0),0)*1</f>
        <v>0</v>
      </c>
      <c r="R1263" s="67" t="str">
        <f>IFERROR(VLOOKUP(J1263,線別!A:B,2,1),"")</f>
        <v/>
      </c>
      <c r="S1263" s="17" t="str">
        <f>IFERROR(VLOOKUP(A1263,已除帳印單!B:C,2,0),"")</f>
        <v/>
      </c>
      <c r="T1263" s="68" t="e">
        <f t="shared" si="116"/>
        <v>#VALUE!</v>
      </c>
      <c r="U1263" s="69">
        <f t="shared" si="117"/>
        <v>0</v>
      </c>
      <c r="V1263" s="68" t="str">
        <f>IFERROR(VLOOKUP(A1263,已除帳印單!B:D,3,0),"")</f>
        <v/>
      </c>
      <c r="W1263" s="69" t="str">
        <f>IFERROR(VLOOKUP(A1263,已除帳印單!B:E,4,0),"")</f>
        <v/>
      </c>
      <c r="X1263" s="68" t="str">
        <f>IFERROR(INDEX(刷條碼區!A:C,MATCH(點上線資訊!S1263,刷條碼區!C:C,0),1),"")</f>
        <v/>
      </c>
      <c r="Y1263" s="69" t="str">
        <f>IFERROR(INDEX(刷條碼區!A:C,MATCH(點上線資訊!S1263,刷條碼區!C:C,0),2),"")</f>
        <v/>
      </c>
      <c r="Z1263" s="70" t="str">
        <f>IFERROR(INDEX(刷條碼區!D:G,MATCH(點上線資訊!S1263,刷條碼區!F:F,0),1),"")</f>
        <v/>
      </c>
      <c r="AA1263" s="71" t="str">
        <f>IFERROR(INDEX(刷條碼區!D:G,MATCH(點上線資訊!S1263,刷條碼區!F:F,0),2),"")</f>
        <v/>
      </c>
      <c r="AB1263" s="20">
        <f t="shared" si="118"/>
        <v>0</v>
      </c>
      <c r="AC1263" s="20" t="b">
        <f t="shared" si="119"/>
        <v>0</v>
      </c>
      <c r="AD1263" s="17" t="b">
        <f t="shared" si="120"/>
        <v>0</v>
      </c>
      <c r="AE1263" s="17" t="b">
        <f t="shared" si="121"/>
        <v>0</v>
      </c>
    </row>
    <row r="1264" spans="17:31" x14ac:dyDescent="0.2">
      <c r="Q1264" s="17">
        <f>IFERROR(VLOOKUP(A1264,已除帳印單!B:C,1,0),0)*1</f>
        <v>0</v>
      </c>
      <c r="R1264" s="67" t="str">
        <f>IFERROR(VLOOKUP(J1264,線別!A:B,2,1),"")</f>
        <v/>
      </c>
      <c r="S1264" s="17" t="str">
        <f>IFERROR(VLOOKUP(A1264,已除帳印單!B:C,2,0),"")</f>
        <v/>
      </c>
      <c r="T1264" s="68" t="e">
        <f t="shared" si="116"/>
        <v>#VALUE!</v>
      </c>
      <c r="U1264" s="69">
        <f t="shared" si="117"/>
        <v>0</v>
      </c>
      <c r="V1264" s="68" t="str">
        <f>IFERROR(VLOOKUP(A1264,已除帳印單!B:D,3,0),"")</f>
        <v/>
      </c>
      <c r="W1264" s="69" t="str">
        <f>IFERROR(VLOOKUP(A1264,已除帳印單!B:E,4,0),"")</f>
        <v/>
      </c>
      <c r="X1264" s="68" t="str">
        <f>IFERROR(INDEX(刷條碼區!A:C,MATCH(點上線資訊!S1264,刷條碼區!C:C,0),1),"")</f>
        <v/>
      </c>
      <c r="Y1264" s="69" t="str">
        <f>IFERROR(INDEX(刷條碼區!A:C,MATCH(點上線資訊!S1264,刷條碼區!C:C,0),2),"")</f>
        <v/>
      </c>
      <c r="Z1264" s="70" t="str">
        <f>IFERROR(INDEX(刷條碼區!D:G,MATCH(點上線資訊!S1264,刷條碼區!F:F,0),1),"")</f>
        <v/>
      </c>
      <c r="AA1264" s="71" t="str">
        <f>IFERROR(INDEX(刷條碼區!D:G,MATCH(點上線資訊!S1264,刷條碼區!F:F,0),2),"")</f>
        <v/>
      </c>
      <c r="AB1264" s="20">
        <f t="shared" si="118"/>
        <v>0</v>
      </c>
      <c r="AC1264" s="20" t="b">
        <f t="shared" si="119"/>
        <v>0</v>
      </c>
      <c r="AD1264" s="17" t="b">
        <f t="shared" si="120"/>
        <v>0</v>
      </c>
      <c r="AE1264" s="17" t="b">
        <f t="shared" si="121"/>
        <v>0</v>
      </c>
    </row>
    <row r="1265" spans="17:31" x14ac:dyDescent="0.2">
      <c r="Q1265" s="17">
        <f>IFERROR(VLOOKUP(A1265,已除帳印單!B:C,1,0),0)*1</f>
        <v>0</v>
      </c>
      <c r="R1265" s="67" t="str">
        <f>IFERROR(VLOOKUP(J1265,線別!A:B,2,1),"")</f>
        <v/>
      </c>
      <c r="S1265" s="17" t="str">
        <f>IFERROR(VLOOKUP(A1265,已除帳印單!B:C,2,0),"")</f>
        <v/>
      </c>
      <c r="T1265" s="68" t="e">
        <f t="shared" si="116"/>
        <v>#VALUE!</v>
      </c>
      <c r="U1265" s="69">
        <f t="shared" si="117"/>
        <v>0</v>
      </c>
      <c r="V1265" s="68" t="str">
        <f>IFERROR(VLOOKUP(A1265,已除帳印單!B:D,3,0),"")</f>
        <v/>
      </c>
      <c r="W1265" s="69" t="str">
        <f>IFERROR(VLOOKUP(A1265,已除帳印單!B:E,4,0),"")</f>
        <v/>
      </c>
      <c r="X1265" s="68" t="str">
        <f>IFERROR(INDEX(刷條碼區!A:C,MATCH(點上線資訊!S1265,刷條碼區!C:C,0),1),"")</f>
        <v/>
      </c>
      <c r="Y1265" s="69" t="str">
        <f>IFERROR(INDEX(刷條碼區!A:C,MATCH(點上線資訊!S1265,刷條碼區!C:C,0),2),"")</f>
        <v/>
      </c>
      <c r="Z1265" s="70" t="str">
        <f>IFERROR(INDEX(刷條碼區!D:G,MATCH(點上線資訊!S1265,刷條碼區!F:F,0),1),"")</f>
        <v/>
      </c>
      <c r="AA1265" s="71" t="str">
        <f>IFERROR(INDEX(刷條碼區!D:G,MATCH(點上線資訊!S1265,刷條碼區!F:F,0),2),"")</f>
        <v/>
      </c>
      <c r="AB1265" s="20">
        <f t="shared" si="118"/>
        <v>0</v>
      </c>
      <c r="AC1265" s="20" t="b">
        <f t="shared" si="119"/>
        <v>0</v>
      </c>
      <c r="AD1265" s="17" t="b">
        <f t="shared" si="120"/>
        <v>0</v>
      </c>
      <c r="AE1265" s="17" t="b">
        <f t="shared" si="121"/>
        <v>0</v>
      </c>
    </row>
    <row r="1266" spans="17:31" x14ac:dyDescent="0.2">
      <c r="Q1266" s="17">
        <f>IFERROR(VLOOKUP(A1266,已除帳印單!B:C,1,0),0)*1</f>
        <v>0</v>
      </c>
      <c r="R1266" s="67" t="str">
        <f>IFERROR(VLOOKUP(J1266,線別!A:B,2,1),"")</f>
        <v/>
      </c>
      <c r="S1266" s="17" t="str">
        <f>IFERROR(VLOOKUP(A1266,已除帳印單!B:C,2,0),"")</f>
        <v/>
      </c>
      <c r="T1266" s="68" t="e">
        <f t="shared" si="116"/>
        <v>#VALUE!</v>
      </c>
      <c r="U1266" s="69">
        <f t="shared" si="117"/>
        <v>0</v>
      </c>
      <c r="V1266" s="68" t="str">
        <f>IFERROR(VLOOKUP(A1266,已除帳印單!B:D,3,0),"")</f>
        <v/>
      </c>
      <c r="W1266" s="69" t="str">
        <f>IFERROR(VLOOKUP(A1266,已除帳印單!B:E,4,0),"")</f>
        <v/>
      </c>
      <c r="X1266" s="68" t="str">
        <f>IFERROR(INDEX(刷條碼區!A:C,MATCH(點上線資訊!S1266,刷條碼區!C:C,0),1),"")</f>
        <v/>
      </c>
      <c r="Y1266" s="69" t="str">
        <f>IFERROR(INDEX(刷條碼區!A:C,MATCH(點上線資訊!S1266,刷條碼區!C:C,0),2),"")</f>
        <v/>
      </c>
      <c r="Z1266" s="70" t="str">
        <f>IFERROR(INDEX(刷條碼區!D:G,MATCH(點上線資訊!S1266,刷條碼區!F:F,0),1),"")</f>
        <v/>
      </c>
      <c r="AA1266" s="71" t="str">
        <f>IFERROR(INDEX(刷條碼區!D:G,MATCH(點上線資訊!S1266,刷條碼區!F:F,0),2),"")</f>
        <v/>
      </c>
      <c r="AB1266" s="20">
        <f t="shared" si="118"/>
        <v>0</v>
      </c>
      <c r="AC1266" s="20" t="b">
        <f t="shared" si="119"/>
        <v>0</v>
      </c>
      <c r="AD1266" s="17" t="b">
        <f t="shared" si="120"/>
        <v>0</v>
      </c>
      <c r="AE1266" s="17" t="b">
        <f t="shared" si="121"/>
        <v>0</v>
      </c>
    </row>
    <row r="1267" spans="17:31" x14ac:dyDescent="0.2">
      <c r="Q1267" s="17">
        <f>IFERROR(VLOOKUP(A1267,已除帳印單!B:C,1,0),0)*1</f>
        <v>0</v>
      </c>
      <c r="R1267" s="67" t="str">
        <f>IFERROR(VLOOKUP(J1267,線別!A:B,2,1),"")</f>
        <v/>
      </c>
      <c r="S1267" s="17" t="str">
        <f>IFERROR(VLOOKUP(A1267,已除帳印單!B:C,2,0),"")</f>
        <v/>
      </c>
      <c r="T1267" s="68" t="e">
        <f t="shared" si="116"/>
        <v>#VALUE!</v>
      </c>
      <c r="U1267" s="69">
        <f t="shared" si="117"/>
        <v>0</v>
      </c>
      <c r="V1267" s="68" t="str">
        <f>IFERROR(VLOOKUP(A1267,已除帳印單!B:D,3,0),"")</f>
        <v/>
      </c>
      <c r="W1267" s="69" t="str">
        <f>IFERROR(VLOOKUP(A1267,已除帳印單!B:E,4,0),"")</f>
        <v/>
      </c>
      <c r="X1267" s="68" t="str">
        <f>IFERROR(INDEX(刷條碼區!A:C,MATCH(點上線資訊!S1267,刷條碼區!C:C,0),1),"")</f>
        <v/>
      </c>
      <c r="Y1267" s="69" t="str">
        <f>IFERROR(INDEX(刷條碼區!A:C,MATCH(點上線資訊!S1267,刷條碼區!C:C,0),2),"")</f>
        <v/>
      </c>
      <c r="Z1267" s="70" t="str">
        <f>IFERROR(INDEX(刷條碼區!D:G,MATCH(點上線資訊!S1267,刷條碼區!F:F,0),1),"")</f>
        <v/>
      </c>
      <c r="AA1267" s="71" t="str">
        <f>IFERROR(INDEX(刷條碼區!D:G,MATCH(點上線資訊!S1267,刷條碼區!F:F,0),2),"")</f>
        <v/>
      </c>
      <c r="AB1267" s="20">
        <f t="shared" si="118"/>
        <v>0</v>
      </c>
      <c r="AC1267" s="20" t="b">
        <f t="shared" si="119"/>
        <v>0</v>
      </c>
      <c r="AD1267" s="17" t="b">
        <f t="shared" si="120"/>
        <v>0</v>
      </c>
      <c r="AE1267" s="17" t="b">
        <f t="shared" si="121"/>
        <v>0</v>
      </c>
    </row>
    <row r="1268" spans="17:31" x14ac:dyDescent="0.2">
      <c r="Q1268" s="17">
        <f>IFERROR(VLOOKUP(A1268,已除帳印單!B:C,1,0),0)*1</f>
        <v>0</v>
      </c>
      <c r="R1268" s="67" t="str">
        <f>IFERROR(VLOOKUP(J1268,線別!A:B,2,1),"")</f>
        <v/>
      </c>
      <c r="S1268" s="17" t="str">
        <f>IFERROR(VLOOKUP(A1268,已除帳印單!B:C,2,0),"")</f>
        <v/>
      </c>
      <c r="T1268" s="68" t="e">
        <f t="shared" si="116"/>
        <v>#VALUE!</v>
      </c>
      <c r="U1268" s="69">
        <f t="shared" si="117"/>
        <v>0</v>
      </c>
      <c r="V1268" s="68" t="str">
        <f>IFERROR(VLOOKUP(A1268,已除帳印單!B:D,3,0),"")</f>
        <v/>
      </c>
      <c r="W1268" s="69" t="str">
        <f>IFERROR(VLOOKUP(A1268,已除帳印單!B:E,4,0),"")</f>
        <v/>
      </c>
      <c r="X1268" s="68" t="str">
        <f>IFERROR(INDEX(刷條碼區!A:C,MATCH(點上線資訊!S1268,刷條碼區!C:C,0),1),"")</f>
        <v/>
      </c>
      <c r="Y1268" s="69" t="str">
        <f>IFERROR(INDEX(刷條碼區!A:C,MATCH(點上線資訊!S1268,刷條碼區!C:C,0),2),"")</f>
        <v/>
      </c>
      <c r="Z1268" s="70" t="str">
        <f>IFERROR(INDEX(刷條碼區!D:G,MATCH(點上線資訊!S1268,刷條碼區!F:F,0),1),"")</f>
        <v/>
      </c>
      <c r="AA1268" s="71" t="str">
        <f>IFERROR(INDEX(刷條碼區!D:G,MATCH(點上線資訊!S1268,刷條碼區!F:F,0),2),"")</f>
        <v/>
      </c>
      <c r="AB1268" s="20">
        <f t="shared" si="118"/>
        <v>0</v>
      </c>
      <c r="AC1268" s="20" t="b">
        <f t="shared" si="119"/>
        <v>0</v>
      </c>
      <c r="AD1268" s="17" t="b">
        <f t="shared" si="120"/>
        <v>0</v>
      </c>
      <c r="AE1268" s="17" t="b">
        <f t="shared" si="121"/>
        <v>0</v>
      </c>
    </row>
    <row r="1269" spans="17:31" x14ac:dyDescent="0.2">
      <c r="Q1269" s="17">
        <f>IFERROR(VLOOKUP(A1269,已除帳印單!B:C,1,0),0)*1</f>
        <v>0</v>
      </c>
      <c r="R1269" s="67" t="str">
        <f>IFERROR(VLOOKUP(J1269,線別!A:B,2,1),"")</f>
        <v/>
      </c>
      <c r="S1269" s="17" t="str">
        <f>IFERROR(VLOOKUP(A1269,已除帳印單!B:C,2,0),"")</f>
        <v/>
      </c>
      <c r="T1269" s="68" t="e">
        <f t="shared" ref="T1269:T1332" si="122">--TEXT(B1269,"0000-00-00")</f>
        <v>#VALUE!</v>
      </c>
      <c r="U1269" s="69">
        <f t="shared" ref="U1269:U1332" si="123">--TEXT(C1269,"00\:00\:00")</f>
        <v>0</v>
      </c>
      <c r="V1269" s="68" t="str">
        <f>IFERROR(VLOOKUP(A1269,已除帳印單!B:D,3,0),"")</f>
        <v/>
      </c>
      <c r="W1269" s="69" t="str">
        <f>IFERROR(VLOOKUP(A1269,已除帳印單!B:E,4,0),"")</f>
        <v/>
      </c>
      <c r="X1269" s="68" t="str">
        <f>IFERROR(INDEX(刷條碼區!A:C,MATCH(點上線資訊!S1269,刷條碼區!C:C,0),1),"")</f>
        <v/>
      </c>
      <c r="Y1269" s="69" t="str">
        <f>IFERROR(INDEX(刷條碼區!A:C,MATCH(點上線資訊!S1269,刷條碼區!C:C,0),2),"")</f>
        <v/>
      </c>
      <c r="Z1269" s="70" t="str">
        <f>IFERROR(INDEX(刷條碼區!D:G,MATCH(點上線資訊!S1269,刷條碼區!F:F,0),1),"")</f>
        <v/>
      </c>
      <c r="AA1269" s="71" t="str">
        <f>IFERROR(INDEX(刷條碼區!D:G,MATCH(點上線資訊!S1269,刷條碼區!F:F,0),2),"")</f>
        <v/>
      </c>
      <c r="AB1269" s="20">
        <f t="shared" ref="AB1269:AB1332" si="124">IF(K1269&amp;N1269="",G1269)</f>
        <v>0</v>
      </c>
      <c r="AC1269" s="20" t="b">
        <f t="shared" ref="AC1269:AC1332" si="125">IF(S1269&lt;&gt;"",G1269)</f>
        <v>0</v>
      </c>
      <c r="AD1269" s="17" t="b">
        <f t="shared" ref="AD1269:AD1332" si="126">IF(X1269&lt;&gt;"",G1269)</f>
        <v>0</v>
      </c>
      <c r="AE1269" s="17" t="b">
        <f t="shared" ref="AE1269:AE1332" si="127">IF(Z1269&lt;&gt;"",G1269)</f>
        <v>0</v>
      </c>
    </row>
    <row r="1270" spans="17:31" x14ac:dyDescent="0.2">
      <c r="Q1270" s="17">
        <f>IFERROR(VLOOKUP(A1270,已除帳印單!B:C,1,0),0)*1</f>
        <v>0</v>
      </c>
      <c r="R1270" s="67" t="str">
        <f>IFERROR(VLOOKUP(J1270,線別!A:B,2,1),"")</f>
        <v/>
      </c>
      <c r="S1270" s="17" t="str">
        <f>IFERROR(VLOOKUP(A1270,已除帳印單!B:C,2,0),"")</f>
        <v/>
      </c>
      <c r="T1270" s="68" t="e">
        <f t="shared" si="122"/>
        <v>#VALUE!</v>
      </c>
      <c r="U1270" s="69">
        <f t="shared" si="123"/>
        <v>0</v>
      </c>
      <c r="V1270" s="68" t="str">
        <f>IFERROR(VLOOKUP(A1270,已除帳印單!B:D,3,0),"")</f>
        <v/>
      </c>
      <c r="W1270" s="69" t="str">
        <f>IFERROR(VLOOKUP(A1270,已除帳印單!B:E,4,0),"")</f>
        <v/>
      </c>
      <c r="X1270" s="68" t="str">
        <f>IFERROR(INDEX(刷條碼區!A:C,MATCH(點上線資訊!S1270,刷條碼區!C:C,0),1),"")</f>
        <v/>
      </c>
      <c r="Y1270" s="69" t="str">
        <f>IFERROR(INDEX(刷條碼區!A:C,MATCH(點上線資訊!S1270,刷條碼區!C:C,0),2),"")</f>
        <v/>
      </c>
      <c r="Z1270" s="70" t="str">
        <f>IFERROR(INDEX(刷條碼區!D:G,MATCH(點上線資訊!S1270,刷條碼區!F:F,0),1),"")</f>
        <v/>
      </c>
      <c r="AA1270" s="71" t="str">
        <f>IFERROR(INDEX(刷條碼區!D:G,MATCH(點上線資訊!S1270,刷條碼區!F:F,0),2),"")</f>
        <v/>
      </c>
      <c r="AB1270" s="20">
        <f t="shared" si="124"/>
        <v>0</v>
      </c>
      <c r="AC1270" s="20" t="b">
        <f t="shared" si="125"/>
        <v>0</v>
      </c>
      <c r="AD1270" s="17" t="b">
        <f t="shared" si="126"/>
        <v>0</v>
      </c>
      <c r="AE1270" s="17" t="b">
        <f t="shared" si="127"/>
        <v>0</v>
      </c>
    </row>
    <row r="1271" spans="17:31" x14ac:dyDescent="0.2">
      <c r="Q1271" s="17">
        <f>IFERROR(VLOOKUP(A1271,已除帳印單!B:C,1,0),0)*1</f>
        <v>0</v>
      </c>
      <c r="R1271" s="67" t="str">
        <f>IFERROR(VLOOKUP(J1271,線別!A:B,2,1),"")</f>
        <v/>
      </c>
      <c r="S1271" s="17" t="str">
        <f>IFERROR(VLOOKUP(A1271,已除帳印單!B:C,2,0),"")</f>
        <v/>
      </c>
      <c r="T1271" s="68" t="e">
        <f t="shared" si="122"/>
        <v>#VALUE!</v>
      </c>
      <c r="U1271" s="69">
        <f t="shared" si="123"/>
        <v>0</v>
      </c>
      <c r="V1271" s="68" t="str">
        <f>IFERROR(VLOOKUP(A1271,已除帳印單!B:D,3,0),"")</f>
        <v/>
      </c>
      <c r="W1271" s="69" t="str">
        <f>IFERROR(VLOOKUP(A1271,已除帳印單!B:E,4,0),"")</f>
        <v/>
      </c>
      <c r="X1271" s="68" t="str">
        <f>IFERROR(INDEX(刷條碼區!A:C,MATCH(點上線資訊!S1271,刷條碼區!C:C,0),1),"")</f>
        <v/>
      </c>
      <c r="Y1271" s="69" t="str">
        <f>IFERROR(INDEX(刷條碼區!A:C,MATCH(點上線資訊!S1271,刷條碼區!C:C,0),2),"")</f>
        <v/>
      </c>
      <c r="Z1271" s="70" t="str">
        <f>IFERROR(INDEX(刷條碼區!D:G,MATCH(點上線資訊!S1271,刷條碼區!F:F,0),1),"")</f>
        <v/>
      </c>
      <c r="AA1271" s="71" t="str">
        <f>IFERROR(INDEX(刷條碼區!D:G,MATCH(點上線資訊!S1271,刷條碼區!F:F,0),2),"")</f>
        <v/>
      </c>
      <c r="AB1271" s="20">
        <f t="shared" si="124"/>
        <v>0</v>
      </c>
      <c r="AC1271" s="20" t="b">
        <f t="shared" si="125"/>
        <v>0</v>
      </c>
      <c r="AD1271" s="17" t="b">
        <f t="shared" si="126"/>
        <v>0</v>
      </c>
      <c r="AE1271" s="17" t="b">
        <f t="shared" si="127"/>
        <v>0</v>
      </c>
    </row>
    <row r="1272" spans="17:31" x14ac:dyDescent="0.2">
      <c r="Q1272" s="17">
        <f>IFERROR(VLOOKUP(A1272,已除帳印單!B:C,1,0),0)*1</f>
        <v>0</v>
      </c>
      <c r="R1272" s="67" t="str">
        <f>IFERROR(VLOOKUP(J1272,線別!A:B,2,1),"")</f>
        <v/>
      </c>
      <c r="S1272" s="17" t="str">
        <f>IFERROR(VLOOKUP(A1272,已除帳印單!B:C,2,0),"")</f>
        <v/>
      </c>
      <c r="T1272" s="68" t="e">
        <f t="shared" si="122"/>
        <v>#VALUE!</v>
      </c>
      <c r="U1272" s="69">
        <f t="shared" si="123"/>
        <v>0</v>
      </c>
      <c r="V1272" s="68" t="str">
        <f>IFERROR(VLOOKUP(A1272,已除帳印單!B:D,3,0),"")</f>
        <v/>
      </c>
      <c r="W1272" s="69" t="str">
        <f>IFERROR(VLOOKUP(A1272,已除帳印單!B:E,4,0),"")</f>
        <v/>
      </c>
      <c r="X1272" s="68" t="str">
        <f>IFERROR(INDEX(刷條碼區!A:C,MATCH(點上線資訊!S1272,刷條碼區!C:C,0),1),"")</f>
        <v/>
      </c>
      <c r="Y1272" s="69" t="str">
        <f>IFERROR(INDEX(刷條碼區!A:C,MATCH(點上線資訊!S1272,刷條碼區!C:C,0),2),"")</f>
        <v/>
      </c>
      <c r="Z1272" s="70" t="str">
        <f>IFERROR(INDEX(刷條碼區!D:G,MATCH(點上線資訊!S1272,刷條碼區!F:F,0),1),"")</f>
        <v/>
      </c>
      <c r="AA1272" s="71" t="str">
        <f>IFERROR(INDEX(刷條碼區!D:G,MATCH(點上線資訊!S1272,刷條碼區!F:F,0),2),"")</f>
        <v/>
      </c>
      <c r="AB1272" s="20">
        <f t="shared" si="124"/>
        <v>0</v>
      </c>
      <c r="AC1272" s="20" t="b">
        <f t="shared" si="125"/>
        <v>0</v>
      </c>
      <c r="AD1272" s="17" t="b">
        <f t="shared" si="126"/>
        <v>0</v>
      </c>
      <c r="AE1272" s="17" t="b">
        <f t="shared" si="127"/>
        <v>0</v>
      </c>
    </row>
    <row r="1273" spans="17:31" x14ac:dyDescent="0.2">
      <c r="Q1273" s="17">
        <f>IFERROR(VLOOKUP(A1273,已除帳印單!B:C,1,0),0)*1</f>
        <v>0</v>
      </c>
      <c r="R1273" s="67" t="str">
        <f>IFERROR(VLOOKUP(J1273,線別!A:B,2,1),"")</f>
        <v/>
      </c>
      <c r="S1273" s="17" t="str">
        <f>IFERROR(VLOOKUP(A1273,已除帳印單!B:C,2,0),"")</f>
        <v/>
      </c>
      <c r="T1273" s="68" t="e">
        <f t="shared" si="122"/>
        <v>#VALUE!</v>
      </c>
      <c r="U1273" s="69">
        <f t="shared" si="123"/>
        <v>0</v>
      </c>
      <c r="V1273" s="68" t="str">
        <f>IFERROR(VLOOKUP(A1273,已除帳印單!B:D,3,0),"")</f>
        <v/>
      </c>
      <c r="W1273" s="69" t="str">
        <f>IFERROR(VLOOKUP(A1273,已除帳印單!B:E,4,0),"")</f>
        <v/>
      </c>
      <c r="X1273" s="68" t="str">
        <f>IFERROR(INDEX(刷條碼區!A:C,MATCH(點上線資訊!S1273,刷條碼區!C:C,0),1),"")</f>
        <v/>
      </c>
      <c r="Y1273" s="69" t="str">
        <f>IFERROR(INDEX(刷條碼區!A:C,MATCH(點上線資訊!S1273,刷條碼區!C:C,0),2),"")</f>
        <v/>
      </c>
      <c r="Z1273" s="70" t="str">
        <f>IFERROR(INDEX(刷條碼區!D:G,MATCH(點上線資訊!S1273,刷條碼區!F:F,0),1),"")</f>
        <v/>
      </c>
      <c r="AA1273" s="71" t="str">
        <f>IFERROR(INDEX(刷條碼區!D:G,MATCH(點上線資訊!S1273,刷條碼區!F:F,0),2),"")</f>
        <v/>
      </c>
      <c r="AB1273" s="20">
        <f t="shared" si="124"/>
        <v>0</v>
      </c>
      <c r="AC1273" s="20" t="b">
        <f t="shared" si="125"/>
        <v>0</v>
      </c>
      <c r="AD1273" s="17" t="b">
        <f t="shared" si="126"/>
        <v>0</v>
      </c>
      <c r="AE1273" s="17" t="b">
        <f t="shared" si="127"/>
        <v>0</v>
      </c>
    </row>
    <row r="1274" spans="17:31" x14ac:dyDescent="0.2">
      <c r="Q1274" s="17">
        <f>IFERROR(VLOOKUP(A1274,已除帳印單!B:C,1,0),0)*1</f>
        <v>0</v>
      </c>
      <c r="R1274" s="67" t="str">
        <f>IFERROR(VLOOKUP(J1274,線別!A:B,2,1),"")</f>
        <v/>
      </c>
      <c r="S1274" s="17" t="str">
        <f>IFERROR(VLOOKUP(A1274,已除帳印單!B:C,2,0),"")</f>
        <v/>
      </c>
      <c r="T1274" s="68" t="e">
        <f t="shared" si="122"/>
        <v>#VALUE!</v>
      </c>
      <c r="U1274" s="69">
        <f t="shared" si="123"/>
        <v>0</v>
      </c>
      <c r="V1274" s="68" t="str">
        <f>IFERROR(VLOOKUP(A1274,已除帳印單!B:D,3,0),"")</f>
        <v/>
      </c>
      <c r="W1274" s="69" t="str">
        <f>IFERROR(VLOOKUP(A1274,已除帳印單!B:E,4,0),"")</f>
        <v/>
      </c>
      <c r="X1274" s="68" t="str">
        <f>IFERROR(INDEX(刷條碼區!A:C,MATCH(點上線資訊!S1274,刷條碼區!C:C,0),1),"")</f>
        <v/>
      </c>
      <c r="Y1274" s="69" t="str">
        <f>IFERROR(INDEX(刷條碼區!A:C,MATCH(點上線資訊!S1274,刷條碼區!C:C,0),2),"")</f>
        <v/>
      </c>
      <c r="Z1274" s="70" t="str">
        <f>IFERROR(INDEX(刷條碼區!D:G,MATCH(點上線資訊!S1274,刷條碼區!F:F,0),1),"")</f>
        <v/>
      </c>
      <c r="AA1274" s="71" t="str">
        <f>IFERROR(INDEX(刷條碼區!D:G,MATCH(點上線資訊!S1274,刷條碼區!F:F,0),2),"")</f>
        <v/>
      </c>
      <c r="AB1274" s="20">
        <f t="shared" si="124"/>
        <v>0</v>
      </c>
      <c r="AC1274" s="20" t="b">
        <f t="shared" si="125"/>
        <v>0</v>
      </c>
      <c r="AD1274" s="17" t="b">
        <f t="shared" si="126"/>
        <v>0</v>
      </c>
      <c r="AE1274" s="17" t="b">
        <f t="shared" si="127"/>
        <v>0</v>
      </c>
    </row>
    <row r="1275" spans="17:31" x14ac:dyDescent="0.2">
      <c r="Q1275" s="17">
        <f>IFERROR(VLOOKUP(A1275,已除帳印單!B:C,1,0),0)*1</f>
        <v>0</v>
      </c>
      <c r="R1275" s="67" t="str">
        <f>IFERROR(VLOOKUP(J1275,線別!A:B,2,1),"")</f>
        <v/>
      </c>
      <c r="S1275" s="17" t="str">
        <f>IFERROR(VLOOKUP(A1275,已除帳印單!B:C,2,0),"")</f>
        <v/>
      </c>
      <c r="T1275" s="68" t="e">
        <f t="shared" si="122"/>
        <v>#VALUE!</v>
      </c>
      <c r="U1275" s="69">
        <f t="shared" si="123"/>
        <v>0</v>
      </c>
      <c r="V1275" s="68" t="str">
        <f>IFERROR(VLOOKUP(A1275,已除帳印單!B:D,3,0),"")</f>
        <v/>
      </c>
      <c r="W1275" s="69" t="str">
        <f>IFERROR(VLOOKUP(A1275,已除帳印單!B:E,4,0),"")</f>
        <v/>
      </c>
      <c r="X1275" s="68" t="str">
        <f>IFERROR(INDEX(刷條碼區!A:C,MATCH(點上線資訊!S1275,刷條碼區!C:C,0),1),"")</f>
        <v/>
      </c>
      <c r="Y1275" s="69" t="str">
        <f>IFERROR(INDEX(刷條碼區!A:C,MATCH(點上線資訊!S1275,刷條碼區!C:C,0),2),"")</f>
        <v/>
      </c>
      <c r="Z1275" s="70" t="str">
        <f>IFERROR(INDEX(刷條碼區!D:G,MATCH(點上線資訊!S1275,刷條碼區!F:F,0),1),"")</f>
        <v/>
      </c>
      <c r="AA1275" s="71" t="str">
        <f>IFERROR(INDEX(刷條碼區!D:G,MATCH(點上線資訊!S1275,刷條碼區!F:F,0),2),"")</f>
        <v/>
      </c>
      <c r="AB1275" s="20">
        <f t="shared" si="124"/>
        <v>0</v>
      </c>
      <c r="AC1275" s="20" t="b">
        <f t="shared" si="125"/>
        <v>0</v>
      </c>
      <c r="AD1275" s="17" t="b">
        <f t="shared" si="126"/>
        <v>0</v>
      </c>
      <c r="AE1275" s="17" t="b">
        <f t="shared" si="127"/>
        <v>0</v>
      </c>
    </row>
    <row r="1276" spans="17:31" x14ac:dyDescent="0.2">
      <c r="Q1276" s="17">
        <f>IFERROR(VLOOKUP(A1276,已除帳印單!B:C,1,0),0)*1</f>
        <v>0</v>
      </c>
      <c r="R1276" s="67" t="str">
        <f>IFERROR(VLOOKUP(J1276,線別!A:B,2,1),"")</f>
        <v/>
      </c>
      <c r="S1276" s="17" t="str">
        <f>IFERROR(VLOOKUP(A1276,已除帳印單!B:C,2,0),"")</f>
        <v/>
      </c>
      <c r="T1276" s="68" t="e">
        <f t="shared" si="122"/>
        <v>#VALUE!</v>
      </c>
      <c r="U1276" s="69">
        <f t="shared" si="123"/>
        <v>0</v>
      </c>
      <c r="V1276" s="68" t="str">
        <f>IFERROR(VLOOKUP(A1276,已除帳印單!B:D,3,0),"")</f>
        <v/>
      </c>
      <c r="W1276" s="69" t="str">
        <f>IFERROR(VLOOKUP(A1276,已除帳印單!B:E,4,0),"")</f>
        <v/>
      </c>
      <c r="X1276" s="68" t="str">
        <f>IFERROR(INDEX(刷條碼區!A:C,MATCH(點上線資訊!S1276,刷條碼區!C:C,0),1),"")</f>
        <v/>
      </c>
      <c r="Y1276" s="69" t="str">
        <f>IFERROR(INDEX(刷條碼區!A:C,MATCH(點上線資訊!S1276,刷條碼區!C:C,0),2),"")</f>
        <v/>
      </c>
      <c r="Z1276" s="70" t="str">
        <f>IFERROR(INDEX(刷條碼區!D:G,MATCH(點上線資訊!S1276,刷條碼區!F:F,0),1),"")</f>
        <v/>
      </c>
      <c r="AA1276" s="71" t="str">
        <f>IFERROR(INDEX(刷條碼區!D:G,MATCH(點上線資訊!S1276,刷條碼區!F:F,0),2),"")</f>
        <v/>
      </c>
      <c r="AB1276" s="20">
        <f t="shared" si="124"/>
        <v>0</v>
      </c>
      <c r="AC1276" s="20" t="b">
        <f t="shared" si="125"/>
        <v>0</v>
      </c>
      <c r="AD1276" s="17" t="b">
        <f t="shared" si="126"/>
        <v>0</v>
      </c>
      <c r="AE1276" s="17" t="b">
        <f t="shared" si="127"/>
        <v>0</v>
      </c>
    </row>
    <row r="1277" spans="17:31" x14ac:dyDescent="0.2">
      <c r="Q1277" s="17">
        <f>IFERROR(VLOOKUP(A1277,已除帳印單!B:C,1,0),0)*1</f>
        <v>0</v>
      </c>
      <c r="R1277" s="67" t="str">
        <f>IFERROR(VLOOKUP(J1277,線別!A:B,2,1),"")</f>
        <v/>
      </c>
      <c r="S1277" s="17" t="str">
        <f>IFERROR(VLOOKUP(A1277,已除帳印單!B:C,2,0),"")</f>
        <v/>
      </c>
      <c r="T1277" s="68" t="e">
        <f t="shared" si="122"/>
        <v>#VALUE!</v>
      </c>
      <c r="U1277" s="69">
        <f t="shared" si="123"/>
        <v>0</v>
      </c>
      <c r="V1277" s="68" t="str">
        <f>IFERROR(VLOOKUP(A1277,已除帳印單!B:D,3,0),"")</f>
        <v/>
      </c>
      <c r="W1277" s="69" t="str">
        <f>IFERROR(VLOOKUP(A1277,已除帳印單!B:E,4,0),"")</f>
        <v/>
      </c>
      <c r="X1277" s="68" t="str">
        <f>IFERROR(INDEX(刷條碼區!A:C,MATCH(點上線資訊!S1277,刷條碼區!C:C,0),1),"")</f>
        <v/>
      </c>
      <c r="Y1277" s="69" t="str">
        <f>IFERROR(INDEX(刷條碼區!A:C,MATCH(點上線資訊!S1277,刷條碼區!C:C,0),2),"")</f>
        <v/>
      </c>
      <c r="Z1277" s="70" t="str">
        <f>IFERROR(INDEX(刷條碼區!D:G,MATCH(點上線資訊!S1277,刷條碼區!F:F,0),1),"")</f>
        <v/>
      </c>
      <c r="AA1277" s="71" t="str">
        <f>IFERROR(INDEX(刷條碼區!D:G,MATCH(點上線資訊!S1277,刷條碼區!F:F,0),2),"")</f>
        <v/>
      </c>
      <c r="AB1277" s="20">
        <f t="shared" si="124"/>
        <v>0</v>
      </c>
      <c r="AC1277" s="20" t="b">
        <f t="shared" si="125"/>
        <v>0</v>
      </c>
      <c r="AD1277" s="17" t="b">
        <f t="shared" si="126"/>
        <v>0</v>
      </c>
      <c r="AE1277" s="17" t="b">
        <f t="shared" si="127"/>
        <v>0</v>
      </c>
    </row>
    <row r="1278" spans="17:31" x14ac:dyDescent="0.2">
      <c r="Q1278" s="17">
        <f>IFERROR(VLOOKUP(A1278,已除帳印單!B:C,1,0),0)*1</f>
        <v>0</v>
      </c>
      <c r="R1278" s="67" t="str">
        <f>IFERROR(VLOOKUP(J1278,線別!A:B,2,1),"")</f>
        <v/>
      </c>
      <c r="S1278" s="17" t="str">
        <f>IFERROR(VLOOKUP(A1278,已除帳印單!B:C,2,0),"")</f>
        <v/>
      </c>
      <c r="T1278" s="68" t="e">
        <f t="shared" si="122"/>
        <v>#VALUE!</v>
      </c>
      <c r="U1278" s="69">
        <f t="shared" si="123"/>
        <v>0</v>
      </c>
      <c r="V1278" s="68" t="str">
        <f>IFERROR(VLOOKUP(A1278,已除帳印單!B:D,3,0),"")</f>
        <v/>
      </c>
      <c r="W1278" s="69" t="str">
        <f>IFERROR(VLOOKUP(A1278,已除帳印單!B:E,4,0),"")</f>
        <v/>
      </c>
      <c r="X1278" s="68" t="str">
        <f>IFERROR(INDEX(刷條碼區!A:C,MATCH(點上線資訊!S1278,刷條碼區!C:C,0),1),"")</f>
        <v/>
      </c>
      <c r="Y1278" s="69" t="str">
        <f>IFERROR(INDEX(刷條碼區!A:C,MATCH(點上線資訊!S1278,刷條碼區!C:C,0),2),"")</f>
        <v/>
      </c>
      <c r="Z1278" s="70" t="str">
        <f>IFERROR(INDEX(刷條碼區!D:G,MATCH(點上線資訊!S1278,刷條碼區!F:F,0),1),"")</f>
        <v/>
      </c>
      <c r="AA1278" s="71" t="str">
        <f>IFERROR(INDEX(刷條碼區!D:G,MATCH(點上線資訊!S1278,刷條碼區!F:F,0),2),"")</f>
        <v/>
      </c>
      <c r="AB1278" s="20">
        <f t="shared" si="124"/>
        <v>0</v>
      </c>
      <c r="AC1278" s="20" t="b">
        <f t="shared" si="125"/>
        <v>0</v>
      </c>
      <c r="AD1278" s="17" t="b">
        <f t="shared" si="126"/>
        <v>0</v>
      </c>
      <c r="AE1278" s="17" t="b">
        <f t="shared" si="127"/>
        <v>0</v>
      </c>
    </row>
    <row r="1279" spans="17:31" x14ac:dyDescent="0.2">
      <c r="Q1279" s="17">
        <f>IFERROR(VLOOKUP(A1279,已除帳印單!B:C,1,0),0)*1</f>
        <v>0</v>
      </c>
      <c r="R1279" s="67" t="str">
        <f>IFERROR(VLOOKUP(J1279,線別!A:B,2,1),"")</f>
        <v/>
      </c>
      <c r="S1279" s="17" t="str">
        <f>IFERROR(VLOOKUP(A1279,已除帳印單!B:C,2,0),"")</f>
        <v/>
      </c>
      <c r="T1279" s="68" t="e">
        <f t="shared" si="122"/>
        <v>#VALUE!</v>
      </c>
      <c r="U1279" s="69">
        <f t="shared" si="123"/>
        <v>0</v>
      </c>
      <c r="V1279" s="68" t="str">
        <f>IFERROR(VLOOKUP(A1279,已除帳印單!B:D,3,0),"")</f>
        <v/>
      </c>
      <c r="W1279" s="69" t="str">
        <f>IFERROR(VLOOKUP(A1279,已除帳印單!B:E,4,0),"")</f>
        <v/>
      </c>
      <c r="X1279" s="68" t="str">
        <f>IFERROR(INDEX(刷條碼區!A:C,MATCH(點上線資訊!S1279,刷條碼區!C:C,0),1),"")</f>
        <v/>
      </c>
      <c r="Y1279" s="69" t="str">
        <f>IFERROR(INDEX(刷條碼區!A:C,MATCH(點上線資訊!S1279,刷條碼區!C:C,0),2),"")</f>
        <v/>
      </c>
      <c r="Z1279" s="70" t="str">
        <f>IFERROR(INDEX(刷條碼區!D:G,MATCH(點上線資訊!S1279,刷條碼區!F:F,0),1),"")</f>
        <v/>
      </c>
      <c r="AA1279" s="71" t="str">
        <f>IFERROR(INDEX(刷條碼區!D:G,MATCH(點上線資訊!S1279,刷條碼區!F:F,0),2),"")</f>
        <v/>
      </c>
      <c r="AB1279" s="20">
        <f t="shared" si="124"/>
        <v>0</v>
      </c>
      <c r="AC1279" s="20" t="b">
        <f t="shared" si="125"/>
        <v>0</v>
      </c>
      <c r="AD1279" s="17" t="b">
        <f t="shared" si="126"/>
        <v>0</v>
      </c>
      <c r="AE1279" s="17" t="b">
        <f t="shared" si="127"/>
        <v>0</v>
      </c>
    </row>
    <row r="1280" spans="17:31" x14ac:dyDescent="0.2">
      <c r="Q1280" s="17">
        <f>IFERROR(VLOOKUP(A1280,已除帳印單!B:C,1,0),0)*1</f>
        <v>0</v>
      </c>
      <c r="R1280" s="67" t="str">
        <f>IFERROR(VLOOKUP(J1280,線別!A:B,2,1),"")</f>
        <v/>
      </c>
      <c r="S1280" s="17" t="str">
        <f>IFERROR(VLOOKUP(A1280,已除帳印單!B:C,2,0),"")</f>
        <v/>
      </c>
      <c r="T1280" s="68" t="e">
        <f t="shared" si="122"/>
        <v>#VALUE!</v>
      </c>
      <c r="U1280" s="69">
        <f t="shared" si="123"/>
        <v>0</v>
      </c>
      <c r="V1280" s="68" t="str">
        <f>IFERROR(VLOOKUP(A1280,已除帳印單!B:D,3,0),"")</f>
        <v/>
      </c>
      <c r="W1280" s="69" t="str">
        <f>IFERROR(VLOOKUP(A1280,已除帳印單!B:E,4,0),"")</f>
        <v/>
      </c>
      <c r="X1280" s="68" t="str">
        <f>IFERROR(INDEX(刷條碼區!A:C,MATCH(點上線資訊!S1280,刷條碼區!C:C,0),1),"")</f>
        <v/>
      </c>
      <c r="Y1280" s="69" t="str">
        <f>IFERROR(INDEX(刷條碼區!A:C,MATCH(點上線資訊!S1280,刷條碼區!C:C,0),2),"")</f>
        <v/>
      </c>
      <c r="Z1280" s="70" t="str">
        <f>IFERROR(INDEX(刷條碼區!D:G,MATCH(點上線資訊!S1280,刷條碼區!F:F,0),1),"")</f>
        <v/>
      </c>
      <c r="AA1280" s="71" t="str">
        <f>IFERROR(INDEX(刷條碼區!D:G,MATCH(點上線資訊!S1280,刷條碼區!F:F,0),2),"")</f>
        <v/>
      </c>
      <c r="AB1280" s="20">
        <f t="shared" si="124"/>
        <v>0</v>
      </c>
      <c r="AC1280" s="20" t="b">
        <f t="shared" si="125"/>
        <v>0</v>
      </c>
      <c r="AD1280" s="17" t="b">
        <f t="shared" si="126"/>
        <v>0</v>
      </c>
      <c r="AE1280" s="17" t="b">
        <f t="shared" si="127"/>
        <v>0</v>
      </c>
    </row>
    <row r="1281" spans="17:31" x14ac:dyDescent="0.2">
      <c r="Q1281" s="17">
        <f>IFERROR(VLOOKUP(A1281,已除帳印單!B:C,1,0),0)*1</f>
        <v>0</v>
      </c>
      <c r="R1281" s="67" t="str">
        <f>IFERROR(VLOOKUP(J1281,線別!A:B,2,1),"")</f>
        <v/>
      </c>
      <c r="S1281" s="17" t="str">
        <f>IFERROR(VLOOKUP(A1281,已除帳印單!B:C,2,0),"")</f>
        <v/>
      </c>
      <c r="T1281" s="68" t="e">
        <f t="shared" si="122"/>
        <v>#VALUE!</v>
      </c>
      <c r="U1281" s="69">
        <f t="shared" si="123"/>
        <v>0</v>
      </c>
      <c r="V1281" s="68" t="str">
        <f>IFERROR(VLOOKUP(A1281,已除帳印單!B:D,3,0),"")</f>
        <v/>
      </c>
      <c r="W1281" s="69" t="str">
        <f>IFERROR(VLOOKUP(A1281,已除帳印單!B:E,4,0),"")</f>
        <v/>
      </c>
      <c r="X1281" s="68" t="str">
        <f>IFERROR(INDEX(刷條碼區!A:C,MATCH(點上線資訊!S1281,刷條碼區!C:C,0),1),"")</f>
        <v/>
      </c>
      <c r="Y1281" s="69" t="str">
        <f>IFERROR(INDEX(刷條碼區!A:C,MATCH(點上線資訊!S1281,刷條碼區!C:C,0),2),"")</f>
        <v/>
      </c>
      <c r="Z1281" s="70" t="str">
        <f>IFERROR(INDEX(刷條碼區!D:G,MATCH(點上線資訊!S1281,刷條碼區!F:F,0),1),"")</f>
        <v/>
      </c>
      <c r="AA1281" s="71" t="str">
        <f>IFERROR(INDEX(刷條碼區!D:G,MATCH(點上線資訊!S1281,刷條碼區!F:F,0),2),"")</f>
        <v/>
      </c>
      <c r="AB1281" s="20">
        <f t="shared" si="124"/>
        <v>0</v>
      </c>
      <c r="AC1281" s="20" t="b">
        <f t="shared" si="125"/>
        <v>0</v>
      </c>
      <c r="AD1281" s="17" t="b">
        <f t="shared" si="126"/>
        <v>0</v>
      </c>
      <c r="AE1281" s="17" t="b">
        <f t="shared" si="127"/>
        <v>0</v>
      </c>
    </row>
    <row r="1282" spans="17:31" x14ac:dyDescent="0.2">
      <c r="Q1282" s="17">
        <f>IFERROR(VLOOKUP(A1282,已除帳印單!B:C,1,0),0)*1</f>
        <v>0</v>
      </c>
      <c r="R1282" s="67" t="str">
        <f>IFERROR(VLOOKUP(J1282,線別!A:B,2,1),"")</f>
        <v/>
      </c>
      <c r="S1282" s="17" t="str">
        <f>IFERROR(VLOOKUP(A1282,已除帳印單!B:C,2,0),"")</f>
        <v/>
      </c>
      <c r="T1282" s="68" t="e">
        <f t="shared" si="122"/>
        <v>#VALUE!</v>
      </c>
      <c r="U1282" s="69">
        <f t="shared" si="123"/>
        <v>0</v>
      </c>
      <c r="V1282" s="68" t="str">
        <f>IFERROR(VLOOKUP(A1282,已除帳印單!B:D,3,0),"")</f>
        <v/>
      </c>
      <c r="W1282" s="69" t="str">
        <f>IFERROR(VLOOKUP(A1282,已除帳印單!B:E,4,0),"")</f>
        <v/>
      </c>
      <c r="X1282" s="68" t="str">
        <f>IFERROR(INDEX(刷條碼區!A:C,MATCH(點上線資訊!S1282,刷條碼區!C:C,0),1),"")</f>
        <v/>
      </c>
      <c r="Y1282" s="69" t="str">
        <f>IFERROR(INDEX(刷條碼區!A:C,MATCH(點上線資訊!S1282,刷條碼區!C:C,0),2),"")</f>
        <v/>
      </c>
      <c r="Z1282" s="70" t="str">
        <f>IFERROR(INDEX(刷條碼區!D:G,MATCH(點上線資訊!S1282,刷條碼區!F:F,0),1),"")</f>
        <v/>
      </c>
      <c r="AA1282" s="71" t="str">
        <f>IFERROR(INDEX(刷條碼區!D:G,MATCH(點上線資訊!S1282,刷條碼區!F:F,0),2),"")</f>
        <v/>
      </c>
      <c r="AB1282" s="20">
        <f t="shared" si="124"/>
        <v>0</v>
      </c>
      <c r="AC1282" s="20" t="b">
        <f t="shared" si="125"/>
        <v>0</v>
      </c>
      <c r="AD1282" s="17" t="b">
        <f t="shared" si="126"/>
        <v>0</v>
      </c>
      <c r="AE1282" s="17" t="b">
        <f t="shared" si="127"/>
        <v>0</v>
      </c>
    </row>
    <row r="1283" spans="17:31" x14ac:dyDescent="0.2">
      <c r="Q1283" s="17">
        <f>IFERROR(VLOOKUP(A1283,已除帳印單!B:C,1,0),0)*1</f>
        <v>0</v>
      </c>
      <c r="R1283" s="67" t="str">
        <f>IFERROR(VLOOKUP(J1283,線別!A:B,2,1),"")</f>
        <v/>
      </c>
      <c r="S1283" s="17" t="str">
        <f>IFERROR(VLOOKUP(A1283,已除帳印單!B:C,2,0),"")</f>
        <v/>
      </c>
      <c r="T1283" s="68" t="e">
        <f t="shared" si="122"/>
        <v>#VALUE!</v>
      </c>
      <c r="U1283" s="69">
        <f t="shared" si="123"/>
        <v>0</v>
      </c>
      <c r="V1283" s="68" t="str">
        <f>IFERROR(VLOOKUP(A1283,已除帳印單!B:D,3,0),"")</f>
        <v/>
      </c>
      <c r="W1283" s="69" t="str">
        <f>IFERROR(VLOOKUP(A1283,已除帳印單!B:E,4,0),"")</f>
        <v/>
      </c>
      <c r="X1283" s="68" t="str">
        <f>IFERROR(INDEX(刷條碼區!A:C,MATCH(點上線資訊!S1283,刷條碼區!C:C,0),1),"")</f>
        <v/>
      </c>
      <c r="Y1283" s="69" t="str">
        <f>IFERROR(INDEX(刷條碼區!A:C,MATCH(點上線資訊!S1283,刷條碼區!C:C,0),2),"")</f>
        <v/>
      </c>
      <c r="Z1283" s="70" t="str">
        <f>IFERROR(INDEX(刷條碼區!D:G,MATCH(點上線資訊!S1283,刷條碼區!F:F,0),1),"")</f>
        <v/>
      </c>
      <c r="AA1283" s="71" t="str">
        <f>IFERROR(INDEX(刷條碼區!D:G,MATCH(點上線資訊!S1283,刷條碼區!F:F,0),2),"")</f>
        <v/>
      </c>
      <c r="AB1283" s="20">
        <f t="shared" si="124"/>
        <v>0</v>
      </c>
      <c r="AC1283" s="20" t="b">
        <f t="shared" si="125"/>
        <v>0</v>
      </c>
      <c r="AD1283" s="17" t="b">
        <f t="shared" si="126"/>
        <v>0</v>
      </c>
      <c r="AE1283" s="17" t="b">
        <f t="shared" si="127"/>
        <v>0</v>
      </c>
    </row>
    <row r="1284" spans="17:31" x14ac:dyDescent="0.2">
      <c r="Q1284" s="17">
        <f>IFERROR(VLOOKUP(A1284,已除帳印單!B:C,1,0),0)*1</f>
        <v>0</v>
      </c>
      <c r="R1284" s="67" t="str">
        <f>IFERROR(VLOOKUP(J1284,線別!A:B,2,1),"")</f>
        <v/>
      </c>
      <c r="S1284" s="17" t="str">
        <f>IFERROR(VLOOKUP(A1284,已除帳印單!B:C,2,0),"")</f>
        <v/>
      </c>
      <c r="T1284" s="68" t="e">
        <f t="shared" si="122"/>
        <v>#VALUE!</v>
      </c>
      <c r="U1284" s="69">
        <f t="shared" si="123"/>
        <v>0</v>
      </c>
      <c r="V1284" s="68" t="str">
        <f>IFERROR(VLOOKUP(A1284,已除帳印單!B:D,3,0),"")</f>
        <v/>
      </c>
      <c r="W1284" s="69" t="str">
        <f>IFERROR(VLOOKUP(A1284,已除帳印單!B:E,4,0),"")</f>
        <v/>
      </c>
      <c r="X1284" s="68" t="str">
        <f>IFERROR(INDEX(刷條碼區!A:C,MATCH(點上線資訊!S1284,刷條碼區!C:C,0),1),"")</f>
        <v/>
      </c>
      <c r="Y1284" s="69" t="str">
        <f>IFERROR(INDEX(刷條碼區!A:C,MATCH(點上線資訊!S1284,刷條碼區!C:C,0),2),"")</f>
        <v/>
      </c>
      <c r="Z1284" s="70" t="str">
        <f>IFERROR(INDEX(刷條碼區!D:G,MATCH(點上線資訊!S1284,刷條碼區!F:F,0),1),"")</f>
        <v/>
      </c>
      <c r="AA1284" s="71" t="str">
        <f>IFERROR(INDEX(刷條碼區!D:G,MATCH(點上線資訊!S1284,刷條碼區!F:F,0),2),"")</f>
        <v/>
      </c>
      <c r="AB1284" s="20">
        <f t="shared" si="124"/>
        <v>0</v>
      </c>
      <c r="AC1284" s="20" t="b">
        <f t="shared" si="125"/>
        <v>0</v>
      </c>
      <c r="AD1284" s="17" t="b">
        <f t="shared" si="126"/>
        <v>0</v>
      </c>
      <c r="AE1284" s="17" t="b">
        <f t="shared" si="127"/>
        <v>0</v>
      </c>
    </row>
    <row r="1285" spans="17:31" x14ac:dyDescent="0.2">
      <c r="Q1285" s="17">
        <f>IFERROR(VLOOKUP(A1285,已除帳印單!B:C,1,0),0)*1</f>
        <v>0</v>
      </c>
      <c r="R1285" s="67" t="str">
        <f>IFERROR(VLOOKUP(J1285,線別!A:B,2,1),"")</f>
        <v/>
      </c>
      <c r="S1285" s="17" t="str">
        <f>IFERROR(VLOOKUP(A1285,已除帳印單!B:C,2,0),"")</f>
        <v/>
      </c>
      <c r="T1285" s="68" t="e">
        <f t="shared" si="122"/>
        <v>#VALUE!</v>
      </c>
      <c r="U1285" s="69">
        <f t="shared" si="123"/>
        <v>0</v>
      </c>
      <c r="V1285" s="68" t="str">
        <f>IFERROR(VLOOKUP(A1285,已除帳印單!B:D,3,0),"")</f>
        <v/>
      </c>
      <c r="W1285" s="69" t="str">
        <f>IFERROR(VLOOKUP(A1285,已除帳印單!B:E,4,0),"")</f>
        <v/>
      </c>
      <c r="X1285" s="68" t="str">
        <f>IFERROR(INDEX(刷條碼區!A:C,MATCH(點上線資訊!S1285,刷條碼區!C:C,0),1),"")</f>
        <v/>
      </c>
      <c r="Y1285" s="69" t="str">
        <f>IFERROR(INDEX(刷條碼區!A:C,MATCH(點上線資訊!S1285,刷條碼區!C:C,0),2),"")</f>
        <v/>
      </c>
      <c r="Z1285" s="70" t="str">
        <f>IFERROR(INDEX(刷條碼區!D:G,MATCH(點上線資訊!S1285,刷條碼區!F:F,0),1),"")</f>
        <v/>
      </c>
      <c r="AA1285" s="71" t="str">
        <f>IFERROR(INDEX(刷條碼區!D:G,MATCH(點上線資訊!S1285,刷條碼區!F:F,0),2),"")</f>
        <v/>
      </c>
      <c r="AB1285" s="20">
        <f t="shared" si="124"/>
        <v>0</v>
      </c>
      <c r="AC1285" s="20" t="b">
        <f t="shared" si="125"/>
        <v>0</v>
      </c>
      <c r="AD1285" s="17" t="b">
        <f t="shared" si="126"/>
        <v>0</v>
      </c>
      <c r="AE1285" s="17" t="b">
        <f t="shared" si="127"/>
        <v>0</v>
      </c>
    </row>
    <row r="1286" spans="17:31" x14ac:dyDescent="0.2">
      <c r="Q1286" s="17">
        <f>IFERROR(VLOOKUP(A1286,已除帳印單!B:C,1,0),0)*1</f>
        <v>0</v>
      </c>
      <c r="R1286" s="67" t="str">
        <f>IFERROR(VLOOKUP(J1286,線別!A:B,2,1),"")</f>
        <v/>
      </c>
      <c r="S1286" s="17" t="str">
        <f>IFERROR(VLOOKUP(A1286,已除帳印單!B:C,2,0),"")</f>
        <v/>
      </c>
      <c r="T1286" s="68" t="e">
        <f t="shared" si="122"/>
        <v>#VALUE!</v>
      </c>
      <c r="U1286" s="69">
        <f t="shared" si="123"/>
        <v>0</v>
      </c>
      <c r="V1286" s="68" t="str">
        <f>IFERROR(VLOOKUP(A1286,已除帳印單!B:D,3,0),"")</f>
        <v/>
      </c>
      <c r="W1286" s="69" t="str">
        <f>IFERROR(VLOOKUP(A1286,已除帳印單!B:E,4,0),"")</f>
        <v/>
      </c>
      <c r="X1286" s="68" t="str">
        <f>IFERROR(INDEX(刷條碼區!A:C,MATCH(點上線資訊!S1286,刷條碼區!C:C,0),1),"")</f>
        <v/>
      </c>
      <c r="Y1286" s="69" t="str">
        <f>IFERROR(INDEX(刷條碼區!A:C,MATCH(點上線資訊!S1286,刷條碼區!C:C,0),2),"")</f>
        <v/>
      </c>
      <c r="Z1286" s="70" t="str">
        <f>IFERROR(INDEX(刷條碼區!D:G,MATCH(點上線資訊!S1286,刷條碼區!F:F,0),1),"")</f>
        <v/>
      </c>
      <c r="AA1286" s="71" t="str">
        <f>IFERROR(INDEX(刷條碼區!D:G,MATCH(點上線資訊!S1286,刷條碼區!F:F,0),2),"")</f>
        <v/>
      </c>
      <c r="AB1286" s="20">
        <f t="shared" si="124"/>
        <v>0</v>
      </c>
      <c r="AC1286" s="20" t="b">
        <f t="shared" si="125"/>
        <v>0</v>
      </c>
      <c r="AD1286" s="17" t="b">
        <f t="shared" si="126"/>
        <v>0</v>
      </c>
      <c r="AE1286" s="17" t="b">
        <f t="shared" si="127"/>
        <v>0</v>
      </c>
    </row>
    <row r="1287" spans="17:31" x14ac:dyDescent="0.2">
      <c r="Q1287" s="17">
        <f>IFERROR(VLOOKUP(A1287,已除帳印單!B:C,1,0),0)*1</f>
        <v>0</v>
      </c>
      <c r="R1287" s="67" t="str">
        <f>IFERROR(VLOOKUP(J1287,線別!A:B,2,1),"")</f>
        <v/>
      </c>
      <c r="S1287" s="17" t="str">
        <f>IFERROR(VLOOKUP(A1287,已除帳印單!B:C,2,0),"")</f>
        <v/>
      </c>
      <c r="T1287" s="68" t="e">
        <f t="shared" si="122"/>
        <v>#VALUE!</v>
      </c>
      <c r="U1287" s="69">
        <f t="shared" si="123"/>
        <v>0</v>
      </c>
      <c r="V1287" s="68" t="str">
        <f>IFERROR(VLOOKUP(A1287,已除帳印單!B:D,3,0),"")</f>
        <v/>
      </c>
      <c r="W1287" s="69" t="str">
        <f>IFERROR(VLOOKUP(A1287,已除帳印單!B:E,4,0),"")</f>
        <v/>
      </c>
      <c r="X1287" s="68" t="str">
        <f>IFERROR(INDEX(刷條碼區!A:C,MATCH(點上線資訊!S1287,刷條碼區!C:C,0),1),"")</f>
        <v/>
      </c>
      <c r="Y1287" s="69" t="str">
        <f>IFERROR(INDEX(刷條碼區!A:C,MATCH(點上線資訊!S1287,刷條碼區!C:C,0),2),"")</f>
        <v/>
      </c>
      <c r="Z1287" s="70" t="str">
        <f>IFERROR(INDEX(刷條碼區!D:G,MATCH(點上線資訊!S1287,刷條碼區!F:F,0),1),"")</f>
        <v/>
      </c>
      <c r="AA1287" s="71" t="str">
        <f>IFERROR(INDEX(刷條碼區!D:G,MATCH(點上線資訊!S1287,刷條碼區!F:F,0),2),"")</f>
        <v/>
      </c>
      <c r="AB1287" s="20">
        <f t="shared" si="124"/>
        <v>0</v>
      </c>
      <c r="AC1287" s="20" t="b">
        <f t="shared" si="125"/>
        <v>0</v>
      </c>
      <c r="AD1287" s="17" t="b">
        <f t="shared" si="126"/>
        <v>0</v>
      </c>
      <c r="AE1287" s="17" t="b">
        <f t="shared" si="127"/>
        <v>0</v>
      </c>
    </row>
    <row r="1288" spans="17:31" x14ac:dyDescent="0.2">
      <c r="Q1288" s="17">
        <f>IFERROR(VLOOKUP(A1288,已除帳印單!B:C,1,0),0)*1</f>
        <v>0</v>
      </c>
      <c r="R1288" s="67" t="str">
        <f>IFERROR(VLOOKUP(J1288,線別!A:B,2,1),"")</f>
        <v/>
      </c>
      <c r="S1288" s="17" t="str">
        <f>IFERROR(VLOOKUP(A1288,已除帳印單!B:C,2,0),"")</f>
        <v/>
      </c>
      <c r="T1288" s="68" t="e">
        <f t="shared" si="122"/>
        <v>#VALUE!</v>
      </c>
      <c r="U1288" s="69">
        <f t="shared" si="123"/>
        <v>0</v>
      </c>
      <c r="V1288" s="68" t="str">
        <f>IFERROR(VLOOKUP(A1288,已除帳印單!B:D,3,0),"")</f>
        <v/>
      </c>
      <c r="W1288" s="69" t="str">
        <f>IFERROR(VLOOKUP(A1288,已除帳印單!B:E,4,0),"")</f>
        <v/>
      </c>
      <c r="X1288" s="68" t="str">
        <f>IFERROR(INDEX(刷條碼區!A:C,MATCH(點上線資訊!S1288,刷條碼區!C:C,0),1),"")</f>
        <v/>
      </c>
      <c r="Y1288" s="69" t="str">
        <f>IFERROR(INDEX(刷條碼區!A:C,MATCH(點上線資訊!S1288,刷條碼區!C:C,0),2),"")</f>
        <v/>
      </c>
      <c r="Z1288" s="70" t="str">
        <f>IFERROR(INDEX(刷條碼區!D:G,MATCH(點上線資訊!S1288,刷條碼區!F:F,0),1),"")</f>
        <v/>
      </c>
      <c r="AA1288" s="71" t="str">
        <f>IFERROR(INDEX(刷條碼區!D:G,MATCH(點上線資訊!S1288,刷條碼區!F:F,0),2),"")</f>
        <v/>
      </c>
      <c r="AB1288" s="20">
        <f t="shared" si="124"/>
        <v>0</v>
      </c>
      <c r="AC1288" s="20" t="b">
        <f t="shared" si="125"/>
        <v>0</v>
      </c>
      <c r="AD1288" s="17" t="b">
        <f t="shared" si="126"/>
        <v>0</v>
      </c>
      <c r="AE1288" s="17" t="b">
        <f t="shared" si="127"/>
        <v>0</v>
      </c>
    </row>
    <row r="1289" spans="17:31" x14ac:dyDescent="0.2">
      <c r="Q1289" s="17">
        <f>IFERROR(VLOOKUP(A1289,已除帳印單!B:C,1,0),0)*1</f>
        <v>0</v>
      </c>
      <c r="R1289" s="67" t="str">
        <f>IFERROR(VLOOKUP(J1289,線別!A:B,2,1),"")</f>
        <v/>
      </c>
      <c r="S1289" s="17" t="str">
        <f>IFERROR(VLOOKUP(A1289,已除帳印單!B:C,2,0),"")</f>
        <v/>
      </c>
      <c r="T1289" s="68" t="e">
        <f t="shared" si="122"/>
        <v>#VALUE!</v>
      </c>
      <c r="U1289" s="69">
        <f t="shared" si="123"/>
        <v>0</v>
      </c>
      <c r="V1289" s="68" t="str">
        <f>IFERROR(VLOOKUP(A1289,已除帳印單!B:D,3,0),"")</f>
        <v/>
      </c>
      <c r="W1289" s="69" t="str">
        <f>IFERROR(VLOOKUP(A1289,已除帳印單!B:E,4,0),"")</f>
        <v/>
      </c>
      <c r="X1289" s="68" t="str">
        <f>IFERROR(INDEX(刷條碼區!A:C,MATCH(點上線資訊!S1289,刷條碼區!C:C,0),1),"")</f>
        <v/>
      </c>
      <c r="Y1289" s="69" t="str">
        <f>IFERROR(INDEX(刷條碼區!A:C,MATCH(點上線資訊!S1289,刷條碼區!C:C,0),2),"")</f>
        <v/>
      </c>
      <c r="Z1289" s="70" t="str">
        <f>IFERROR(INDEX(刷條碼區!D:G,MATCH(點上線資訊!S1289,刷條碼區!F:F,0),1),"")</f>
        <v/>
      </c>
      <c r="AA1289" s="71" t="str">
        <f>IFERROR(INDEX(刷條碼區!D:G,MATCH(點上線資訊!S1289,刷條碼區!F:F,0),2),"")</f>
        <v/>
      </c>
      <c r="AB1289" s="20">
        <f t="shared" si="124"/>
        <v>0</v>
      </c>
      <c r="AC1289" s="20" t="b">
        <f t="shared" si="125"/>
        <v>0</v>
      </c>
      <c r="AD1289" s="17" t="b">
        <f t="shared" si="126"/>
        <v>0</v>
      </c>
      <c r="AE1289" s="17" t="b">
        <f t="shared" si="127"/>
        <v>0</v>
      </c>
    </row>
    <row r="1290" spans="17:31" x14ac:dyDescent="0.2">
      <c r="Q1290" s="17">
        <f>IFERROR(VLOOKUP(A1290,已除帳印單!B:C,1,0),0)*1</f>
        <v>0</v>
      </c>
      <c r="R1290" s="67" t="str">
        <f>IFERROR(VLOOKUP(J1290,線別!A:B,2,1),"")</f>
        <v/>
      </c>
      <c r="S1290" s="17" t="str">
        <f>IFERROR(VLOOKUP(A1290,已除帳印單!B:C,2,0),"")</f>
        <v/>
      </c>
      <c r="T1290" s="68" t="e">
        <f t="shared" si="122"/>
        <v>#VALUE!</v>
      </c>
      <c r="U1290" s="69">
        <f t="shared" si="123"/>
        <v>0</v>
      </c>
      <c r="V1290" s="68" t="str">
        <f>IFERROR(VLOOKUP(A1290,已除帳印單!B:D,3,0),"")</f>
        <v/>
      </c>
      <c r="W1290" s="69" t="str">
        <f>IFERROR(VLOOKUP(A1290,已除帳印單!B:E,4,0),"")</f>
        <v/>
      </c>
      <c r="X1290" s="68" t="str">
        <f>IFERROR(INDEX(刷條碼區!A:C,MATCH(點上線資訊!S1290,刷條碼區!C:C,0),1),"")</f>
        <v/>
      </c>
      <c r="Y1290" s="69" t="str">
        <f>IFERROR(INDEX(刷條碼區!A:C,MATCH(點上線資訊!S1290,刷條碼區!C:C,0),2),"")</f>
        <v/>
      </c>
      <c r="Z1290" s="70" t="str">
        <f>IFERROR(INDEX(刷條碼區!D:G,MATCH(點上線資訊!S1290,刷條碼區!F:F,0),1),"")</f>
        <v/>
      </c>
      <c r="AA1290" s="71" t="str">
        <f>IFERROR(INDEX(刷條碼區!D:G,MATCH(點上線資訊!S1290,刷條碼區!F:F,0),2),"")</f>
        <v/>
      </c>
      <c r="AB1290" s="20">
        <f t="shared" si="124"/>
        <v>0</v>
      </c>
      <c r="AC1290" s="20" t="b">
        <f t="shared" si="125"/>
        <v>0</v>
      </c>
      <c r="AD1290" s="17" t="b">
        <f t="shared" si="126"/>
        <v>0</v>
      </c>
      <c r="AE1290" s="17" t="b">
        <f t="shared" si="127"/>
        <v>0</v>
      </c>
    </row>
    <row r="1291" spans="17:31" x14ac:dyDescent="0.2">
      <c r="Q1291" s="17">
        <f>IFERROR(VLOOKUP(A1291,已除帳印單!B:C,1,0),0)*1</f>
        <v>0</v>
      </c>
      <c r="R1291" s="67" t="str">
        <f>IFERROR(VLOOKUP(J1291,線別!A:B,2,1),"")</f>
        <v/>
      </c>
      <c r="S1291" s="17" t="str">
        <f>IFERROR(VLOOKUP(A1291,已除帳印單!B:C,2,0),"")</f>
        <v/>
      </c>
      <c r="T1291" s="68" t="e">
        <f t="shared" si="122"/>
        <v>#VALUE!</v>
      </c>
      <c r="U1291" s="69">
        <f t="shared" si="123"/>
        <v>0</v>
      </c>
      <c r="V1291" s="68" t="str">
        <f>IFERROR(VLOOKUP(A1291,已除帳印單!B:D,3,0),"")</f>
        <v/>
      </c>
      <c r="W1291" s="69" t="str">
        <f>IFERROR(VLOOKUP(A1291,已除帳印單!B:E,4,0),"")</f>
        <v/>
      </c>
      <c r="X1291" s="68" t="str">
        <f>IFERROR(INDEX(刷條碼區!A:C,MATCH(點上線資訊!S1291,刷條碼區!C:C,0),1),"")</f>
        <v/>
      </c>
      <c r="Y1291" s="69" t="str">
        <f>IFERROR(INDEX(刷條碼區!A:C,MATCH(點上線資訊!S1291,刷條碼區!C:C,0),2),"")</f>
        <v/>
      </c>
      <c r="Z1291" s="70" t="str">
        <f>IFERROR(INDEX(刷條碼區!D:G,MATCH(點上線資訊!S1291,刷條碼區!F:F,0),1),"")</f>
        <v/>
      </c>
      <c r="AA1291" s="71" t="str">
        <f>IFERROR(INDEX(刷條碼區!D:G,MATCH(點上線資訊!S1291,刷條碼區!F:F,0),2),"")</f>
        <v/>
      </c>
      <c r="AB1291" s="20">
        <f t="shared" si="124"/>
        <v>0</v>
      </c>
      <c r="AC1291" s="20" t="b">
        <f t="shared" si="125"/>
        <v>0</v>
      </c>
      <c r="AD1291" s="17" t="b">
        <f t="shared" si="126"/>
        <v>0</v>
      </c>
      <c r="AE1291" s="17" t="b">
        <f t="shared" si="127"/>
        <v>0</v>
      </c>
    </row>
    <row r="1292" spans="17:31" x14ac:dyDescent="0.2">
      <c r="Q1292" s="17">
        <f>IFERROR(VLOOKUP(A1292,已除帳印單!B:C,1,0),0)*1</f>
        <v>0</v>
      </c>
      <c r="R1292" s="67" t="str">
        <f>IFERROR(VLOOKUP(J1292,線別!A:B,2,1),"")</f>
        <v/>
      </c>
      <c r="S1292" s="17" t="str">
        <f>IFERROR(VLOOKUP(A1292,已除帳印單!B:C,2,0),"")</f>
        <v/>
      </c>
      <c r="T1292" s="68" t="e">
        <f t="shared" si="122"/>
        <v>#VALUE!</v>
      </c>
      <c r="U1292" s="69">
        <f t="shared" si="123"/>
        <v>0</v>
      </c>
      <c r="V1292" s="68" t="str">
        <f>IFERROR(VLOOKUP(A1292,已除帳印單!B:D,3,0),"")</f>
        <v/>
      </c>
      <c r="W1292" s="69" t="str">
        <f>IFERROR(VLOOKUP(A1292,已除帳印單!B:E,4,0),"")</f>
        <v/>
      </c>
      <c r="X1292" s="68" t="str">
        <f>IFERROR(INDEX(刷條碼區!A:C,MATCH(點上線資訊!S1292,刷條碼區!C:C,0),1),"")</f>
        <v/>
      </c>
      <c r="Y1292" s="69" t="str">
        <f>IFERROR(INDEX(刷條碼區!A:C,MATCH(點上線資訊!S1292,刷條碼區!C:C,0),2),"")</f>
        <v/>
      </c>
      <c r="Z1292" s="70" t="str">
        <f>IFERROR(INDEX(刷條碼區!D:G,MATCH(點上線資訊!S1292,刷條碼區!F:F,0),1),"")</f>
        <v/>
      </c>
      <c r="AA1292" s="71" t="str">
        <f>IFERROR(INDEX(刷條碼區!D:G,MATCH(點上線資訊!S1292,刷條碼區!F:F,0),2),"")</f>
        <v/>
      </c>
      <c r="AB1292" s="20">
        <f t="shared" si="124"/>
        <v>0</v>
      </c>
      <c r="AC1292" s="20" t="b">
        <f t="shared" si="125"/>
        <v>0</v>
      </c>
      <c r="AD1292" s="17" t="b">
        <f t="shared" si="126"/>
        <v>0</v>
      </c>
      <c r="AE1292" s="17" t="b">
        <f t="shared" si="127"/>
        <v>0</v>
      </c>
    </row>
    <row r="1293" spans="17:31" x14ac:dyDescent="0.2">
      <c r="Q1293" s="17">
        <f>IFERROR(VLOOKUP(A1293,已除帳印單!B:C,1,0),0)*1</f>
        <v>0</v>
      </c>
      <c r="R1293" s="67" t="str">
        <f>IFERROR(VLOOKUP(J1293,線別!A:B,2,1),"")</f>
        <v/>
      </c>
      <c r="S1293" s="17" t="str">
        <f>IFERROR(VLOOKUP(A1293,已除帳印單!B:C,2,0),"")</f>
        <v/>
      </c>
      <c r="T1293" s="68" t="e">
        <f t="shared" si="122"/>
        <v>#VALUE!</v>
      </c>
      <c r="U1293" s="69">
        <f t="shared" si="123"/>
        <v>0</v>
      </c>
      <c r="V1293" s="68" t="str">
        <f>IFERROR(VLOOKUP(A1293,已除帳印單!B:D,3,0),"")</f>
        <v/>
      </c>
      <c r="W1293" s="69" t="str">
        <f>IFERROR(VLOOKUP(A1293,已除帳印單!B:E,4,0),"")</f>
        <v/>
      </c>
      <c r="X1293" s="68" t="str">
        <f>IFERROR(INDEX(刷條碼區!A:C,MATCH(點上線資訊!S1293,刷條碼區!C:C,0),1),"")</f>
        <v/>
      </c>
      <c r="Y1293" s="69" t="str">
        <f>IFERROR(INDEX(刷條碼區!A:C,MATCH(點上線資訊!S1293,刷條碼區!C:C,0),2),"")</f>
        <v/>
      </c>
      <c r="Z1293" s="70" t="str">
        <f>IFERROR(INDEX(刷條碼區!D:G,MATCH(點上線資訊!S1293,刷條碼區!F:F,0),1),"")</f>
        <v/>
      </c>
      <c r="AA1293" s="71" t="str">
        <f>IFERROR(INDEX(刷條碼區!D:G,MATCH(點上線資訊!S1293,刷條碼區!F:F,0),2),"")</f>
        <v/>
      </c>
      <c r="AB1293" s="20">
        <f t="shared" si="124"/>
        <v>0</v>
      </c>
      <c r="AC1293" s="20" t="b">
        <f t="shared" si="125"/>
        <v>0</v>
      </c>
      <c r="AD1293" s="17" t="b">
        <f t="shared" si="126"/>
        <v>0</v>
      </c>
      <c r="AE1293" s="17" t="b">
        <f t="shared" si="127"/>
        <v>0</v>
      </c>
    </row>
    <row r="1294" spans="17:31" x14ac:dyDescent="0.2">
      <c r="Q1294" s="17">
        <f>IFERROR(VLOOKUP(A1294,已除帳印單!B:C,1,0),0)*1</f>
        <v>0</v>
      </c>
      <c r="R1294" s="67" t="str">
        <f>IFERROR(VLOOKUP(J1294,線別!A:B,2,1),"")</f>
        <v/>
      </c>
      <c r="S1294" s="17" t="str">
        <f>IFERROR(VLOOKUP(A1294,已除帳印單!B:C,2,0),"")</f>
        <v/>
      </c>
      <c r="T1294" s="68" t="e">
        <f t="shared" si="122"/>
        <v>#VALUE!</v>
      </c>
      <c r="U1294" s="69">
        <f t="shared" si="123"/>
        <v>0</v>
      </c>
      <c r="V1294" s="68" t="str">
        <f>IFERROR(VLOOKUP(A1294,已除帳印單!B:D,3,0),"")</f>
        <v/>
      </c>
      <c r="W1294" s="69" t="str">
        <f>IFERROR(VLOOKUP(A1294,已除帳印單!B:E,4,0),"")</f>
        <v/>
      </c>
      <c r="X1294" s="68" t="str">
        <f>IFERROR(INDEX(刷條碼區!A:C,MATCH(點上線資訊!S1294,刷條碼區!C:C,0),1),"")</f>
        <v/>
      </c>
      <c r="Y1294" s="69" t="str">
        <f>IFERROR(INDEX(刷條碼區!A:C,MATCH(點上線資訊!S1294,刷條碼區!C:C,0),2),"")</f>
        <v/>
      </c>
      <c r="Z1294" s="70" t="str">
        <f>IFERROR(INDEX(刷條碼區!D:G,MATCH(點上線資訊!S1294,刷條碼區!F:F,0),1),"")</f>
        <v/>
      </c>
      <c r="AA1294" s="71" t="str">
        <f>IFERROR(INDEX(刷條碼區!D:G,MATCH(點上線資訊!S1294,刷條碼區!F:F,0),2),"")</f>
        <v/>
      </c>
      <c r="AB1294" s="20">
        <f t="shared" si="124"/>
        <v>0</v>
      </c>
      <c r="AC1294" s="20" t="b">
        <f t="shared" si="125"/>
        <v>0</v>
      </c>
      <c r="AD1294" s="17" t="b">
        <f t="shared" si="126"/>
        <v>0</v>
      </c>
      <c r="AE1294" s="17" t="b">
        <f t="shared" si="127"/>
        <v>0</v>
      </c>
    </row>
    <row r="1295" spans="17:31" x14ac:dyDescent="0.2">
      <c r="Q1295" s="17">
        <f>IFERROR(VLOOKUP(A1295,已除帳印單!B:C,1,0),0)*1</f>
        <v>0</v>
      </c>
      <c r="R1295" s="67" t="str">
        <f>IFERROR(VLOOKUP(J1295,線別!A:B,2,1),"")</f>
        <v/>
      </c>
      <c r="S1295" s="17" t="str">
        <f>IFERROR(VLOOKUP(A1295,已除帳印單!B:C,2,0),"")</f>
        <v/>
      </c>
      <c r="T1295" s="68" t="e">
        <f t="shared" si="122"/>
        <v>#VALUE!</v>
      </c>
      <c r="U1295" s="69">
        <f t="shared" si="123"/>
        <v>0</v>
      </c>
      <c r="V1295" s="68" t="str">
        <f>IFERROR(VLOOKUP(A1295,已除帳印單!B:D,3,0),"")</f>
        <v/>
      </c>
      <c r="W1295" s="69" t="str">
        <f>IFERROR(VLOOKUP(A1295,已除帳印單!B:E,4,0),"")</f>
        <v/>
      </c>
      <c r="X1295" s="68" t="str">
        <f>IFERROR(INDEX(刷條碼區!A:C,MATCH(點上線資訊!S1295,刷條碼區!C:C,0),1),"")</f>
        <v/>
      </c>
      <c r="Y1295" s="69" t="str">
        <f>IFERROR(INDEX(刷條碼區!A:C,MATCH(點上線資訊!S1295,刷條碼區!C:C,0),2),"")</f>
        <v/>
      </c>
      <c r="Z1295" s="70" t="str">
        <f>IFERROR(INDEX(刷條碼區!D:G,MATCH(點上線資訊!S1295,刷條碼區!F:F,0),1),"")</f>
        <v/>
      </c>
      <c r="AA1295" s="71" t="str">
        <f>IFERROR(INDEX(刷條碼區!D:G,MATCH(點上線資訊!S1295,刷條碼區!F:F,0),2),"")</f>
        <v/>
      </c>
      <c r="AB1295" s="20">
        <f t="shared" si="124"/>
        <v>0</v>
      </c>
      <c r="AC1295" s="20" t="b">
        <f t="shared" si="125"/>
        <v>0</v>
      </c>
      <c r="AD1295" s="17" t="b">
        <f t="shared" si="126"/>
        <v>0</v>
      </c>
      <c r="AE1295" s="17" t="b">
        <f t="shared" si="127"/>
        <v>0</v>
      </c>
    </row>
    <row r="1296" spans="17:31" x14ac:dyDescent="0.2">
      <c r="Q1296" s="17">
        <f>IFERROR(VLOOKUP(A1296,已除帳印單!B:C,1,0),0)*1</f>
        <v>0</v>
      </c>
      <c r="R1296" s="67" t="str">
        <f>IFERROR(VLOOKUP(J1296,線別!A:B,2,1),"")</f>
        <v/>
      </c>
      <c r="S1296" s="17" t="str">
        <f>IFERROR(VLOOKUP(A1296,已除帳印單!B:C,2,0),"")</f>
        <v/>
      </c>
      <c r="T1296" s="68" t="e">
        <f t="shared" si="122"/>
        <v>#VALUE!</v>
      </c>
      <c r="U1296" s="69">
        <f t="shared" si="123"/>
        <v>0</v>
      </c>
      <c r="V1296" s="68" t="str">
        <f>IFERROR(VLOOKUP(A1296,已除帳印單!B:D,3,0),"")</f>
        <v/>
      </c>
      <c r="W1296" s="69" t="str">
        <f>IFERROR(VLOOKUP(A1296,已除帳印單!B:E,4,0),"")</f>
        <v/>
      </c>
      <c r="X1296" s="68" t="str">
        <f>IFERROR(INDEX(刷條碼區!A:C,MATCH(點上線資訊!S1296,刷條碼區!C:C,0),1),"")</f>
        <v/>
      </c>
      <c r="Y1296" s="69" t="str">
        <f>IFERROR(INDEX(刷條碼區!A:C,MATCH(點上線資訊!S1296,刷條碼區!C:C,0),2),"")</f>
        <v/>
      </c>
      <c r="Z1296" s="70" t="str">
        <f>IFERROR(INDEX(刷條碼區!D:G,MATCH(點上線資訊!S1296,刷條碼區!F:F,0),1),"")</f>
        <v/>
      </c>
      <c r="AA1296" s="71" t="str">
        <f>IFERROR(INDEX(刷條碼區!D:G,MATCH(點上線資訊!S1296,刷條碼區!F:F,0),2),"")</f>
        <v/>
      </c>
      <c r="AB1296" s="20">
        <f t="shared" si="124"/>
        <v>0</v>
      </c>
      <c r="AC1296" s="20" t="b">
        <f t="shared" si="125"/>
        <v>0</v>
      </c>
      <c r="AD1296" s="17" t="b">
        <f t="shared" si="126"/>
        <v>0</v>
      </c>
      <c r="AE1296" s="17" t="b">
        <f t="shared" si="127"/>
        <v>0</v>
      </c>
    </row>
    <row r="1297" spans="17:31" x14ac:dyDescent="0.2">
      <c r="Q1297" s="17">
        <f>IFERROR(VLOOKUP(A1297,已除帳印單!B:C,1,0),0)*1</f>
        <v>0</v>
      </c>
      <c r="R1297" s="67" t="str">
        <f>IFERROR(VLOOKUP(J1297,線別!A:B,2,1),"")</f>
        <v/>
      </c>
      <c r="S1297" s="17" t="str">
        <f>IFERROR(VLOOKUP(A1297,已除帳印單!B:C,2,0),"")</f>
        <v/>
      </c>
      <c r="T1297" s="68" t="e">
        <f t="shared" si="122"/>
        <v>#VALUE!</v>
      </c>
      <c r="U1297" s="69">
        <f t="shared" si="123"/>
        <v>0</v>
      </c>
      <c r="V1297" s="68" t="str">
        <f>IFERROR(VLOOKUP(A1297,已除帳印單!B:D,3,0),"")</f>
        <v/>
      </c>
      <c r="W1297" s="69" t="str">
        <f>IFERROR(VLOOKUP(A1297,已除帳印單!B:E,4,0),"")</f>
        <v/>
      </c>
      <c r="X1297" s="68" t="str">
        <f>IFERROR(INDEX(刷條碼區!A:C,MATCH(點上線資訊!S1297,刷條碼區!C:C,0),1),"")</f>
        <v/>
      </c>
      <c r="Y1297" s="69" t="str">
        <f>IFERROR(INDEX(刷條碼區!A:C,MATCH(點上線資訊!S1297,刷條碼區!C:C,0),2),"")</f>
        <v/>
      </c>
      <c r="Z1297" s="70" t="str">
        <f>IFERROR(INDEX(刷條碼區!D:G,MATCH(點上線資訊!S1297,刷條碼區!F:F,0),1),"")</f>
        <v/>
      </c>
      <c r="AA1297" s="71" t="str">
        <f>IFERROR(INDEX(刷條碼區!D:G,MATCH(點上線資訊!S1297,刷條碼區!F:F,0),2),"")</f>
        <v/>
      </c>
      <c r="AB1297" s="20">
        <f t="shared" si="124"/>
        <v>0</v>
      </c>
      <c r="AC1297" s="20" t="b">
        <f t="shared" si="125"/>
        <v>0</v>
      </c>
      <c r="AD1297" s="17" t="b">
        <f t="shared" si="126"/>
        <v>0</v>
      </c>
      <c r="AE1297" s="17" t="b">
        <f t="shared" si="127"/>
        <v>0</v>
      </c>
    </row>
    <row r="1298" spans="17:31" x14ac:dyDescent="0.2">
      <c r="Q1298" s="17">
        <f>IFERROR(VLOOKUP(A1298,已除帳印單!B:C,1,0),0)*1</f>
        <v>0</v>
      </c>
      <c r="R1298" s="67" t="str">
        <f>IFERROR(VLOOKUP(J1298,線別!A:B,2,1),"")</f>
        <v/>
      </c>
      <c r="S1298" s="17" t="str">
        <f>IFERROR(VLOOKUP(A1298,已除帳印單!B:C,2,0),"")</f>
        <v/>
      </c>
      <c r="T1298" s="68" t="e">
        <f t="shared" si="122"/>
        <v>#VALUE!</v>
      </c>
      <c r="U1298" s="69">
        <f t="shared" si="123"/>
        <v>0</v>
      </c>
      <c r="V1298" s="68" t="str">
        <f>IFERROR(VLOOKUP(A1298,已除帳印單!B:D,3,0),"")</f>
        <v/>
      </c>
      <c r="W1298" s="69" t="str">
        <f>IFERROR(VLOOKUP(A1298,已除帳印單!B:E,4,0),"")</f>
        <v/>
      </c>
      <c r="X1298" s="68" t="str">
        <f>IFERROR(INDEX(刷條碼區!A:C,MATCH(點上線資訊!S1298,刷條碼區!C:C,0),1),"")</f>
        <v/>
      </c>
      <c r="Y1298" s="69" t="str">
        <f>IFERROR(INDEX(刷條碼區!A:C,MATCH(點上線資訊!S1298,刷條碼區!C:C,0),2),"")</f>
        <v/>
      </c>
      <c r="Z1298" s="70" t="str">
        <f>IFERROR(INDEX(刷條碼區!D:G,MATCH(點上線資訊!S1298,刷條碼區!F:F,0),1),"")</f>
        <v/>
      </c>
      <c r="AA1298" s="71" t="str">
        <f>IFERROR(INDEX(刷條碼區!D:G,MATCH(點上線資訊!S1298,刷條碼區!F:F,0),2),"")</f>
        <v/>
      </c>
      <c r="AB1298" s="20">
        <f t="shared" si="124"/>
        <v>0</v>
      </c>
      <c r="AC1298" s="20" t="b">
        <f t="shared" si="125"/>
        <v>0</v>
      </c>
      <c r="AD1298" s="17" t="b">
        <f t="shared" si="126"/>
        <v>0</v>
      </c>
      <c r="AE1298" s="17" t="b">
        <f t="shared" si="127"/>
        <v>0</v>
      </c>
    </row>
    <row r="1299" spans="17:31" x14ac:dyDescent="0.2">
      <c r="Q1299" s="17">
        <f>IFERROR(VLOOKUP(A1299,已除帳印單!B:C,1,0),0)*1</f>
        <v>0</v>
      </c>
      <c r="R1299" s="67" t="str">
        <f>IFERROR(VLOOKUP(J1299,線別!A:B,2,1),"")</f>
        <v/>
      </c>
      <c r="S1299" s="17" t="str">
        <f>IFERROR(VLOOKUP(A1299,已除帳印單!B:C,2,0),"")</f>
        <v/>
      </c>
      <c r="T1299" s="68" t="e">
        <f t="shared" si="122"/>
        <v>#VALUE!</v>
      </c>
      <c r="U1299" s="69">
        <f t="shared" si="123"/>
        <v>0</v>
      </c>
      <c r="V1299" s="68" t="str">
        <f>IFERROR(VLOOKUP(A1299,已除帳印單!B:D,3,0),"")</f>
        <v/>
      </c>
      <c r="W1299" s="69" t="str">
        <f>IFERROR(VLOOKUP(A1299,已除帳印單!B:E,4,0),"")</f>
        <v/>
      </c>
      <c r="X1299" s="68" t="str">
        <f>IFERROR(INDEX(刷條碼區!A:C,MATCH(點上線資訊!S1299,刷條碼區!C:C,0),1),"")</f>
        <v/>
      </c>
      <c r="Y1299" s="69" t="str">
        <f>IFERROR(INDEX(刷條碼區!A:C,MATCH(點上線資訊!S1299,刷條碼區!C:C,0),2),"")</f>
        <v/>
      </c>
      <c r="Z1299" s="70" t="str">
        <f>IFERROR(INDEX(刷條碼區!D:G,MATCH(點上線資訊!S1299,刷條碼區!F:F,0),1),"")</f>
        <v/>
      </c>
      <c r="AA1299" s="71" t="str">
        <f>IFERROR(INDEX(刷條碼區!D:G,MATCH(點上線資訊!S1299,刷條碼區!F:F,0),2),"")</f>
        <v/>
      </c>
      <c r="AB1299" s="20">
        <f t="shared" si="124"/>
        <v>0</v>
      </c>
      <c r="AC1299" s="20" t="b">
        <f t="shared" si="125"/>
        <v>0</v>
      </c>
      <c r="AD1299" s="17" t="b">
        <f t="shared" si="126"/>
        <v>0</v>
      </c>
      <c r="AE1299" s="17" t="b">
        <f t="shared" si="127"/>
        <v>0</v>
      </c>
    </row>
    <row r="1300" spans="17:31" x14ac:dyDescent="0.2">
      <c r="Q1300" s="17">
        <f>IFERROR(VLOOKUP(A1300,已除帳印單!B:C,1,0),0)*1</f>
        <v>0</v>
      </c>
      <c r="R1300" s="67" t="str">
        <f>IFERROR(VLOOKUP(J1300,線別!A:B,2,1),"")</f>
        <v/>
      </c>
      <c r="S1300" s="17" t="str">
        <f>IFERROR(VLOOKUP(A1300,已除帳印單!B:C,2,0),"")</f>
        <v/>
      </c>
      <c r="T1300" s="68" t="e">
        <f t="shared" si="122"/>
        <v>#VALUE!</v>
      </c>
      <c r="U1300" s="69">
        <f t="shared" si="123"/>
        <v>0</v>
      </c>
      <c r="V1300" s="68" t="str">
        <f>IFERROR(VLOOKUP(A1300,已除帳印單!B:D,3,0),"")</f>
        <v/>
      </c>
      <c r="W1300" s="69" t="str">
        <f>IFERROR(VLOOKUP(A1300,已除帳印單!B:E,4,0),"")</f>
        <v/>
      </c>
      <c r="X1300" s="68" t="str">
        <f>IFERROR(INDEX(刷條碼區!A:C,MATCH(點上線資訊!S1300,刷條碼區!C:C,0),1),"")</f>
        <v/>
      </c>
      <c r="Y1300" s="69" t="str">
        <f>IFERROR(INDEX(刷條碼區!A:C,MATCH(點上線資訊!S1300,刷條碼區!C:C,0),2),"")</f>
        <v/>
      </c>
      <c r="Z1300" s="70" t="str">
        <f>IFERROR(INDEX(刷條碼區!D:G,MATCH(點上線資訊!S1300,刷條碼區!F:F,0),1),"")</f>
        <v/>
      </c>
      <c r="AA1300" s="71" t="str">
        <f>IFERROR(INDEX(刷條碼區!D:G,MATCH(點上線資訊!S1300,刷條碼區!F:F,0),2),"")</f>
        <v/>
      </c>
      <c r="AB1300" s="20">
        <f t="shared" si="124"/>
        <v>0</v>
      </c>
      <c r="AC1300" s="20" t="b">
        <f t="shared" si="125"/>
        <v>0</v>
      </c>
      <c r="AD1300" s="17" t="b">
        <f t="shared" si="126"/>
        <v>0</v>
      </c>
      <c r="AE1300" s="17" t="b">
        <f t="shared" si="127"/>
        <v>0</v>
      </c>
    </row>
    <row r="1301" spans="17:31" x14ac:dyDescent="0.2">
      <c r="Q1301" s="17">
        <f>IFERROR(VLOOKUP(A1301,已除帳印單!B:C,1,0),0)*1</f>
        <v>0</v>
      </c>
      <c r="R1301" s="67" t="str">
        <f>IFERROR(VLOOKUP(J1301,線別!A:B,2,1),"")</f>
        <v/>
      </c>
      <c r="S1301" s="17" t="str">
        <f>IFERROR(VLOOKUP(A1301,已除帳印單!B:C,2,0),"")</f>
        <v/>
      </c>
      <c r="T1301" s="68" t="e">
        <f t="shared" si="122"/>
        <v>#VALUE!</v>
      </c>
      <c r="U1301" s="69">
        <f t="shared" si="123"/>
        <v>0</v>
      </c>
      <c r="V1301" s="68" t="str">
        <f>IFERROR(VLOOKUP(A1301,已除帳印單!B:D,3,0),"")</f>
        <v/>
      </c>
      <c r="W1301" s="69" t="str">
        <f>IFERROR(VLOOKUP(A1301,已除帳印單!B:E,4,0),"")</f>
        <v/>
      </c>
      <c r="X1301" s="68" t="str">
        <f>IFERROR(INDEX(刷條碼區!A:C,MATCH(點上線資訊!S1301,刷條碼區!C:C,0),1),"")</f>
        <v/>
      </c>
      <c r="Y1301" s="69" t="str">
        <f>IFERROR(INDEX(刷條碼區!A:C,MATCH(點上線資訊!S1301,刷條碼區!C:C,0),2),"")</f>
        <v/>
      </c>
      <c r="Z1301" s="70" t="str">
        <f>IFERROR(INDEX(刷條碼區!D:G,MATCH(點上線資訊!S1301,刷條碼區!F:F,0),1),"")</f>
        <v/>
      </c>
      <c r="AA1301" s="71" t="str">
        <f>IFERROR(INDEX(刷條碼區!D:G,MATCH(點上線資訊!S1301,刷條碼區!F:F,0),2),"")</f>
        <v/>
      </c>
      <c r="AB1301" s="20">
        <f t="shared" si="124"/>
        <v>0</v>
      </c>
      <c r="AC1301" s="20" t="b">
        <f t="shared" si="125"/>
        <v>0</v>
      </c>
      <c r="AD1301" s="17" t="b">
        <f t="shared" si="126"/>
        <v>0</v>
      </c>
      <c r="AE1301" s="17" t="b">
        <f t="shared" si="127"/>
        <v>0</v>
      </c>
    </row>
    <row r="1302" spans="17:31" x14ac:dyDescent="0.2">
      <c r="Q1302" s="17">
        <f>IFERROR(VLOOKUP(A1302,已除帳印單!B:C,1,0),0)*1</f>
        <v>0</v>
      </c>
      <c r="R1302" s="67" t="str">
        <f>IFERROR(VLOOKUP(J1302,線別!A:B,2,1),"")</f>
        <v/>
      </c>
      <c r="S1302" s="17" t="str">
        <f>IFERROR(VLOOKUP(A1302,已除帳印單!B:C,2,0),"")</f>
        <v/>
      </c>
      <c r="T1302" s="68" t="e">
        <f t="shared" si="122"/>
        <v>#VALUE!</v>
      </c>
      <c r="U1302" s="69">
        <f t="shared" si="123"/>
        <v>0</v>
      </c>
      <c r="V1302" s="68" t="str">
        <f>IFERROR(VLOOKUP(A1302,已除帳印單!B:D,3,0),"")</f>
        <v/>
      </c>
      <c r="W1302" s="69" t="str">
        <f>IFERROR(VLOOKUP(A1302,已除帳印單!B:E,4,0),"")</f>
        <v/>
      </c>
      <c r="X1302" s="68" t="str">
        <f>IFERROR(INDEX(刷條碼區!A:C,MATCH(點上線資訊!S1302,刷條碼區!C:C,0),1),"")</f>
        <v/>
      </c>
      <c r="Y1302" s="69" t="str">
        <f>IFERROR(INDEX(刷條碼區!A:C,MATCH(點上線資訊!S1302,刷條碼區!C:C,0),2),"")</f>
        <v/>
      </c>
      <c r="Z1302" s="70" t="str">
        <f>IFERROR(INDEX(刷條碼區!D:G,MATCH(點上線資訊!S1302,刷條碼區!F:F,0),1),"")</f>
        <v/>
      </c>
      <c r="AA1302" s="71" t="str">
        <f>IFERROR(INDEX(刷條碼區!D:G,MATCH(點上線資訊!S1302,刷條碼區!F:F,0),2),"")</f>
        <v/>
      </c>
      <c r="AB1302" s="20">
        <f t="shared" si="124"/>
        <v>0</v>
      </c>
      <c r="AC1302" s="20" t="b">
        <f t="shared" si="125"/>
        <v>0</v>
      </c>
      <c r="AD1302" s="17" t="b">
        <f t="shared" si="126"/>
        <v>0</v>
      </c>
      <c r="AE1302" s="17" t="b">
        <f t="shared" si="127"/>
        <v>0</v>
      </c>
    </row>
    <row r="1303" spans="17:31" x14ac:dyDescent="0.2">
      <c r="Q1303" s="17">
        <f>IFERROR(VLOOKUP(A1303,已除帳印單!B:C,1,0),0)*1</f>
        <v>0</v>
      </c>
      <c r="R1303" s="67" t="str">
        <f>IFERROR(VLOOKUP(J1303,線別!A:B,2,1),"")</f>
        <v/>
      </c>
      <c r="S1303" s="17" t="str">
        <f>IFERROR(VLOOKUP(A1303,已除帳印單!B:C,2,0),"")</f>
        <v/>
      </c>
      <c r="T1303" s="68" t="e">
        <f t="shared" si="122"/>
        <v>#VALUE!</v>
      </c>
      <c r="U1303" s="69">
        <f t="shared" si="123"/>
        <v>0</v>
      </c>
      <c r="V1303" s="68" t="str">
        <f>IFERROR(VLOOKUP(A1303,已除帳印單!B:D,3,0),"")</f>
        <v/>
      </c>
      <c r="W1303" s="69" t="str">
        <f>IFERROR(VLOOKUP(A1303,已除帳印單!B:E,4,0),"")</f>
        <v/>
      </c>
      <c r="X1303" s="68" t="str">
        <f>IFERROR(INDEX(刷條碼區!A:C,MATCH(點上線資訊!S1303,刷條碼區!C:C,0),1),"")</f>
        <v/>
      </c>
      <c r="Y1303" s="69" t="str">
        <f>IFERROR(INDEX(刷條碼區!A:C,MATCH(點上線資訊!S1303,刷條碼區!C:C,0),2),"")</f>
        <v/>
      </c>
      <c r="Z1303" s="70" t="str">
        <f>IFERROR(INDEX(刷條碼區!D:G,MATCH(點上線資訊!S1303,刷條碼區!F:F,0),1),"")</f>
        <v/>
      </c>
      <c r="AA1303" s="71" t="str">
        <f>IFERROR(INDEX(刷條碼區!D:G,MATCH(點上線資訊!S1303,刷條碼區!F:F,0),2),"")</f>
        <v/>
      </c>
      <c r="AB1303" s="20">
        <f t="shared" si="124"/>
        <v>0</v>
      </c>
      <c r="AC1303" s="20" t="b">
        <f t="shared" si="125"/>
        <v>0</v>
      </c>
      <c r="AD1303" s="17" t="b">
        <f t="shared" si="126"/>
        <v>0</v>
      </c>
      <c r="AE1303" s="17" t="b">
        <f t="shared" si="127"/>
        <v>0</v>
      </c>
    </row>
    <row r="1304" spans="17:31" x14ac:dyDescent="0.2">
      <c r="Q1304" s="17">
        <f>IFERROR(VLOOKUP(A1304,已除帳印單!B:C,1,0),0)*1</f>
        <v>0</v>
      </c>
      <c r="R1304" s="67" t="str">
        <f>IFERROR(VLOOKUP(J1304,線別!A:B,2,1),"")</f>
        <v/>
      </c>
      <c r="S1304" s="17" t="str">
        <f>IFERROR(VLOOKUP(A1304,已除帳印單!B:C,2,0),"")</f>
        <v/>
      </c>
      <c r="T1304" s="68" t="e">
        <f t="shared" si="122"/>
        <v>#VALUE!</v>
      </c>
      <c r="U1304" s="69">
        <f t="shared" si="123"/>
        <v>0</v>
      </c>
      <c r="V1304" s="68" t="str">
        <f>IFERROR(VLOOKUP(A1304,已除帳印單!B:D,3,0),"")</f>
        <v/>
      </c>
      <c r="W1304" s="69" t="str">
        <f>IFERROR(VLOOKUP(A1304,已除帳印單!B:E,4,0),"")</f>
        <v/>
      </c>
      <c r="X1304" s="68" t="str">
        <f>IFERROR(INDEX(刷條碼區!A:C,MATCH(點上線資訊!S1304,刷條碼區!C:C,0),1),"")</f>
        <v/>
      </c>
      <c r="Y1304" s="69" t="str">
        <f>IFERROR(INDEX(刷條碼區!A:C,MATCH(點上線資訊!S1304,刷條碼區!C:C,0),2),"")</f>
        <v/>
      </c>
      <c r="Z1304" s="70" t="str">
        <f>IFERROR(INDEX(刷條碼區!D:G,MATCH(點上線資訊!S1304,刷條碼區!F:F,0),1),"")</f>
        <v/>
      </c>
      <c r="AA1304" s="71" t="str">
        <f>IFERROR(INDEX(刷條碼區!D:G,MATCH(點上線資訊!S1304,刷條碼區!F:F,0),2),"")</f>
        <v/>
      </c>
      <c r="AB1304" s="20">
        <f t="shared" si="124"/>
        <v>0</v>
      </c>
      <c r="AC1304" s="20" t="b">
        <f t="shared" si="125"/>
        <v>0</v>
      </c>
      <c r="AD1304" s="17" t="b">
        <f t="shared" si="126"/>
        <v>0</v>
      </c>
      <c r="AE1304" s="17" t="b">
        <f t="shared" si="127"/>
        <v>0</v>
      </c>
    </row>
    <row r="1305" spans="17:31" x14ac:dyDescent="0.2">
      <c r="Q1305" s="17">
        <f>IFERROR(VLOOKUP(A1305,已除帳印單!B:C,1,0),0)*1</f>
        <v>0</v>
      </c>
      <c r="R1305" s="67" t="str">
        <f>IFERROR(VLOOKUP(J1305,線別!A:B,2,1),"")</f>
        <v/>
      </c>
      <c r="S1305" s="17" t="str">
        <f>IFERROR(VLOOKUP(A1305,已除帳印單!B:C,2,0),"")</f>
        <v/>
      </c>
      <c r="T1305" s="68" t="e">
        <f t="shared" si="122"/>
        <v>#VALUE!</v>
      </c>
      <c r="U1305" s="69">
        <f t="shared" si="123"/>
        <v>0</v>
      </c>
      <c r="V1305" s="68" t="str">
        <f>IFERROR(VLOOKUP(A1305,已除帳印單!B:D,3,0),"")</f>
        <v/>
      </c>
      <c r="W1305" s="69" t="str">
        <f>IFERROR(VLOOKUP(A1305,已除帳印單!B:E,4,0),"")</f>
        <v/>
      </c>
      <c r="X1305" s="68" t="str">
        <f>IFERROR(INDEX(刷條碼區!A:C,MATCH(點上線資訊!S1305,刷條碼區!C:C,0),1),"")</f>
        <v/>
      </c>
      <c r="Y1305" s="69" t="str">
        <f>IFERROR(INDEX(刷條碼區!A:C,MATCH(點上線資訊!S1305,刷條碼區!C:C,0),2),"")</f>
        <v/>
      </c>
      <c r="Z1305" s="70" t="str">
        <f>IFERROR(INDEX(刷條碼區!D:G,MATCH(點上線資訊!S1305,刷條碼區!F:F,0),1),"")</f>
        <v/>
      </c>
      <c r="AA1305" s="71" t="str">
        <f>IFERROR(INDEX(刷條碼區!D:G,MATCH(點上線資訊!S1305,刷條碼區!F:F,0),2),"")</f>
        <v/>
      </c>
      <c r="AB1305" s="20">
        <f t="shared" si="124"/>
        <v>0</v>
      </c>
      <c r="AC1305" s="20" t="b">
        <f t="shared" si="125"/>
        <v>0</v>
      </c>
      <c r="AD1305" s="17" t="b">
        <f t="shared" si="126"/>
        <v>0</v>
      </c>
      <c r="AE1305" s="17" t="b">
        <f t="shared" si="127"/>
        <v>0</v>
      </c>
    </row>
    <row r="1306" spans="17:31" x14ac:dyDescent="0.2">
      <c r="Q1306" s="17">
        <f>IFERROR(VLOOKUP(A1306,已除帳印單!B:C,1,0),0)*1</f>
        <v>0</v>
      </c>
      <c r="R1306" s="67" t="str">
        <f>IFERROR(VLOOKUP(J1306,線別!A:B,2,1),"")</f>
        <v/>
      </c>
      <c r="S1306" s="17" t="str">
        <f>IFERROR(VLOOKUP(A1306,已除帳印單!B:C,2,0),"")</f>
        <v/>
      </c>
      <c r="T1306" s="68" t="e">
        <f t="shared" si="122"/>
        <v>#VALUE!</v>
      </c>
      <c r="U1306" s="69">
        <f t="shared" si="123"/>
        <v>0</v>
      </c>
      <c r="V1306" s="68" t="str">
        <f>IFERROR(VLOOKUP(A1306,已除帳印單!B:D,3,0),"")</f>
        <v/>
      </c>
      <c r="W1306" s="69" t="str">
        <f>IFERROR(VLOOKUP(A1306,已除帳印單!B:E,4,0),"")</f>
        <v/>
      </c>
      <c r="X1306" s="68" t="str">
        <f>IFERROR(INDEX(刷條碼區!A:C,MATCH(點上線資訊!S1306,刷條碼區!C:C,0),1),"")</f>
        <v/>
      </c>
      <c r="Y1306" s="69" t="str">
        <f>IFERROR(INDEX(刷條碼區!A:C,MATCH(點上線資訊!S1306,刷條碼區!C:C,0),2),"")</f>
        <v/>
      </c>
      <c r="Z1306" s="70" t="str">
        <f>IFERROR(INDEX(刷條碼區!D:G,MATCH(點上線資訊!S1306,刷條碼區!F:F,0),1),"")</f>
        <v/>
      </c>
      <c r="AA1306" s="71" t="str">
        <f>IFERROR(INDEX(刷條碼區!D:G,MATCH(點上線資訊!S1306,刷條碼區!F:F,0),2),"")</f>
        <v/>
      </c>
      <c r="AB1306" s="20">
        <f t="shared" si="124"/>
        <v>0</v>
      </c>
      <c r="AC1306" s="20" t="b">
        <f t="shared" si="125"/>
        <v>0</v>
      </c>
      <c r="AD1306" s="17" t="b">
        <f t="shared" si="126"/>
        <v>0</v>
      </c>
      <c r="AE1306" s="17" t="b">
        <f t="shared" si="127"/>
        <v>0</v>
      </c>
    </row>
    <row r="1307" spans="17:31" x14ac:dyDescent="0.2">
      <c r="Q1307" s="17">
        <f>IFERROR(VLOOKUP(A1307,已除帳印單!B:C,1,0),0)*1</f>
        <v>0</v>
      </c>
      <c r="R1307" s="67" t="str">
        <f>IFERROR(VLOOKUP(J1307,線別!A:B,2,1),"")</f>
        <v/>
      </c>
      <c r="S1307" s="17" t="str">
        <f>IFERROR(VLOOKUP(A1307,已除帳印單!B:C,2,0),"")</f>
        <v/>
      </c>
      <c r="T1307" s="68" t="e">
        <f t="shared" si="122"/>
        <v>#VALUE!</v>
      </c>
      <c r="U1307" s="69">
        <f t="shared" si="123"/>
        <v>0</v>
      </c>
      <c r="V1307" s="68" t="str">
        <f>IFERROR(VLOOKUP(A1307,已除帳印單!B:D,3,0),"")</f>
        <v/>
      </c>
      <c r="W1307" s="69" t="str">
        <f>IFERROR(VLOOKUP(A1307,已除帳印單!B:E,4,0),"")</f>
        <v/>
      </c>
      <c r="X1307" s="68" t="str">
        <f>IFERROR(INDEX(刷條碼區!A:C,MATCH(點上線資訊!S1307,刷條碼區!C:C,0),1),"")</f>
        <v/>
      </c>
      <c r="Y1307" s="69" t="str">
        <f>IFERROR(INDEX(刷條碼區!A:C,MATCH(點上線資訊!S1307,刷條碼區!C:C,0),2),"")</f>
        <v/>
      </c>
      <c r="Z1307" s="70" t="str">
        <f>IFERROR(INDEX(刷條碼區!D:G,MATCH(點上線資訊!S1307,刷條碼區!F:F,0),1),"")</f>
        <v/>
      </c>
      <c r="AA1307" s="71" t="str">
        <f>IFERROR(INDEX(刷條碼區!D:G,MATCH(點上線資訊!S1307,刷條碼區!F:F,0),2),"")</f>
        <v/>
      </c>
      <c r="AB1307" s="20">
        <f t="shared" si="124"/>
        <v>0</v>
      </c>
      <c r="AC1307" s="20" t="b">
        <f t="shared" si="125"/>
        <v>0</v>
      </c>
      <c r="AD1307" s="17" t="b">
        <f t="shared" si="126"/>
        <v>0</v>
      </c>
      <c r="AE1307" s="17" t="b">
        <f t="shared" si="127"/>
        <v>0</v>
      </c>
    </row>
    <row r="1308" spans="17:31" x14ac:dyDescent="0.2">
      <c r="Q1308" s="17">
        <f>IFERROR(VLOOKUP(A1308,已除帳印單!B:C,1,0),0)*1</f>
        <v>0</v>
      </c>
      <c r="R1308" s="67" t="str">
        <f>IFERROR(VLOOKUP(J1308,線別!A:B,2,1),"")</f>
        <v/>
      </c>
      <c r="S1308" s="17" t="str">
        <f>IFERROR(VLOOKUP(A1308,已除帳印單!B:C,2,0),"")</f>
        <v/>
      </c>
      <c r="T1308" s="68" t="e">
        <f t="shared" si="122"/>
        <v>#VALUE!</v>
      </c>
      <c r="U1308" s="69">
        <f t="shared" si="123"/>
        <v>0</v>
      </c>
      <c r="V1308" s="68" t="str">
        <f>IFERROR(VLOOKUP(A1308,已除帳印單!B:D,3,0),"")</f>
        <v/>
      </c>
      <c r="W1308" s="69" t="str">
        <f>IFERROR(VLOOKUP(A1308,已除帳印單!B:E,4,0),"")</f>
        <v/>
      </c>
      <c r="X1308" s="68" t="str">
        <f>IFERROR(INDEX(刷條碼區!A:C,MATCH(點上線資訊!S1308,刷條碼區!C:C,0),1),"")</f>
        <v/>
      </c>
      <c r="Y1308" s="69" t="str">
        <f>IFERROR(INDEX(刷條碼區!A:C,MATCH(點上線資訊!S1308,刷條碼區!C:C,0),2),"")</f>
        <v/>
      </c>
      <c r="Z1308" s="70" t="str">
        <f>IFERROR(INDEX(刷條碼區!D:G,MATCH(點上線資訊!S1308,刷條碼區!F:F,0),1),"")</f>
        <v/>
      </c>
      <c r="AA1308" s="71" t="str">
        <f>IFERROR(INDEX(刷條碼區!D:G,MATCH(點上線資訊!S1308,刷條碼區!F:F,0),2),"")</f>
        <v/>
      </c>
      <c r="AB1308" s="20">
        <f t="shared" si="124"/>
        <v>0</v>
      </c>
      <c r="AC1308" s="20" t="b">
        <f t="shared" si="125"/>
        <v>0</v>
      </c>
      <c r="AD1308" s="17" t="b">
        <f t="shared" si="126"/>
        <v>0</v>
      </c>
      <c r="AE1308" s="17" t="b">
        <f t="shared" si="127"/>
        <v>0</v>
      </c>
    </row>
    <row r="1309" spans="17:31" x14ac:dyDescent="0.2">
      <c r="Q1309" s="17">
        <f>IFERROR(VLOOKUP(A1309,已除帳印單!B:C,1,0),0)*1</f>
        <v>0</v>
      </c>
      <c r="R1309" s="67" t="str">
        <f>IFERROR(VLOOKUP(J1309,線別!A:B,2,1),"")</f>
        <v/>
      </c>
      <c r="S1309" s="17" t="str">
        <f>IFERROR(VLOOKUP(A1309,已除帳印單!B:C,2,0),"")</f>
        <v/>
      </c>
      <c r="T1309" s="68" t="e">
        <f t="shared" si="122"/>
        <v>#VALUE!</v>
      </c>
      <c r="U1309" s="69">
        <f t="shared" si="123"/>
        <v>0</v>
      </c>
      <c r="V1309" s="68" t="str">
        <f>IFERROR(VLOOKUP(A1309,已除帳印單!B:D,3,0),"")</f>
        <v/>
      </c>
      <c r="W1309" s="69" t="str">
        <f>IFERROR(VLOOKUP(A1309,已除帳印單!B:E,4,0),"")</f>
        <v/>
      </c>
      <c r="X1309" s="68" t="str">
        <f>IFERROR(INDEX(刷條碼區!A:C,MATCH(點上線資訊!S1309,刷條碼區!C:C,0),1),"")</f>
        <v/>
      </c>
      <c r="Y1309" s="69" t="str">
        <f>IFERROR(INDEX(刷條碼區!A:C,MATCH(點上線資訊!S1309,刷條碼區!C:C,0),2),"")</f>
        <v/>
      </c>
      <c r="Z1309" s="70" t="str">
        <f>IFERROR(INDEX(刷條碼區!D:G,MATCH(點上線資訊!S1309,刷條碼區!F:F,0),1),"")</f>
        <v/>
      </c>
      <c r="AA1309" s="71" t="str">
        <f>IFERROR(INDEX(刷條碼區!D:G,MATCH(點上線資訊!S1309,刷條碼區!F:F,0),2),"")</f>
        <v/>
      </c>
      <c r="AB1309" s="20">
        <f t="shared" si="124"/>
        <v>0</v>
      </c>
      <c r="AC1309" s="20" t="b">
        <f t="shared" si="125"/>
        <v>0</v>
      </c>
      <c r="AD1309" s="17" t="b">
        <f t="shared" si="126"/>
        <v>0</v>
      </c>
      <c r="AE1309" s="17" t="b">
        <f t="shared" si="127"/>
        <v>0</v>
      </c>
    </row>
    <row r="1310" spans="17:31" x14ac:dyDescent="0.2">
      <c r="Q1310" s="17">
        <f>IFERROR(VLOOKUP(A1310,已除帳印單!B:C,1,0),0)*1</f>
        <v>0</v>
      </c>
      <c r="R1310" s="67" t="str">
        <f>IFERROR(VLOOKUP(J1310,線別!A:B,2,1),"")</f>
        <v/>
      </c>
      <c r="S1310" s="17" t="str">
        <f>IFERROR(VLOOKUP(A1310,已除帳印單!B:C,2,0),"")</f>
        <v/>
      </c>
      <c r="T1310" s="68" t="e">
        <f t="shared" si="122"/>
        <v>#VALUE!</v>
      </c>
      <c r="U1310" s="69">
        <f t="shared" si="123"/>
        <v>0</v>
      </c>
      <c r="V1310" s="68" t="str">
        <f>IFERROR(VLOOKUP(A1310,已除帳印單!B:D,3,0),"")</f>
        <v/>
      </c>
      <c r="W1310" s="69" t="str">
        <f>IFERROR(VLOOKUP(A1310,已除帳印單!B:E,4,0),"")</f>
        <v/>
      </c>
      <c r="X1310" s="68" t="str">
        <f>IFERROR(INDEX(刷條碼區!A:C,MATCH(點上線資訊!S1310,刷條碼區!C:C,0),1),"")</f>
        <v/>
      </c>
      <c r="Y1310" s="69" t="str">
        <f>IFERROR(INDEX(刷條碼區!A:C,MATCH(點上線資訊!S1310,刷條碼區!C:C,0),2),"")</f>
        <v/>
      </c>
      <c r="Z1310" s="70" t="str">
        <f>IFERROR(INDEX(刷條碼區!D:G,MATCH(點上線資訊!S1310,刷條碼區!F:F,0),1),"")</f>
        <v/>
      </c>
      <c r="AA1310" s="71" t="str">
        <f>IFERROR(INDEX(刷條碼區!D:G,MATCH(點上線資訊!S1310,刷條碼區!F:F,0),2),"")</f>
        <v/>
      </c>
      <c r="AB1310" s="20">
        <f t="shared" si="124"/>
        <v>0</v>
      </c>
      <c r="AC1310" s="20" t="b">
        <f t="shared" si="125"/>
        <v>0</v>
      </c>
      <c r="AD1310" s="17" t="b">
        <f t="shared" si="126"/>
        <v>0</v>
      </c>
      <c r="AE1310" s="17" t="b">
        <f t="shared" si="127"/>
        <v>0</v>
      </c>
    </row>
    <row r="1311" spans="17:31" x14ac:dyDescent="0.2">
      <c r="Q1311" s="17">
        <f>IFERROR(VLOOKUP(A1311,已除帳印單!B:C,1,0),0)*1</f>
        <v>0</v>
      </c>
      <c r="R1311" s="67" t="str">
        <f>IFERROR(VLOOKUP(J1311,線別!A:B,2,1),"")</f>
        <v/>
      </c>
      <c r="S1311" s="17" t="str">
        <f>IFERROR(VLOOKUP(A1311,已除帳印單!B:C,2,0),"")</f>
        <v/>
      </c>
      <c r="T1311" s="68" t="e">
        <f t="shared" si="122"/>
        <v>#VALUE!</v>
      </c>
      <c r="U1311" s="69">
        <f t="shared" si="123"/>
        <v>0</v>
      </c>
      <c r="V1311" s="68" t="str">
        <f>IFERROR(VLOOKUP(A1311,已除帳印單!B:D,3,0),"")</f>
        <v/>
      </c>
      <c r="W1311" s="69" t="str">
        <f>IFERROR(VLOOKUP(A1311,已除帳印單!B:E,4,0),"")</f>
        <v/>
      </c>
      <c r="X1311" s="68" t="str">
        <f>IFERROR(INDEX(刷條碼區!A:C,MATCH(點上線資訊!S1311,刷條碼區!C:C,0),1),"")</f>
        <v/>
      </c>
      <c r="Y1311" s="69" t="str">
        <f>IFERROR(INDEX(刷條碼區!A:C,MATCH(點上線資訊!S1311,刷條碼區!C:C,0),2),"")</f>
        <v/>
      </c>
      <c r="Z1311" s="70" t="str">
        <f>IFERROR(INDEX(刷條碼區!D:G,MATCH(點上線資訊!S1311,刷條碼區!F:F,0),1),"")</f>
        <v/>
      </c>
      <c r="AA1311" s="71" t="str">
        <f>IFERROR(INDEX(刷條碼區!D:G,MATCH(點上線資訊!S1311,刷條碼區!F:F,0),2),"")</f>
        <v/>
      </c>
      <c r="AB1311" s="20">
        <f t="shared" si="124"/>
        <v>0</v>
      </c>
      <c r="AC1311" s="20" t="b">
        <f t="shared" si="125"/>
        <v>0</v>
      </c>
      <c r="AD1311" s="17" t="b">
        <f t="shared" si="126"/>
        <v>0</v>
      </c>
      <c r="AE1311" s="17" t="b">
        <f t="shared" si="127"/>
        <v>0</v>
      </c>
    </row>
    <row r="1312" spans="17:31" x14ac:dyDescent="0.2">
      <c r="Q1312" s="17">
        <f>IFERROR(VLOOKUP(A1312,已除帳印單!B:C,1,0),0)*1</f>
        <v>0</v>
      </c>
      <c r="R1312" s="67" t="str">
        <f>IFERROR(VLOOKUP(J1312,線別!A:B,2,1),"")</f>
        <v/>
      </c>
      <c r="S1312" s="17" t="str">
        <f>IFERROR(VLOOKUP(A1312,已除帳印單!B:C,2,0),"")</f>
        <v/>
      </c>
      <c r="T1312" s="68" t="e">
        <f t="shared" si="122"/>
        <v>#VALUE!</v>
      </c>
      <c r="U1312" s="69">
        <f t="shared" si="123"/>
        <v>0</v>
      </c>
      <c r="V1312" s="68" t="str">
        <f>IFERROR(VLOOKUP(A1312,已除帳印單!B:D,3,0),"")</f>
        <v/>
      </c>
      <c r="W1312" s="69" t="str">
        <f>IFERROR(VLOOKUP(A1312,已除帳印單!B:E,4,0),"")</f>
        <v/>
      </c>
      <c r="X1312" s="68" t="str">
        <f>IFERROR(INDEX(刷條碼區!A:C,MATCH(點上線資訊!S1312,刷條碼區!C:C,0),1),"")</f>
        <v/>
      </c>
      <c r="Y1312" s="69" t="str">
        <f>IFERROR(INDEX(刷條碼區!A:C,MATCH(點上線資訊!S1312,刷條碼區!C:C,0),2),"")</f>
        <v/>
      </c>
      <c r="Z1312" s="70" t="str">
        <f>IFERROR(INDEX(刷條碼區!D:G,MATCH(點上線資訊!S1312,刷條碼區!F:F,0),1),"")</f>
        <v/>
      </c>
      <c r="AA1312" s="71" t="str">
        <f>IFERROR(INDEX(刷條碼區!D:G,MATCH(點上線資訊!S1312,刷條碼區!F:F,0),2),"")</f>
        <v/>
      </c>
      <c r="AB1312" s="20">
        <f t="shared" si="124"/>
        <v>0</v>
      </c>
      <c r="AC1312" s="20" t="b">
        <f t="shared" si="125"/>
        <v>0</v>
      </c>
      <c r="AD1312" s="17" t="b">
        <f t="shared" si="126"/>
        <v>0</v>
      </c>
      <c r="AE1312" s="17" t="b">
        <f t="shared" si="127"/>
        <v>0</v>
      </c>
    </row>
    <row r="1313" spans="17:31" x14ac:dyDescent="0.2">
      <c r="Q1313" s="17">
        <f>IFERROR(VLOOKUP(A1313,已除帳印單!B:C,1,0),0)*1</f>
        <v>0</v>
      </c>
      <c r="R1313" s="67" t="str">
        <f>IFERROR(VLOOKUP(J1313,線別!A:B,2,1),"")</f>
        <v/>
      </c>
      <c r="S1313" s="17" t="str">
        <f>IFERROR(VLOOKUP(A1313,已除帳印單!B:C,2,0),"")</f>
        <v/>
      </c>
      <c r="T1313" s="68" t="e">
        <f t="shared" si="122"/>
        <v>#VALUE!</v>
      </c>
      <c r="U1313" s="69">
        <f t="shared" si="123"/>
        <v>0</v>
      </c>
      <c r="V1313" s="68" t="str">
        <f>IFERROR(VLOOKUP(A1313,已除帳印單!B:D,3,0),"")</f>
        <v/>
      </c>
      <c r="W1313" s="69" t="str">
        <f>IFERROR(VLOOKUP(A1313,已除帳印單!B:E,4,0),"")</f>
        <v/>
      </c>
      <c r="X1313" s="68" t="str">
        <f>IFERROR(INDEX(刷條碼區!A:C,MATCH(點上線資訊!S1313,刷條碼區!C:C,0),1),"")</f>
        <v/>
      </c>
      <c r="Y1313" s="69" t="str">
        <f>IFERROR(INDEX(刷條碼區!A:C,MATCH(點上線資訊!S1313,刷條碼區!C:C,0),2),"")</f>
        <v/>
      </c>
      <c r="Z1313" s="70" t="str">
        <f>IFERROR(INDEX(刷條碼區!D:G,MATCH(點上線資訊!S1313,刷條碼區!F:F,0),1),"")</f>
        <v/>
      </c>
      <c r="AA1313" s="71" t="str">
        <f>IFERROR(INDEX(刷條碼區!D:G,MATCH(點上線資訊!S1313,刷條碼區!F:F,0),2),"")</f>
        <v/>
      </c>
      <c r="AB1313" s="20">
        <f t="shared" si="124"/>
        <v>0</v>
      </c>
      <c r="AC1313" s="20" t="b">
        <f t="shared" si="125"/>
        <v>0</v>
      </c>
      <c r="AD1313" s="17" t="b">
        <f t="shared" si="126"/>
        <v>0</v>
      </c>
      <c r="AE1313" s="17" t="b">
        <f t="shared" si="127"/>
        <v>0</v>
      </c>
    </row>
    <row r="1314" spans="17:31" x14ac:dyDescent="0.2">
      <c r="Q1314" s="17">
        <f>IFERROR(VLOOKUP(A1314,已除帳印單!B:C,1,0),0)*1</f>
        <v>0</v>
      </c>
      <c r="R1314" s="67" t="str">
        <f>IFERROR(VLOOKUP(J1314,線別!A:B,2,1),"")</f>
        <v/>
      </c>
      <c r="S1314" s="17" t="str">
        <f>IFERROR(VLOOKUP(A1314,已除帳印單!B:C,2,0),"")</f>
        <v/>
      </c>
      <c r="T1314" s="68" t="e">
        <f t="shared" si="122"/>
        <v>#VALUE!</v>
      </c>
      <c r="U1314" s="69">
        <f t="shared" si="123"/>
        <v>0</v>
      </c>
      <c r="V1314" s="68" t="str">
        <f>IFERROR(VLOOKUP(A1314,已除帳印單!B:D,3,0),"")</f>
        <v/>
      </c>
      <c r="W1314" s="69" t="str">
        <f>IFERROR(VLOOKUP(A1314,已除帳印單!B:E,4,0),"")</f>
        <v/>
      </c>
      <c r="X1314" s="68" t="str">
        <f>IFERROR(INDEX(刷條碼區!A:C,MATCH(點上線資訊!S1314,刷條碼區!C:C,0),1),"")</f>
        <v/>
      </c>
      <c r="Y1314" s="69" t="str">
        <f>IFERROR(INDEX(刷條碼區!A:C,MATCH(點上線資訊!S1314,刷條碼區!C:C,0),2),"")</f>
        <v/>
      </c>
      <c r="Z1314" s="70" t="str">
        <f>IFERROR(INDEX(刷條碼區!D:G,MATCH(點上線資訊!S1314,刷條碼區!F:F,0),1),"")</f>
        <v/>
      </c>
      <c r="AA1314" s="71" t="str">
        <f>IFERROR(INDEX(刷條碼區!D:G,MATCH(點上線資訊!S1314,刷條碼區!F:F,0),2),"")</f>
        <v/>
      </c>
      <c r="AB1314" s="20">
        <f t="shared" si="124"/>
        <v>0</v>
      </c>
      <c r="AC1314" s="20" t="b">
        <f t="shared" si="125"/>
        <v>0</v>
      </c>
      <c r="AD1314" s="17" t="b">
        <f t="shared" si="126"/>
        <v>0</v>
      </c>
      <c r="AE1314" s="17" t="b">
        <f t="shared" si="127"/>
        <v>0</v>
      </c>
    </row>
    <row r="1315" spans="17:31" x14ac:dyDescent="0.2">
      <c r="Q1315" s="17">
        <f>IFERROR(VLOOKUP(A1315,已除帳印單!B:C,1,0),0)*1</f>
        <v>0</v>
      </c>
      <c r="R1315" s="67" t="str">
        <f>IFERROR(VLOOKUP(J1315,線別!A:B,2,1),"")</f>
        <v/>
      </c>
      <c r="S1315" s="17" t="str">
        <f>IFERROR(VLOOKUP(A1315,已除帳印單!B:C,2,0),"")</f>
        <v/>
      </c>
      <c r="T1315" s="68" t="e">
        <f t="shared" si="122"/>
        <v>#VALUE!</v>
      </c>
      <c r="U1315" s="69">
        <f t="shared" si="123"/>
        <v>0</v>
      </c>
      <c r="V1315" s="68" t="str">
        <f>IFERROR(VLOOKUP(A1315,已除帳印單!B:D,3,0),"")</f>
        <v/>
      </c>
      <c r="W1315" s="69" t="str">
        <f>IFERROR(VLOOKUP(A1315,已除帳印單!B:E,4,0),"")</f>
        <v/>
      </c>
      <c r="X1315" s="68" t="str">
        <f>IFERROR(INDEX(刷條碼區!A:C,MATCH(點上線資訊!S1315,刷條碼區!C:C,0),1),"")</f>
        <v/>
      </c>
      <c r="Y1315" s="69" t="str">
        <f>IFERROR(INDEX(刷條碼區!A:C,MATCH(點上線資訊!S1315,刷條碼區!C:C,0),2),"")</f>
        <v/>
      </c>
      <c r="Z1315" s="70" t="str">
        <f>IFERROR(INDEX(刷條碼區!D:G,MATCH(點上線資訊!S1315,刷條碼區!F:F,0),1),"")</f>
        <v/>
      </c>
      <c r="AA1315" s="71" t="str">
        <f>IFERROR(INDEX(刷條碼區!D:G,MATCH(點上線資訊!S1315,刷條碼區!F:F,0),2),"")</f>
        <v/>
      </c>
      <c r="AB1315" s="20">
        <f t="shared" si="124"/>
        <v>0</v>
      </c>
      <c r="AC1315" s="20" t="b">
        <f t="shared" si="125"/>
        <v>0</v>
      </c>
      <c r="AD1315" s="17" t="b">
        <f t="shared" si="126"/>
        <v>0</v>
      </c>
      <c r="AE1315" s="17" t="b">
        <f t="shared" si="127"/>
        <v>0</v>
      </c>
    </row>
    <row r="1316" spans="17:31" x14ac:dyDescent="0.2">
      <c r="Q1316" s="17">
        <f>IFERROR(VLOOKUP(A1316,已除帳印單!B:C,1,0),0)*1</f>
        <v>0</v>
      </c>
      <c r="R1316" s="67" t="str">
        <f>IFERROR(VLOOKUP(J1316,線別!A:B,2,1),"")</f>
        <v/>
      </c>
      <c r="S1316" s="17" t="str">
        <f>IFERROR(VLOOKUP(A1316,已除帳印單!B:C,2,0),"")</f>
        <v/>
      </c>
      <c r="T1316" s="68" t="e">
        <f t="shared" si="122"/>
        <v>#VALUE!</v>
      </c>
      <c r="U1316" s="69">
        <f t="shared" si="123"/>
        <v>0</v>
      </c>
      <c r="V1316" s="68" t="str">
        <f>IFERROR(VLOOKUP(A1316,已除帳印單!B:D,3,0),"")</f>
        <v/>
      </c>
      <c r="W1316" s="69" t="str">
        <f>IFERROR(VLOOKUP(A1316,已除帳印單!B:E,4,0),"")</f>
        <v/>
      </c>
      <c r="X1316" s="68" t="str">
        <f>IFERROR(INDEX(刷條碼區!A:C,MATCH(點上線資訊!S1316,刷條碼區!C:C,0),1),"")</f>
        <v/>
      </c>
      <c r="Y1316" s="69" t="str">
        <f>IFERROR(INDEX(刷條碼區!A:C,MATCH(點上線資訊!S1316,刷條碼區!C:C,0),2),"")</f>
        <v/>
      </c>
      <c r="Z1316" s="70" t="str">
        <f>IFERROR(INDEX(刷條碼區!D:G,MATCH(點上線資訊!S1316,刷條碼區!F:F,0),1),"")</f>
        <v/>
      </c>
      <c r="AA1316" s="71" t="str">
        <f>IFERROR(INDEX(刷條碼區!D:G,MATCH(點上線資訊!S1316,刷條碼區!F:F,0),2),"")</f>
        <v/>
      </c>
      <c r="AB1316" s="20">
        <f t="shared" si="124"/>
        <v>0</v>
      </c>
      <c r="AC1316" s="20" t="b">
        <f t="shared" si="125"/>
        <v>0</v>
      </c>
      <c r="AD1316" s="17" t="b">
        <f t="shared" si="126"/>
        <v>0</v>
      </c>
      <c r="AE1316" s="17" t="b">
        <f t="shared" si="127"/>
        <v>0</v>
      </c>
    </row>
    <row r="1317" spans="17:31" x14ac:dyDescent="0.2">
      <c r="Q1317" s="17">
        <f>IFERROR(VLOOKUP(A1317,已除帳印單!B:C,1,0),0)*1</f>
        <v>0</v>
      </c>
      <c r="R1317" s="67" t="str">
        <f>IFERROR(VLOOKUP(J1317,線別!A:B,2,1),"")</f>
        <v/>
      </c>
      <c r="S1317" s="17" t="str">
        <f>IFERROR(VLOOKUP(A1317,已除帳印單!B:C,2,0),"")</f>
        <v/>
      </c>
      <c r="T1317" s="68" t="e">
        <f t="shared" si="122"/>
        <v>#VALUE!</v>
      </c>
      <c r="U1317" s="69">
        <f t="shared" si="123"/>
        <v>0</v>
      </c>
      <c r="V1317" s="68" t="str">
        <f>IFERROR(VLOOKUP(A1317,已除帳印單!B:D,3,0),"")</f>
        <v/>
      </c>
      <c r="W1317" s="69" t="str">
        <f>IFERROR(VLOOKUP(A1317,已除帳印單!B:E,4,0),"")</f>
        <v/>
      </c>
      <c r="X1317" s="68" t="str">
        <f>IFERROR(INDEX(刷條碼區!A:C,MATCH(點上線資訊!S1317,刷條碼區!C:C,0),1),"")</f>
        <v/>
      </c>
      <c r="Y1317" s="69" t="str">
        <f>IFERROR(INDEX(刷條碼區!A:C,MATCH(點上線資訊!S1317,刷條碼區!C:C,0),2),"")</f>
        <v/>
      </c>
      <c r="Z1317" s="70" t="str">
        <f>IFERROR(INDEX(刷條碼區!D:G,MATCH(點上線資訊!S1317,刷條碼區!F:F,0),1),"")</f>
        <v/>
      </c>
      <c r="AA1317" s="71" t="str">
        <f>IFERROR(INDEX(刷條碼區!D:G,MATCH(點上線資訊!S1317,刷條碼區!F:F,0),2),"")</f>
        <v/>
      </c>
      <c r="AB1317" s="20">
        <f t="shared" si="124"/>
        <v>0</v>
      </c>
      <c r="AC1317" s="20" t="b">
        <f t="shared" si="125"/>
        <v>0</v>
      </c>
      <c r="AD1317" s="17" t="b">
        <f t="shared" si="126"/>
        <v>0</v>
      </c>
      <c r="AE1317" s="17" t="b">
        <f t="shared" si="127"/>
        <v>0</v>
      </c>
    </row>
    <row r="1318" spans="17:31" x14ac:dyDescent="0.2">
      <c r="Q1318" s="17">
        <f>IFERROR(VLOOKUP(A1318,已除帳印單!B:C,1,0),0)*1</f>
        <v>0</v>
      </c>
      <c r="R1318" s="67" t="str">
        <f>IFERROR(VLOOKUP(J1318,線別!A:B,2,1),"")</f>
        <v/>
      </c>
      <c r="S1318" s="17" t="str">
        <f>IFERROR(VLOOKUP(A1318,已除帳印單!B:C,2,0),"")</f>
        <v/>
      </c>
      <c r="T1318" s="68" t="e">
        <f t="shared" si="122"/>
        <v>#VALUE!</v>
      </c>
      <c r="U1318" s="69">
        <f t="shared" si="123"/>
        <v>0</v>
      </c>
      <c r="V1318" s="68" t="str">
        <f>IFERROR(VLOOKUP(A1318,已除帳印單!B:D,3,0),"")</f>
        <v/>
      </c>
      <c r="W1318" s="69" t="str">
        <f>IFERROR(VLOOKUP(A1318,已除帳印單!B:E,4,0),"")</f>
        <v/>
      </c>
      <c r="X1318" s="68" t="str">
        <f>IFERROR(INDEX(刷條碼區!A:C,MATCH(點上線資訊!S1318,刷條碼區!C:C,0),1),"")</f>
        <v/>
      </c>
      <c r="Y1318" s="69" t="str">
        <f>IFERROR(INDEX(刷條碼區!A:C,MATCH(點上線資訊!S1318,刷條碼區!C:C,0),2),"")</f>
        <v/>
      </c>
      <c r="Z1318" s="70" t="str">
        <f>IFERROR(INDEX(刷條碼區!D:G,MATCH(點上線資訊!S1318,刷條碼區!F:F,0),1),"")</f>
        <v/>
      </c>
      <c r="AA1318" s="71" t="str">
        <f>IFERROR(INDEX(刷條碼區!D:G,MATCH(點上線資訊!S1318,刷條碼區!F:F,0),2),"")</f>
        <v/>
      </c>
      <c r="AB1318" s="20">
        <f t="shared" si="124"/>
        <v>0</v>
      </c>
      <c r="AC1318" s="20" t="b">
        <f t="shared" si="125"/>
        <v>0</v>
      </c>
      <c r="AD1318" s="17" t="b">
        <f t="shared" si="126"/>
        <v>0</v>
      </c>
      <c r="AE1318" s="17" t="b">
        <f t="shared" si="127"/>
        <v>0</v>
      </c>
    </row>
    <row r="1319" spans="17:31" x14ac:dyDescent="0.2">
      <c r="Q1319" s="17">
        <f>IFERROR(VLOOKUP(A1319,已除帳印單!B:C,1,0),0)*1</f>
        <v>0</v>
      </c>
      <c r="R1319" s="67" t="str">
        <f>IFERROR(VLOOKUP(J1319,線別!A:B,2,1),"")</f>
        <v/>
      </c>
      <c r="S1319" s="17" t="str">
        <f>IFERROR(VLOOKUP(A1319,已除帳印單!B:C,2,0),"")</f>
        <v/>
      </c>
      <c r="T1319" s="68" t="e">
        <f t="shared" si="122"/>
        <v>#VALUE!</v>
      </c>
      <c r="U1319" s="69">
        <f t="shared" si="123"/>
        <v>0</v>
      </c>
      <c r="V1319" s="68" t="str">
        <f>IFERROR(VLOOKUP(A1319,已除帳印單!B:D,3,0),"")</f>
        <v/>
      </c>
      <c r="W1319" s="69" t="str">
        <f>IFERROR(VLOOKUP(A1319,已除帳印單!B:E,4,0),"")</f>
        <v/>
      </c>
      <c r="X1319" s="68" t="str">
        <f>IFERROR(INDEX(刷條碼區!A:C,MATCH(點上線資訊!S1319,刷條碼區!C:C,0),1),"")</f>
        <v/>
      </c>
      <c r="Y1319" s="69" t="str">
        <f>IFERROR(INDEX(刷條碼區!A:C,MATCH(點上線資訊!S1319,刷條碼區!C:C,0),2),"")</f>
        <v/>
      </c>
      <c r="Z1319" s="70" t="str">
        <f>IFERROR(INDEX(刷條碼區!D:G,MATCH(點上線資訊!S1319,刷條碼區!F:F,0),1),"")</f>
        <v/>
      </c>
      <c r="AA1319" s="71" t="str">
        <f>IFERROR(INDEX(刷條碼區!D:G,MATCH(點上線資訊!S1319,刷條碼區!F:F,0),2),"")</f>
        <v/>
      </c>
      <c r="AB1319" s="20">
        <f t="shared" si="124"/>
        <v>0</v>
      </c>
      <c r="AC1319" s="20" t="b">
        <f t="shared" si="125"/>
        <v>0</v>
      </c>
      <c r="AD1319" s="17" t="b">
        <f t="shared" si="126"/>
        <v>0</v>
      </c>
      <c r="AE1319" s="17" t="b">
        <f t="shared" si="127"/>
        <v>0</v>
      </c>
    </row>
    <row r="1320" spans="17:31" x14ac:dyDescent="0.2">
      <c r="Q1320" s="17">
        <f>IFERROR(VLOOKUP(A1320,已除帳印單!B:C,1,0),0)*1</f>
        <v>0</v>
      </c>
      <c r="R1320" s="67" t="str">
        <f>IFERROR(VLOOKUP(J1320,線別!A:B,2,1),"")</f>
        <v/>
      </c>
      <c r="S1320" s="17" t="str">
        <f>IFERROR(VLOOKUP(A1320,已除帳印單!B:C,2,0),"")</f>
        <v/>
      </c>
      <c r="T1320" s="68" t="e">
        <f t="shared" si="122"/>
        <v>#VALUE!</v>
      </c>
      <c r="U1320" s="69">
        <f t="shared" si="123"/>
        <v>0</v>
      </c>
      <c r="V1320" s="68" t="str">
        <f>IFERROR(VLOOKUP(A1320,已除帳印單!B:D,3,0),"")</f>
        <v/>
      </c>
      <c r="W1320" s="69" t="str">
        <f>IFERROR(VLOOKUP(A1320,已除帳印單!B:E,4,0),"")</f>
        <v/>
      </c>
      <c r="X1320" s="68" t="str">
        <f>IFERROR(INDEX(刷條碼區!A:C,MATCH(點上線資訊!S1320,刷條碼區!C:C,0),1),"")</f>
        <v/>
      </c>
      <c r="Y1320" s="69" t="str">
        <f>IFERROR(INDEX(刷條碼區!A:C,MATCH(點上線資訊!S1320,刷條碼區!C:C,0),2),"")</f>
        <v/>
      </c>
      <c r="Z1320" s="70" t="str">
        <f>IFERROR(INDEX(刷條碼區!D:G,MATCH(點上線資訊!S1320,刷條碼區!F:F,0),1),"")</f>
        <v/>
      </c>
      <c r="AA1320" s="71" t="str">
        <f>IFERROR(INDEX(刷條碼區!D:G,MATCH(點上線資訊!S1320,刷條碼區!F:F,0),2),"")</f>
        <v/>
      </c>
      <c r="AB1320" s="20">
        <f t="shared" si="124"/>
        <v>0</v>
      </c>
      <c r="AC1320" s="20" t="b">
        <f t="shared" si="125"/>
        <v>0</v>
      </c>
      <c r="AD1320" s="17" t="b">
        <f t="shared" si="126"/>
        <v>0</v>
      </c>
      <c r="AE1320" s="17" t="b">
        <f t="shared" si="127"/>
        <v>0</v>
      </c>
    </row>
    <row r="1321" spans="17:31" x14ac:dyDescent="0.2">
      <c r="Q1321" s="17">
        <f>IFERROR(VLOOKUP(A1321,已除帳印單!B:C,1,0),0)*1</f>
        <v>0</v>
      </c>
      <c r="R1321" s="67" t="str">
        <f>IFERROR(VLOOKUP(J1321,線別!A:B,2,1),"")</f>
        <v/>
      </c>
      <c r="S1321" s="17" t="str">
        <f>IFERROR(VLOOKUP(A1321,已除帳印單!B:C,2,0),"")</f>
        <v/>
      </c>
      <c r="T1321" s="68" t="e">
        <f t="shared" si="122"/>
        <v>#VALUE!</v>
      </c>
      <c r="U1321" s="69">
        <f t="shared" si="123"/>
        <v>0</v>
      </c>
      <c r="V1321" s="68" t="str">
        <f>IFERROR(VLOOKUP(A1321,已除帳印單!B:D,3,0),"")</f>
        <v/>
      </c>
      <c r="W1321" s="69" t="str">
        <f>IFERROR(VLOOKUP(A1321,已除帳印單!B:E,4,0),"")</f>
        <v/>
      </c>
      <c r="X1321" s="68" t="str">
        <f>IFERROR(INDEX(刷條碼區!A:C,MATCH(點上線資訊!S1321,刷條碼區!C:C,0),1),"")</f>
        <v/>
      </c>
      <c r="Y1321" s="69" t="str">
        <f>IFERROR(INDEX(刷條碼區!A:C,MATCH(點上線資訊!S1321,刷條碼區!C:C,0),2),"")</f>
        <v/>
      </c>
      <c r="Z1321" s="70" t="str">
        <f>IFERROR(INDEX(刷條碼區!D:G,MATCH(點上線資訊!S1321,刷條碼區!F:F,0),1),"")</f>
        <v/>
      </c>
      <c r="AA1321" s="71" t="str">
        <f>IFERROR(INDEX(刷條碼區!D:G,MATCH(點上線資訊!S1321,刷條碼區!F:F,0),2),"")</f>
        <v/>
      </c>
      <c r="AB1321" s="20">
        <f t="shared" si="124"/>
        <v>0</v>
      </c>
      <c r="AC1321" s="20" t="b">
        <f t="shared" si="125"/>
        <v>0</v>
      </c>
      <c r="AD1321" s="17" t="b">
        <f t="shared" si="126"/>
        <v>0</v>
      </c>
      <c r="AE1321" s="17" t="b">
        <f t="shared" si="127"/>
        <v>0</v>
      </c>
    </row>
    <row r="1322" spans="17:31" x14ac:dyDescent="0.2">
      <c r="Q1322" s="17">
        <f>IFERROR(VLOOKUP(A1322,已除帳印單!B:C,1,0),0)*1</f>
        <v>0</v>
      </c>
      <c r="R1322" s="67" t="str">
        <f>IFERROR(VLOOKUP(J1322,線別!A:B,2,1),"")</f>
        <v/>
      </c>
      <c r="S1322" s="17" t="str">
        <f>IFERROR(VLOOKUP(A1322,已除帳印單!B:C,2,0),"")</f>
        <v/>
      </c>
      <c r="T1322" s="68" t="e">
        <f t="shared" si="122"/>
        <v>#VALUE!</v>
      </c>
      <c r="U1322" s="69">
        <f t="shared" si="123"/>
        <v>0</v>
      </c>
      <c r="V1322" s="68" t="str">
        <f>IFERROR(VLOOKUP(A1322,已除帳印單!B:D,3,0),"")</f>
        <v/>
      </c>
      <c r="W1322" s="69" t="str">
        <f>IFERROR(VLOOKUP(A1322,已除帳印單!B:E,4,0),"")</f>
        <v/>
      </c>
      <c r="X1322" s="68" t="str">
        <f>IFERROR(INDEX(刷條碼區!A:C,MATCH(點上線資訊!S1322,刷條碼區!C:C,0),1),"")</f>
        <v/>
      </c>
      <c r="Y1322" s="69" t="str">
        <f>IFERROR(INDEX(刷條碼區!A:C,MATCH(點上線資訊!S1322,刷條碼區!C:C,0),2),"")</f>
        <v/>
      </c>
      <c r="Z1322" s="70" t="str">
        <f>IFERROR(INDEX(刷條碼區!D:G,MATCH(點上線資訊!S1322,刷條碼區!F:F,0),1),"")</f>
        <v/>
      </c>
      <c r="AA1322" s="71" t="str">
        <f>IFERROR(INDEX(刷條碼區!D:G,MATCH(點上線資訊!S1322,刷條碼區!F:F,0),2),"")</f>
        <v/>
      </c>
      <c r="AB1322" s="20">
        <f t="shared" si="124"/>
        <v>0</v>
      </c>
      <c r="AC1322" s="20" t="b">
        <f t="shared" si="125"/>
        <v>0</v>
      </c>
      <c r="AD1322" s="17" t="b">
        <f t="shared" si="126"/>
        <v>0</v>
      </c>
      <c r="AE1322" s="17" t="b">
        <f t="shared" si="127"/>
        <v>0</v>
      </c>
    </row>
    <row r="1323" spans="17:31" x14ac:dyDescent="0.2">
      <c r="Q1323" s="17">
        <f>IFERROR(VLOOKUP(A1323,已除帳印單!B:C,1,0),0)*1</f>
        <v>0</v>
      </c>
      <c r="R1323" s="67" t="str">
        <f>IFERROR(VLOOKUP(J1323,線別!A:B,2,1),"")</f>
        <v/>
      </c>
      <c r="S1323" s="17" t="str">
        <f>IFERROR(VLOOKUP(A1323,已除帳印單!B:C,2,0),"")</f>
        <v/>
      </c>
      <c r="T1323" s="68" t="e">
        <f t="shared" si="122"/>
        <v>#VALUE!</v>
      </c>
      <c r="U1323" s="69">
        <f t="shared" si="123"/>
        <v>0</v>
      </c>
      <c r="V1323" s="68" t="str">
        <f>IFERROR(VLOOKUP(A1323,已除帳印單!B:D,3,0),"")</f>
        <v/>
      </c>
      <c r="W1323" s="69" t="str">
        <f>IFERROR(VLOOKUP(A1323,已除帳印單!B:E,4,0),"")</f>
        <v/>
      </c>
      <c r="X1323" s="68" t="str">
        <f>IFERROR(INDEX(刷條碼區!A:C,MATCH(點上線資訊!S1323,刷條碼區!C:C,0),1),"")</f>
        <v/>
      </c>
      <c r="Y1323" s="69" t="str">
        <f>IFERROR(INDEX(刷條碼區!A:C,MATCH(點上線資訊!S1323,刷條碼區!C:C,0),2),"")</f>
        <v/>
      </c>
      <c r="Z1323" s="70" t="str">
        <f>IFERROR(INDEX(刷條碼區!D:G,MATCH(點上線資訊!S1323,刷條碼區!F:F,0),1),"")</f>
        <v/>
      </c>
      <c r="AA1323" s="71" t="str">
        <f>IFERROR(INDEX(刷條碼區!D:G,MATCH(點上線資訊!S1323,刷條碼區!F:F,0),2),"")</f>
        <v/>
      </c>
      <c r="AB1323" s="20">
        <f t="shared" si="124"/>
        <v>0</v>
      </c>
      <c r="AC1323" s="20" t="b">
        <f t="shared" si="125"/>
        <v>0</v>
      </c>
      <c r="AD1323" s="17" t="b">
        <f t="shared" si="126"/>
        <v>0</v>
      </c>
      <c r="AE1323" s="17" t="b">
        <f t="shared" si="127"/>
        <v>0</v>
      </c>
    </row>
    <row r="1324" spans="17:31" x14ac:dyDescent="0.2">
      <c r="Q1324" s="17">
        <f>IFERROR(VLOOKUP(A1324,已除帳印單!B:C,1,0),0)*1</f>
        <v>0</v>
      </c>
      <c r="R1324" s="67" t="str">
        <f>IFERROR(VLOOKUP(J1324,線別!A:B,2,1),"")</f>
        <v/>
      </c>
      <c r="S1324" s="17" t="str">
        <f>IFERROR(VLOOKUP(A1324,已除帳印單!B:C,2,0),"")</f>
        <v/>
      </c>
      <c r="T1324" s="68" t="e">
        <f t="shared" si="122"/>
        <v>#VALUE!</v>
      </c>
      <c r="U1324" s="69">
        <f t="shared" si="123"/>
        <v>0</v>
      </c>
      <c r="V1324" s="68" t="str">
        <f>IFERROR(VLOOKUP(A1324,已除帳印單!B:D,3,0),"")</f>
        <v/>
      </c>
      <c r="W1324" s="69" t="str">
        <f>IFERROR(VLOOKUP(A1324,已除帳印單!B:E,4,0),"")</f>
        <v/>
      </c>
      <c r="X1324" s="68" t="str">
        <f>IFERROR(INDEX(刷條碼區!A:C,MATCH(點上線資訊!S1324,刷條碼區!C:C,0),1),"")</f>
        <v/>
      </c>
      <c r="Y1324" s="69" t="str">
        <f>IFERROR(INDEX(刷條碼區!A:C,MATCH(點上線資訊!S1324,刷條碼區!C:C,0),2),"")</f>
        <v/>
      </c>
      <c r="Z1324" s="70" t="str">
        <f>IFERROR(INDEX(刷條碼區!D:G,MATCH(點上線資訊!S1324,刷條碼區!F:F,0),1),"")</f>
        <v/>
      </c>
      <c r="AA1324" s="71" t="str">
        <f>IFERROR(INDEX(刷條碼區!D:G,MATCH(點上線資訊!S1324,刷條碼區!F:F,0),2),"")</f>
        <v/>
      </c>
      <c r="AB1324" s="20">
        <f t="shared" si="124"/>
        <v>0</v>
      </c>
      <c r="AC1324" s="20" t="b">
        <f t="shared" si="125"/>
        <v>0</v>
      </c>
      <c r="AD1324" s="17" t="b">
        <f t="shared" si="126"/>
        <v>0</v>
      </c>
      <c r="AE1324" s="17" t="b">
        <f t="shared" si="127"/>
        <v>0</v>
      </c>
    </row>
    <row r="1325" spans="17:31" x14ac:dyDescent="0.2">
      <c r="Q1325" s="17">
        <f>IFERROR(VLOOKUP(A1325,已除帳印單!B:C,1,0),0)*1</f>
        <v>0</v>
      </c>
      <c r="R1325" s="67" t="str">
        <f>IFERROR(VLOOKUP(J1325,線別!A:B,2,1),"")</f>
        <v/>
      </c>
      <c r="S1325" s="17" t="str">
        <f>IFERROR(VLOOKUP(A1325,已除帳印單!B:C,2,0),"")</f>
        <v/>
      </c>
      <c r="T1325" s="68" t="e">
        <f t="shared" si="122"/>
        <v>#VALUE!</v>
      </c>
      <c r="U1325" s="69">
        <f t="shared" si="123"/>
        <v>0</v>
      </c>
      <c r="V1325" s="68" t="str">
        <f>IFERROR(VLOOKUP(A1325,已除帳印單!B:D,3,0),"")</f>
        <v/>
      </c>
      <c r="W1325" s="69" t="str">
        <f>IFERROR(VLOOKUP(A1325,已除帳印單!B:E,4,0),"")</f>
        <v/>
      </c>
      <c r="X1325" s="68" t="str">
        <f>IFERROR(INDEX(刷條碼區!A:C,MATCH(點上線資訊!S1325,刷條碼區!C:C,0),1),"")</f>
        <v/>
      </c>
      <c r="Y1325" s="69" t="str">
        <f>IFERROR(INDEX(刷條碼區!A:C,MATCH(點上線資訊!S1325,刷條碼區!C:C,0),2),"")</f>
        <v/>
      </c>
      <c r="Z1325" s="70" t="str">
        <f>IFERROR(INDEX(刷條碼區!D:G,MATCH(點上線資訊!S1325,刷條碼區!F:F,0),1),"")</f>
        <v/>
      </c>
      <c r="AA1325" s="71" t="str">
        <f>IFERROR(INDEX(刷條碼區!D:G,MATCH(點上線資訊!S1325,刷條碼區!F:F,0),2),"")</f>
        <v/>
      </c>
      <c r="AB1325" s="20">
        <f t="shared" si="124"/>
        <v>0</v>
      </c>
      <c r="AC1325" s="20" t="b">
        <f t="shared" si="125"/>
        <v>0</v>
      </c>
      <c r="AD1325" s="17" t="b">
        <f t="shared" si="126"/>
        <v>0</v>
      </c>
      <c r="AE1325" s="17" t="b">
        <f t="shared" si="127"/>
        <v>0</v>
      </c>
    </row>
    <row r="1326" spans="17:31" x14ac:dyDescent="0.2">
      <c r="Q1326" s="17">
        <f>IFERROR(VLOOKUP(A1326,已除帳印單!B:C,1,0),0)*1</f>
        <v>0</v>
      </c>
      <c r="R1326" s="67" t="str">
        <f>IFERROR(VLOOKUP(J1326,線別!A:B,2,1),"")</f>
        <v/>
      </c>
      <c r="S1326" s="17" t="str">
        <f>IFERROR(VLOOKUP(A1326,已除帳印單!B:C,2,0),"")</f>
        <v/>
      </c>
      <c r="T1326" s="68" t="e">
        <f t="shared" si="122"/>
        <v>#VALUE!</v>
      </c>
      <c r="U1326" s="69">
        <f t="shared" si="123"/>
        <v>0</v>
      </c>
      <c r="V1326" s="68" t="str">
        <f>IFERROR(VLOOKUP(A1326,已除帳印單!B:D,3,0),"")</f>
        <v/>
      </c>
      <c r="W1326" s="69" t="str">
        <f>IFERROR(VLOOKUP(A1326,已除帳印單!B:E,4,0),"")</f>
        <v/>
      </c>
      <c r="X1326" s="68" t="str">
        <f>IFERROR(INDEX(刷條碼區!A:C,MATCH(點上線資訊!S1326,刷條碼區!C:C,0),1),"")</f>
        <v/>
      </c>
      <c r="Y1326" s="69" t="str">
        <f>IFERROR(INDEX(刷條碼區!A:C,MATCH(點上線資訊!S1326,刷條碼區!C:C,0),2),"")</f>
        <v/>
      </c>
      <c r="Z1326" s="70" t="str">
        <f>IFERROR(INDEX(刷條碼區!D:G,MATCH(點上線資訊!S1326,刷條碼區!F:F,0),1),"")</f>
        <v/>
      </c>
      <c r="AA1326" s="71" t="str">
        <f>IFERROR(INDEX(刷條碼區!D:G,MATCH(點上線資訊!S1326,刷條碼區!F:F,0),2),"")</f>
        <v/>
      </c>
      <c r="AB1326" s="20">
        <f t="shared" si="124"/>
        <v>0</v>
      </c>
      <c r="AC1326" s="20" t="b">
        <f t="shared" si="125"/>
        <v>0</v>
      </c>
      <c r="AD1326" s="17" t="b">
        <f t="shared" si="126"/>
        <v>0</v>
      </c>
      <c r="AE1326" s="17" t="b">
        <f t="shared" si="127"/>
        <v>0</v>
      </c>
    </row>
    <row r="1327" spans="17:31" x14ac:dyDescent="0.2">
      <c r="Q1327" s="17">
        <f>IFERROR(VLOOKUP(A1327,已除帳印單!B:C,1,0),0)*1</f>
        <v>0</v>
      </c>
      <c r="R1327" s="67" t="str">
        <f>IFERROR(VLOOKUP(J1327,線別!A:B,2,1),"")</f>
        <v/>
      </c>
      <c r="S1327" s="17" t="str">
        <f>IFERROR(VLOOKUP(A1327,已除帳印單!B:C,2,0),"")</f>
        <v/>
      </c>
      <c r="T1327" s="68" t="e">
        <f t="shared" si="122"/>
        <v>#VALUE!</v>
      </c>
      <c r="U1327" s="69">
        <f t="shared" si="123"/>
        <v>0</v>
      </c>
      <c r="V1327" s="68" t="str">
        <f>IFERROR(VLOOKUP(A1327,已除帳印單!B:D,3,0),"")</f>
        <v/>
      </c>
      <c r="W1327" s="69" t="str">
        <f>IFERROR(VLOOKUP(A1327,已除帳印單!B:E,4,0),"")</f>
        <v/>
      </c>
      <c r="X1327" s="68" t="str">
        <f>IFERROR(INDEX(刷條碼區!A:C,MATCH(點上線資訊!S1327,刷條碼區!C:C,0),1),"")</f>
        <v/>
      </c>
      <c r="Y1327" s="69" t="str">
        <f>IFERROR(INDEX(刷條碼區!A:C,MATCH(點上線資訊!S1327,刷條碼區!C:C,0),2),"")</f>
        <v/>
      </c>
      <c r="Z1327" s="70" t="str">
        <f>IFERROR(INDEX(刷條碼區!D:G,MATCH(點上線資訊!S1327,刷條碼區!F:F,0),1),"")</f>
        <v/>
      </c>
      <c r="AA1327" s="71" t="str">
        <f>IFERROR(INDEX(刷條碼區!D:G,MATCH(點上線資訊!S1327,刷條碼區!F:F,0),2),"")</f>
        <v/>
      </c>
      <c r="AB1327" s="20">
        <f t="shared" si="124"/>
        <v>0</v>
      </c>
      <c r="AC1327" s="20" t="b">
        <f t="shared" si="125"/>
        <v>0</v>
      </c>
      <c r="AD1327" s="17" t="b">
        <f t="shared" si="126"/>
        <v>0</v>
      </c>
      <c r="AE1327" s="17" t="b">
        <f t="shared" si="127"/>
        <v>0</v>
      </c>
    </row>
    <row r="1328" spans="17:31" x14ac:dyDescent="0.2">
      <c r="Q1328" s="17">
        <f>IFERROR(VLOOKUP(A1328,已除帳印單!B:C,1,0),0)*1</f>
        <v>0</v>
      </c>
      <c r="R1328" s="67" t="str">
        <f>IFERROR(VLOOKUP(J1328,線別!A:B,2,1),"")</f>
        <v/>
      </c>
      <c r="S1328" s="17" t="str">
        <f>IFERROR(VLOOKUP(A1328,已除帳印單!B:C,2,0),"")</f>
        <v/>
      </c>
      <c r="T1328" s="68" t="e">
        <f t="shared" si="122"/>
        <v>#VALUE!</v>
      </c>
      <c r="U1328" s="69">
        <f t="shared" si="123"/>
        <v>0</v>
      </c>
      <c r="V1328" s="68" t="str">
        <f>IFERROR(VLOOKUP(A1328,已除帳印單!B:D,3,0),"")</f>
        <v/>
      </c>
      <c r="W1328" s="69" t="str">
        <f>IFERROR(VLOOKUP(A1328,已除帳印單!B:E,4,0),"")</f>
        <v/>
      </c>
      <c r="X1328" s="68" t="str">
        <f>IFERROR(INDEX(刷條碼區!A:C,MATCH(點上線資訊!S1328,刷條碼區!C:C,0),1),"")</f>
        <v/>
      </c>
      <c r="Y1328" s="69" t="str">
        <f>IFERROR(INDEX(刷條碼區!A:C,MATCH(點上線資訊!S1328,刷條碼區!C:C,0),2),"")</f>
        <v/>
      </c>
      <c r="Z1328" s="70" t="str">
        <f>IFERROR(INDEX(刷條碼區!D:G,MATCH(點上線資訊!S1328,刷條碼區!F:F,0),1),"")</f>
        <v/>
      </c>
      <c r="AA1328" s="71" t="str">
        <f>IFERROR(INDEX(刷條碼區!D:G,MATCH(點上線資訊!S1328,刷條碼區!F:F,0),2),"")</f>
        <v/>
      </c>
      <c r="AB1328" s="20">
        <f t="shared" si="124"/>
        <v>0</v>
      </c>
      <c r="AC1328" s="20" t="b">
        <f t="shared" si="125"/>
        <v>0</v>
      </c>
      <c r="AD1328" s="17" t="b">
        <f t="shared" si="126"/>
        <v>0</v>
      </c>
      <c r="AE1328" s="17" t="b">
        <f t="shared" si="127"/>
        <v>0</v>
      </c>
    </row>
    <row r="1329" spans="17:31" x14ac:dyDescent="0.2">
      <c r="Q1329" s="17">
        <f>IFERROR(VLOOKUP(A1329,已除帳印單!B:C,1,0),0)*1</f>
        <v>0</v>
      </c>
      <c r="R1329" s="67" t="str">
        <f>IFERROR(VLOOKUP(J1329,線別!A:B,2,1),"")</f>
        <v/>
      </c>
      <c r="S1329" s="17" t="str">
        <f>IFERROR(VLOOKUP(A1329,已除帳印單!B:C,2,0),"")</f>
        <v/>
      </c>
      <c r="T1329" s="68" t="e">
        <f t="shared" si="122"/>
        <v>#VALUE!</v>
      </c>
      <c r="U1329" s="69">
        <f t="shared" si="123"/>
        <v>0</v>
      </c>
      <c r="V1329" s="68" t="str">
        <f>IFERROR(VLOOKUP(A1329,已除帳印單!B:D,3,0),"")</f>
        <v/>
      </c>
      <c r="W1329" s="69" t="str">
        <f>IFERROR(VLOOKUP(A1329,已除帳印單!B:E,4,0),"")</f>
        <v/>
      </c>
      <c r="X1329" s="68" t="str">
        <f>IFERROR(INDEX(刷條碼區!A:C,MATCH(點上線資訊!S1329,刷條碼區!C:C,0),1),"")</f>
        <v/>
      </c>
      <c r="Y1329" s="69" t="str">
        <f>IFERROR(INDEX(刷條碼區!A:C,MATCH(點上線資訊!S1329,刷條碼區!C:C,0),2),"")</f>
        <v/>
      </c>
      <c r="Z1329" s="70" t="str">
        <f>IFERROR(INDEX(刷條碼區!D:G,MATCH(點上線資訊!S1329,刷條碼區!F:F,0),1),"")</f>
        <v/>
      </c>
      <c r="AA1329" s="71" t="str">
        <f>IFERROR(INDEX(刷條碼區!D:G,MATCH(點上線資訊!S1329,刷條碼區!F:F,0),2),"")</f>
        <v/>
      </c>
      <c r="AB1329" s="20">
        <f t="shared" si="124"/>
        <v>0</v>
      </c>
      <c r="AC1329" s="20" t="b">
        <f t="shared" si="125"/>
        <v>0</v>
      </c>
      <c r="AD1329" s="17" t="b">
        <f t="shared" si="126"/>
        <v>0</v>
      </c>
      <c r="AE1329" s="17" t="b">
        <f t="shared" si="127"/>
        <v>0</v>
      </c>
    </row>
    <row r="1330" spans="17:31" x14ac:dyDescent="0.2">
      <c r="Q1330" s="17">
        <f>IFERROR(VLOOKUP(A1330,已除帳印單!B:C,1,0),0)*1</f>
        <v>0</v>
      </c>
      <c r="R1330" s="67" t="str">
        <f>IFERROR(VLOOKUP(J1330,線別!A:B,2,1),"")</f>
        <v/>
      </c>
      <c r="S1330" s="17" t="str">
        <f>IFERROR(VLOOKUP(A1330,已除帳印單!B:C,2,0),"")</f>
        <v/>
      </c>
      <c r="T1330" s="68" t="e">
        <f t="shared" si="122"/>
        <v>#VALUE!</v>
      </c>
      <c r="U1330" s="69">
        <f t="shared" si="123"/>
        <v>0</v>
      </c>
      <c r="V1330" s="68" t="str">
        <f>IFERROR(VLOOKUP(A1330,已除帳印單!B:D,3,0),"")</f>
        <v/>
      </c>
      <c r="W1330" s="69" t="str">
        <f>IFERROR(VLOOKUP(A1330,已除帳印單!B:E,4,0),"")</f>
        <v/>
      </c>
      <c r="X1330" s="68" t="str">
        <f>IFERROR(INDEX(刷條碼區!A:C,MATCH(點上線資訊!S1330,刷條碼區!C:C,0),1),"")</f>
        <v/>
      </c>
      <c r="Y1330" s="69" t="str">
        <f>IFERROR(INDEX(刷條碼區!A:C,MATCH(點上線資訊!S1330,刷條碼區!C:C,0),2),"")</f>
        <v/>
      </c>
      <c r="Z1330" s="70" t="str">
        <f>IFERROR(INDEX(刷條碼區!D:G,MATCH(點上線資訊!S1330,刷條碼區!F:F,0),1),"")</f>
        <v/>
      </c>
      <c r="AA1330" s="71" t="str">
        <f>IFERROR(INDEX(刷條碼區!D:G,MATCH(點上線資訊!S1330,刷條碼區!F:F,0),2),"")</f>
        <v/>
      </c>
      <c r="AB1330" s="20">
        <f t="shared" si="124"/>
        <v>0</v>
      </c>
      <c r="AC1330" s="20" t="b">
        <f t="shared" si="125"/>
        <v>0</v>
      </c>
      <c r="AD1330" s="17" t="b">
        <f t="shared" si="126"/>
        <v>0</v>
      </c>
      <c r="AE1330" s="17" t="b">
        <f t="shared" si="127"/>
        <v>0</v>
      </c>
    </row>
    <row r="1331" spans="17:31" x14ac:dyDescent="0.2">
      <c r="Q1331" s="17">
        <f>IFERROR(VLOOKUP(A1331,已除帳印單!B:C,1,0),0)*1</f>
        <v>0</v>
      </c>
      <c r="R1331" s="67" t="str">
        <f>IFERROR(VLOOKUP(J1331,線別!A:B,2,1),"")</f>
        <v/>
      </c>
      <c r="S1331" s="17" t="str">
        <f>IFERROR(VLOOKUP(A1331,已除帳印單!B:C,2,0),"")</f>
        <v/>
      </c>
      <c r="T1331" s="68" t="e">
        <f t="shared" si="122"/>
        <v>#VALUE!</v>
      </c>
      <c r="U1331" s="69">
        <f t="shared" si="123"/>
        <v>0</v>
      </c>
      <c r="V1331" s="68" t="str">
        <f>IFERROR(VLOOKUP(A1331,已除帳印單!B:D,3,0),"")</f>
        <v/>
      </c>
      <c r="W1331" s="69" t="str">
        <f>IFERROR(VLOOKUP(A1331,已除帳印單!B:E,4,0),"")</f>
        <v/>
      </c>
      <c r="X1331" s="68" t="str">
        <f>IFERROR(INDEX(刷條碼區!A:C,MATCH(點上線資訊!S1331,刷條碼區!C:C,0),1),"")</f>
        <v/>
      </c>
      <c r="Y1331" s="69" t="str">
        <f>IFERROR(INDEX(刷條碼區!A:C,MATCH(點上線資訊!S1331,刷條碼區!C:C,0),2),"")</f>
        <v/>
      </c>
      <c r="Z1331" s="70" t="str">
        <f>IFERROR(INDEX(刷條碼區!D:G,MATCH(點上線資訊!S1331,刷條碼區!F:F,0),1),"")</f>
        <v/>
      </c>
      <c r="AA1331" s="71" t="str">
        <f>IFERROR(INDEX(刷條碼區!D:G,MATCH(點上線資訊!S1331,刷條碼區!F:F,0),2),"")</f>
        <v/>
      </c>
      <c r="AB1331" s="20">
        <f t="shared" si="124"/>
        <v>0</v>
      </c>
      <c r="AC1331" s="20" t="b">
        <f t="shared" si="125"/>
        <v>0</v>
      </c>
      <c r="AD1331" s="17" t="b">
        <f t="shared" si="126"/>
        <v>0</v>
      </c>
      <c r="AE1331" s="17" t="b">
        <f t="shared" si="127"/>
        <v>0</v>
      </c>
    </row>
    <row r="1332" spans="17:31" x14ac:dyDescent="0.2">
      <c r="Q1332" s="17">
        <f>IFERROR(VLOOKUP(A1332,已除帳印單!B:C,1,0),0)*1</f>
        <v>0</v>
      </c>
      <c r="R1332" s="67" t="str">
        <f>IFERROR(VLOOKUP(J1332,線別!A:B,2,1),"")</f>
        <v/>
      </c>
      <c r="S1332" s="17" t="str">
        <f>IFERROR(VLOOKUP(A1332,已除帳印單!B:C,2,0),"")</f>
        <v/>
      </c>
      <c r="T1332" s="68" t="e">
        <f t="shared" si="122"/>
        <v>#VALUE!</v>
      </c>
      <c r="U1332" s="69">
        <f t="shared" si="123"/>
        <v>0</v>
      </c>
      <c r="V1332" s="68" t="str">
        <f>IFERROR(VLOOKUP(A1332,已除帳印單!B:D,3,0),"")</f>
        <v/>
      </c>
      <c r="W1332" s="69" t="str">
        <f>IFERROR(VLOOKUP(A1332,已除帳印單!B:E,4,0),"")</f>
        <v/>
      </c>
      <c r="X1332" s="68" t="str">
        <f>IFERROR(INDEX(刷條碼區!A:C,MATCH(點上線資訊!S1332,刷條碼區!C:C,0),1),"")</f>
        <v/>
      </c>
      <c r="Y1332" s="69" t="str">
        <f>IFERROR(INDEX(刷條碼區!A:C,MATCH(點上線資訊!S1332,刷條碼區!C:C,0),2),"")</f>
        <v/>
      </c>
      <c r="Z1332" s="70" t="str">
        <f>IFERROR(INDEX(刷條碼區!D:G,MATCH(點上線資訊!S1332,刷條碼區!F:F,0),1),"")</f>
        <v/>
      </c>
      <c r="AA1332" s="71" t="str">
        <f>IFERROR(INDEX(刷條碼區!D:G,MATCH(點上線資訊!S1332,刷條碼區!F:F,0),2),"")</f>
        <v/>
      </c>
      <c r="AB1332" s="20">
        <f t="shared" si="124"/>
        <v>0</v>
      </c>
      <c r="AC1332" s="20" t="b">
        <f t="shared" si="125"/>
        <v>0</v>
      </c>
      <c r="AD1332" s="17" t="b">
        <f t="shared" si="126"/>
        <v>0</v>
      </c>
      <c r="AE1332" s="17" t="b">
        <f t="shared" si="127"/>
        <v>0</v>
      </c>
    </row>
    <row r="1333" spans="17:31" x14ac:dyDescent="0.2">
      <c r="Q1333" s="17">
        <f>IFERROR(VLOOKUP(A1333,已除帳印單!B:C,1,0),0)*1</f>
        <v>0</v>
      </c>
      <c r="R1333" s="67" t="str">
        <f>IFERROR(VLOOKUP(J1333,線別!A:B,2,1),"")</f>
        <v/>
      </c>
      <c r="S1333" s="17" t="str">
        <f>IFERROR(VLOOKUP(A1333,已除帳印單!B:C,2,0),"")</f>
        <v/>
      </c>
      <c r="T1333" s="68" t="e">
        <f t="shared" ref="T1333:T1396" si="128">--TEXT(B1333,"0000-00-00")</f>
        <v>#VALUE!</v>
      </c>
      <c r="U1333" s="69">
        <f t="shared" ref="U1333:U1396" si="129">--TEXT(C1333,"00\:00\:00")</f>
        <v>0</v>
      </c>
      <c r="V1333" s="68" t="str">
        <f>IFERROR(VLOOKUP(A1333,已除帳印單!B:D,3,0),"")</f>
        <v/>
      </c>
      <c r="W1333" s="69" t="str">
        <f>IFERROR(VLOOKUP(A1333,已除帳印單!B:E,4,0),"")</f>
        <v/>
      </c>
      <c r="X1333" s="68" t="str">
        <f>IFERROR(INDEX(刷條碼區!A:C,MATCH(點上線資訊!S1333,刷條碼區!C:C,0),1),"")</f>
        <v/>
      </c>
      <c r="Y1333" s="69" t="str">
        <f>IFERROR(INDEX(刷條碼區!A:C,MATCH(點上線資訊!S1333,刷條碼區!C:C,0),2),"")</f>
        <v/>
      </c>
      <c r="Z1333" s="70" t="str">
        <f>IFERROR(INDEX(刷條碼區!D:G,MATCH(點上線資訊!S1333,刷條碼區!F:F,0),1),"")</f>
        <v/>
      </c>
      <c r="AA1333" s="71" t="str">
        <f>IFERROR(INDEX(刷條碼區!D:G,MATCH(點上線資訊!S1333,刷條碼區!F:F,0),2),"")</f>
        <v/>
      </c>
      <c r="AB1333" s="20">
        <f t="shared" ref="AB1333:AB1396" si="130">IF(K1333&amp;N1333="",G1333)</f>
        <v>0</v>
      </c>
      <c r="AC1333" s="20" t="b">
        <f t="shared" ref="AC1333:AC1396" si="131">IF(S1333&lt;&gt;"",G1333)</f>
        <v>0</v>
      </c>
      <c r="AD1333" s="17" t="b">
        <f t="shared" ref="AD1333:AD1396" si="132">IF(X1333&lt;&gt;"",G1333)</f>
        <v>0</v>
      </c>
      <c r="AE1333" s="17" t="b">
        <f t="shared" ref="AE1333:AE1396" si="133">IF(Z1333&lt;&gt;"",G1333)</f>
        <v>0</v>
      </c>
    </row>
    <row r="1334" spans="17:31" x14ac:dyDescent="0.2">
      <c r="Q1334" s="17">
        <f>IFERROR(VLOOKUP(A1334,已除帳印單!B:C,1,0),0)*1</f>
        <v>0</v>
      </c>
      <c r="R1334" s="67" t="str">
        <f>IFERROR(VLOOKUP(J1334,線別!A:B,2,1),"")</f>
        <v/>
      </c>
      <c r="S1334" s="17" t="str">
        <f>IFERROR(VLOOKUP(A1334,已除帳印單!B:C,2,0),"")</f>
        <v/>
      </c>
      <c r="T1334" s="68" t="e">
        <f t="shared" si="128"/>
        <v>#VALUE!</v>
      </c>
      <c r="U1334" s="69">
        <f t="shared" si="129"/>
        <v>0</v>
      </c>
      <c r="V1334" s="68" t="str">
        <f>IFERROR(VLOOKUP(A1334,已除帳印單!B:D,3,0),"")</f>
        <v/>
      </c>
      <c r="W1334" s="69" t="str">
        <f>IFERROR(VLOOKUP(A1334,已除帳印單!B:E,4,0),"")</f>
        <v/>
      </c>
      <c r="X1334" s="68" t="str">
        <f>IFERROR(INDEX(刷條碼區!A:C,MATCH(點上線資訊!S1334,刷條碼區!C:C,0),1),"")</f>
        <v/>
      </c>
      <c r="Y1334" s="69" t="str">
        <f>IFERROR(INDEX(刷條碼區!A:C,MATCH(點上線資訊!S1334,刷條碼區!C:C,0),2),"")</f>
        <v/>
      </c>
      <c r="Z1334" s="70" t="str">
        <f>IFERROR(INDEX(刷條碼區!D:G,MATCH(點上線資訊!S1334,刷條碼區!F:F,0),1),"")</f>
        <v/>
      </c>
      <c r="AA1334" s="71" t="str">
        <f>IFERROR(INDEX(刷條碼區!D:G,MATCH(點上線資訊!S1334,刷條碼區!F:F,0),2),"")</f>
        <v/>
      </c>
      <c r="AB1334" s="20">
        <f t="shared" si="130"/>
        <v>0</v>
      </c>
      <c r="AC1334" s="20" t="b">
        <f t="shared" si="131"/>
        <v>0</v>
      </c>
      <c r="AD1334" s="17" t="b">
        <f t="shared" si="132"/>
        <v>0</v>
      </c>
      <c r="AE1334" s="17" t="b">
        <f t="shared" si="133"/>
        <v>0</v>
      </c>
    </row>
    <row r="1335" spans="17:31" x14ac:dyDescent="0.2">
      <c r="Q1335" s="17">
        <f>IFERROR(VLOOKUP(A1335,已除帳印單!B:C,1,0),0)*1</f>
        <v>0</v>
      </c>
      <c r="R1335" s="67" t="str">
        <f>IFERROR(VLOOKUP(J1335,線別!A:B,2,1),"")</f>
        <v/>
      </c>
      <c r="S1335" s="17" t="str">
        <f>IFERROR(VLOOKUP(A1335,已除帳印單!B:C,2,0),"")</f>
        <v/>
      </c>
      <c r="T1335" s="68" t="e">
        <f t="shared" si="128"/>
        <v>#VALUE!</v>
      </c>
      <c r="U1335" s="69">
        <f t="shared" si="129"/>
        <v>0</v>
      </c>
      <c r="V1335" s="68" t="str">
        <f>IFERROR(VLOOKUP(A1335,已除帳印單!B:D,3,0),"")</f>
        <v/>
      </c>
      <c r="W1335" s="69" t="str">
        <f>IFERROR(VLOOKUP(A1335,已除帳印單!B:E,4,0),"")</f>
        <v/>
      </c>
      <c r="X1335" s="68" t="str">
        <f>IFERROR(INDEX(刷條碼區!A:C,MATCH(點上線資訊!S1335,刷條碼區!C:C,0),1),"")</f>
        <v/>
      </c>
      <c r="Y1335" s="69" t="str">
        <f>IFERROR(INDEX(刷條碼區!A:C,MATCH(點上線資訊!S1335,刷條碼區!C:C,0),2),"")</f>
        <v/>
      </c>
      <c r="Z1335" s="70" t="str">
        <f>IFERROR(INDEX(刷條碼區!D:G,MATCH(點上線資訊!S1335,刷條碼區!F:F,0),1),"")</f>
        <v/>
      </c>
      <c r="AA1335" s="71" t="str">
        <f>IFERROR(INDEX(刷條碼區!D:G,MATCH(點上線資訊!S1335,刷條碼區!F:F,0),2),"")</f>
        <v/>
      </c>
      <c r="AB1335" s="20">
        <f t="shared" si="130"/>
        <v>0</v>
      </c>
      <c r="AC1335" s="20" t="b">
        <f t="shared" si="131"/>
        <v>0</v>
      </c>
      <c r="AD1335" s="17" t="b">
        <f t="shared" si="132"/>
        <v>0</v>
      </c>
      <c r="AE1335" s="17" t="b">
        <f t="shared" si="133"/>
        <v>0</v>
      </c>
    </row>
    <row r="1336" spans="17:31" x14ac:dyDescent="0.2">
      <c r="Q1336" s="17">
        <f>IFERROR(VLOOKUP(A1336,已除帳印單!B:C,1,0),0)*1</f>
        <v>0</v>
      </c>
      <c r="R1336" s="67" t="str">
        <f>IFERROR(VLOOKUP(J1336,線別!A:B,2,1),"")</f>
        <v/>
      </c>
      <c r="S1336" s="17" t="str">
        <f>IFERROR(VLOOKUP(A1336,已除帳印單!B:C,2,0),"")</f>
        <v/>
      </c>
      <c r="T1336" s="68" t="e">
        <f t="shared" si="128"/>
        <v>#VALUE!</v>
      </c>
      <c r="U1336" s="69">
        <f t="shared" si="129"/>
        <v>0</v>
      </c>
      <c r="V1336" s="68" t="str">
        <f>IFERROR(VLOOKUP(A1336,已除帳印單!B:D,3,0),"")</f>
        <v/>
      </c>
      <c r="W1336" s="69" t="str">
        <f>IFERROR(VLOOKUP(A1336,已除帳印單!B:E,4,0),"")</f>
        <v/>
      </c>
      <c r="X1336" s="68" t="str">
        <f>IFERROR(INDEX(刷條碼區!A:C,MATCH(點上線資訊!S1336,刷條碼區!C:C,0),1),"")</f>
        <v/>
      </c>
      <c r="Y1336" s="69" t="str">
        <f>IFERROR(INDEX(刷條碼區!A:C,MATCH(點上線資訊!S1336,刷條碼區!C:C,0),2),"")</f>
        <v/>
      </c>
      <c r="Z1336" s="70" t="str">
        <f>IFERROR(INDEX(刷條碼區!D:G,MATCH(點上線資訊!S1336,刷條碼區!F:F,0),1),"")</f>
        <v/>
      </c>
      <c r="AA1336" s="71" t="str">
        <f>IFERROR(INDEX(刷條碼區!D:G,MATCH(點上線資訊!S1336,刷條碼區!F:F,0),2),"")</f>
        <v/>
      </c>
      <c r="AB1336" s="20">
        <f t="shared" si="130"/>
        <v>0</v>
      </c>
      <c r="AC1336" s="20" t="b">
        <f t="shared" si="131"/>
        <v>0</v>
      </c>
      <c r="AD1336" s="17" t="b">
        <f t="shared" si="132"/>
        <v>0</v>
      </c>
      <c r="AE1336" s="17" t="b">
        <f t="shared" si="133"/>
        <v>0</v>
      </c>
    </row>
    <row r="1337" spans="17:31" x14ac:dyDescent="0.2">
      <c r="Q1337" s="17">
        <f>IFERROR(VLOOKUP(A1337,已除帳印單!B:C,1,0),0)*1</f>
        <v>0</v>
      </c>
      <c r="R1337" s="67" t="str">
        <f>IFERROR(VLOOKUP(J1337,線別!A:B,2,1),"")</f>
        <v/>
      </c>
      <c r="S1337" s="17" t="str">
        <f>IFERROR(VLOOKUP(A1337,已除帳印單!B:C,2,0),"")</f>
        <v/>
      </c>
      <c r="T1337" s="68" t="e">
        <f t="shared" si="128"/>
        <v>#VALUE!</v>
      </c>
      <c r="U1337" s="69">
        <f t="shared" si="129"/>
        <v>0</v>
      </c>
      <c r="V1337" s="68" t="str">
        <f>IFERROR(VLOOKUP(A1337,已除帳印單!B:D,3,0),"")</f>
        <v/>
      </c>
      <c r="W1337" s="69" t="str">
        <f>IFERROR(VLOOKUP(A1337,已除帳印單!B:E,4,0),"")</f>
        <v/>
      </c>
      <c r="X1337" s="68" t="str">
        <f>IFERROR(INDEX(刷條碼區!A:C,MATCH(點上線資訊!S1337,刷條碼區!C:C,0),1),"")</f>
        <v/>
      </c>
      <c r="Y1337" s="69" t="str">
        <f>IFERROR(INDEX(刷條碼區!A:C,MATCH(點上線資訊!S1337,刷條碼區!C:C,0),2),"")</f>
        <v/>
      </c>
      <c r="Z1337" s="70" t="str">
        <f>IFERROR(INDEX(刷條碼區!D:G,MATCH(點上線資訊!S1337,刷條碼區!F:F,0),1),"")</f>
        <v/>
      </c>
      <c r="AA1337" s="71" t="str">
        <f>IFERROR(INDEX(刷條碼區!D:G,MATCH(點上線資訊!S1337,刷條碼區!F:F,0),2),"")</f>
        <v/>
      </c>
      <c r="AB1337" s="20">
        <f t="shared" si="130"/>
        <v>0</v>
      </c>
      <c r="AC1337" s="20" t="b">
        <f t="shared" si="131"/>
        <v>0</v>
      </c>
      <c r="AD1337" s="17" t="b">
        <f t="shared" si="132"/>
        <v>0</v>
      </c>
      <c r="AE1337" s="17" t="b">
        <f t="shared" si="133"/>
        <v>0</v>
      </c>
    </row>
    <row r="1338" spans="17:31" x14ac:dyDescent="0.2">
      <c r="Q1338" s="17">
        <f>IFERROR(VLOOKUP(A1338,已除帳印單!B:C,1,0),0)*1</f>
        <v>0</v>
      </c>
      <c r="R1338" s="67" t="str">
        <f>IFERROR(VLOOKUP(J1338,線別!A:B,2,1),"")</f>
        <v/>
      </c>
      <c r="S1338" s="17" t="str">
        <f>IFERROR(VLOOKUP(A1338,已除帳印單!B:C,2,0),"")</f>
        <v/>
      </c>
      <c r="T1338" s="68" t="e">
        <f t="shared" si="128"/>
        <v>#VALUE!</v>
      </c>
      <c r="U1338" s="69">
        <f t="shared" si="129"/>
        <v>0</v>
      </c>
      <c r="V1338" s="68" t="str">
        <f>IFERROR(VLOOKUP(A1338,已除帳印單!B:D,3,0),"")</f>
        <v/>
      </c>
      <c r="W1338" s="69" t="str">
        <f>IFERROR(VLOOKUP(A1338,已除帳印單!B:E,4,0),"")</f>
        <v/>
      </c>
      <c r="X1338" s="68" t="str">
        <f>IFERROR(INDEX(刷條碼區!A:C,MATCH(點上線資訊!S1338,刷條碼區!C:C,0),1),"")</f>
        <v/>
      </c>
      <c r="Y1338" s="69" t="str">
        <f>IFERROR(INDEX(刷條碼區!A:C,MATCH(點上線資訊!S1338,刷條碼區!C:C,0),2),"")</f>
        <v/>
      </c>
      <c r="Z1338" s="70" t="str">
        <f>IFERROR(INDEX(刷條碼區!D:G,MATCH(點上線資訊!S1338,刷條碼區!F:F,0),1),"")</f>
        <v/>
      </c>
      <c r="AA1338" s="71" t="str">
        <f>IFERROR(INDEX(刷條碼區!D:G,MATCH(點上線資訊!S1338,刷條碼區!F:F,0),2),"")</f>
        <v/>
      </c>
      <c r="AB1338" s="20">
        <f t="shared" si="130"/>
        <v>0</v>
      </c>
      <c r="AC1338" s="20" t="b">
        <f t="shared" si="131"/>
        <v>0</v>
      </c>
      <c r="AD1338" s="17" t="b">
        <f t="shared" si="132"/>
        <v>0</v>
      </c>
      <c r="AE1338" s="17" t="b">
        <f t="shared" si="133"/>
        <v>0</v>
      </c>
    </row>
    <row r="1339" spans="17:31" x14ac:dyDescent="0.2">
      <c r="Q1339" s="17">
        <f>IFERROR(VLOOKUP(A1339,已除帳印單!B:C,1,0),0)*1</f>
        <v>0</v>
      </c>
      <c r="R1339" s="67" t="str">
        <f>IFERROR(VLOOKUP(J1339,線別!A:B,2,1),"")</f>
        <v/>
      </c>
      <c r="S1339" s="17" t="str">
        <f>IFERROR(VLOOKUP(A1339,已除帳印單!B:C,2,0),"")</f>
        <v/>
      </c>
      <c r="T1339" s="68" t="e">
        <f t="shared" si="128"/>
        <v>#VALUE!</v>
      </c>
      <c r="U1339" s="69">
        <f t="shared" si="129"/>
        <v>0</v>
      </c>
      <c r="V1339" s="68" t="str">
        <f>IFERROR(VLOOKUP(A1339,已除帳印單!B:D,3,0),"")</f>
        <v/>
      </c>
      <c r="W1339" s="69" t="str">
        <f>IFERROR(VLOOKUP(A1339,已除帳印單!B:E,4,0),"")</f>
        <v/>
      </c>
      <c r="X1339" s="68" t="str">
        <f>IFERROR(INDEX(刷條碼區!A:C,MATCH(點上線資訊!S1339,刷條碼區!C:C,0),1),"")</f>
        <v/>
      </c>
      <c r="Y1339" s="69" t="str">
        <f>IFERROR(INDEX(刷條碼區!A:C,MATCH(點上線資訊!S1339,刷條碼區!C:C,0),2),"")</f>
        <v/>
      </c>
      <c r="Z1339" s="70" t="str">
        <f>IFERROR(INDEX(刷條碼區!D:G,MATCH(點上線資訊!S1339,刷條碼區!F:F,0),1),"")</f>
        <v/>
      </c>
      <c r="AA1339" s="71" t="str">
        <f>IFERROR(INDEX(刷條碼區!D:G,MATCH(點上線資訊!S1339,刷條碼區!F:F,0),2),"")</f>
        <v/>
      </c>
      <c r="AB1339" s="20">
        <f t="shared" si="130"/>
        <v>0</v>
      </c>
      <c r="AC1339" s="20" t="b">
        <f t="shared" si="131"/>
        <v>0</v>
      </c>
      <c r="AD1339" s="17" t="b">
        <f t="shared" si="132"/>
        <v>0</v>
      </c>
      <c r="AE1339" s="17" t="b">
        <f t="shared" si="133"/>
        <v>0</v>
      </c>
    </row>
    <row r="1340" spans="17:31" x14ac:dyDescent="0.2">
      <c r="Q1340" s="17">
        <f>IFERROR(VLOOKUP(A1340,已除帳印單!B:C,1,0),0)*1</f>
        <v>0</v>
      </c>
      <c r="R1340" s="67" t="str">
        <f>IFERROR(VLOOKUP(J1340,線別!A:B,2,1),"")</f>
        <v/>
      </c>
      <c r="S1340" s="17" t="str">
        <f>IFERROR(VLOOKUP(A1340,已除帳印單!B:C,2,0),"")</f>
        <v/>
      </c>
      <c r="T1340" s="68" t="e">
        <f t="shared" si="128"/>
        <v>#VALUE!</v>
      </c>
      <c r="U1340" s="69">
        <f t="shared" si="129"/>
        <v>0</v>
      </c>
      <c r="V1340" s="68" t="str">
        <f>IFERROR(VLOOKUP(A1340,已除帳印單!B:D,3,0),"")</f>
        <v/>
      </c>
      <c r="W1340" s="69" t="str">
        <f>IFERROR(VLOOKUP(A1340,已除帳印單!B:E,4,0),"")</f>
        <v/>
      </c>
      <c r="X1340" s="68" t="str">
        <f>IFERROR(INDEX(刷條碼區!A:C,MATCH(點上線資訊!S1340,刷條碼區!C:C,0),1),"")</f>
        <v/>
      </c>
      <c r="Y1340" s="69" t="str">
        <f>IFERROR(INDEX(刷條碼區!A:C,MATCH(點上線資訊!S1340,刷條碼區!C:C,0),2),"")</f>
        <v/>
      </c>
      <c r="Z1340" s="70" t="str">
        <f>IFERROR(INDEX(刷條碼區!D:G,MATCH(點上線資訊!S1340,刷條碼區!F:F,0),1),"")</f>
        <v/>
      </c>
      <c r="AA1340" s="71" t="str">
        <f>IFERROR(INDEX(刷條碼區!D:G,MATCH(點上線資訊!S1340,刷條碼區!F:F,0),2),"")</f>
        <v/>
      </c>
      <c r="AB1340" s="20">
        <f t="shared" si="130"/>
        <v>0</v>
      </c>
      <c r="AC1340" s="20" t="b">
        <f t="shared" si="131"/>
        <v>0</v>
      </c>
      <c r="AD1340" s="17" t="b">
        <f t="shared" si="132"/>
        <v>0</v>
      </c>
      <c r="AE1340" s="17" t="b">
        <f t="shared" si="133"/>
        <v>0</v>
      </c>
    </row>
    <row r="1341" spans="17:31" x14ac:dyDescent="0.2">
      <c r="Q1341" s="17">
        <f>IFERROR(VLOOKUP(A1341,已除帳印單!B:C,1,0),0)*1</f>
        <v>0</v>
      </c>
      <c r="R1341" s="67" t="str">
        <f>IFERROR(VLOOKUP(J1341,線別!A:B,2,1),"")</f>
        <v/>
      </c>
      <c r="S1341" s="17" t="str">
        <f>IFERROR(VLOOKUP(A1341,已除帳印單!B:C,2,0),"")</f>
        <v/>
      </c>
      <c r="T1341" s="68" t="e">
        <f t="shared" si="128"/>
        <v>#VALUE!</v>
      </c>
      <c r="U1341" s="69">
        <f t="shared" si="129"/>
        <v>0</v>
      </c>
      <c r="V1341" s="68" t="str">
        <f>IFERROR(VLOOKUP(A1341,已除帳印單!B:D,3,0),"")</f>
        <v/>
      </c>
      <c r="W1341" s="69" t="str">
        <f>IFERROR(VLOOKUP(A1341,已除帳印單!B:E,4,0),"")</f>
        <v/>
      </c>
      <c r="X1341" s="68" t="str">
        <f>IFERROR(INDEX(刷條碼區!A:C,MATCH(點上線資訊!S1341,刷條碼區!C:C,0),1),"")</f>
        <v/>
      </c>
      <c r="Y1341" s="69" t="str">
        <f>IFERROR(INDEX(刷條碼區!A:C,MATCH(點上線資訊!S1341,刷條碼區!C:C,0),2),"")</f>
        <v/>
      </c>
      <c r="Z1341" s="70" t="str">
        <f>IFERROR(INDEX(刷條碼區!D:G,MATCH(點上線資訊!S1341,刷條碼區!F:F,0),1),"")</f>
        <v/>
      </c>
      <c r="AA1341" s="71" t="str">
        <f>IFERROR(INDEX(刷條碼區!D:G,MATCH(點上線資訊!S1341,刷條碼區!F:F,0),2),"")</f>
        <v/>
      </c>
      <c r="AB1341" s="20">
        <f t="shared" si="130"/>
        <v>0</v>
      </c>
      <c r="AC1341" s="20" t="b">
        <f t="shared" si="131"/>
        <v>0</v>
      </c>
      <c r="AD1341" s="17" t="b">
        <f t="shared" si="132"/>
        <v>0</v>
      </c>
      <c r="AE1341" s="17" t="b">
        <f t="shared" si="133"/>
        <v>0</v>
      </c>
    </row>
    <row r="1342" spans="17:31" x14ac:dyDescent="0.2">
      <c r="Q1342" s="17">
        <f>IFERROR(VLOOKUP(A1342,已除帳印單!B:C,1,0),0)*1</f>
        <v>0</v>
      </c>
      <c r="R1342" s="67" t="str">
        <f>IFERROR(VLOOKUP(J1342,線別!A:B,2,1),"")</f>
        <v/>
      </c>
      <c r="S1342" s="17" t="str">
        <f>IFERROR(VLOOKUP(A1342,已除帳印單!B:C,2,0),"")</f>
        <v/>
      </c>
      <c r="T1342" s="68" t="e">
        <f t="shared" si="128"/>
        <v>#VALUE!</v>
      </c>
      <c r="U1342" s="69">
        <f t="shared" si="129"/>
        <v>0</v>
      </c>
      <c r="V1342" s="68" t="str">
        <f>IFERROR(VLOOKUP(A1342,已除帳印單!B:D,3,0),"")</f>
        <v/>
      </c>
      <c r="W1342" s="69" t="str">
        <f>IFERROR(VLOOKUP(A1342,已除帳印單!B:E,4,0),"")</f>
        <v/>
      </c>
      <c r="X1342" s="68" t="str">
        <f>IFERROR(INDEX(刷條碼區!A:C,MATCH(點上線資訊!S1342,刷條碼區!C:C,0),1),"")</f>
        <v/>
      </c>
      <c r="Y1342" s="69" t="str">
        <f>IFERROR(INDEX(刷條碼區!A:C,MATCH(點上線資訊!S1342,刷條碼區!C:C,0),2),"")</f>
        <v/>
      </c>
      <c r="Z1342" s="70" t="str">
        <f>IFERROR(INDEX(刷條碼區!D:G,MATCH(點上線資訊!S1342,刷條碼區!F:F,0),1),"")</f>
        <v/>
      </c>
      <c r="AA1342" s="71" t="str">
        <f>IFERROR(INDEX(刷條碼區!D:G,MATCH(點上線資訊!S1342,刷條碼區!F:F,0),2),"")</f>
        <v/>
      </c>
      <c r="AB1342" s="20">
        <f t="shared" si="130"/>
        <v>0</v>
      </c>
      <c r="AC1342" s="20" t="b">
        <f t="shared" si="131"/>
        <v>0</v>
      </c>
      <c r="AD1342" s="17" t="b">
        <f t="shared" si="132"/>
        <v>0</v>
      </c>
      <c r="AE1342" s="17" t="b">
        <f t="shared" si="133"/>
        <v>0</v>
      </c>
    </row>
    <row r="1343" spans="17:31" x14ac:dyDescent="0.2">
      <c r="Q1343" s="17">
        <f>IFERROR(VLOOKUP(A1343,已除帳印單!B:C,1,0),0)*1</f>
        <v>0</v>
      </c>
      <c r="R1343" s="67" t="str">
        <f>IFERROR(VLOOKUP(J1343,線別!A:B,2,1),"")</f>
        <v/>
      </c>
      <c r="S1343" s="17" t="str">
        <f>IFERROR(VLOOKUP(A1343,已除帳印單!B:C,2,0),"")</f>
        <v/>
      </c>
      <c r="T1343" s="68" t="e">
        <f t="shared" si="128"/>
        <v>#VALUE!</v>
      </c>
      <c r="U1343" s="69">
        <f t="shared" si="129"/>
        <v>0</v>
      </c>
      <c r="V1343" s="68" t="str">
        <f>IFERROR(VLOOKUP(A1343,已除帳印單!B:D,3,0),"")</f>
        <v/>
      </c>
      <c r="W1343" s="69" t="str">
        <f>IFERROR(VLOOKUP(A1343,已除帳印單!B:E,4,0),"")</f>
        <v/>
      </c>
      <c r="X1343" s="68" t="str">
        <f>IFERROR(INDEX(刷條碼區!A:C,MATCH(點上線資訊!S1343,刷條碼區!C:C,0),1),"")</f>
        <v/>
      </c>
      <c r="Y1343" s="69" t="str">
        <f>IFERROR(INDEX(刷條碼區!A:C,MATCH(點上線資訊!S1343,刷條碼區!C:C,0),2),"")</f>
        <v/>
      </c>
      <c r="Z1343" s="70" t="str">
        <f>IFERROR(INDEX(刷條碼區!D:G,MATCH(點上線資訊!S1343,刷條碼區!F:F,0),1),"")</f>
        <v/>
      </c>
      <c r="AA1343" s="71" t="str">
        <f>IFERROR(INDEX(刷條碼區!D:G,MATCH(點上線資訊!S1343,刷條碼區!F:F,0),2),"")</f>
        <v/>
      </c>
      <c r="AB1343" s="20">
        <f t="shared" si="130"/>
        <v>0</v>
      </c>
      <c r="AC1343" s="20" t="b">
        <f t="shared" si="131"/>
        <v>0</v>
      </c>
      <c r="AD1343" s="17" t="b">
        <f t="shared" si="132"/>
        <v>0</v>
      </c>
      <c r="AE1343" s="17" t="b">
        <f t="shared" si="133"/>
        <v>0</v>
      </c>
    </row>
    <row r="1344" spans="17:31" x14ac:dyDescent="0.2">
      <c r="Q1344" s="17">
        <f>IFERROR(VLOOKUP(A1344,已除帳印單!B:C,1,0),0)*1</f>
        <v>0</v>
      </c>
      <c r="R1344" s="67" t="str">
        <f>IFERROR(VLOOKUP(J1344,線別!A:B,2,1),"")</f>
        <v/>
      </c>
      <c r="S1344" s="17" t="str">
        <f>IFERROR(VLOOKUP(A1344,已除帳印單!B:C,2,0),"")</f>
        <v/>
      </c>
      <c r="T1344" s="68" t="e">
        <f t="shared" si="128"/>
        <v>#VALUE!</v>
      </c>
      <c r="U1344" s="69">
        <f t="shared" si="129"/>
        <v>0</v>
      </c>
      <c r="V1344" s="68" t="str">
        <f>IFERROR(VLOOKUP(A1344,已除帳印單!B:D,3,0),"")</f>
        <v/>
      </c>
      <c r="W1344" s="69" t="str">
        <f>IFERROR(VLOOKUP(A1344,已除帳印單!B:E,4,0),"")</f>
        <v/>
      </c>
      <c r="X1344" s="68" t="str">
        <f>IFERROR(INDEX(刷條碼區!A:C,MATCH(點上線資訊!S1344,刷條碼區!C:C,0),1),"")</f>
        <v/>
      </c>
      <c r="Y1344" s="69" t="str">
        <f>IFERROR(INDEX(刷條碼區!A:C,MATCH(點上線資訊!S1344,刷條碼區!C:C,0),2),"")</f>
        <v/>
      </c>
      <c r="Z1344" s="70" t="str">
        <f>IFERROR(INDEX(刷條碼區!D:G,MATCH(點上線資訊!S1344,刷條碼區!F:F,0),1),"")</f>
        <v/>
      </c>
      <c r="AA1344" s="71" t="str">
        <f>IFERROR(INDEX(刷條碼區!D:G,MATCH(點上線資訊!S1344,刷條碼區!F:F,0),2),"")</f>
        <v/>
      </c>
      <c r="AB1344" s="20">
        <f t="shared" si="130"/>
        <v>0</v>
      </c>
      <c r="AC1344" s="20" t="b">
        <f t="shared" si="131"/>
        <v>0</v>
      </c>
      <c r="AD1344" s="17" t="b">
        <f t="shared" si="132"/>
        <v>0</v>
      </c>
      <c r="AE1344" s="17" t="b">
        <f t="shared" si="133"/>
        <v>0</v>
      </c>
    </row>
    <row r="1345" spans="17:31" x14ac:dyDescent="0.2">
      <c r="Q1345" s="17">
        <f>IFERROR(VLOOKUP(A1345,已除帳印單!B:C,1,0),0)*1</f>
        <v>0</v>
      </c>
      <c r="R1345" s="67" t="str">
        <f>IFERROR(VLOOKUP(J1345,線別!A:B,2,1),"")</f>
        <v/>
      </c>
      <c r="S1345" s="17" t="str">
        <f>IFERROR(VLOOKUP(A1345,已除帳印單!B:C,2,0),"")</f>
        <v/>
      </c>
      <c r="T1345" s="68" t="e">
        <f t="shared" si="128"/>
        <v>#VALUE!</v>
      </c>
      <c r="U1345" s="69">
        <f t="shared" si="129"/>
        <v>0</v>
      </c>
      <c r="V1345" s="68" t="str">
        <f>IFERROR(VLOOKUP(A1345,已除帳印單!B:D,3,0),"")</f>
        <v/>
      </c>
      <c r="W1345" s="69" t="str">
        <f>IFERROR(VLOOKUP(A1345,已除帳印單!B:E,4,0),"")</f>
        <v/>
      </c>
      <c r="X1345" s="68" t="str">
        <f>IFERROR(INDEX(刷條碼區!A:C,MATCH(點上線資訊!S1345,刷條碼區!C:C,0),1),"")</f>
        <v/>
      </c>
      <c r="Y1345" s="69" t="str">
        <f>IFERROR(INDEX(刷條碼區!A:C,MATCH(點上線資訊!S1345,刷條碼區!C:C,0),2),"")</f>
        <v/>
      </c>
      <c r="Z1345" s="70" t="str">
        <f>IFERROR(INDEX(刷條碼區!D:G,MATCH(點上線資訊!S1345,刷條碼區!F:F,0),1),"")</f>
        <v/>
      </c>
      <c r="AA1345" s="71" t="str">
        <f>IFERROR(INDEX(刷條碼區!D:G,MATCH(點上線資訊!S1345,刷條碼區!F:F,0),2),"")</f>
        <v/>
      </c>
      <c r="AB1345" s="20">
        <f t="shared" si="130"/>
        <v>0</v>
      </c>
      <c r="AC1345" s="20" t="b">
        <f t="shared" si="131"/>
        <v>0</v>
      </c>
      <c r="AD1345" s="17" t="b">
        <f t="shared" si="132"/>
        <v>0</v>
      </c>
      <c r="AE1345" s="17" t="b">
        <f t="shared" si="133"/>
        <v>0</v>
      </c>
    </row>
    <row r="1346" spans="17:31" x14ac:dyDescent="0.2">
      <c r="Q1346" s="17">
        <f>IFERROR(VLOOKUP(A1346,已除帳印單!B:C,1,0),0)*1</f>
        <v>0</v>
      </c>
      <c r="R1346" s="67" t="str">
        <f>IFERROR(VLOOKUP(J1346,線別!A:B,2,1),"")</f>
        <v/>
      </c>
      <c r="S1346" s="17" t="str">
        <f>IFERROR(VLOOKUP(A1346,已除帳印單!B:C,2,0),"")</f>
        <v/>
      </c>
      <c r="T1346" s="68" t="e">
        <f t="shared" si="128"/>
        <v>#VALUE!</v>
      </c>
      <c r="U1346" s="69">
        <f t="shared" si="129"/>
        <v>0</v>
      </c>
      <c r="V1346" s="68" t="str">
        <f>IFERROR(VLOOKUP(A1346,已除帳印單!B:D,3,0),"")</f>
        <v/>
      </c>
      <c r="W1346" s="69" t="str">
        <f>IFERROR(VLOOKUP(A1346,已除帳印單!B:E,4,0),"")</f>
        <v/>
      </c>
      <c r="X1346" s="68" t="str">
        <f>IFERROR(INDEX(刷條碼區!A:C,MATCH(點上線資訊!S1346,刷條碼區!C:C,0),1),"")</f>
        <v/>
      </c>
      <c r="Y1346" s="69" t="str">
        <f>IFERROR(INDEX(刷條碼區!A:C,MATCH(點上線資訊!S1346,刷條碼區!C:C,0),2),"")</f>
        <v/>
      </c>
      <c r="Z1346" s="70" t="str">
        <f>IFERROR(INDEX(刷條碼區!D:G,MATCH(點上線資訊!S1346,刷條碼區!F:F,0),1),"")</f>
        <v/>
      </c>
      <c r="AA1346" s="71" t="str">
        <f>IFERROR(INDEX(刷條碼區!D:G,MATCH(點上線資訊!S1346,刷條碼區!F:F,0),2),"")</f>
        <v/>
      </c>
      <c r="AB1346" s="20">
        <f t="shared" si="130"/>
        <v>0</v>
      </c>
      <c r="AC1346" s="20" t="b">
        <f t="shared" si="131"/>
        <v>0</v>
      </c>
      <c r="AD1346" s="17" t="b">
        <f t="shared" si="132"/>
        <v>0</v>
      </c>
      <c r="AE1346" s="17" t="b">
        <f t="shared" si="133"/>
        <v>0</v>
      </c>
    </row>
    <row r="1347" spans="17:31" x14ac:dyDescent="0.2">
      <c r="Q1347" s="17">
        <f>IFERROR(VLOOKUP(A1347,已除帳印單!B:C,1,0),0)*1</f>
        <v>0</v>
      </c>
      <c r="R1347" s="67" t="str">
        <f>IFERROR(VLOOKUP(J1347,線別!A:B,2,1),"")</f>
        <v/>
      </c>
      <c r="S1347" s="17" t="str">
        <f>IFERROR(VLOOKUP(A1347,已除帳印單!B:C,2,0),"")</f>
        <v/>
      </c>
      <c r="T1347" s="68" t="e">
        <f t="shared" si="128"/>
        <v>#VALUE!</v>
      </c>
      <c r="U1347" s="69">
        <f t="shared" si="129"/>
        <v>0</v>
      </c>
      <c r="V1347" s="68" t="str">
        <f>IFERROR(VLOOKUP(A1347,已除帳印單!B:D,3,0),"")</f>
        <v/>
      </c>
      <c r="W1347" s="69" t="str">
        <f>IFERROR(VLOOKUP(A1347,已除帳印單!B:E,4,0),"")</f>
        <v/>
      </c>
      <c r="X1347" s="68" t="str">
        <f>IFERROR(INDEX(刷條碼區!A:C,MATCH(點上線資訊!S1347,刷條碼區!C:C,0),1),"")</f>
        <v/>
      </c>
      <c r="Y1347" s="69" t="str">
        <f>IFERROR(INDEX(刷條碼區!A:C,MATCH(點上線資訊!S1347,刷條碼區!C:C,0),2),"")</f>
        <v/>
      </c>
      <c r="Z1347" s="70" t="str">
        <f>IFERROR(INDEX(刷條碼區!D:G,MATCH(點上線資訊!S1347,刷條碼區!F:F,0),1),"")</f>
        <v/>
      </c>
      <c r="AA1347" s="71" t="str">
        <f>IFERROR(INDEX(刷條碼區!D:G,MATCH(點上線資訊!S1347,刷條碼區!F:F,0),2),"")</f>
        <v/>
      </c>
      <c r="AB1347" s="20">
        <f t="shared" si="130"/>
        <v>0</v>
      </c>
      <c r="AC1347" s="20" t="b">
        <f t="shared" si="131"/>
        <v>0</v>
      </c>
      <c r="AD1347" s="17" t="b">
        <f t="shared" si="132"/>
        <v>0</v>
      </c>
      <c r="AE1347" s="17" t="b">
        <f t="shared" si="133"/>
        <v>0</v>
      </c>
    </row>
    <row r="1348" spans="17:31" x14ac:dyDescent="0.2">
      <c r="Q1348" s="17">
        <f>IFERROR(VLOOKUP(A1348,已除帳印單!B:C,1,0),0)*1</f>
        <v>0</v>
      </c>
      <c r="R1348" s="67" t="str">
        <f>IFERROR(VLOOKUP(J1348,線別!A:B,2,1),"")</f>
        <v/>
      </c>
      <c r="S1348" s="17" t="str">
        <f>IFERROR(VLOOKUP(A1348,已除帳印單!B:C,2,0),"")</f>
        <v/>
      </c>
      <c r="T1348" s="68" t="e">
        <f t="shared" si="128"/>
        <v>#VALUE!</v>
      </c>
      <c r="U1348" s="69">
        <f t="shared" si="129"/>
        <v>0</v>
      </c>
      <c r="V1348" s="68" t="str">
        <f>IFERROR(VLOOKUP(A1348,已除帳印單!B:D,3,0),"")</f>
        <v/>
      </c>
      <c r="W1348" s="69" t="str">
        <f>IFERROR(VLOOKUP(A1348,已除帳印單!B:E,4,0),"")</f>
        <v/>
      </c>
      <c r="X1348" s="68" t="str">
        <f>IFERROR(INDEX(刷條碼區!A:C,MATCH(點上線資訊!S1348,刷條碼區!C:C,0),1),"")</f>
        <v/>
      </c>
      <c r="Y1348" s="69" t="str">
        <f>IFERROR(INDEX(刷條碼區!A:C,MATCH(點上線資訊!S1348,刷條碼區!C:C,0),2),"")</f>
        <v/>
      </c>
      <c r="Z1348" s="70" t="str">
        <f>IFERROR(INDEX(刷條碼區!D:G,MATCH(點上線資訊!S1348,刷條碼區!F:F,0),1),"")</f>
        <v/>
      </c>
      <c r="AA1348" s="71" t="str">
        <f>IFERROR(INDEX(刷條碼區!D:G,MATCH(點上線資訊!S1348,刷條碼區!F:F,0),2),"")</f>
        <v/>
      </c>
      <c r="AB1348" s="20">
        <f t="shared" si="130"/>
        <v>0</v>
      </c>
      <c r="AC1348" s="20" t="b">
        <f t="shared" si="131"/>
        <v>0</v>
      </c>
      <c r="AD1348" s="17" t="b">
        <f t="shared" si="132"/>
        <v>0</v>
      </c>
      <c r="AE1348" s="17" t="b">
        <f t="shared" si="133"/>
        <v>0</v>
      </c>
    </row>
    <row r="1349" spans="17:31" x14ac:dyDescent="0.2">
      <c r="Q1349" s="17">
        <f>IFERROR(VLOOKUP(A1349,已除帳印單!B:C,1,0),0)*1</f>
        <v>0</v>
      </c>
      <c r="R1349" s="67" t="str">
        <f>IFERROR(VLOOKUP(J1349,線別!A:B,2,1),"")</f>
        <v/>
      </c>
      <c r="S1349" s="17" t="str">
        <f>IFERROR(VLOOKUP(A1349,已除帳印單!B:C,2,0),"")</f>
        <v/>
      </c>
      <c r="T1349" s="68" t="e">
        <f t="shared" si="128"/>
        <v>#VALUE!</v>
      </c>
      <c r="U1349" s="69">
        <f t="shared" si="129"/>
        <v>0</v>
      </c>
      <c r="V1349" s="68" t="str">
        <f>IFERROR(VLOOKUP(A1349,已除帳印單!B:D,3,0),"")</f>
        <v/>
      </c>
      <c r="W1349" s="69" t="str">
        <f>IFERROR(VLOOKUP(A1349,已除帳印單!B:E,4,0),"")</f>
        <v/>
      </c>
      <c r="X1349" s="68" t="str">
        <f>IFERROR(INDEX(刷條碼區!A:C,MATCH(點上線資訊!S1349,刷條碼區!C:C,0),1),"")</f>
        <v/>
      </c>
      <c r="Y1349" s="69" t="str">
        <f>IFERROR(INDEX(刷條碼區!A:C,MATCH(點上線資訊!S1349,刷條碼區!C:C,0),2),"")</f>
        <v/>
      </c>
      <c r="Z1349" s="70" t="str">
        <f>IFERROR(INDEX(刷條碼區!D:G,MATCH(點上線資訊!S1349,刷條碼區!F:F,0),1),"")</f>
        <v/>
      </c>
      <c r="AA1349" s="71" t="str">
        <f>IFERROR(INDEX(刷條碼區!D:G,MATCH(點上線資訊!S1349,刷條碼區!F:F,0),2),"")</f>
        <v/>
      </c>
      <c r="AB1349" s="20">
        <f t="shared" si="130"/>
        <v>0</v>
      </c>
      <c r="AC1349" s="20" t="b">
        <f t="shared" si="131"/>
        <v>0</v>
      </c>
      <c r="AD1349" s="17" t="b">
        <f t="shared" si="132"/>
        <v>0</v>
      </c>
      <c r="AE1349" s="17" t="b">
        <f t="shared" si="133"/>
        <v>0</v>
      </c>
    </row>
    <row r="1350" spans="17:31" x14ac:dyDescent="0.2">
      <c r="Q1350" s="17">
        <f>IFERROR(VLOOKUP(A1350,已除帳印單!B:C,1,0),0)*1</f>
        <v>0</v>
      </c>
      <c r="R1350" s="67" t="str">
        <f>IFERROR(VLOOKUP(J1350,線別!A:B,2,1),"")</f>
        <v/>
      </c>
      <c r="S1350" s="17" t="str">
        <f>IFERROR(VLOOKUP(A1350,已除帳印單!B:C,2,0),"")</f>
        <v/>
      </c>
      <c r="T1350" s="68" t="e">
        <f t="shared" si="128"/>
        <v>#VALUE!</v>
      </c>
      <c r="U1350" s="69">
        <f t="shared" si="129"/>
        <v>0</v>
      </c>
      <c r="V1350" s="68" t="str">
        <f>IFERROR(VLOOKUP(A1350,已除帳印單!B:D,3,0),"")</f>
        <v/>
      </c>
      <c r="W1350" s="69" t="str">
        <f>IFERROR(VLOOKUP(A1350,已除帳印單!B:E,4,0),"")</f>
        <v/>
      </c>
      <c r="X1350" s="68" t="str">
        <f>IFERROR(INDEX(刷條碼區!A:C,MATCH(點上線資訊!S1350,刷條碼區!C:C,0),1),"")</f>
        <v/>
      </c>
      <c r="Y1350" s="69" t="str">
        <f>IFERROR(INDEX(刷條碼區!A:C,MATCH(點上線資訊!S1350,刷條碼區!C:C,0),2),"")</f>
        <v/>
      </c>
      <c r="Z1350" s="70" t="str">
        <f>IFERROR(INDEX(刷條碼區!D:G,MATCH(點上線資訊!S1350,刷條碼區!F:F,0),1),"")</f>
        <v/>
      </c>
      <c r="AA1350" s="71" t="str">
        <f>IFERROR(INDEX(刷條碼區!D:G,MATCH(點上線資訊!S1350,刷條碼區!F:F,0),2),"")</f>
        <v/>
      </c>
      <c r="AB1350" s="20">
        <f t="shared" si="130"/>
        <v>0</v>
      </c>
      <c r="AC1350" s="20" t="b">
        <f t="shared" si="131"/>
        <v>0</v>
      </c>
      <c r="AD1350" s="17" t="b">
        <f t="shared" si="132"/>
        <v>0</v>
      </c>
      <c r="AE1350" s="17" t="b">
        <f t="shared" si="133"/>
        <v>0</v>
      </c>
    </row>
    <row r="1351" spans="17:31" x14ac:dyDescent="0.2">
      <c r="Q1351" s="17">
        <f>IFERROR(VLOOKUP(A1351,已除帳印單!B:C,1,0),0)*1</f>
        <v>0</v>
      </c>
      <c r="R1351" s="67" t="str">
        <f>IFERROR(VLOOKUP(J1351,線別!A:B,2,1),"")</f>
        <v/>
      </c>
      <c r="S1351" s="17" t="str">
        <f>IFERROR(VLOOKUP(A1351,已除帳印單!B:C,2,0),"")</f>
        <v/>
      </c>
      <c r="T1351" s="68" t="e">
        <f t="shared" si="128"/>
        <v>#VALUE!</v>
      </c>
      <c r="U1351" s="69">
        <f t="shared" si="129"/>
        <v>0</v>
      </c>
      <c r="V1351" s="68" t="str">
        <f>IFERROR(VLOOKUP(A1351,已除帳印單!B:D,3,0),"")</f>
        <v/>
      </c>
      <c r="W1351" s="69" t="str">
        <f>IFERROR(VLOOKUP(A1351,已除帳印單!B:E,4,0),"")</f>
        <v/>
      </c>
      <c r="X1351" s="68" t="str">
        <f>IFERROR(INDEX(刷條碼區!A:C,MATCH(點上線資訊!S1351,刷條碼區!C:C,0),1),"")</f>
        <v/>
      </c>
      <c r="Y1351" s="69" t="str">
        <f>IFERROR(INDEX(刷條碼區!A:C,MATCH(點上線資訊!S1351,刷條碼區!C:C,0),2),"")</f>
        <v/>
      </c>
      <c r="Z1351" s="70" t="str">
        <f>IFERROR(INDEX(刷條碼區!D:G,MATCH(點上線資訊!S1351,刷條碼區!F:F,0),1),"")</f>
        <v/>
      </c>
      <c r="AA1351" s="71" t="str">
        <f>IFERROR(INDEX(刷條碼區!D:G,MATCH(點上線資訊!S1351,刷條碼區!F:F,0),2),"")</f>
        <v/>
      </c>
      <c r="AB1351" s="20">
        <f t="shared" si="130"/>
        <v>0</v>
      </c>
      <c r="AC1351" s="20" t="b">
        <f t="shared" si="131"/>
        <v>0</v>
      </c>
      <c r="AD1351" s="17" t="b">
        <f t="shared" si="132"/>
        <v>0</v>
      </c>
      <c r="AE1351" s="17" t="b">
        <f t="shared" si="133"/>
        <v>0</v>
      </c>
    </row>
    <row r="1352" spans="17:31" x14ac:dyDescent="0.2">
      <c r="Q1352" s="17">
        <f>IFERROR(VLOOKUP(A1352,已除帳印單!B:C,1,0),0)*1</f>
        <v>0</v>
      </c>
      <c r="R1352" s="67" t="str">
        <f>IFERROR(VLOOKUP(J1352,線別!A:B,2,1),"")</f>
        <v/>
      </c>
      <c r="S1352" s="17" t="str">
        <f>IFERROR(VLOOKUP(A1352,已除帳印單!B:C,2,0),"")</f>
        <v/>
      </c>
      <c r="T1352" s="68" t="e">
        <f t="shared" si="128"/>
        <v>#VALUE!</v>
      </c>
      <c r="U1352" s="69">
        <f t="shared" si="129"/>
        <v>0</v>
      </c>
      <c r="V1352" s="68" t="str">
        <f>IFERROR(VLOOKUP(A1352,已除帳印單!B:D,3,0),"")</f>
        <v/>
      </c>
      <c r="W1352" s="69" t="str">
        <f>IFERROR(VLOOKUP(A1352,已除帳印單!B:E,4,0),"")</f>
        <v/>
      </c>
      <c r="X1352" s="68" t="str">
        <f>IFERROR(INDEX(刷條碼區!A:C,MATCH(點上線資訊!S1352,刷條碼區!C:C,0),1),"")</f>
        <v/>
      </c>
      <c r="Y1352" s="69" t="str">
        <f>IFERROR(INDEX(刷條碼區!A:C,MATCH(點上線資訊!S1352,刷條碼區!C:C,0),2),"")</f>
        <v/>
      </c>
      <c r="Z1352" s="70" t="str">
        <f>IFERROR(INDEX(刷條碼區!D:G,MATCH(點上線資訊!S1352,刷條碼區!F:F,0),1),"")</f>
        <v/>
      </c>
      <c r="AA1352" s="71" t="str">
        <f>IFERROR(INDEX(刷條碼區!D:G,MATCH(點上線資訊!S1352,刷條碼區!F:F,0),2),"")</f>
        <v/>
      </c>
      <c r="AB1352" s="20">
        <f t="shared" si="130"/>
        <v>0</v>
      </c>
      <c r="AC1352" s="20" t="b">
        <f t="shared" si="131"/>
        <v>0</v>
      </c>
      <c r="AD1352" s="17" t="b">
        <f t="shared" si="132"/>
        <v>0</v>
      </c>
      <c r="AE1352" s="17" t="b">
        <f t="shared" si="133"/>
        <v>0</v>
      </c>
    </row>
    <row r="1353" spans="17:31" x14ac:dyDescent="0.2">
      <c r="Q1353" s="17">
        <f>IFERROR(VLOOKUP(A1353,已除帳印單!B:C,1,0),0)*1</f>
        <v>0</v>
      </c>
      <c r="R1353" s="67" t="str">
        <f>IFERROR(VLOOKUP(J1353,線別!A:B,2,1),"")</f>
        <v/>
      </c>
      <c r="S1353" s="17" t="str">
        <f>IFERROR(VLOOKUP(A1353,已除帳印單!B:C,2,0),"")</f>
        <v/>
      </c>
      <c r="T1353" s="68" t="e">
        <f t="shared" si="128"/>
        <v>#VALUE!</v>
      </c>
      <c r="U1353" s="69">
        <f t="shared" si="129"/>
        <v>0</v>
      </c>
      <c r="V1353" s="68" t="str">
        <f>IFERROR(VLOOKUP(A1353,已除帳印單!B:D,3,0),"")</f>
        <v/>
      </c>
      <c r="W1353" s="69" t="str">
        <f>IFERROR(VLOOKUP(A1353,已除帳印單!B:E,4,0),"")</f>
        <v/>
      </c>
      <c r="X1353" s="68" t="str">
        <f>IFERROR(INDEX(刷條碼區!A:C,MATCH(點上線資訊!S1353,刷條碼區!C:C,0),1),"")</f>
        <v/>
      </c>
      <c r="Y1353" s="69" t="str">
        <f>IFERROR(INDEX(刷條碼區!A:C,MATCH(點上線資訊!S1353,刷條碼區!C:C,0),2),"")</f>
        <v/>
      </c>
      <c r="Z1353" s="70" t="str">
        <f>IFERROR(INDEX(刷條碼區!D:G,MATCH(點上線資訊!S1353,刷條碼區!F:F,0),1),"")</f>
        <v/>
      </c>
      <c r="AA1353" s="71" t="str">
        <f>IFERROR(INDEX(刷條碼區!D:G,MATCH(點上線資訊!S1353,刷條碼區!F:F,0),2),"")</f>
        <v/>
      </c>
      <c r="AB1353" s="20">
        <f t="shared" si="130"/>
        <v>0</v>
      </c>
      <c r="AC1353" s="20" t="b">
        <f t="shared" si="131"/>
        <v>0</v>
      </c>
      <c r="AD1353" s="17" t="b">
        <f t="shared" si="132"/>
        <v>0</v>
      </c>
      <c r="AE1353" s="17" t="b">
        <f t="shared" si="133"/>
        <v>0</v>
      </c>
    </row>
    <row r="1354" spans="17:31" x14ac:dyDescent="0.2">
      <c r="Q1354" s="17">
        <f>IFERROR(VLOOKUP(A1354,已除帳印單!B:C,1,0),0)*1</f>
        <v>0</v>
      </c>
      <c r="R1354" s="67" t="str">
        <f>IFERROR(VLOOKUP(J1354,線別!A:B,2,1),"")</f>
        <v/>
      </c>
      <c r="S1354" s="17" t="str">
        <f>IFERROR(VLOOKUP(A1354,已除帳印單!B:C,2,0),"")</f>
        <v/>
      </c>
      <c r="T1354" s="68" t="e">
        <f t="shared" si="128"/>
        <v>#VALUE!</v>
      </c>
      <c r="U1354" s="69">
        <f t="shared" si="129"/>
        <v>0</v>
      </c>
      <c r="V1354" s="68" t="str">
        <f>IFERROR(VLOOKUP(A1354,已除帳印單!B:D,3,0),"")</f>
        <v/>
      </c>
      <c r="W1354" s="69" t="str">
        <f>IFERROR(VLOOKUP(A1354,已除帳印單!B:E,4,0),"")</f>
        <v/>
      </c>
      <c r="X1354" s="68" t="str">
        <f>IFERROR(INDEX(刷條碼區!A:C,MATCH(點上線資訊!S1354,刷條碼區!C:C,0),1),"")</f>
        <v/>
      </c>
      <c r="Y1354" s="69" t="str">
        <f>IFERROR(INDEX(刷條碼區!A:C,MATCH(點上線資訊!S1354,刷條碼區!C:C,0),2),"")</f>
        <v/>
      </c>
      <c r="Z1354" s="70" t="str">
        <f>IFERROR(INDEX(刷條碼區!D:G,MATCH(點上線資訊!S1354,刷條碼區!F:F,0),1),"")</f>
        <v/>
      </c>
      <c r="AA1354" s="71" t="str">
        <f>IFERROR(INDEX(刷條碼區!D:G,MATCH(點上線資訊!S1354,刷條碼區!F:F,0),2),"")</f>
        <v/>
      </c>
      <c r="AB1354" s="20">
        <f t="shared" si="130"/>
        <v>0</v>
      </c>
      <c r="AC1354" s="20" t="b">
        <f t="shared" si="131"/>
        <v>0</v>
      </c>
      <c r="AD1354" s="17" t="b">
        <f t="shared" si="132"/>
        <v>0</v>
      </c>
      <c r="AE1354" s="17" t="b">
        <f t="shared" si="133"/>
        <v>0</v>
      </c>
    </row>
    <row r="1355" spans="17:31" x14ac:dyDescent="0.2">
      <c r="Q1355" s="17">
        <f>IFERROR(VLOOKUP(A1355,已除帳印單!B:C,1,0),0)*1</f>
        <v>0</v>
      </c>
      <c r="R1355" s="67" t="str">
        <f>IFERROR(VLOOKUP(J1355,線別!A:B,2,1),"")</f>
        <v/>
      </c>
      <c r="S1355" s="17" t="str">
        <f>IFERROR(VLOOKUP(A1355,已除帳印單!B:C,2,0),"")</f>
        <v/>
      </c>
      <c r="T1355" s="68" t="e">
        <f t="shared" si="128"/>
        <v>#VALUE!</v>
      </c>
      <c r="U1355" s="69">
        <f t="shared" si="129"/>
        <v>0</v>
      </c>
      <c r="V1355" s="68" t="str">
        <f>IFERROR(VLOOKUP(A1355,已除帳印單!B:D,3,0),"")</f>
        <v/>
      </c>
      <c r="W1355" s="69" t="str">
        <f>IFERROR(VLOOKUP(A1355,已除帳印單!B:E,4,0),"")</f>
        <v/>
      </c>
      <c r="X1355" s="68" t="str">
        <f>IFERROR(INDEX(刷條碼區!A:C,MATCH(點上線資訊!S1355,刷條碼區!C:C,0),1),"")</f>
        <v/>
      </c>
      <c r="Y1355" s="69" t="str">
        <f>IFERROR(INDEX(刷條碼區!A:C,MATCH(點上線資訊!S1355,刷條碼區!C:C,0),2),"")</f>
        <v/>
      </c>
      <c r="Z1355" s="70" t="str">
        <f>IFERROR(INDEX(刷條碼區!D:G,MATCH(點上線資訊!S1355,刷條碼區!F:F,0),1),"")</f>
        <v/>
      </c>
      <c r="AA1355" s="71" t="str">
        <f>IFERROR(INDEX(刷條碼區!D:G,MATCH(點上線資訊!S1355,刷條碼區!F:F,0),2),"")</f>
        <v/>
      </c>
      <c r="AB1355" s="20">
        <f t="shared" si="130"/>
        <v>0</v>
      </c>
      <c r="AC1355" s="20" t="b">
        <f t="shared" si="131"/>
        <v>0</v>
      </c>
      <c r="AD1355" s="17" t="b">
        <f t="shared" si="132"/>
        <v>0</v>
      </c>
      <c r="AE1355" s="17" t="b">
        <f t="shared" si="133"/>
        <v>0</v>
      </c>
    </row>
    <row r="1356" spans="17:31" x14ac:dyDescent="0.2">
      <c r="Q1356" s="17">
        <f>IFERROR(VLOOKUP(A1356,已除帳印單!B:C,1,0),0)*1</f>
        <v>0</v>
      </c>
      <c r="R1356" s="67" t="str">
        <f>IFERROR(VLOOKUP(J1356,線別!A:B,2,1),"")</f>
        <v/>
      </c>
      <c r="S1356" s="17" t="str">
        <f>IFERROR(VLOOKUP(A1356,已除帳印單!B:C,2,0),"")</f>
        <v/>
      </c>
      <c r="T1356" s="68" t="e">
        <f t="shared" si="128"/>
        <v>#VALUE!</v>
      </c>
      <c r="U1356" s="69">
        <f t="shared" si="129"/>
        <v>0</v>
      </c>
      <c r="V1356" s="68" t="str">
        <f>IFERROR(VLOOKUP(A1356,已除帳印單!B:D,3,0),"")</f>
        <v/>
      </c>
      <c r="W1356" s="69" t="str">
        <f>IFERROR(VLOOKUP(A1356,已除帳印單!B:E,4,0),"")</f>
        <v/>
      </c>
      <c r="X1356" s="68" t="str">
        <f>IFERROR(INDEX(刷條碼區!A:C,MATCH(點上線資訊!S1356,刷條碼區!C:C,0),1),"")</f>
        <v/>
      </c>
      <c r="Y1356" s="69" t="str">
        <f>IFERROR(INDEX(刷條碼區!A:C,MATCH(點上線資訊!S1356,刷條碼區!C:C,0),2),"")</f>
        <v/>
      </c>
      <c r="Z1356" s="70" t="str">
        <f>IFERROR(INDEX(刷條碼區!D:G,MATCH(點上線資訊!S1356,刷條碼區!F:F,0),1),"")</f>
        <v/>
      </c>
      <c r="AA1356" s="71" t="str">
        <f>IFERROR(INDEX(刷條碼區!D:G,MATCH(點上線資訊!S1356,刷條碼區!F:F,0),2),"")</f>
        <v/>
      </c>
      <c r="AB1356" s="20">
        <f t="shared" si="130"/>
        <v>0</v>
      </c>
      <c r="AC1356" s="20" t="b">
        <f t="shared" si="131"/>
        <v>0</v>
      </c>
      <c r="AD1356" s="17" t="b">
        <f t="shared" si="132"/>
        <v>0</v>
      </c>
      <c r="AE1356" s="17" t="b">
        <f t="shared" si="133"/>
        <v>0</v>
      </c>
    </row>
    <row r="1357" spans="17:31" x14ac:dyDescent="0.2">
      <c r="Q1357" s="17">
        <f>IFERROR(VLOOKUP(A1357,已除帳印單!B:C,1,0),0)*1</f>
        <v>0</v>
      </c>
      <c r="R1357" s="67" t="str">
        <f>IFERROR(VLOOKUP(J1357,線別!A:B,2,1),"")</f>
        <v/>
      </c>
      <c r="S1357" s="17" t="str">
        <f>IFERROR(VLOOKUP(A1357,已除帳印單!B:C,2,0),"")</f>
        <v/>
      </c>
      <c r="T1357" s="68" t="e">
        <f t="shared" si="128"/>
        <v>#VALUE!</v>
      </c>
      <c r="U1357" s="69">
        <f t="shared" si="129"/>
        <v>0</v>
      </c>
      <c r="V1357" s="68" t="str">
        <f>IFERROR(VLOOKUP(A1357,已除帳印單!B:D,3,0),"")</f>
        <v/>
      </c>
      <c r="W1357" s="69" t="str">
        <f>IFERROR(VLOOKUP(A1357,已除帳印單!B:E,4,0),"")</f>
        <v/>
      </c>
      <c r="X1357" s="68" t="str">
        <f>IFERROR(INDEX(刷條碼區!A:C,MATCH(點上線資訊!S1357,刷條碼區!C:C,0),1),"")</f>
        <v/>
      </c>
      <c r="Y1357" s="69" t="str">
        <f>IFERROR(INDEX(刷條碼區!A:C,MATCH(點上線資訊!S1357,刷條碼區!C:C,0),2),"")</f>
        <v/>
      </c>
      <c r="Z1357" s="70" t="str">
        <f>IFERROR(INDEX(刷條碼區!D:G,MATCH(點上線資訊!S1357,刷條碼區!F:F,0),1),"")</f>
        <v/>
      </c>
      <c r="AA1357" s="71" t="str">
        <f>IFERROR(INDEX(刷條碼區!D:G,MATCH(點上線資訊!S1357,刷條碼區!F:F,0),2),"")</f>
        <v/>
      </c>
      <c r="AB1357" s="20">
        <f t="shared" si="130"/>
        <v>0</v>
      </c>
      <c r="AC1357" s="20" t="b">
        <f t="shared" si="131"/>
        <v>0</v>
      </c>
      <c r="AD1357" s="17" t="b">
        <f t="shared" si="132"/>
        <v>0</v>
      </c>
      <c r="AE1357" s="17" t="b">
        <f t="shared" si="133"/>
        <v>0</v>
      </c>
    </row>
    <row r="1358" spans="17:31" x14ac:dyDescent="0.2">
      <c r="Q1358" s="17">
        <f>IFERROR(VLOOKUP(A1358,已除帳印單!B:C,1,0),0)*1</f>
        <v>0</v>
      </c>
      <c r="R1358" s="67" t="str">
        <f>IFERROR(VLOOKUP(J1358,線別!A:B,2,1),"")</f>
        <v/>
      </c>
      <c r="S1358" s="17" t="str">
        <f>IFERROR(VLOOKUP(A1358,已除帳印單!B:C,2,0),"")</f>
        <v/>
      </c>
      <c r="T1358" s="68" t="e">
        <f t="shared" si="128"/>
        <v>#VALUE!</v>
      </c>
      <c r="U1358" s="69">
        <f t="shared" si="129"/>
        <v>0</v>
      </c>
      <c r="V1358" s="68" t="str">
        <f>IFERROR(VLOOKUP(A1358,已除帳印單!B:D,3,0),"")</f>
        <v/>
      </c>
      <c r="W1358" s="69" t="str">
        <f>IFERROR(VLOOKUP(A1358,已除帳印單!B:E,4,0),"")</f>
        <v/>
      </c>
      <c r="X1358" s="68" t="str">
        <f>IFERROR(INDEX(刷條碼區!A:C,MATCH(點上線資訊!S1358,刷條碼區!C:C,0),1),"")</f>
        <v/>
      </c>
      <c r="Y1358" s="69" t="str">
        <f>IFERROR(INDEX(刷條碼區!A:C,MATCH(點上線資訊!S1358,刷條碼區!C:C,0),2),"")</f>
        <v/>
      </c>
      <c r="Z1358" s="70" t="str">
        <f>IFERROR(INDEX(刷條碼區!D:G,MATCH(點上線資訊!S1358,刷條碼區!F:F,0),1),"")</f>
        <v/>
      </c>
      <c r="AA1358" s="71" t="str">
        <f>IFERROR(INDEX(刷條碼區!D:G,MATCH(點上線資訊!S1358,刷條碼區!F:F,0),2),"")</f>
        <v/>
      </c>
      <c r="AB1358" s="20">
        <f t="shared" si="130"/>
        <v>0</v>
      </c>
      <c r="AC1358" s="20" t="b">
        <f t="shared" si="131"/>
        <v>0</v>
      </c>
      <c r="AD1358" s="17" t="b">
        <f t="shared" si="132"/>
        <v>0</v>
      </c>
      <c r="AE1358" s="17" t="b">
        <f t="shared" si="133"/>
        <v>0</v>
      </c>
    </row>
    <row r="1359" spans="17:31" x14ac:dyDescent="0.2">
      <c r="Q1359" s="17">
        <f>IFERROR(VLOOKUP(A1359,已除帳印單!B:C,1,0),0)*1</f>
        <v>0</v>
      </c>
      <c r="R1359" s="67" t="str">
        <f>IFERROR(VLOOKUP(J1359,線別!A:B,2,1),"")</f>
        <v/>
      </c>
      <c r="S1359" s="17" t="str">
        <f>IFERROR(VLOOKUP(A1359,已除帳印單!B:C,2,0),"")</f>
        <v/>
      </c>
      <c r="T1359" s="68" t="e">
        <f t="shared" si="128"/>
        <v>#VALUE!</v>
      </c>
      <c r="U1359" s="69">
        <f t="shared" si="129"/>
        <v>0</v>
      </c>
      <c r="V1359" s="68" t="str">
        <f>IFERROR(VLOOKUP(A1359,已除帳印單!B:D,3,0),"")</f>
        <v/>
      </c>
      <c r="W1359" s="69" t="str">
        <f>IFERROR(VLOOKUP(A1359,已除帳印單!B:E,4,0),"")</f>
        <v/>
      </c>
      <c r="X1359" s="68" t="str">
        <f>IFERROR(INDEX(刷條碼區!A:C,MATCH(點上線資訊!S1359,刷條碼區!C:C,0),1),"")</f>
        <v/>
      </c>
      <c r="Y1359" s="69" t="str">
        <f>IFERROR(INDEX(刷條碼區!A:C,MATCH(點上線資訊!S1359,刷條碼區!C:C,0),2),"")</f>
        <v/>
      </c>
      <c r="Z1359" s="70" t="str">
        <f>IFERROR(INDEX(刷條碼區!D:G,MATCH(點上線資訊!S1359,刷條碼區!F:F,0),1),"")</f>
        <v/>
      </c>
      <c r="AA1359" s="71" t="str">
        <f>IFERROR(INDEX(刷條碼區!D:G,MATCH(點上線資訊!S1359,刷條碼區!F:F,0),2),"")</f>
        <v/>
      </c>
      <c r="AB1359" s="20">
        <f t="shared" si="130"/>
        <v>0</v>
      </c>
      <c r="AC1359" s="20" t="b">
        <f t="shared" si="131"/>
        <v>0</v>
      </c>
      <c r="AD1359" s="17" t="b">
        <f t="shared" si="132"/>
        <v>0</v>
      </c>
      <c r="AE1359" s="17" t="b">
        <f t="shared" si="133"/>
        <v>0</v>
      </c>
    </row>
    <row r="1360" spans="17:31" x14ac:dyDescent="0.2">
      <c r="Q1360" s="17">
        <f>IFERROR(VLOOKUP(A1360,已除帳印單!B:C,1,0),0)*1</f>
        <v>0</v>
      </c>
      <c r="R1360" s="67" t="str">
        <f>IFERROR(VLOOKUP(J1360,線別!A:B,2,1),"")</f>
        <v/>
      </c>
      <c r="S1360" s="17" t="str">
        <f>IFERROR(VLOOKUP(A1360,已除帳印單!B:C,2,0),"")</f>
        <v/>
      </c>
      <c r="T1360" s="68" t="e">
        <f t="shared" si="128"/>
        <v>#VALUE!</v>
      </c>
      <c r="U1360" s="69">
        <f t="shared" si="129"/>
        <v>0</v>
      </c>
      <c r="V1360" s="68" t="str">
        <f>IFERROR(VLOOKUP(A1360,已除帳印單!B:D,3,0),"")</f>
        <v/>
      </c>
      <c r="W1360" s="69" t="str">
        <f>IFERROR(VLOOKUP(A1360,已除帳印單!B:E,4,0),"")</f>
        <v/>
      </c>
      <c r="X1360" s="68" t="str">
        <f>IFERROR(INDEX(刷條碼區!A:C,MATCH(點上線資訊!S1360,刷條碼區!C:C,0),1),"")</f>
        <v/>
      </c>
      <c r="Y1360" s="69" t="str">
        <f>IFERROR(INDEX(刷條碼區!A:C,MATCH(點上線資訊!S1360,刷條碼區!C:C,0),2),"")</f>
        <v/>
      </c>
      <c r="Z1360" s="70" t="str">
        <f>IFERROR(INDEX(刷條碼區!D:G,MATCH(點上線資訊!S1360,刷條碼區!F:F,0),1),"")</f>
        <v/>
      </c>
      <c r="AA1360" s="71" t="str">
        <f>IFERROR(INDEX(刷條碼區!D:G,MATCH(點上線資訊!S1360,刷條碼區!F:F,0),2),"")</f>
        <v/>
      </c>
      <c r="AB1360" s="20">
        <f t="shared" si="130"/>
        <v>0</v>
      </c>
      <c r="AC1360" s="20" t="b">
        <f t="shared" si="131"/>
        <v>0</v>
      </c>
      <c r="AD1360" s="17" t="b">
        <f t="shared" si="132"/>
        <v>0</v>
      </c>
      <c r="AE1360" s="17" t="b">
        <f t="shared" si="133"/>
        <v>0</v>
      </c>
    </row>
    <row r="1361" spans="17:31" x14ac:dyDescent="0.2">
      <c r="Q1361" s="17">
        <f>IFERROR(VLOOKUP(A1361,已除帳印單!B:C,1,0),0)*1</f>
        <v>0</v>
      </c>
      <c r="R1361" s="67" t="str">
        <f>IFERROR(VLOOKUP(J1361,線別!A:B,2,1),"")</f>
        <v/>
      </c>
      <c r="S1361" s="17" t="str">
        <f>IFERROR(VLOOKUP(A1361,已除帳印單!B:C,2,0),"")</f>
        <v/>
      </c>
      <c r="T1361" s="68" t="e">
        <f t="shared" si="128"/>
        <v>#VALUE!</v>
      </c>
      <c r="U1361" s="69">
        <f t="shared" si="129"/>
        <v>0</v>
      </c>
      <c r="V1361" s="68" t="str">
        <f>IFERROR(VLOOKUP(A1361,已除帳印單!B:D,3,0),"")</f>
        <v/>
      </c>
      <c r="W1361" s="69" t="str">
        <f>IFERROR(VLOOKUP(A1361,已除帳印單!B:E,4,0),"")</f>
        <v/>
      </c>
      <c r="X1361" s="68" t="str">
        <f>IFERROR(INDEX(刷條碼區!A:C,MATCH(點上線資訊!S1361,刷條碼區!C:C,0),1),"")</f>
        <v/>
      </c>
      <c r="Y1361" s="69" t="str">
        <f>IFERROR(INDEX(刷條碼區!A:C,MATCH(點上線資訊!S1361,刷條碼區!C:C,0),2),"")</f>
        <v/>
      </c>
      <c r="Z1361" s="70" t="str">
        <f>IFERROR(INDEX(刷條碼區!D:G,MATCH(點上線資訊!S1361,刷條碼區!F:F,0),1),"")</f>
        <v/>
      </c>
      <c r="AA1361" s="71" t="str">
        <f>IFERROR(INDEX(刷條碼區!D:G,MATCH(點上線資訊!S1361,刷條碼區!F:F,0),2),"")</f>
        <v/>
      </c>
      <c r="AB1361" s="20">
        <f t="shared" si="130"/>
        <v>0</v>
      </c>
      <c r="AC1361" s="20" t="b">
        <f t="shared" si="131"/>
        <v>0</v>
      </c>
      <c r="AD1361" s="17" t="b">
        <f t="shared" si="132"/>
        <v>0</v>
      </c>
      <c r="AE1361" s="17" t="b">
        <f t="shared" si="133"/>
        <v>0</v>
      </c>
    </row>
    <row r="1362" spans="17:31" x14ac:dyDescent="0.2">
      <c r="Q1362" s="17">
        <f>IFERROR(VLOOKUP(A1362,已除帳印單!B:C,1,0),0)*1</f>
        <v>0</v>
      </c>
      <c r="R1362" s="67" t="str">
        <f>IFERROR(VLOOKUP(J1362,線別!A:B,2,1),"")</f>
        <v/>
      </c>
      <c r="S1362" s="17" t="str">
        <f>IFERROR(VLOOKUP(A1362,已除帳印單!B:C,2,0),"")</f>
        <v/>
      </c>
      <c r="T1362" s="68" t="e">
        <f t="shared" si="128"/>
        <v>#VALUE!</v>
      </c>
      <c r="U1362" s="69">
        <f t="shared" si="129"/>
        <v>0</v>
      </c>
      <c r="V1362" s="68" t="str">
        <f>IFERROR(VLOOKUP(A1362,已除帳印單!B:D,3,0),"")</f>
        <v/>
      </c>
      <c r="W1362" s="69" t="str">
        <f>IFERROR(VLOOKUP(A1362,已除帳印單!B:E,4,0),"")</f>
        <v/>
      </c>
      <c r="X1362" s="68" t="str">
        <f>IFERROR(INDEX(刷條碼區!A:C,MATCH(點上線資訊!S1362,刷條碼區!C:C,0),1),"")</f>
        <v/>
      </c>
      <c r="Y1362" s="69" t="str">
        <f>IFERROR(INDEX(刷條碼區!A:C,MATCH(點上線資訊!S1362,刷條碼區!C:C,0),2),"")</f>
        <v/>
      </c>
      <c r="Z1362" s="70" t="str">
        <f>IFERROR(INDEX(刷條碼區!D:G,MATCH(點上線資訊!S1362,刷條碼區!F:F,0),1),"")</f>
        <v/>
      </c>
      <c r="AA1362" s="71" t="str">
        <f>IFERROR(INDEX(刷條碼區!D:G,MATCH(點上線資訊!S1362,刷條碼區!F:F,0),2),"")</f>
        <v/>
      </c>
      <c r="AB1362" s="20">
        <f t="shared" si="130"/>
        <v>0</v>
      </c>
      <c r="AC1362" s="20" t="b">
        <f t="shared" si="131"/>
        <v>0</v>
      </c>
      <c r="AD1362" s="17" t="b">
        <f t="shared" si="132"/>
        <v>0</v>
      </c>
      <c r="AE1362" s="17" t="b">
        <f t="shared" si="133"/>
        <v>0</v>
      </c>
    </row>
    <row r="1363" spans="17:31" x14ac:dyDescent="0.2">
      <c r="Q1363" s="17">
        <f>IFERROR(VLOOKUP(A1363,已除帳印單!B:C,1,0),0)*1</f>
        <v>0</v>
      </c>
      <c r="R1363" s="67" t="str">
        <f>IFERROR(VLOOKUP(J1363,線別!A:B,2,1),"")</f>
        <v/>
      </c>
      <c r="S1363" s="17" t="str">
        <f>IFERROR(VLOOKUP(A1363,已除帳印單!B:C,2,0),"")</f>
        <v/>
      </c>
      <c r="T1363" s="68" t="e">
        <f t="shared" si="128"/>
        <v>#VALUE!</v>
      </c>
      <c r="U1363" s="69">
        <f t="shared" si="129"/>
        <v>0</v>
      </c>
      <c r="V1363" s="68" t="str">
        <f>IFERROR(VLOOKUP(A1363,已除帳印單!B:D,3,0),"")</f>
        <v/>
      </c>
      <c r="W1363" s="69" t="str">
        <f>IFERROR(VLOOKUP(A1363,已除帳印單!B:E,4,0),"")</f>
        <v/>
      </c>
      <c r="X1363" s="68" t="str">
        <f>IFERROR(INDEX(刷條碼區!A:C,MATCH(點上線資訊!S1363,刷條碼區!C:C,0),1),"")</f>
        <v/>
      </c>
      <c r="Y1363" s="69" t="str">
        <f>IFERROR(INDEX(刷條碼區!A:C,MATCH(點上線資訊!S1363,刷條碼區!C:C,0),2),"")</f>
        <v/>
      </c>
      <c r="Z1363" s="70" t="str">
        <f>IFERROR(INDEX(刷條碼區!D:G,MATCH(點上線資訊!S1363,刷條碼區!F:F,0),1),"")</f>
        <v/>
      </c>
      <c r="AA1363" s="71" t="str">
        <f>IFERROR(INDEX(刷條碼區!D:G,MATCH(點上線資訊!S1363,刷條碼區!F:F,0),2),"")</f>
        <v/>
      </c>
      <c r="AB1363" s="20">
        <f t="shared" si="130"/>
        <v>0</v>
      </c>
      <c r="AC1363" s="20" t="b">
        <f t="shared" si="131"/>
        <v>0</v>
      </c>
      <c r="AD1363" s="17" t="b">
        <f t="shared" si="132"/>
        <v>0</v>
      </c>
      <c r="AE1363" s="17" t="b">
        <f t="shared" si="133"/>
        <v>0</v>
      </c>
    </row>
    <row r="1364" spans="17:31" x14ac:dyDescent="0.2">
      <c r="Q1364" s="17">
        <f>IFERROR(VLOOKUP(A1364,已除帳印單!B:C,1,0),0)*1</f>
        <v>0</v>
      </c>
      <c r="R1364" s="67" t="str">
        <f>IFERROR(VLOOKUP(J1364,線別!A:B,2,1),"")</f>
        <v/>
      </c>
      <c r="S1364" s="17" t="str">
        <f>IFERROR(VLOOKUP(A1364,已除帳印單!B:C,2,0),"")</f>
        <v/>
      </c>
      <c r="T1364" s="68" t="e">
        <f t="shared" si="128"/>
        <v>#VALUE!</v>
      </c>
      <c r="U1364" s="69">
        <f t="shared" si="129"/>
        <v>0</v>
      </c>
      <c r="V1364" s="68" t="str">
        <f>IFERROR(VLOOKUP(A1364,已除帳印單!B:D,3,0),"")</f>
        <v/>
      </c>
      <c r="W1364" s="69" t="str">
        <f>IFERROR(VLOOKUP(A1364,已除帳印單!B:E,4,0),"")</f>
        <v/>
      </c>
      <c r="X1364" s="68" t="str">
        <f>IFERROR(INDEX(刷條碼區!A:C,MATCH(點上線資訊!S1364,刷條碼區!C:C,0),1),"")</f>
        <v/>
      </c>
      <c r="Y1364" s="69" t="str">
        <f>IFERROR(INDEX(刷條碼區!A:C,MATCH(點上線資訊!S1364,刷條碼區!C:C,0),2),"")</f>
        <v/>
      </c>
      <c r="Z1364" s="70" t="str">
        <f>IFERROR(INDEX(刷條碼區!D:G,MATCH(點上線資訊!S1364,刷條碼區!F:F,0),1),"")</f>
        <v/>
      </c>
      <c r="AA1364" s="71" t="str">
        <f>IFERROR(INDEX(刷條碼區!D:G,MATCH(點上線資訊!S1364,刷條碼區!F:F,0),2),"")</f>
        <v/>
      </c>
      <c r="AB1364" s="20">
        <f t="shared" si="130"/>
        <v>0</v>
      </c>
      <c r="AC1364" s="20" t="b">
        <f t="shared" si="131"/>
        <v>0</v>
      </c>
      <c r="AD1364" s="17" t="b">
        <f t="shared" si="132"/>
        <v>0</v>
      </c>
      <c r="AE1364" s="17" t="b">
        <f t="shared" si="133"/>
        <v>0</v>
      </c>
    </row>
    <row r="1365" spans="17:31" x14ac:dyDescent="0.2">
      <c r="Q1365" s="17">
        <f>IFERROR(VLOOKUP(A1365,已除帳印單!B:C,1,0),0)*1</f>
        <v>0</v>
      </c>
      <c r="R1365" s="67" t="str">
        <f>IFERROR(VLOOKUP(J1365,線別!A:B,2,1),"")</f>
        <v/>
      </c>
      <c r="S1365" s="17" t="str">
        <f>IFERROR(VLOOKUP(A1365,已除帳印單!B:C,2,0),"")</f>
        <v/>
      </c>
      <c r="T1365" s="68" t="e">
        <f t="shared" si="128"/>
        <v>#VALUE!</v>
      </c>
      <c r="U1365" s="69">
        <f t="shared" si="129"/>
        <v>0</v>
      </c>
      <c r="V1365" s="68" t="str">
        <f>IFERROR(VLOOKUP(A1365,已除帳印單!B:D,3,0),"")</f>
        <v/>
      </c>
      <c r="W1365" s="69" t="str">
        <f>IFERROR(VLOOKUP(A1365,已除帳印單!B:E,4,0),"")</f>
        <v/>
      </c>
      <c r="X1365" s="68" t="str">
        <f>IFERROR(INDEX(刷條碼區!A:C,MATCH(點上線資訊!S1365,刷條碼區!C:C,0),1),"")</f>
        <v/>
      </c>
      <c r="Y1365" s="69" t="str">
        <f>IFERROR(INDEX(刷條碼區!A:C,MATCH(點上線資訊!S1365,刷條碼區!C:C,0),2),"")</f>
        <v/>
      </c>
      <c r="Z1365" s="70" t="str">
        <f>IFERROR(INDEX(刷條碼區!D:G,MATCH(點上線資訊!S1365,刷條碼區!F:F,0),1),"")</f>
        <v/>
      </c>
      <c r="AA1365" s="71" t="str">
        <f>IFERROR(INDEX(刷條碼區!D:G,MATCH(點上線資訊!S1365,刷條碼區!F:F,0),2),"")</f>
        <v/>
      </c>
      <c r="AB1365" s="20">
        <f t="shared" si="130"/>
        <v>0</v>
      </c>
      <c r="AC1365" s="20" t="b">
        <f t="shared" si="131"/>
        <v>0</v>
      </c>
      <c r="AD1365" s="17" t="b">
        <f t="shared" si="132"/>
        <v>0</v>
      </c>
      <c r="AE1365" s="17" t="b">
        <f t="shared" si="133"/>
        <v>0</v>
      </c>
    </row>
    <row r="1366" spans="17:31" x14ac:dyDescent="0.2">
      <c r="Q1366" s="17">
        <f>IFERROR(VLOOKUP(A1366,已除帳印單!B:C,1,0),0)*1</f>
        <v>0</v>
      </c>
      <c r="R1366" s="67" t="str">
        <f>IFERROR(VLOOKUP(J1366,線別!A:B,2,1),"")</f>
        <v/>
      </c>
      <c r="S1366" s="17" t="str">
        <f>IFERROR(VLOOKUP(A1366,已除帳印單!B:C,2,0),"")</f>
        <v/>
      </c>
      <c r="T1366" s="68" t="e">
        <f t="shared" si="128"/>
        <v>#VALUE!</v>
      </c>
      <c r="U1366" s="69">
        <f t="shared" si="129"/>
        <v>0</v>
      </c>
      <c r="V1366" s="68" t="str">
        <f>IFERROR(VLOOKUP(A1366,已除帳印單!B:D,3,0),"")</f>
        <v/>
      </c>
      <c r="W1366" s="69" t="str">
        <f>IFERROR(VLOOKUP(A1366,已除帳印單!B:E,4,0),"")</f>
        <v/>
      </c>
      <c r="X1366" s="68" t="str">
        <f>IFERROR(INDEX(刷條碼區!A:C,MATCH(點上線資訊!S1366,刷條碼區!C:C,0),1),"")</f>
        <v/>
      </c>
      <c r="Y1366" s="69" t="str">
        <f>IFERROR(INDEX(刷條碼區!A:C,MATCH(點上線資訊!S1366,刷條碼區!C:C,0),2),"")</f>
        <v/>
      </c>
      <c r="Z1366" s="70" t="str">
        <f>IFERROR(INDEX(刷條碼區!D:G,MATCH(點上線資訊!S1366,刷條碼區!F:F,0),1),"")</f>
        <v/>
      </c>
      <c r="AA1366" s="71" t="str">
        <f>IFERROR(INDEX(刷條碼區!D:G,MATCH(點上線資訊!S1366,刷條碼區!F:F,0),2),"")</f>
        <v/>
      </c>
      <c r="AB1366" s="20">
        <f t="shared" si="130"/>
        <v>0</v>
      </c>
      <c r="AC1366" s="20" t="b">
        <f t="shared" si="131"/>
        <v>0</v>
      </c>
      <c r="AD1366" s="17" t="b">
        <f t="shared" si="132"/>
        <v>0</v>
      </c>
      <c r="AE1366" s="17" t="b">
        <f t="shared" si="133"/>
        <v>0</v>
      </c>
    </row>
    <row r="1367" spans="17:31" x14ac:dyDescent="0.2">
      <c r="Q1367" s="17">
        <f>IFERROR(VLOOKUP(A1367,已除帳印單!B:C,1,0),0)*1</f>
        <v>0</v>
      </c>
      <c r="R1367" s="67" t="str">
        <f>IFERROR(VLOOKUP(J1367,線別!A:B,2,1),"")</f>
        <v/>
      </c>
      <c r="S1367" s="17" t="str">
        <f>IFERROR(VLOOKUP(A1367,已除帳印單!B:C,2,0),"")</f>
        <v/>
      </c>
      <c r="T1367" s="68" t="e">
        <f t="shared" si="128"/>
        <v>#VALUE!</v>
      </c>
      <c r="U1367" s="69">
        <f t="shared" si="129"/>
        <v>0</v>
      </c>
      <c r="V1367" s="68" t="str">
        <f>IFERROR(VLOOKUP(A1367,已除帳印單!B:D,3,0),"")</f>
        <v/>
      </c>
      <c r="W1367" s="69" t="str">
        <f>IFERROR(VLOOKUP(A1367,已除帳印單!B:E,4,0),"")</f>
        <v/>
      </c>
      <c r="X1367" s="68" t="str">
        <f>IFERROR(INDEX(刷條碼區!A:C,MATCH(點上線資訊!S1367,刷條碼區!C:C,0),1),"")</f>
        <v/>
      </c>
      <c r="Y1367" s="69" t="str">
        <f>IFERROR(INDEX(刷條碼區!A:C,MATCH(點上線資訊!S1367,刷條碼區!C:C,0),2),"")</f>
        <v/>
      </c>
      <c r="Z1367" s="70" t="str">
        <f>IFERROR(INDEX(刷條碼區!D:G,MATCH(點上線資訊!S1367,刷條碼區!F:F,0),1),"")</f>
        <v/>
      </c>
      <c r="AA1367" s="71" t="str">
        <f>IFERROR(INDEX(刷條碼區!D:G,MATCH(點上線資訊!S1367,刷條碼區!F:F,0),2),"")</f>
        <v/>
      </c>
      <c r="AB1367" s="20">
        <f t="shared" si="130"/>
        <v>0</v>
      </c>
      <c r="AC1367" s="20" t="b">
        <f t="shared" si="131"/>
        <v>0</v>
      </c>
      <c r="AD1367" s="17" t="b">
        <f t="shared" si="132"/>
        <v>0</v>
      </c>
      <c r="AE1367" s="17" t="b">
        <f t="shared" si="133"/>
        <v>0</v>
      </c>
    </row>
    <row r="1368" spans="17:31" x14ac:dyDescent="0.2">
      <c r="Q1368" s="17">
        <f>IFERROR(VLOOKUP(A1368,已除帳印單!B:C,1,0),0)*1</f>
        <v>0</v>
      </c>
      <c r="R1368" s="67" t="str">
        <f>IFERROR(VLOOKUP(J1368,線別!A:B,2,1),"")</f>
        <v/>
      </c>
      <c r="S1368" s="17" t="str">
        <f>IFERROR(VLOOKUP(A1368,已除帳印單!B:C,2,0),"")</f>
        <v/>
      </c>
      <c r="T1368" s="68" t="e">
        <f t="shared" si="128"/>
        <v>#VALUE!</v>
      </c>
      <c r="U1368" s="69">
        <f t="shared" si="129"/>
        <v>0</v>
      </c>
      <c r="V1368" s="68" t="str">
        <f>IFERROR(VLOOKUP(A1368,已除帳印單!B:D,3,0),"")</f>
        <v/>
      </c>
      <c r="W1368" s="69" t="str">
        <f>IFERROR(VLOOKUP(A1368,已除帳印單!B:E,4,0),"")</f>
        <v/>
      </c>
      <c r="X1368" s="68" t="str">
        <f>IFERROR(INDEX(刷條碼區!A:C,MATCH(點上線資訊!S1368,刷條碼區!C:C,0),1),"")</f>
        <v/>
      </c>
      <c r="Y1368" s="69" t="str">
        <f>IFERROR(INDEX(刷條碼區!A:C,MATCH(點上線資訊!S1368,刷條碼區!C:C,0),2),"")</f>
        <v/>
      </c>
      <c r="Z1368" s="70" t="str">
        <f>IFERROR(INDEX(刷條碼區!D:G,MATCH(點上線資訊!S1368,刷條碼區!F:F,0),1),"")</f>
        <v/>
      </c>
      <c r="AA1368" s="71" t="str">
        <f>IFERROR(INDEX(刷條碼區!D:G,MATCH(點上線資訊!S1368,刷條碼區!F:F,0),2),"")</f>
        <v/>
      </c>
      <c r="AB1368" s="20">
        <f t="shared" si="130"/>
        <v>0</v>
      </c>
      <c r="AC1368" s="20" t="b">
        <f t="shared" si="131"/>
        <v>0</v>
      </c>
      <c r="AD1368" s="17" t="b">
        <f t="shared" si="132"/>
        <v>0</v>
      </c>
      <c r="AE1368" s="17" t="b">
        <f t="shared" si="133"/>
        <v>0</v>
      </c>
    </row>
    <row r="1369" spans="17:31" x14ac:dyDescent="0.2">
      <c r="Q1369" s="17">
        <f>IFERROR(VLOOKUP(A1369,已除帳印單!B:C,1,0),0)*1</f>
        <v>0</v>
      </c>
      <c r="R1369" s="67" t="str">
        <f>IFERROR(VLOOKUP(J1369,線別!A:B,2,1),"")</f>
        <v/>
      </c>
      <c r="S1369" s="17" t="str">
        <f>IFERROR(VLOOKUP(A1369,已除帳印單!B:C,2,0),"")</f>
        <v/>
      </c>
      <c r="T1369" s="68" t="e">
        <f t="shared" si="128"/>
        <v>#VALUE!</v>
      </c>
      <c r="U1369" s="69">
        <f t="shared" si="129"/>
        <v>0</v>
      </c>
      <c r="V1369" s="68" t="str">
        <f>IFERROR(VLOOKUP(A1369,已除帳印單!B:D,3,0),"")</f>
        <v/>
      </c>
      <c r="W1369" s="69" t="str">
        <f>IFERROR(VLOOKUP(A1369,已除帳印單!B:E,4,0),"")</f>
        <v/>
      </c>
      <c r="X1369" s="68" t="str">
        <f>IFERROR(INDEX(刷條碼區!A:C,MATCH(點上線資訊!S1369,刷條碼區!C:C,0),1),"")</f>
        <v/>
      </c>
      <c r="Y1369" s="69" t="str">
        <f>IFERROR(INDEX(刷條碼區!A:C,MATCH(點上線資訊!S1369,刷條碼區!C:C,0),2),"")</f>
        <v/>
      </c>
      <c r="Z1369" s="70" t="str">
        <f>IFERROR(INDEX(刷條碼區!D:G,MATCH(點上線資訊!S1369,刷條碼區!F:F,0),1),"")</f>
        <v/>
      </c>
      <c r="AA1369" s="71" t="str">
        <f>IFERROR(INDEX(刷條碼區!D:G,MATCH(點上線資訊!S1369,刷條碼區!F:F,0),2),"")</f>
        <v/>
      </c>
      <c r="AB1369" s="20">
        <f t="shared" si="130"/>
        <v>0</v>
      </c>
      <c r="AC1369" s="20" t="b">
        <f t="shared" si="131"/>
        <v>0</v>
      </c>
      <c r="AD1369" s="17" t="b">
        <f t="shared" si="132"/>
        <v>0</v>
      </c>
      <c r="AE1369" s="17" t="b">
        <f t="shared" si="133"/>
        <v>0</v>
      </c>
    </row>
    <row r="1370" spans="17:31" x14ac:dyDescent="0.2">
      <c r="Q1370" s="17">
        <f>IFERROR(VLOOKUP(A1370,已除帳印單!B:C,1,0),0)*1</f>
        <v>0</v>
      </c>
      <c r="R1370" s="67" t="str">
        <f>IFERROR(VLOOKUP(J1370,線別!A:B,2,1),"")</f>
        <v/>
      </c>
      <c r="S1370" s="17" t="str">
        <f>IFERROR(VLOOKUP(A1370,已除帳印單!B:C,2,0),"")</f>
        <v/>
      </c>
      <c r="T1370" s="68" t="e">
        <f t="shared" si="128"/>
        <v>#VALUE!</v>
      </c>
      <c r="U1370" s="69">
        <f t="shared" si="129"/>
        <v>0</v>
      </c>
      <c r="V1370" s="68" t="str">
        <f>IFERROR(VLOOKUP(A1370,已除帳印單!B:D,3,0),"")</f>
        <v/>
      </c>
      <c r="W1370" s="69" t="str">
        <f>IFERROR(VLOOKUP(A1370,已除帳印單!B:E,4,0),"")</f>
        <v/>
      </c>
      <c r="X1370" s="68" t="str">
        <f>IFERROR(INDEX(刷條碼區!A:C,MATCH(點上線資訊!S1370,刷條碼區!C:C,0),1),"")</f>
        <v/>
      </c>
      <c r="Y1370" s="69" t="str">
        <f>IFERROR(INDEX(刷條碼區!A:C,MATCH(點上線資訊!S1370,刷條碼區!C:C,0),2),"")</f>
        <v/>
      </c>
      <c r="Z1370" s="70" t="str">
        <f>IFERROR(INDEX(刷條碼區!D:G,MATCH(點上線資訊!S1370,刷條碼區!F:F,0),1),"")</f>
        <v/>
      </c>
      <c r="AA1370" s="71" t="str">
        <f>IFERROR(INDEX(刷條碼區!D:G,MATCH(點上線資訊!S1370,刷條碼區!F:F,0),2),"")</f>
        <v/>
      </c>
      <c r="AB1370" s="20">
        <f t="shared" si="130"/>
        <v>0</v>
      </c>
      <c r="AC1370" s="20" t="b">
        <f t="shared" si="131"/>
        <v>0</v>
      </c>
      <c r="AD1370" s="17" t="b">
        <f t="shared" si="132"/>
        <v>0</v>
      </c>
      <c r="AE1370" s="17" t="b">
        <f t="shared" si="133"/>
        <v>0</v>
      </c>
    </row>
    <row r="1371" spans="17:31" x14ac:dyDescent="0.2">
      <c r="Q1371" s="17">
        <f>IFERROR(VLOOKUP(A1371,已除帳印單!B:C,1,0),0)*1</f>
        <v>0</v>
      </c>
      <c r="R1371" s="67" t="str">
        <f>IFERROR(VLOOKUP(J1371,線別!A:B,2,1),"")</f>
        <v/>
      </c>
      <c r="S1371" s="17" t="str">
        <f>IFERROR(VLOOKUP(A1371,已除帳印單!B:C,2,0),"")</f>
        <v/>
      </c>
      <c r="T1371" s="68" t="e">
        <f t="shared" si="128"/>
        <v>#VALUE!</v>
      </c>
      <c r="U1371" s="69">
        <f t="shared" si="129"/>
        <v>0</v>
      </c>
      <c r="V1371" s="68" t="str">
        <f>IFERROR(VLOOKUP(A1371,已除帳印單!B:D,3,0),"")</f>
        <v/>
      </c>
      <c r="W1371" s="69" t="str">
        <f>IFERROR(VLOOKUP(A1371,已除帳印單!B:E,4,0),"")</f>
        <v/>
      </c>
      <c r="X1371" s="68" t="str">
        <f>IFERROR(INDEX(刷條碼區!A:C,MATCH(點上線資訊!S1371,刷條碼區!C:C,0),1),"")</f>
        <v/>
      </c>
      <c r="Y1371" s="69" t="str">
        <f>IFERROR(INDEX(刷條碼區!A:C,MATCH(點上線資訊!S1371,刷條碼區!C:C,0),2),"")</f>
        <v/>
      </c>
      <c r="Z1371" s="70" t="str">
        <f>IFERROR(INDEX(刷條碼區!D:G,MATCH(點上線資訊!S1371,刷條碼區!F:F,0),1),"")</f>
        <v/>
      </c>
      <c r="AA1371" s="71" t="str">
        <f>IFERROR(INDEX(刷條碼區!D:G,MATCH(點上線資訊!S1371,刷條碼區!F:F,0),2),"")</f>
        <v/>
      </c>
      <c r="AB1371" s="20">
        <f t="shared" si="130"/>
        <v>0</v>
      </c>
      <c r="AC1371" s="20" t="b">
        <f t="shared" si="131"/>
        <v>0</v>
      </c>
      <c r="AD1371" s="17" t="b">
        <f t="shared" si="132"/>
        <v>0</v>
      </c>
      <c r="AE1371" s="17" t="b">
        <f t="shared" si="133"/>
        <v>0</v>
      </c>
    </row>
    <row r="1372" spans="17:31" x14ac:dyDescent="0.2">
      <c r="Q1372" s="17">
        <f>IFERROR(VLOOKUP(A1372,已除帳印單!B:C,1,0),0)*1</f>
        <v>0</v>
      </c>
      <c r="R1372" s="67" t="str">
        <f>IFERROR(VLOOKUP(J1372,線別!A:B,2,1),"")</f>
        <v/>
      </c>
      <c r="S1372" s="17" t="str">
        <f>IFERROR(VLOOKUP(A1372,已除帳印單!B:C,2,0),"")</f>
        <v/>
      </c>
      <c r="T1372" s="68" t="e">
        <f t="shared" si="128"/>
        <v>#VALUE!</v>
      </c>
      <c r="U1372" s="69">
        <f t="shared" si="129"/>
        <v>0</v>
      </c>
      <c r="V1372" s="68" t="str">
        <f>IFERROR(VLOOKUP(A1372,已除帳印單!B:D,3,0),"")</f>
        <v/>
      </c>
      <c r="W1372" s="69" t="str">
        <f>IFERROR(VLOOKUP(A1372,已除帳印單!B:E,4,0),"")</f>
        <v/>
      </c>
      <c r="X1372" s="68" t="str">
        <f>IFERROR(INDEX(刷條碼區!A:C,MATCH(點上線資訊!S1372,刷條碼區!C:C,0),1),"")</f>
        <v/>
      </c>
      <c r="Y1372" s="69" t="str">
        <f>IFERROR(INDEX(刷條碼區!A:C,MATCH(點上線資訊!S1372,刷條碼區!C:C,0),2),"")</f>
        <v/>
      </c>
      <c r="Z1372" s="70" t="str">
        <f>IFERROR(INDEX(刷條碼區!D:G,MATCH(點上線資訊!S1372,刷條碼區!F:F,0),1),"")</f>
        <v/>
      </c>
      <c r="AA1372" s="71" t="str">
        <f>IFERROR(INDEX(刷條碼區!D:G,MATCH(點上線資訊!S1372,刷條碼區!F:F,0),2),"")</f>
        <v/>
      </c>
      <c r="AB1372" s="20">
        <f t="shared" si="130"/>
        <v>0</v>
      </c>
      <c r="AC1372" s="20" t="b">
        <f t="shared" si="131"/>
        <v>0</v>
      </c>
      <c r="AD1372" s="17" t="b">
        <f t="shared" si="132"/>
        <v>0</v>
      </c>
      <c r="AE1372" s="17" t="b">
        <f t="shared" si="133"/>
        <v>0</v>
      </c>
    </row>
    <row r="1373" spans="17:31" x14ac:dyDescent="0.2">
      <c r="Q1373" s="17">
        <f>IFERROR(VLOOKUP(A1373,已除帳印單!B:C,1,0),0)*1</f>
        <v>0</v>
      </c>
      <c r="R1373" s="67" t="str">
        <f>IFERROR(VLOOKUP(J1373,線別!A:B,2,1),"")</f>
        <v/>
      </c>
      <c r="S1373" s="17" t="str">
        <f>IFERROR(VLOOKUP(A1373,已除帳印單!B:C,2,0),"")</f>
        <v/>
      </c>
      <c r="T1373" s="68" t="e">
        <f t="shared" si="128"/>
        <v>#VALUE!</v>
      </c>
      <c r="U1373" s="69">
        <f t="shared" si="129"/>
        <v>0</v>
      </c>
      <c r="V1373" s="68" t="str">
        <f>IFERROR(VLOOKUP(A1373,已除帳印單!B:D,3,0),"")</f>
        <v/>
      </c>
      <c r="W1373" s="69" t="str">
        <f>IFERROR(VLOOKUP(A1373,已除帳印單!B:E,4,0),"")</f>
        <v/>
      </c>
      <c r="X1373" s="68" t="str">
        <f>IFERROR(INDEX(刷條碼區!A:C,MATCH(點上線資訊!S1373,刷條碼區!C:C,0),1),"")</f>
        <v/>
      </c>
      <c r="Y1373" s="69" t="str">
        <f>IFERROR(INDEX(刷條碼區!A:C,MATCH(點上線資訊!S1373,刷條碼區!C:C,0),2),"")</f>
        <v/>
      </c>
      <c r="Z1373" s="70" t="str">
        <f>IFERROR(INDEX(刷條碼區!D:G,MATCH(點上線資訊!S1373,刷條碼區!F:F,0),1),"")</f>
        <v/>
      </c>
      <c r="AA1373" s="71" t="str">
        <f>IFERROR(INDEX(刷條碼區!D:G,MATCH(點上線資訊!S1373,刷條碼區!F:F,0),2),"")</f>
        <v/>
      </c>
      <c r="AB1373" s="20">
        <f t="shared" si="130"/>
        <v>0</v>
      </c>
      <c r="AC1373" s="20" t="b">
        <f t="shared" si="131"/>
        <v>0</v>
      </c>
      <c r="AD1373" s="17" t="b">
        <f t="shared" si="132"/>
        <v>0</v>
      </c>
      <c r="AE1373" s="17" t="b">
        <f t="shared" si="133"/>
        <v>0</v>
      </c>
    </row>
    <row r="1374" spans="17:31" x14ac:dyDescent="0.2">
      <c r="Q1374" s="17">
        <f>IFERROR(VLOOKUP(A1374,已除帳印單!B:C,1,0),0)*1</f>
        <v>0</v>
      </c>
      <c r="R1374" s="67" t="str">
        <f>IFERROR(VLOOKUP(J1374,線別!A:B,2,1),"")</f>
        <v/>
      </c>
      <c r="S1374" s="17" t="str">
        <f>IFERROR(VLOOKUP(A1374,已除帳印單!B:C,2,0),"")</f>
        <v/>
      </c>
      <c r="T1374" s="68" t="e">
        <f t="shared" si="128"/>
        <v>#VALUE!</v>
      </c>
      <c r="U1374" s="69">
        <f t="shared" si="129"/>
        <v>0</v>
      </c>
      <c r="V1374" s="68" t="str">
        <f>IFERROR(VLOOKUP(A1374,已除帳印單!B:D,3,0),"")</f>
        <v/>
      </c>
      <c r="W1374" s="69" t="str">
        <f>IFERROR(VLOOKUP(A1374,已除帳印單!B:E,4,0),"")</f>
        <v/>
      </c>
      <c r="X1374" s="68" t="str">
        <f>IFERROR(INDEX(刷條碼區!A:C,MATCH(點上線資訊!S1374,刷條碼區!C:C,0),1),"")</f>
        <v/>
      </c>
      <c r="Y1374" s="69" t="str">
        <f>IFERROR(INDEX(刷條碼區!A:C,MATCH(點上線資訊!S1374,刷條碼區!C:C,0),2),"")</f>
        <v/>
      </c>
      <c r="Z1374" s="70" t="str">
        <f>IFERROR(INDEX(刷條碼區!D:G,MATCH(點上線資訊!S1374,刷條碼區!F:F,0),1),"")</f>
        <v/>
      </c>
      <c r="AA1374" s="71" t="str">
        <f>IFERROR(INDEX(刷條碼區!D:G,MATCH(點上線資訊!S1374,刷條碼區!F:F,0),2),"")</f>
        <v/>
      </c>
      <c r="AB1374" s="20">
        <f t="shared" si="130"/>
        <v>0</v>
      </c>
      <c r="AC1374" s="20" t="b">
        <f t="shared" si="131"/>
        <v>0</v>
      </c>
      <c r="AD1374" s="17" t="b">
        <f t="shared" si="132"/>
        <v>0</v>
      </c>
      <c r="AE1374" s="17" t="b">
        <f t="shared" si="133"/>
        <v>0</v>
      </c>
    </row>
    <row r="1375" spans="17:31" x14ac:dyDescent="0.2">
      <c r="Q1375" s="17">
        <f>IFERROR(VLOOKUP(A1375,已除帳印單!B:C,1,0),0)*1</f>
        <v>0</v>
      </c>
      <c r="R1375" s="67" t="str">
        <f>IFERROR(VLOOKUP(J1375,線別!A:B,2,1),"")</f>
        <v/>
      </c>
      <c r="S1375" s="17" t="str">
        <f>IFERROR(VLOOKUP(A1375,已除帳印單!B:C,2,0),"")</f>
        <v/>
      </c>
      <c r="T1375" s="68" t="e">
        <f t="shared" si="128"/>
        <v>#VALUE!</v>
      </c>
      <c r="U1375" s="69">
        <f t="shared" si="129"/>
        <v>0</v>
      </c>
      <c r="V1375" s="68" t="str">
        <f>IFERROR(VLOOKUP(A1375,已除帳印單!B:D,3,0),"")</f>
        <v/>
      </c>
      <c r="W1375" s="69" t="str">
        <f>IFERROR(VLOOKUP(A1375,已除帳印單!B:E,4,0),"")</f>
        <v/>
      </c>
      <c r="X1375" s="68" t="str">
        <f>IFERROR(INDEX(刷條碼區!A:C,MATCH(點上線資訊!S1375,刷條碼區!C:C,0),1),"")</f>
        <v/>
      </c>
      <c r="Y1375" s="69" t="str">
        <f>IFERROR(INDEX(刷條碼區!A:C,MATCH(點上線資訊!S1375,刷條碼區!C:C,0),2),"")</f>
        <v/>
      </c>
      <c r="Z1375" s="70" t="str">
        <f>IFERROR(INDEX(刷條碼區!D:G,MATCH(點上線資訊!S1375,刷條碼區!F:F,0),1),"")</f>
        <v/>
      </c>
      <c r="AA1375" s="71" t="str">
        <f>IFERROR(INDEX(刷條碼區!D:G,MATCH(點上線資訊!S1375,刷條碼區!F:F,0),2),"")</f>
        <v/>
      </c>
      <c r="AB1375" s="20">
        <f t="shared" si="130"/>
        <v>0</v>
      </c>
      <c r="AC1375" s="20" t="b">
        <f t="shared" si="131"/>
        <v>0</v>
      </c>
      <c r="AD1375" s="17" t="b">
        <f t="shared" si="132"/>
        <v>0</v>
      </c>
      <c r="AE1375" s="17" t="b">
        <f t="shared" si="133"/>
        <v>0</v>
      </c>
    </row>
    <row r="1376" spans="17:31" x14ac:dyDescent="0.2">
      <c r="Q1376" s="17">
        <f>IFERROR(VLOOKUP(A1376,已除帳印單!B:C,1,0),0)*1</f>
        <v>0</v>
      </c>
      <c r="R1376" s="67" t="str">
        <f>IFERROR(VLOOKUP(J1376,線別!A:B,2,1),"")</f>
        <v/>
      </c>
      <c r="S1376" s="17" t="str">
        <f>IFERROR(VLOOKUP(A1376,已除帳印單!B:C,2,0),"")</f>
        <v/>
      </c>
      <c r="T1376" s="68" t="e">
        <f t="shared" si="128"/>
        <v>#VALUE!</v>
      </c>
      <c r="U1376" s="69">
        <f t="shared" si="129"/>
        <v>0</v>
      </c>
      <c r="V1376" s="68" t="str">
        <f>IFERROR(VLOOKUP(A1376,已除帳印單!B:D,3,0),"")</f>
        <v/>
      </c>
      <c r="W1376" s="69" t="str">
        <f>IFERROR(VLOOKUP(A1376,已除帳印單!B:E,4,0),"")</f>
        <v/>
      </c>
      <c r="X1376" s="68" t="str">
        <f>IFERROR(INDEX(刷條碼區!A:C,MATCH(點上線資訊!S1376,刷條碼區!C:C,0),1),"")</f>
        <v/>
      </c>
      <c r="Y1376" s="69" t="str">
        <f>IFERROR(INDEX(刷條碼區!A:C,MATCH(點上線資訊!S1376,刷條碼區!C:C,0),2),"")</f>
        <v/>
      </c>
      <c r="Z1376" s="70" t="str">
        <f>IFERROR(INDEX(刷條碼區!D:G,MATCH(點上線資訊!S1376,刷條碼區!F:F,0),1),"")</f>
        <v/>
      </c>
      <c r="AA1376" s="71" t="str">
        <f>IFERROR(INDEX(刷條碼區!D:G,MATCH(點上線資訊!S1376,刷條碼區!F:F,0),2),"")</f>
        <v/>
      </c>
      <c r="AB1376" s="20">
        <f t="shared" si="130"/>
        <v>0</v>
      </c>
      <c r="AC1376" s="20" t="b">
        <f t="shared" si="131"/>
        <v>0</v>
      </c>
      <c r="AD1376" s="17" t="b">
        <f t="shared" si="132"/>
        <v>0</v>
      </c>
      <c r="AE1376" s="17" t="b">
        <f t="shared" si="133"/>
        <v>0</v>
      </c>
    </row>
    <row r="1377" spans="17:31" x14ac:dyDescent="0.2">
      <c r="Q1377" s="17">
        <f>IFERROR(VLOOKUP(A1377,已除帳印單!B:C,1,0),0)*1</f>
        <v>0</v>
      </c>
      <c r="R1377" s="67" t="str">
        <f>IFERROR(VLOOKUP(J1377,線別!A:B,2,1),"")</f>
        <v/>
      </c>
      <c r="S1377" s="17" t="str">
        <f>IFERROR(VLOOKUP(A1377,已除帳印單!B:C,2,0),"")</f>
        <v/>
      </c>
      <c r="T1377" s="68" t="e">
        <f t="shared" si="128"/>
        <v>#VALUE!</v>
      </c>
      <c r="U1377" s="69">
        <f t="shared" si="129"/>
        <v>0</v>
      </c>
      <c r="V1377" s="68" t="str">
        <f>IFERROR(VLOOKUP(A1377,已除帳印單!B:D,3,0),"")</f>
        <v/>
      </c>
      <c r="W1377" s="69" t="str">
        <f>IFERROR(VLOOKUP(A1377,已除帳印單!B:E,4,0),"")</f>
        <v/>
      </c>
      <c r="X1377" s="68" t="str">
        <f>IFERROR(INDEX(刷條碼區!A:C,MATCH(點上線資訊!S1377,刷條碼區!C:C,0),1),"")</f>
        <v/>
      </c>
      <c r="Y1377" s="69" t="str">
        <f>IFERROR(INDEX(刷條碼區!A:C,MATCH(點上線資訊!S1377,刷條碼區!C:C,0),2),"")</f>
        <v/>
      </c>
      <c r="Z1377" s="70" t="str">
        <f>IFERROR(INDEX(刷條碼區!D:G,MATCH(點上線資訊!S1377,刷條碼區!F:F,0),1),"")</f>
        <v/>
      </c>
      <c r="AA1377" s="71" t="str">
        <f>IFERROR(INDEX(刷條碼區!D:G,MATCH(點上線資訊!S1377,刷條碼區!F:F,0),2),"")</f>
        <v/>
      </c>
      <c r="AB1377" s="20">
        <f t="shared" si="130"/>
        <v>0</v>
      </c>
      <c r="AC1377" s="20" t="b">
        <f t="shared" si="131"/>
        <v>0</v>
      </c>
      <c r="AD1377" s="17" t="b">
        <f t="shared" si="132"/>
        <v>0</v>
      </c>
      <c r="AE1377" s="17" t="b">
        <f t="shared" si="133"/>
        <v>0</v>
      </c>
    </row>
    <row r="1378" spans="17:31" x14ac:dyDescent="0.2">
      <c r="Q1378" s="17">
        <f>IFERROR(VLOOKUP(A1378,已除帳印單!B:C,1,0),0)*1</f>
        <v>0</v>
      </c>
      <c r="R1378" s="67" t="str">
        <f>IFERROR(VLOOKUP(J1378,線別!A:B,2,1),"")</f>
        <v/>
      </c>
      <c r="S1378" s="17" t="str">
        <f>IFERROR(VLOOKUP(A1378,已除帳印單!B:C,2,0),"")</f>
        <v/>
      </c>
      <c r="T1378" s="68" t="e">
        <f t="shared" si="128"/>
        <v>#VALUE!</v>
      </c>
      <c r="U1378" s="69">
        <f t="shared" si="129"/>
        <v>0</v>
      </c>
      <c r="V1378" s="68" t="str">
        <f>IFERROR(VLOOKUP(A1378,已除帳印單!B:D,3,0),"")</f>
        <v/>
      </c>
      <c r="W1378" s="69" t="str">
        <f>IFERROR(VLOOKUP(A1378,已除帳印單!B:E,4,0),"")</f>
        <v/>
      </c>
      <c r="X1378" s="68" t="str">
        <f>IFERROR(INDEX(刷條碼區!A:C,MATCH(點上線資訊!S1378,刷條碼區!C:C,0),1),"")</f>
        <v/>
      </c>
      <c r="Y1378" s="69" t="str">
        <f>IFERROR(INDEX(刷條碼區!A:C,MATCH(點上線資訊!S1378,刷條碼區!C:C,0),2),"")</f>
        <v/>
      </c>
      <c r="Z1378" s="70" t="str">
        <f>IFERROR(INDEX(刷條碼區!D:G,MATCH(點上線資訊!S1378,刷條碼區!F:F,0),1),"")</f>
        <v/>
      </c>
      <c r="AA1378" s="71" t="str">
        <f>IFERROR(INDEX(刷條碼區!D:G,MATCH(點上線資訊!S1378,刷條碼區!F:F,0),2),"")</f>
        <v/>
      </c>
      <c r="AB1378" s="20">
        <f t="shared" si="130"/>
        <v>0</v>
      </c>
      <c r="AC1378" s="20" t="b">
        <f t="shared" si="131"/>
        <v>0</v>
      </c>
      <c r="AD1378" s="17" t="b">
        <f t="shared" si="132"/>
        <v>0</v>
      </c>
      <c r="AE1378" s="17" t="b">
        <f t="shared" si="133"/>
        <v>0</v>
      </c>
    </row>
    <row r="1379" spans="17:31" x14ac:dyDescent="0.2">
      <c r="Q1379" s="17">
        <f>IFERROR(VLOOKUP(A1379,已除帳印單!B:C,1,0),0)*1</f>
        <v>0</v>
      </c>
      <c r="R1379" s="67" t="str">
        <f>IFERROR(VLOOKUP(J1379,線別!A:B,2,1),"")</f>
        <v/>
      </c>
      <c r="S1379" s="17" t="str">
        <f>IFERROR(VLOOKUP(A1379,已除帳印單!B:C,2,0),"")</f>
        <v/>
      </c>
      <c r="T1379" s="68" t="e">
        <f t="shared" si="128"/>
        <v>#VALUE!</v>
      </c>
      <c r="U1379" s="69">
        <f t="shared" si="129"/>
        <v>0</v>
      </c>
      <c r="V1379" s="68" t="str">
        <f>IFERROR(VLOOKUP(A1379,已除帳印單!B:D,3,0),"")</f>
        <v/>
      </c>
      <c r="W1379" s="69" t="str">
        <f>IFERROR(VLOOKUP(A1379,已除帳印單!B:E,4,0),"")</f>
        <v/>
      </c>
      <c r="X1379" s="68" t="str">
        <f>IFERROR(INDEX(刷條碼區!A:C,MATCH(點上線資訊!S1379,刷條碼區!C:C,0),1),"")</f>
        <v/>
      </c>
      <c r="Y1379" s="69" t="str">
        <f>IFERROR(INDEX(刷條碼區!A:C,MATCH(點上線資訊!S1379,刷條碼區!C:C,0),2),"")</f>
        <v/>
      </c>
      <c r="Z1379" s="70" t="str">
        <f>IFERROR(INDEX(刷條碼區!D:G,MATCH(點上線資訊!S1379,刷條碼區!F:F,0),1),"")</f>
        <v/>
      </c>
      <c r="AA1379" s="71" t="str">
        <f>IFERROR(INDEX(刷條碼區!D:G,MATCH(點上線資訊!S1379,刷條碼區!F:F,0),2),"")</f>
        <v/>
      </c>
      <c r="AB1379" s="20">
        <f t="shared" si="130"/>
        <v>0</v>
      </c>
      <c r="AC1379" s="20" t="b">
        <f t="shared" si="131"/>
        <v>0</v>
      </c>
      <c r="AD1379" s="17" t="b">
        <f t="shared" si="132"/>
        <v>0</v>
      </c>
      <c r="AE1379" s="17" t="b">
        <f t="shared" si="133"/>
        <v>0</v>
      </c>
    </row>
    <row r="1380" spans="17:31" x14ac:dyDescent="0.2">
      <c r="Q1380" s="17">
        <f>IFERROR(VLOOKUP(A1380,已除帳印單!B:C,1,0),0)*1</f>
        <v>0</v>
      </c>
      <c r="R1380" s="67" t="str">
        <f>IFERROR(VLOOKUP(J1380,線別!A:B,2,1),"")</f>
        <v/>
      </c>
      <c r="S1380" s="17" t="str">
        <f>IFERROR(VLOOKUP(A1380,已除帳印單!B:C,2,0),"")</f>
        <v/>
      </c>
      <c r="T1380" s="68" t="e">
        <f t="shared" si="128"/>
        <v>#VALUE!</v>
      </c>
      <c r="U1380" s="69">
        <f t="shared" si="129"/>
        <v>0</v>
      </c>
      <c r="V1380" s="68" t="str">
        <f>IFERROR(VLOOKUP(A1380,已除帳印單!B:D,3,0),"")</f>
        <v/>
      </c>
      <c r="W1380" s="69" t="str">
        <f>IFERROR(VLOOKUP(A1380,已除帳印單!B:E,4,0),"")</f>
        <v/>
      </c>
      <c r="X1380" s="68" t="str">
        <f>IFERROR(INDEX(刷條碼區!A:C,MATCH(點上線資訊!S1380,刷條碼區!C:C,0),1),"")</f>
        <v/>
      </c>
      <c r="Y1380" s="69" t="str">
        <f>IFERROR(INDEX(刷條碼區!A:C,MATCH(點上線資訊!S1380,刷條碼區!C:C,0),2),"")</f>
        <v/>
      </c>
      <c r="Z1380" s="70" t="str">
        <f>IFERROR(INDEX(刷條碼區!D:G,MATCH(點上線資訊!S1380,刷條碼區!F:F,0),1),"")</f>
        <v/>
      </c>
      <c r="AA1380" s="71" t="str">
        <f>IFERROR(INDEX(刷條碼區!D:G,MATCH(點上線資訊!S1380,刷條碼區!F:F,0),2),"")</f>
        <v/>
      </c>
      <c r="AB1380" s="20">
        <f t="shared" si="130"/>
        <v>0</v>
      </c>
      <c r="AC1380" s="20" t="b">
        <f t="shared" si="131"/>
        <v>0</v>
      </c>
      <c r="AD1380" s="17" t="b">
        <f t="shared" si="132"/>
        <v>0</v>
      </c>
      <c r="AE1380" s="17" t="b">
        <f t="shared" si="133"/>
        <v>0</v>
      </c>
    </row>
    <row r="1381" spans="17:31" x14ac:dyDescent="0.2">
      <c r="Q1381" s="17">
        <f>IFERROR(VLOOKUP(A1381,已除帳印單!B:C,1,0),0)*1</f>
        <v>0</v>
      </c>
      <c r="R1381" s="67" t="str">
        <f>IFERROR(VLOOKUP(J1381,線別!A:B,2,1),"")</f>
        <v/>
      </c>
      <c r="S1381" s="17" t="str">
        <f>IFERROR(VLOOKUP(A1381,已除帳印單!B:C,2,0),"")</f>
        <v/>
      </c>
      <c r="T1381" s="68" t="e">
        <f t="shared" si="128"/>
        <v>#VALUE!</v>
      </c>
      <c r="U1381" s="69">
        <f t="shared" si="129"/>
        <v>0</v>
      </c>
      <c r="V1381" s="68" t="str">
        <f>IFERROR(VLOOKUP(A1381,已除帳印單!B:D,3,0),"")</f>
        <v/>
      </c>
      <c r="W1381" s="69" t="str">
        <f>IFERROR(VLOOKUP(A1381,已除帳印單!B:E,4,0),"")</f>
        <v/>
      </c>
      <c r="X1381" s="68" t="str">
        <f>IFERROR(INDEX(刷條碼區!A:C,MATCH(點上線資訊!S1381,刷條碼區!C:C,0),1),"")</f>
        <v/>
      </c>
      <c r="Y1381" s="69" t="str">
        <f>IFERROR(INDEX(刷條碼區!A:C,MATCH(點上線資訊!S1381,刷條碼區!C:C,0),2),"")</f>
        <v/>
      </c>
      <c r="Z1381" s="70" t="str">
        <f>IFERROR(INDEX(刷條碼區!D:G,MATCH(點上線資訊!S1381,刷條碼區!F:F,0),1),"")</f>
        <v/>
      </c>
      <c r="AA1381" s="71" t="str">
        <f>IFERROR(INDEX(刷條碼區!D:G,MATCH(點上線資訊!S1381,刷條碼區!F:F,0),2),"")</f>
        <v/>
      </c>
      <c r="AB1381" s="20">
        <f t="shared" si="130"/>
        <v>0</v>
      </c>
      <c r="AC1381" s="20" t="b">
        <f t="shared" si="131"/>
        <v>0</v>
      </c>
      <c r="AD1381" s="17" t="b">
        <f t="shared" si="132"/>
        <v>0</v>
      </c>
      <c r="AE1381" s="17" t="b">
        <f t="shared" si="133"/>
        <v>0</v>
      </c>
    </row>
    <row r="1382" spans="17:31" x14ac:dyDescent="0.2">
      <c r="Q1382" s="17">
        <f>IFERROR(VLOOKUP(A1382,已除帳印單!B:C,1,0),0)*1</f>
        <v>0</v>
      </c>
      <c r="R1382" s="67" t="str">
        <f>IFERROR(VLOOKUP(J1382,線別!A:B,2,1),"")</f>
        <v/>
      </c>
      <c r="S1382" s="17" t="str">
        <f>IFERROR(VLOOKUP(A1382,已除帳印單!B:C,2,0),"")</f>
        <v/>
      </c>
      <c r="T1382" s="68" t="e">
        <f t="shared" si="128"/>
        <v>#VALUE!</v>
      </c>
      <c r="U1382" s="69">
        <f t="shared" si="129"/>
        <v>0</v>
      </c>
      <c r="V1382" s="68" t="str">
        <f>IFERROR(VLOOKUP(A1382,已除帳印單!B:D,3,0),"")</f>
        <v/>
      </c>
      <c r="W1382" s="69" t="str">
        <f>IFERROR(VLOOKUP(A1382,已除帳印單!B:E,4,0),"")</f>
        <v/>
      </c>
      <c r="X1382" s="68" t="str">
        <f>IFERROR(INDEX(刷條碼區!A:C,MATCH(點上線資訊!S1382,刷條碼區!C:C,0),1),"")</f>
        <v/>
      </c>
      <c r="Y1382" s="69" t="str">
        <f>IFERROR(INDEX(刷條碼區!A:C,MATCH(點上線資訊!S1382,刷條碼區!C:C,0),2),"")</f>
        <v/>
      </c>
      <c r="Z1382" s="70" t="str">
        <f>IFERROR(INDEX(刷條碼區!D:G,MATCH(點上線資訊!S1382,刷條碼區!F:F,0),1),"")</f>
        <v/>
      </c>
      <c r="AA1382" s="71" t="str">
        <f>IFERROR(INDEX(刷條碼區!D:G,MATCH(點上線資訊!S1382,刷條碼區!F:F,0),2),"")</f>
        <v/>
      </c>
      <c r="AB1382" s="20">
        <f t="shared" si="130"/>
        <v>0</v>
      </c>
      <c r="AC1382" s="20" t="b">
        <f t="shared" si="131"/>
        <v>0</v>
      </c>
      <c r="AD1382" s="17" t="b">
        <f t="shared" si="132"/>
        <v>0</v>
      </c>
      <c r="AE1382" s="17" t="b">
        <f t="shared" si="133"/>
        <v>0</v>
      </c>
    </row>
    <row r="1383" spans="17:31" x14ac:dyDescent="0.2">
      <c r="Q1383" s="17">
        <f>IFERROR(VLOOKUP(A1383,已除帳印單!B:C,1,0),0)*1</f>
        <v>0</v>
      </c>
      <c r="R1383" s="67" t="str">
        <f>IFERROR(VLOOKUP(J1383,線別!A:B,2,1),"")</f>
        <v/>
      </c>
      <c r="S1383" s="17" t="str">
        <f>IFERROR(VLOOKUP(A1383,已除帳印單!B:C,2,0),"")</f>
        <v/>
      </c>
      <c r="T1383" s="68" t="e">
        <f t="shared" si="128"/>
        <v>#VALUE!</v>
      </c>
      <c r="U1383" s="69">
        <f t="shared" si="129"/>
        <v>0</v>
      </c>
      <c r="V1383" s="68" t="str">
        <f>IFERROR(VLOOKUP(A1383,已除帳印單!B:D,3,0),"")</f>
        <v/>
      </c>
      <c r="W1383" s="69" t="str">
        <f>IFERROR(VLOOKUP(A1383,已除帳印單!B:E,4,0),"")</f>
        <v/>
      </c>
      <c r="X1383" s="68" t="str">
        <f>IFERROR(INDEX(刷條碼區!A:C,MATCH(點上線資訊!S1383,刷條碼區!C:C,0),1),"")</f>
        <v/>
      </c>
      <c r="Y1383" s="69" t="str">
        <f>IFERROR(INDEX(刷條碼區!A:C,MATCH(點上線資訊!S1383,刷條碼區!C:C,0),2),"")</f>
        <v/>
      </c>
      <c r="Z1383" s="70" t="str">
        <f>IFERROR(INDEX(刷條碼區!D:G,MATCH(點上線資訊!S1383,刷條碼區!F:F,0),1),"")</f>
        <v/>
      </c>
      <c r="AA1383" s="71" t="str">
        <f>IFERROR(INDEX(刷條碼區!D:G,MATCH(點上線資訊!S1383,刷條碼區!F:F,0),2),"")</f>
        <v/>
      </c>
      <c r="AB1383" s="20">
        <f t="shared" si="130"/>
        <v>0</v>
      </c>
      <c r="AC1383" s="20" t="b">
        <f t="shared" si="131"/>
        <v>0</v>
      </c>
      <c r="AD1383" s="17" t="b">
        <f t="shared" si="132"/>
        <v>0</v>
      </c>
      <c r="AE1383" s="17" t="b">
        <f t="shared" si="133"/>
        <v>0</v>
      </c>
    </row>
    <row r="1384" spans="17:31" x14ac:dyDescent="0.2">
      <c r="Q1384" s="17">
        <f>IFERROR(VLOOKUP(A1384,已除帳印單!B:C,1,0),0)*1</f>
        <v>0</v>
      </c>
      <c r="R1384" s="67" t="str">
        <f>IFERROR(VLOOKUP(J1384,線別!A:B,2,1),"")</f>
        <v/>
      </c>
      <c r="S1384" s="17" t="str">
        <f>IFERROR(VLOOKUP(A1384,已除帳印單!B:C,2,0),"")</f>
        <v/>
      </c>
      <c r="T1384" s="68" t="e">
        <f t="shared" si="128"/>
        <v>#VALUE!</v>
      </c>
      <c r="U1384" s="69">
        <f t="shared" si="129"/>
        <v>0</v>
      </c>
      <c r="V1384" s="68" t="str">
        <f>IFERROR(VLOOKUP(A1384,已除帳印單!B:D,3,0),"")</f>
        <v/>
      </c>
      <c r="W1384" s="69" t="str">
        <f>IFERROR(VLOOKUP(A1384,已除帳印單!B:E,4,0),"")</f>
        <v/>
      </c>
      <c r="X1384" s="68" t="str">
        <f>IFERROR(INDEX(刷條碼區!A:C,MATCH(點上線資訊!S1384,刷條碼區!C:C,0),1),"")</f>
        <v/>
      </c>
      <c r="Y1384" s="69" t="str">
        <f>IFERROR(INDEX(刷條碼區!A:C,MATCH(點上線資訊!S1384,刷條碼區!C:C,0),2),"")</f>
        <v/>
      </c>
      <c r="Z1384" s="70" t="str">
        <f>IFERROR(INDEX(刷條碼區!D:G,MATCH(點上線資訊!S1384,刷條碼區!F:F,0),1),"")</f>
        <v/>
      </c>
      <c r="AA1384" s="71" t="str">
        <f>IFERROR(INDEX(刷條碼區!D:G,MATCH(點上線資訊!S1384,刷條碼區!F:F,0),2),"")</f>
        <v/>
      </c>
      <c r="AB1384" s="20">
        <f t="shared" si="130"/>
        <v>0</v>
      </c>
      <c r="AC1384" s="20" t="b">
        <f t="shared" si="131"/>
        <v>0</v>
      </c>
      <c r="AD1384" s="17" t="b">
        <f t="shared" si="132"/>
        <v>0</v>
      </c>
      <c r="AE1384" s="17" t="b">
        <f t="shared" si="133"/>
        <v>0</v>
      </c>
    </row>
    <row r="1385" spans="17:31" x14ac:dyDescent="0.2">
      <c r="Q1385" s="17">
        <f>IFERROR(VLOOKUP(A1385,已除帳印單!B:C,1,0),0)*1</f>
        <v>0</v>
      </c>
      <c r="R1385" s="67" t="str">
        <f>IFERROR(VLOOKUP(J1385,線別!A:B,2,1),"")</f>
        <v/>
      </c>
      <c r="S1385" s="17" t="str">
        <f>IFERROR(VLOOKUP(A1385,已除帳印單!B:C,2,0),"")</f>
        <v/>
      </c>
      <c r="T1385" s="68" t="e">
        <f t="shared" si="128"/>
        <v>#VALUE!</v>
      </c>
      <c r="U1385" s="69">
        <f t="shared" si="129"/>
        <v>0</v>
      </c>
      <c r="V1385" s="68" t="str">
        <f>IFERROR(VLOOKUP(A1385,已除帳印單!B:D,3,0),"")</f>
        <v/>
      </c>
      <c r="W1385" s="69" t="str">
        <f>IFERROR(VLOOKUP(A1385,已除帳印單!B:E,4,0),"")</f>
        <v/>
      </c>
      <c r="X1385" s="68" t="str">
        <f>IFERROR(INDEX(刷條碼區!A:C,MATCH(點上線資訊!S1385,刷條碼區!C:C,0),1),"")</f>
        <v/>
      </c>
      <c r="Y1385" s="69" t="str">
        <f>IFERROR(INDEX(刷條碼區!A:C,MATCH(點上線資訊!S1385,刷條碼區!C:C,0),2),"")</f>
        <v/>
      </c>
      <c r="Z1385" s="70" t="str">
        <f>IFERROR(INDEX(刷條碼區!D:G,MATCH(點上線資訊!S1385,刷條碼區!F:F,0),1),"")</f>
        <v/>
      </c>
      <c r="AA1385" s="71" t="str">
        <f>IFERROR(INDEX(刷條碼區!D:G,MATCH(點上線資訊!S1385,刷條碼區!F:F,0),2),"")</f>
        <v/>
      </c>
      <c r="AB1385" s="20">
        <f t="shared" si="130"/>
        <v>0</v>
      </c>
      <c r="AC1385" s="20" t="b">
        <f t="shared" si="131"/>
        <v>0</v>
      </c>
      <c r="AD1385" s="17" t="b">
        <f t="shared" si="132"/>
        <v>0</v>
      </c>
      <c r="AE1385" s="17" t="b">
        <f t="shared" si="133"/>
        <v>0</v>
      </c>
    </row>
    <row r="1386" spans="17:31" x14ac:dyDescent="0.2">
      <c r="Q1386" s="17">
        <f>IFERROR(VLOOKUP(A1386,已除帳印單!B:C,1,0),0)*1</f>
        <v>0</v>
      </c>
      <c r="R1386" s="67" t="str">
        <f>IFERROR(VLOOKUP(J1386,線別!A:B,2,1),"")</f>
        <v/>
      </c>
      <c r="S1386" s="17" t="str">
        <f>IFERROR(VLOOKUP(A1386,已除帳印單!B:C,2,0),"")</f>
        <v/>
      </c>
      <c r="T1386" s="68" t="e">
        <f t="shared" si="128"/>
        <v>#VALUE!</v>
      </c>
      <c r="U1386" s="69">
        <f t="shared" si="129"/>
        <v>0</v>
      </c>
      <c r="V1386" s="68" t="str">
        <f>IFERROR(VLOOKUP(A1386,已除帳印單!B:D,3,0),"")</f>
        <v/>
      </c>
      <c r="W1386" s="69" t="str">
        <f>IFERROR(VLOOKUP(A1386,已除帳印單!B:E,4,0),"")</f>
        <v/>
      </c>
      <c r="X1386" s="68" t="str">
        <f>IFERROR(INDEX(刷條碼區!A:C,MATCH(點上線資訊!S1386,刷條碼區!C:C,0),1),"")</f>
        <v/>
      </c>
      <c r="Y1386" s="69" t="str">
        <f>IFERROR(INDEX(刷條碼區!A:C,MATCH(點上線資訊!S1386,刷條碼區!C:C,0),2),"")</f>
        <v/>
      </c>
      <c r="Z1386" s="70" t="str">
        <f>IFERROR(INDEX(刷條碼區!D:G,MATCH(點上線資訊!S1386,刷條碼區!F:F,0),1),"")</f>
        <v/>
      </c>
      <c r="AA1386" s="71" t="str">
        <f>IFERROR(INDEX(刷條碼區!D:G,MATCH(點上線資訊!S1386,刷條碼區!F:F,0),2),"")</f>
        <v/>
      </c>
      <c r="AB1386" s="20">
        <f t="shared" si="130"/>
        <v>0</v>
      </c>
      <c r="AC1386" s="20" t="b">
        <f t="shared" si="131"/>
        <v>0</v>
      </c>
      <c r="AD1386" s="17" t="b">
        <f t="shared" si="132"/>
        <v>0</v>
      </c>
      <c r="AE1386" s="17" t="b">
        <f t="shared" si="133"/>
        <v>0</v>
      </c>
    </row>
    <row r="1387" spans="17:31" x14ac:dyDescent="0.2">
      <c r="Q1387" s="17">
        <f>IFERROR(VLOOKUP(A1387,已除帳印單!B:C,1,0),0)*1</f>
        <v>0</v>
      </c>
      <c r="R1387" s="67" t="str">
        <f>IFERROR(VLOOKUP(J1387,線別!A:B,2,1),"")</f>
        <v/>
      </c>
      <c r="S1387" s="17" t="str">
        <f>IFERROR(VLOOKUP(A1387,已除帳印單!B:C,2,0),"")</f>
        <v/>
      </c>
      <c r="T1387" s="68" t="e">
        <f t="shared" si="128"/>
        <v>#VALUE!</v>
      </c>
      <c r="U1387" s="69">
        <f t="shared" si="129"/>
        <v>0</v>
      </c>
      <c r="V1387" s="68" t="str">
        <f>IFERROR(VLOOKUP(A1387,已除帳印單!B:D,3,0),"")</f>
        <v/>
      </c>
      <c r="W1387" s="69" t="str">
        <f>IFERROR(VLOOKUP(A1387,已除帳印單!B:E,4,0),"")</f>
        <v/>
      </c>
      <c r="X1387" s="68" t="str">
        <f>IFERROR(INDEX(刷條碼區!A:C,MATCH(點上線資訊!S1387,刷條碼區!C:C,0),1),"")</f>
        <v/>
      </c>
      <c r="Y1387" s="69" t="str">
        <f>IFERROR(INDEX(刷條碼區!A:C,MATCH(點上線資訊!S1387,刷條碼區!C:C,0),2),"")</f>
        <v/>
      </c>
      <c r="Z1387" s="70" t="str">
        <f>IFERROR(INDEX(刷條碼區!D:G,MATCH(點上線資訊!S1387,刷條碼區!F:F,0),1),"")</f>
        <v/>
      </c>
      <c r="AA1387" s="71" t="str">
        <f>IFERROR(INDEX(刷條碼區!D:G,MATCH(點上線資訊!S1387,刷條碼區!F:F,0),2),"")</f>
        <v/>
      </c>
      <c r="AB1387" s="20">
        <f t="shared" si="130"/>
        <v>0</v>
      </c>
      <c r="AC1387" s="20" t="b">
        <f t="shared" si="131"/>
        <v>0</v>
      </c>
      <c r="AD1387" s="17" t="b">
        <f t="shared" si="132"/>
        <v>0</v>
      </c>
      <c r="AE1387" s="17" t="b">
        <f t="shared" si="133"/>
        <v>0</v>
      </c>
    </row>
    <row r="1388" spans="17:31" x14ac:dyDescent="0.2">
      <c r="Q1388" s="17">
        <f>IFERROR(VLOOKUP(A1388,已除帳印單!B:C,1,0),0)*1</f>
        <v>0</v>
      </c>
      <c r="R1388" s="67" t="str">
        <f>IFERROR(VLOOKUP(J1388,線別!A:B,2,1),"")</f>
        <v/>
      </c>
      <c r="S1388" s="17" t="str">
        <f>IFERROR(VLOOKUP(A1388,已除帳印單!B:C,2,0),"")</f>
        <v/>
      </c>
      <c r="T1388" s="68" t="e">
        <f t="shared" si="128"/>
        <v>#VALUE!</v>
      </c>
      <c r="U1388" s="69">
        <f t="shared" si="129"/>
        <v>0</v>
      </c>
      <c r="V1388" s="68" t="str">
        <f>IFERROR(VLOOKUP(A1388,已除帳印單!B:D,3,0),"")</f>
        <v/>
      </c>
      <c r="W1388" s="69" t="str">
        <f>IFERROR(VLOOKUP(A1388,已除帳印單!B:E,4,0),"")</f>
        <v/>
      </c>
      <c r="X1388" s="68" t="str">
        <f>IFERROR(INDEX(刷條碼區!A:C,MATCH(點上線資訊!S1388,刷條碼區!C:C,0),1),"")</f>
        <v/>
      </c>
      <c r="Y1388" s="69" t="str">
        <f>IFERROR(INDEX(刷條碼區!A:C,MATCH(點上線資訊!S1388,刷條碼區!C:C,0),2),"")</f>
        <v/>
      </c>
      <c r="Z1388" s="70" t="str">
        <f>IFERROR(INDEX(刷條碼區!D:G,MATCH(點上線資訊!S1388,刷條碼區!F:F,0),1),"")</f>
        <v/>
      </c>
      <c r="AA1388" s="71" t="str">
        <f>IFERROR(INDEX(刷條碼區!D:G,MATCH(點上線資訊!S1388,刷條碼區!F:F,0),2),"")</f>
        <v/>
      </c>
      <c r="AB1388" s="20">
        <f t="shared" si="130"/>
        <v>0</v>
      </c>
      <c r="AC1388" s="20" t="b">
        <f t="shared" si="131"/>
        <v>0</v>
      </c>
      <c r="AD1388" s="17" t="b">
        <f t="shared" si="132"/>
        <v>0</v>
      </c>
      <c r="AE1388" s="17" t="b">
        <f t="shared" si="133"/>
        <v>0</v>
      </c>
    </row>
    <row r="1389" spans="17:31" x14ac:dyDescent="0.2">
      <c r="Q1389" s="17">
        <f>IFERROR(VLOOKUP(A1389,已除帳印單!B:C,1,0),0)*1</f>
        <v>0</v>
      </c>
      <c r="R1389" s="67" t="str">
        <f>IFERROR(VLOOKUP(J1389,線別!A:B,2,1),"")</f>
        <v/>
      </c>
      <c r="S1389" s="17" t="str">
        <f>IFERROR(VLOOKUP(A1389,已除帳印單!B:C,2,0),"")</f>
        <v/>
      </c>
      <c r="T1389" s="68" t="e">
        <f t="shared" si="128"/>
        <v>#VALUE!</v>
      </c>
      <c r="U1389" s="69">
        <f t="shared" si="129"/>
        <v>0</v>
      </c>
      <c r="V1389" s="68" t="str">
        <f>IFERROR(VLOOKUP(A1389,已除帳印單!B:D,3,0),"")</f>
        <v/>
      </c>
      <c r="W1389" s="69" t="str">
        <f>IFERROR(VLOOKUP(A1389,已除帳印單!B:E,4,0),"")</f>
        <v/>
      </c>
      <c r="X1389" s="68" t="str">
        <f>IFERROR(INDEX(刷條碼區!A:C,MATCH(點上線資訊!S1389,刷條碼區!C:C,0),1),"")</f>
        <v/>
      </c>
      <c r="Y1389" s="69" t="str">
        <f>IFERROR(INDEX(刷條碼區!A:C,MATCH(點上線資訊!S1389,刷條碼區!C:C,0),2),"")</f>
        <v/>
      </c>
      <c r="Z1389" s="70" t="str">
        <f>IFERROR(INDEX(刷條碼區!D:G,MATCH(點上線資訊!S1389,刷條碼區!F:F,0),1),"")</f>
        <v/>
      </c>
      <c r="AA1389" s="71" t="str">
        <f>IFERROR(INDEX(刷條碼區!D:G,MATCH(點上線資訊!S1389,刷條碼區!F:F,0),2),"")</f>
        <v/>
      </c>
      <c r="AB1389" s="20">
        <f t="shared" si="130"/>
        <v>0</v>
      </c>
      <c r="AC1389" s="20" t="b">
        <f t="shared" si="131"/>
        <v>0</v>
      </c>
      <c r="AD1389" s="17" t="b">
        <f t="shared" si="132"/>
        <v>0</v>
      </c>
      <c r="AE1389" s="17" t="b">
        <f t="shared" si="133"/>
        <v>0</v>
      </c>
    </row>
    <row r="1390" spans="17:31" x14ac:dyDescent="0.2">
      <c r="Q1390" s="17">
        <f>IFERROR(VLOOKUP(A1390,已除帳印單!B:C,1,0),0)*1</f>
        <v>0</v>
      </c>
      <c r="R1390" s="67" t="str">
        <f>IFERROR(VLOOKUP(J1390,線別!A:B,2,1),"")</f>
        <v/>
      </c>
      <c r="S1390" s="17" t="str">
        <f>IFERROR(VLOOKUP(A1390,已除帳印單!B:C,2,0),"")</f>
        <v/>
      </c>
      <c r="T1390" s="68" t="e">
        <f t="shared" si="128"/>
        <v>#VALUE!</v>
      </c>
      <c r="U1390" s="69">
        <f t="shared" si="129"/>
        <v>0</v>
      </c>
      <c r="V1390" s="68" t="str">
        <f>IFERROR(VLOOKUP(A1390,已除帳印單!B:D,3,0),"")</f>
        <v/>
      </c>
      <c r="W1390" s="69" t="str">
        <f>IFERROR(VLOOKUP(A1390,已除帳印單!B:E,4,0),"")</f>
        <v/>
      </c>
      <c r="X1390" s="68" t="str">
        <f>IFERROR(INDEX(刷條碼區!A:C,MATCH(點上線資訊!S1390,刷條碼區!C:C,0),1),"")</f>
        <v/>
      </c>
      <c r="Y1390" s="69" t="str">
        <f>IFERROR(INDEX(刷條碼區!A:C,MATCH(點上線資訊!S1390,刷條碼區!C:C,0),2),"")</f>
        <v/>
      </c>
      <c r="Z1390" s="70" t="str">
        <f>IFERROR(INDEX(刷條碼區!D:G,MATCH(點上線資訊!S1390,刷條碼區!F:F,0),1),"")</f>
        <v/>
      </c>
      <c r="AA1390" s="71" t="str">
        <f>IFERROR(INDEX(刷條碼區!D:G,MATCH(點上線資訊!S1390,刷條碼區!F:F,0),2),"")</f>
        <v/>
      </c>
      <c r="AB1390" s="20">
        <f t="shared" si="130"/>
        <v>0</v>
      </c>
      <c r="AC1390" s="20" t="b">
        <f t="shared" si="131"/>
        <v>0</v>
      </c>
      <c r="AD1390" s="17" t="b">
        <f t="shared" si="132"/>
        <v>0</v>
      </c>
      <c r="AE1390" s="17" t="b">
        <f t="shared" si="133"/>
        <v>0</v>
      </c>
    </row>
    <row r="1391" spans="17:31" x14ac:dyDescent="0.2">
      <c r="Q1391" s="17">
        <f>IFERROR(VLOOKUP(A1391,已除帳印單!B:C,1,0),0)*1</f>
        <v>0</v>
      </c>
      <c r="R1391" s="67" t="str">
        <f>IFERROR(VLOOKUP(J1391,線別!A:B,2,1),"")</f>
        <v/>
      </c>
      <c r="S1391" s="17" t="str">
        <f>IFERROR(VLOOKUP(A1391,已除帳印單!B:C,2,0),"")</f>
        <v/>
      </c>
      <c r="T1391" s="68" t="e">
        <f t="shared" si="128"/>
        <v>#VALUE!</v>
      </c>
      <c r="U1391" s="69">
        <f t="shared" si="129"/>
        <v>0</v>
      </c>
      <c r="V1391" s="68" t="str">
        <f>IFERROR(VLOOKUP(A1391,已除帳印單!B:D,3,0),"")</f>
        <v/>
      </c>
      <c r="W1391" s="69" t="str">
        <f>IFERROR(VLOOKUP(A1391,已除帳印單!B:E,4,0),"")</f>
        <v/>
      </c>
      <c r="X1391" s="68" t="str">
        <f>IFERROR(INDEX(刷條碼區!A:C,MATCH(點上線資訊!S1391,刷條碼區!C:C,0),1),"")</f>
        <v/>
      </c>
      <c r="Y1391" s="69" t="str">
        <f>IFERROR(INDEX(刷條碼區!A:C,MATCH(點上線資訊!S1391,刷條碼區!C:C,0),2),"")</f>
        <v/>
      </c>
      <c r="Z1391" s="70" t="str">
        <f>IFERROR(INDEX(刷條碼區!D:G,MATCH(點上線資訊!S1391,刷條碼區!F:F,0),1),"")</f>
        <v/>
      </c>
      <c r="AA1391" s="71" t="str">
        <f>IFERROR(INDEX(刷條碼區!D:G,MATCH(點上線資訊!S1391,刷條碼區!F:F,0),2),"")</f>
        <v/>
      </c>
      <c r="AB1391" s="20">
        <f t="shared" si="130"/>
        <v>0</v>
      </c>
      <c r="AC1391" s="20" t="b">
        <f t="shared" si="131"/>
        <v>0</v>
      </c>
      <c r="AD1391" s="17" t="b">
        <f t="shared" si="132"/>
        <v>0</v>
      </c>
      <c r="AE1391" s="17" t="b">
        <f t="shared" si="133"/>
        <v>0</v>
      </c>
    </row>
    <row r="1392" spans="17:31" x14ac:dyDescent="0.2">
      <c r="Q1392" s="17">
        <f>IFERROR(VLOOKUP(A1392,已除帳印單!B:C,1,0),0)*1</f>
        <v>0</v>
      </c>
      <c r="R1392" s="67" t="str">
        <f>IFERROR(VLOOKUP(J1392,線別!A:B,2,1),"")</f>
        <v/>
      </c>
      <c r="S1392" s="17" t="str">
        <f>IFERROR(VLOOKUP(A1392,已除帳印單!B:C,2,0),"")</f>
        <v/>
      </c>
      <c r="T1392" s="68" t="e">
        <f t="shared" si="128"/>
        <v>#VALUE!</v>
      </c>
      <c r="U1392" s="69">
        <f t="shared" si="129"/>
        <v>0</v>
      </c>
      <c r="V1392" s="68" t="str">
        <f>IFERROR(VLOOKUP(A1392,已除帳印單!B:D,3,0),"")</f>
        <v/>
      </c>
      <c r="W1392" s="69" t="str">
        <f>IFERROR(VLOOKUP(A1392,已除帳印單!B:E,4,0),"")</f>
        <v/>
      </c>
      <c r="X1392" s="68" t="str">
        <f>IFERROR(INDEX(刷條碼區!A:C,MATCH(點上線資訊!S1392,刷條碼區!C:C,0),1),"")</f>
        <v/>
      </c>
      <c r="Y1392" s="69" t="str">
        <f>IFERROR(INDEX(刷條碼區!A:C,MATCH(點上線資訊!S1392,刷條碼區!C:C,0),2),"")</f>
        <v/>
      </c>
      <c r="Z1392" s="70" t="str">
        <f>IFERROR(INDEX(刷條碼區!D:G,MATCH(點上線資訊!S1392,刷條碼區!F:F,0),1),"")</f>
        <v/>
      </c>
      <c r="AA1392" s="71" t="str">
        <f>IFERROR(INDEX(刷條碼區!D:G,MATCH(點上線資訊!S1392,刷條碼區!F:F,0),2),"")</f>
        <v/>
      </c>
      <c r="AB1392" s="20">
        <f t="shared" si="130"/>
        <v>0</v>
      </c>
      <c r="AC1392" s="20" t="b">
        <f t="shared" si="131"/>
        <v>0</v>
      </c>
      <c r="AD1392" s="17" t="b">
        <f t="shared" si="132"/>
        <v>0</v>
      </c>
      <c r="AE1392" s="17" t="b">
        <f t="shared" si="133"/>
        <v>0</v>
      </c>
    </row>
    <row r="1393" spans="17:31" x14ac:dyDescent="0.2">
      <c r="Q1393" s="17">
        <f>IFERROR(VLOOKUP(A1393,已除帳印單!B:C,1,0),0)*1</f>
        <v>0</v>
      </c>
      <c r="R1393" s="67" t="str">
        <f>IFERROR(VLOOKUP(J1393,線別!A:B,2,1),"")</f>
        <v/>
      </c>
      <c r="S1393" s="17" t="str">
        <f>IFERROR(VLOOKUP(A1393,已除帳印單!B:C,2,0),"")</f>
        <v/>
      </c>
      <c r="T1393" s="68" t="e">
        <f t="shared" si="128"/>
        <v>#VALUE!</v>
      </c>
      <c r="U1393" s="69">
        <f t="shared" si="129"/>
        <v>0</v>
      </c>
      <c r="V1393" s="68" t="str">
        <f>IFERROR(VLOOKUP(A1393,已除帳印單!B:D,3,0),"")</f>
        <v/>
      </c>
      <c r="W1393" s="69" t="str">
        <f>IFERROR(VLOOKUP(A1393,已除帳印單!B:E,4,0),"")</f>
        <v/>
      </c>
      <c r="X1393" s="68" t="str">
        <f>IFERROR(INDEX(刷條碼區!A:C,MATCH(點上線資訊!S1393,刷條碼區!C:C,0),1),"")</f>
        <v/>
      </c>
      <c r="Y1393" s="69" t="str">
        <f>IFERROR(INDEX(刷條碼區!A:C,MATCH(點上線資訊!S1393,刷條碼區!C:C,0),2),"")</f>
        <v/>
      </c>
      <c r="Z1393" s="70" t="str">
        <f>IFERROR(INDEX(刷條碼區!D:G,MATCH(點上線資訊!S1393,刷條碼區!F:F,0),1),"")</f>
        <v/>
      </c>
      <c r="AA1393" s="71" t="str">
        <f>IFERROR(INDEX(刷條碼區!D:G,MATCH(點上線資訊!S1393,刷條碼區!F:F,0),2),"")</f>
        <v/>
      </c>
      <c r="AB1393" s="20">
        <f t="shared" si="130"/>
        <v>0</v>
      </c>
      <c r="AC1393" s="20" t="b">
        <f t="shared" si="131"/>
        <v>0</v>
      </c>
      <c r="AD1393" s="17" t="b">
        <f t="shared" si="132"/>
        <v>0</v>
      </c>
      <c r="AE1393" s="17" t="b">
        <f t="shared" si="133"/>
        <v>0</v>
      </c>
    </row>
    <row r="1394" spans="17:31" x14ac:dyDescent="0.2">
      <c r="Q1394" s="17">
        <f>IFERROR(VLOOKUP(A1394,已除帳印單!B:C,1,0),0)*1</f>
        <v>0</v>
      </c>
      <c r="R1394" s="67" t="str">
        <f>IFERROR(VLOOKUP(J1394,線別!A:B,2,1),"")</f>
        <v/>
      </c>
      <c r="S1394" s="17" t="str">
        <f>IFERROR(VLOOKUP(A1394,已除帳印單!B:C,2,0),"")</f>
        <v/>
      </c>
      <c r="T1394" s="68" t="e">
        <f t="shared" si="128"/>
        <v>#VALUE!</v>
      </c>
      <c r="U1394" s="69">
        <f t="shared" si="129"/>
        <v>0</v>
      </c>
      <c r="V1394" s="68" t="str">
        <f>IFERROR(VLOOKUP(A1394,已除帳印單!B:D,3,0),"")</f>
        <v/>
      </c>
      <c r="W1394" s="69" t="str">
        <f>IFERROR(VLOOKUP(A1394,已除帳印單!B:E,4,0),"")</f>
        <v/>
      </c>
      <c r="X1394" s="68" t="str">
        <f>IFERROR(INDEX(刷條碼區!A:C,MATCH(點上線資訊!S1394,刷條碼區!C:C,0),1),"")</f>
        <v/>
      </c>
      <c r="Y1394" s="69" t="str">
        <f>IFERROR(INDEX(刷條碼區!A:C,MATCH(點上線資訊!S1394,刷條碼區!C:C,0),2),"")</f>
        <v/>
      </c>
      <c r="Z1394" s="70" t="str">
        <f>IFERROR(INDEX(刷條碼區!D:G,MATCH(點上線資訊!S1394,刷條碼區!F:F,0),1),"")</f>
        <v/>
      </c>
      <c r="AA1394" s="71" t="str">
        <f>IFERROR(INDEX(刷條碼區!D:G,MATCH(點上線資訊!S1394,刷條碼區!F:F,0),2),"")</f>
        <v/>
      </c>
      <c r="AB1394" s="20">
        <f t="shared" si="130"/>
        <v>0</v>
      </c>
      <c r="AC1394" s="20" t="b">
        <f t="shared" si="131"/>
        <v>0</v>
      </c>
      <c r="AD1394" s="17" t="b">
        <f t="shared" si="132"/>
        <v>0</v>
      </c>
      <c r="AE1394" s="17" t="b">
        <f t="shared" si="133"/>
        <v>0</v>
      </c>
    </row>
    <row r="1395" spans="17:31" x14ac:dyDescent="0.2">
      <c r="Q1395" s="17">
        <f>IFERROR(VLOOKUP(A1395,已除帳印單!B:C,1,0),0)*1</f>
        <v>0</v>
      </c>
      <c r="R1395" s="67" t="str">
        <f>IFERROR(VLOOKUP(J1395,線別!A:B,2,1),"")</f>
        <v/>
      </c>
      <c r="S1395" s="17" t="str">
        <f>IFERROR(VLOOKUP(A1395,已除帳印單!B:C,2,0),"")</f>
        <v/>
      </c>
      <c r="T1395" s="68" t="e">
        <f t="shared" si="128"/>
        <v>#VALUE!</v>
      </c>
      <c r="U1395" s="69">
        <f t="shared" si="129"/>
        <v>0</v>
      </c>
      <c r="V1395" s="68" t="str">
        <f>IFERROR(VLOOKUP(A1395,已除帳印單!B:D,3,0),"")</f>
        <v/>
      </c>
      <c r="W1395" s="69" t="str">
        <f>IFERROR(VLOOKUP(A1395,已除帳印單!B:E,4,0),"")</f>
        <v/>
      </c>
      <c r="X1395" s="68" t="str">
        <f>IFERROR(INDEX(刷條碼區!A:C,MATCH(點上線資訊!S1395,刷條碼區!C:C,0),1),"")</f>
        <v/>
      </c>
      <c r="Y1395" s="69" t="str">
        <f>IFERROR(INDEX(刷條碼區!A:C,MATCH(點上線資訊!S1395,刷條碼區!C:C,0),2),"")</f>
        <v/>
      </c>
      <c r="Z1395" s="70" t="str">
        <f>IFERROR(INDEX(刷條碼區!D:G,MATCH(點上線資訊!S1395,刷條碼區!F:F,0),1),"")</f>
        <v/>
      </c>
      <c r="AA1395" s="71" t="str">
        <f>IFERROR(INDEX(刷條碼區!D:G,MATCH(點上線資訊!S1395,刷條碼區!F:F,0),2),"")</f>
        <v/>
      </c>
      <c r="AB1395" s="20">
        <f t="shared" si="130"/>
        <v>0</v>
      </c>
      <c r="AC1395" s="20" t="b">
        <f t="shared" si="131"/>
        <v>0</v>
      </c>
      <c r="AD1395" s="17" t="b">
        <f t="shared" si="132"/>
        <v>0</v>
      </c>
      <c r="AE1395" s="17" t="b">
        <f t="shared" si="133"/>
        <v>0</v>
      </c>
    </row>
    <row r="1396" spans="17:31" x14ac:dyDescent="0.2">
      <c r="Q1396" s="17">
        <f>IFERROR(VLOOKUP(A1396,已除帳印單!B:C,1,0),0)*1</f>
        <v>0</v>
      </c>
      <c r="R1396" s="67" t="str">
        <f>IFERROR(VLOOKUP(J1396,線別!A:B,2,1),"")</f>
        <v/>
      </c>
      <c r="S1396" s="17" t="str">
        <f>IFERROR(VLOOKUP(A1396,已除帳印單!B:C,2,0),"")</f>
        <v/>
      </c>
      <c r="T1396" s="68" t="e">
        <f t="shared" si="128"/>
        <v>#VALUE!</v>
      </c>
      <c r="U1396" s="69">
        <f t="shared" si="129"/>
        <v>0</v>
      </c>
      <c r="V1396" s="68" t="str">
        <f>IFERROR(VLOOKUP(A1396,已除帳印單!B:D,3,0),"")</f>
        <v/>
      </c>
      <c r="W1396" s="69" t="str">
        <f>IFERROR(VLOOKUP(A1396,已除帳印單!B:E,4,0),"")</f>
        <v/>
      </c>
      <c r="X1396" s="68" t="str">
        <f>IFERROR(INDEX(刷條碼區!A:C,MATCH(點上線資訊!S1396,刷條碼區!C:C,0),1),"")</f>
        <v/>
      </c>
      <c r="Y1396" s="69" t="str">
        <f>IFERROR(INDEX(刷條碼區!A:C,MATCH(點上線資訊!S1396,刷條碼區!C:C,0),2),"")</f>
        <v/>
      </c>
      <c r="Z1396" s="70" t="str">
        <f>IFERROR(INDEX(刷條碼區!D:G,MATCH(點上線資訊!S1396,刷條碼區!F:F,0),1),"")</f>
        <v/>
      </c>
      <c r="AA1396" s="71" t="str">
        <f>IFERROR(INDEX(刷條碼區!D:G,MATCH(點上線資訊!S1396,刷條碼區!F:F,0),2),"")</f>
        <v/>
      </c>
      <c r="AB1396" s="20">
        <f t="shared" si="130"/>
        <v>0</v>
      </c>
      <c r="AC1396" s="20" t="b">
        <f t="shared" si="131"/>
        <v>0</v>
      </c>
      <c r="AD1396" s="17" t="b">
        <f t="shared" si="132"/>
        <v>0</v>
      </c>
      <c r="AE1396" s="17" t="b">
        <f t="shared" si="133"/>
        <v>0</v>
      </c>
    </row>
    <row r="1397" spans="17:31" x14ac:dyDescent="0.2">
      <c r="Q1397" s="17">
        <f>IFERROR(VLOOKUP(A1397,已除帳印單!B:C,1,0),0)*1</f>
        <v>0</v>
      </c>
      <c r="R1397" s="67" t="str">
        <f>IFERROR(VLOOKUP(J1397,線別!A:B,2,1),"")</f>
        <v/>
      </c>
      <c r="S1397" s="17" t="str">
        <f>IFERROR(VLOOKUP(A1397,已除帳印單!B:C,2,0),"")</f>
        <v/>
      </c>
      <c r="T1397" s="68" t="e">
        <f t="shared" ref="T1397:T1460" si="134">--TEXT(B1397,"0000-00-00")</f>
        <v>#VALUE!</v>
      </c>
      <c r="U1397" s="69">
        <f t="shared" ref="U1397:U1460" si="135">--TEXT(C1397,"00\:00\:00")</f>
        <v>0</v>
      </c>
      <c r="V1397" s="68" t="str">
        <f>IFERROR(VLOOKUP(A1397,已除帳印單!B:D,3,0),"")</f>
        <v/>
      </c>
      <c r="W1397" s="69" t="str">
        <f>IFERROR(VLOOKUP(A1397,已除帳印單!B:E,4,0),"")</f>
        <v/>
      </c>
      <c r="X1397" s="68" t="str">
        <f>IFERROR(INDEX(刷條碼區!A:C,MATCH(點上線資訊!S1397,刷條碼區!C:C,0),1),"")</f>
        <v/>
      </c>
      <c r="Y1397" s="69" t="str">
        <f>IFERROR(INDEX(刷條碼區!A:C,MATCH(點上線資訊!S1397,刷條碼區!C:C,0),2),"")</f>
        <v/>
      </c>
      <c r="Z1397" s="70" t="str">
        <f>IFERROR(INDEX(刷條碼區!D:G,MATCH(點上線資訊!S1397,刷條碼區!F:F,0),1),"")</f>
        <v/>
      </c>
      <c r="AA1397" s="71" t="str">
        <f>IFERROR(INDEX(刷條碼區!D:G,MATCH(點上線資訊!S1397,刷條碼區!F:F,0),2),"")</f>
        <v/>
      </c>
      <c r="AB1397" s="20">
        <f t="shared" ref="AB1397:AB1460" si="136">IF(K1397&amp;N1397="",G1397)</f>
        <v>0</v>
      </c>
      <c r="AC1397" s="20" t="b">
        <f t="shared" ref="AC1397:AC1460" si="137">IF(S1397&lt;&gt;"",G1397)</f>
        <v>0</v>
      </c>
      <c r="AD1397" s="17" t="b">
        <f t="shared" ref="AD1397:AD1460" si="138">IF(X1397&lt;&gt;"",G1397)</f>
        <v>0</v>
      </c>
      <c r="AE1397" s="17" t="b">
        <f t="shared" ref="AE1397:AE1460" si="139">IF(Z1397&lt;&gt;"",G1397)</f>
        <v>0</v>
      </c>
    </row>
    <row r="1398" spans="17:31" x14ac:dyDescent="0.2">
      <c r="Q1398" s="17">
        <f>IFERROR(VLOOKUP(A1398,已除帳印單!B:C,1,0),0)*1</f>
        <v>0</v>
      </c>
      <c r="R1398" s="67" t="str">
        <f>IFERROR(VLOOKUP(J1398,線別!A:B,2,1),"")</f>
        <v/>
      </c>
      <c r="S1398" s="17" t="str">
        <f>IFERROR(VLOOKUP(A1398,已除帳印單!B:C,2,0),"")</f>
        <v/>
      </c>
      <c r="T1398" s="68" t="e">
        <f t="shared" si="134"/>
        <v>#VALUE!</v>
      </c>
      <c r="U1398" s="69">
        <f t="shared" si="135"/>
        <v>0</v>
      </c>
      <c r="V1398" s="68" t="str">
        <f>IFERROR(VLOOKUP(A1398,已除帳印單!B:D,3,0),"")</f>
        <v/>
      </c>
      <c r="W1398" s="69" t="str">
        <f>IFERROR(VLOOKUP(A1398,已除帳印單!B:E,4,0),"")</f>
        <v/>
      </c>
      <c r="X1398" s="68" t="str">
        <f>IFERROR(INDEX(刷條碼區!A:C,MATCH(點上線資訊!S1398,刷條碼區!C:C,0),1),"")</f>
        <v/>
      </c>
      <c r="Y1398" s="69" t="str">
        <f>IFERROR(INDEX(刷條碼區!A:C,MATCH(點上線資訊!S1398,刷條碼區!C:C,0),2),"")</f>
        <v/>
      </c>
      <c r="Z1398" s="70" t="str">
        <f>IFERROR(INDEX(刷條碼區!D:G,MATCH(點上線資訊!S1398,刷條碼區!F:F,0),1),"")</f>
        <v/>
      </c>
      <c r="AA1398" s="71" t="str">
        <f>IFERROR(INDEX(刷條碼區!D:G,MATCH(點上線資訊!S1398,刷條碼區!F:F,0),2),"")</f>
        <v/>
      </c>
      <c r="AB1398" s="20">
        <f t="shared" si="136"/>
        <v>0</v>
      </c>
      <c r="AC1398" s="20" t="b">
        <f t="shared" si="137"/>
        <v>0</v>
      </c>
      <c r="AD1398" s="17" t="b">
        <f t="shared" si="138"/>
        <v>0</v>
      </c>
      <c r="AE1398" s="17" t="b">
        <f t="shared" si="139"/>
        <v>0</v>
      </c>
    </row>
    <row r="1399" spans="17:31" x14ac:dyDescent="0.2">
      <c r="Q1399" s="17">
        <f>IFERROR(VLOOKUP(A1399,已除帳印單!B:C,1,0),0)*1</f>
        <v>0</v>
      </c>
      <c r="R1399" s="67" t="str">
        <f>IFERROR(VLOOKUP(J1399,線別!A:B,2,1),"")</f>
        <v/>
      </c>
      <c r="S1399" s="17" t="str">
        <f>IFERROR(VLOOKUP(A1399,已除帳印單!B:C,2,0),"")</f>
        <v/>
      </c>
      <c r="T1399" s="68" t="e">
        <f t="shared" si="134"/>
        <v>#VALUE!</v>
      </c>
      <c r="U1399" s="69">
        <f t="shared" si="135"/>
        <v>0</v>
      </c>
      <c r="V1399" s="68" t="str">
        <f>IFERROR(VLOOKUP(A1399,已除帳印單!B:D,3,0),"")</f>
        <v/>
      </c>
      <c r="W1399" s="69" t="str">
        <f>IFERROR(VLOOKUP(A1399,已除帳印單!B:E,4,0),"")</f>
        <v/>
      </c>
      <c r="X1399" s="68" t="str">
        <f>IFERROR(INDEX(刷條碼區!A:C,MATCH(點上線資訊!S1399,刷條碼區!C:C,0),1),"")</f>
        <v/>
      </c>
      <c r="Y1399" s="69" t="str">
        <f>IFERROR(INDEX(刷條碼區!A:C,MATCH(點上線資訊!S1399,刷條碼區!C:C,0),2),"")</f>
        <v/>
      </c>
      <c r="Z1399" s="70" t="str">
        <f>IFERROR(INDEX(刷條碼區!D:G,MATCH(點上線資訊!S1399,刷條碼區!F:F,0),1),"")</f>
        <v/>
      </c>
      <c r="AA1399" s="71" t="str">
        <f>IFERROR(INDEX(刷條碼區!D:G,MATCH(點上線資訊!S1399,刷條碼區!F:F,0),2),"")</f>
        <v/>
      </c>
      <c r="AB1399" s="20">
        <f t="shared" si="136"/>
        <v>0</v>
      </c>
      <c r="AC1399" s="20" t="b">
        <f t="shared" si="137"/>
        <v>0</v>
      </c>
      <c r="AD1399" s="17" t="b">
        <f t="shared" si="138"/>
        <v>0</v>
      </c>
      <c r="AE1399" s="17" t="b">
        <f t="shared" si="139"/>
        <v>0</v>
      </c>
    </row>
    <row r="1400" spans="17:31" x14ac:dyDescent="0.2">
      <c r="Q1400" s="17">
        <f>IFERROR(VLOOKUP(A1400,已除帳印單!B:C,1,0),0)*1</f>
        <v>0</v>
      </c>
      <c r="R1400" s="67" t="str">
        <f>IFERROR(VLOOKUP(J1400,線別!A:B,2,1),"")</f>
        <v/>
      </c>
      <c r="S1400" s="17" t="str">
        <f>IFERROR(VLOOKUP(A1400,已除帳印單!B:C,2,0),"")</f>
        <v/>
      </c>
      <c r="T1400" s="68" t="e">
        <f t="shared" si="134"/>
        <v>#VALUE!</v>
      </c>
      <c r="U1400" s="69">
        <f t="shared" si="135"/>
        <v>0</v>
      </c>
      <c r="V1400" s="68" t="str">
        <f>IFERROR(VLOOKUP(A1400,已除帳印單!B:D,3,0),"")</f>
        <v/>
      </c>
      <c r="W1400" s="69" t="str">
        <f>IFERROR(VLOOKUP(A1400,已除帳印單!B:E,4,0),"")</f>
        <v/>
      </c>
      <c r="X1400" s="68" t="str">
        <f>IFERROR(INDEX(刷條碼區!A:C,MATCH(點上線資訊!S1400,刷條碼區!C:C,0),1),"")</f>
        <v/>
      </c>
      <c r="Y1400" s="69" t="str">
        <f>IFERROR(INDEX(刷條碼區!A:C,MATCH(點上線資訊!S1400,刷條碼區!C:C,0),2),"")</f>
        <v/>
      </c>
      <c r="Z1400" s="70" t="str">
        <f>IFERROR(INDEX(刷條碼區!D:G,MATCH(點上線資訊!S1400,刷條碼區!F:F,0),1),"")</f>
        <v/>
      </c>
      <c r="AA1400" s="71" t="str">
        <f>IFERROR(INDEX(刷條碼區!D:G,MATCH(點上線資訊!S1400,刷條碼區!F:F,0),2),"")</f>
        <v/>
      </c>
      <c r="AB1400" s="20">
        <f t="shared" si="136"/>
        <v>0</v>
      </c>
      <c r="AC1400" s="20" t="b">
        <f t="shared" si="137"/>
        <v>0</v>
      </c>
      <c r="AD1400" s="17" t="b">
        <f t="shared" si="138"/>
        <v>0</v>
      </c>
      <c r="AE1400" s="17" t="b">
        <f t="shared" si="139"/>
        <v>0</v>
      </c>
    </row>
    <row r="1401" spans="17:31" x14ac:dyDescent="0.2">
      <c r="Q1401" s="17">
        <f>IFERROR(VLOOKUP(A1401,已除帳印單!B:C,1,0),0)*1</f>
        <v>0</v>
      </c>
      <c r="R1401" s="67" t="str">
        <f>IFERROR(VLOOKUP(J1401,線別!A:B,2,1),"")</f>
        <v/>
      </c>
      <c r="S1401" s="17" t="str">
        <f>IFERROR(VLOOKUP(A1401,已除帳印單!B:C,2,0),"")</f>
        <v/>
      </c>
      <c r="T1401" s="68" t="e">
        <f t="shared" si="134"/>
        <v>#VALUE!</v>
      </c>
      <c r="U1401" s="69">
        <f t="shared" si="135"/>
        <v>0</v>
      </c>
      <c r="V1401" s="68" t="str">
        <f>IFERROR(VLOOKUP(A1401,已除帳印單!B:D,3,0),"")</f>
        <v/>
      </c>
      <c r="W1401" s="69" t="str">
        <f>IFERROR(VLOOKUP(A1401,已除帳印單!B:E,4,0),"")</f>
        <v/>
      </c>
      <c r="X1401" s="68" t="str">
        <f>IFERROR(INDEX(刷條碼區!A:C,MATCH(點上線資訊!S1401,刷條碼區!C:C,0),1),"")</f>
        <v/>
      </c>
      <c r="Y1401" s="69" t="str">
        <f>IFERROR(INDEX(刷條碼區!A:C,MATCH(點上線資訊!S1401,刷條碼區!C:C,0),2),"")</f>
        <v/>
      </c>
      <c r="Z1401" s="70" t="str">
        <f>IFERROR(INDEX(刷條碼區!D:G,MATCH(點上線資訊!S1401,刷條碼區!F:F,0),1),"")</f>
        <v/>
      </c>
      <c r="AA1401" s="71" t="str">
        <f>IFERROR(INDEX(刷條碼區!D:G,MATCH(點上線資訊!S1401,刷條碼區!F:F,0),2),"")</f>
        <v/>
      </c>
      <c r="AB1401" s="20">
        <f t="shared" si="136"/>
        <v>0</v>
      </c>
      <c r="AC1401" s="20" t="b">
        <f t="shared" si="137"/>
        <v>0</v>
      </c>
      <c r="AD1401" s="17" t="b">
        <f t="shared" si="138"/>
        <v>0</v>
      </c>
      <c r="AE1401" s="17" t="b">
        <f t="shared" si="139"/>
        <v>0</v>
      </c>
    </row>
    <row r="1402" spans="17:31" x14ac:dyDescent="0.2">
      <c r="Q1402" s="17">
        <f>IFERROR(VLOOKUP(A1402,已除帳印單!B:C,1,0),0)*1</f>
        <v>0</v>
      </c>
      <c r="R1402" s="67" t="str">
        <f>IFERROR(VLOOKUP(J1402,線別!A:B,2,1),"")</f>
        <v/>
      </c>
      <c r="S1402" s="17" t="str">
        <f>IFERROR(VLOOKUP(A1402,已除帳印單!B:C,2,0),"")</f>
        <v/>
      </c>
      <c r="T1402" s="68" t="e">
        <f t="shared" si="134"/>
        <v>#VALUE!</v>
      </c>
      <c r="U1402" s="69">
        <f t="shared" si="135"/>
        <v>0</v>
      </c>
      <c r="V1402" s="68" t="str">
        <f>IFERROR(VLOOKUP(A1402,已除帳印單!B:D,3,0),"")</f>
        <v/>
      </c>
      <c r="W1402" s="69" t="str">
        <f>IFERROR(VLOOKUP(A1402,已除帳印單!B:E,4,0),"")</f>
        <v/>
      </c>
      <c r="X1402" s="68" t="str">
        <f>IFERROR(INDEX(刷條碼區!A:C,MATCH(點上線資訊!S1402,刷條碼區!C:C,0),1),"")</f>
        <v/>
      </c>
      <c r="Y1402" s="69" t="str">
        <f>IFERROR(INDEX(刷條碼區!A:C,MATCH(點上線資訊!S1402,刷條碼區!C:C,0),2),"")</f>
        <v/>
      </c>
      <c r="Z1402" s="70" t="str">
        <f>IFERROR(INDEX(刷條碼區!D:G,MATCH(點上線資訊!S1402,刷條碼區!F:F,0),1),"")</f>
        <v/>
      </c>
      <c r="AA1402" s="71" t="str">
        <f>IFERROR(INDEX(刷條碼區!D:G,MATCH(點上線資訊!S1402,刷條碼區!F:F,0),2),"")</f>
        <v/>
      </c>
      <c r="AB1402" s="20">
        <f t="shared" si="136"/>
        <v>0</v>
      </c>
      <c r="AC1402" s="20" t="b">
        <f t="shared" si="137"/>
        <v>0</v>
      </c>
      <c r="AD1402" s="17" t="b">
        <f t="shared" si="138"/>
        <v>0</v>
      </c>
      <c r="AE1402" s="17" t="b">
        <f t="shared" si="139"/>
        <v>0</v>
      </c>
    </row>
    <row r="1403" spans="17:31" x14ac:dyDescent="0.2">
      <c r="Q1403" s="17">
        <f>IFERROR(VLOOKUP(A1403,已除帳印單!B:C,1,0),0)*1</f>
        <v>0</v>
      </c>
      <c r="R1403" s="67" t="str">
        <f>IFERROR(VLOOKUP(J1403,線別!A:B,2,1),"")</f>
        <v/>
      </c>
      <c r="S1403" s="17" t="str">
        <f>IFERROR(VLOOKUP(A1403,已除帳印單!B:C,2,0),"")</f>
        <v/>
      </c>
      <c r="T1403" s="68" t="e">
        <f t="shared" si="134"/>
        <v>#VALUE!</v>
      </c>
      <c r="U1403" s="69">
        <f t="shared" si="135"/>
        <v>0</v>
      </c>
      <c r="V1403" s="68" t="str">
        <f>IFERROR(VLOOKUP(A1403,已除帳印單!B:D,3,0),"")</f>
        <v/>
      </c>
      <c r="W1403" s="69" t="str">
        <f>IFERROR(VLOOKUP(A1403,已除帳印單!B:E,4,0),"")</f>
        <v/>
      </c>
      <c r="X1403" s="68" t="str">
        <f>IFERROR(INDEX(刷條碼區!A:C,MATCH(點上線資訊!S1403,刷條碼區!C:C,0),1),"")</f>
        <v/>
      </c>
      <c r="Y1403" s="69" t="str">
        <f>IFERROR(INDEX(刷條碼區!A:C,MATCH(點上線資訊!S1403,刷條碼區!C:C,0),2),"")</f>
        <v/>
      </c>
      <c r="Z1403" s="70" t="str">
        <f>IFERROR(INDEX(刷條碼區!D:G,MATCH(點上線資訊!S1403,刷條碼區!F:F,0),1),"")</f>
        <v/>
      </c>
      <c r="AA1403" s="71" t="str">
        <f>IFERROR(INDEX(刷條碼區!D:G,MATCH(點上線資訊!S1403,刷條碼區!F:F,0),2),"")</f>
        <v/>
      </c>
      <c r="AB1403" s="20">
        <f t="shared" si="136"/>
        <v>0</v>
      </c>
      <c r="AC1403" s="20" t="b">
        <f t="shared" si="137"/>
        <v>0</v>
      </c>
      <c r="AD1403" s="17" t="b">
        <f t="shared" si="138"/>
        <v>0</v>
      </c>
      <c r="AE1403" s="17" t="b">
        <f t="shared" si="139"/>
        <v>0</v>
      </c>
    </row>
    <row r="1404" spans="17:31" x14ac:dyDescent="0.2">
      <c r="Q1404" s="17">
        <f>IFERROR(VLOOKUP(A1404,已除帳印單!B:C,1,0),0)*1</f>
        <v>0</v>
      </c>
      <c r="R1404" s="67" t="str">
        <f>IFERROR(VLOOKUP(J1404,線別!A:B,2,1),"")</f>
        <v/>
      </c>
      <c r="S1404" s="17" t="str">
        <f>IFERROR(VLOOKUP(A1404,已除帳印單!B:C,2,0),"")</f>
        <v/>
      </c>
      <c r="T1404" s="68" t="e">
        <f t="shared" si="134"/>
        <v>#VALUE!</v>
      </c>
      <c r="U1404" s="69">
        <f t="shared" si="135"/>
        <v>0</v>
      </c>
      <c r="V1404" s="68" t="str">
        <f>IFERROR(VLOOKUP(A1404,已除帳印單!B:D,3,0),"")</f>
        <v/>
      </c>
      <c r="W1404" s="69" t="str">
        <f>IFERROR(VLOOKUP(A1404,已除帳印單!B:E,4,0),"")</f>
        <v/>
      </c>
      <c r="X1404" s="68" t="str">
        <f>IFERROR(INDEX(刷條碼區!A:C,MATCH(點上線資訊!S1404,刷條碼區!C:C,0),1),"")</f>
        <v/>
      </c>
      <c r="Y1404" s="69" t="str">
        <f>IFERROR(INDEX(刷條碼區!A:C,MATCH(點上線資訊!S1404,刷條碼區!C:C,0),2),"")</f>
        <v/>
      </c>
      <c r="Z1404" s="70" t="str">
        <f>IFERROR(INDEX(刷條碼區!D:G,MATCH(點上線資訊!S1404,刷條碼區!F:F,0),1),"")</f>
        <v/>
      </c>
      <c r="AA1404" s="71" t="str">
        <f>IFERROR(INDEX(刷條碼區!D:G,MATCH(點上線資訊!S1404,刷條碼區!F:F,0),2),"")</f>
        <v/>
      </c>
      <c r="AB1404" s="20">
        <f t="shared" si="136"/>
        <v>0</v>
      </c>
      <c r="AC1404" s="20" t="b">
        <f t="shared" si="137"/>
        <v>0</v>
      </c>
      <c r="AD1404" s="17" t="b">
        <f t="shared" si="138"/>
        <v>0</v>
      </c>
      <c r="AE1404" s="17" t="b">
        <f t="shared" si="139"/>
        <v>0</v>
      </c>
    </row>
    <row r="1405" spans="17:31" x14ac:dyDescent="0.2">
      <c r="Q1405" s="17">
        <f>IFERROR(VLOOKUP(A1405,已除帳印單!B:C,1,0),0)*1</f>
        <v>0</v>
      </c>
      <c r="R1405" s="67" t="str">
        <f>IFERROR(VLOOKUP(J1405,線別!A:B,2,1),"")</f>
        <v/>
      </c>
      <c r="S1405" s="17" t="str">
        <f>IFERROR(VLOOKUP(A1405,已除帳印單!B:C,2,0),"")</f>
        <v/>
      </c>
      <c r="T1405" s="68" t="e">
        <f t="shared" si="134"/>
        <v>#VALUE!</v>
      </c>
      <c r="U1405" s="69">
        <f t="shared" si="135"/>
        <v>0</v>
      </c>
      <c r="V1405" s="68" t="str">
        <f>IFERROR(VLOOKUP(A1405,已除帳印單!B:D,3,0),"")</f>
        <v/>
      </c>
      <c r="W1405" s="69" t="str">
        <f>IFERROR(VLOOKUP(A1405,已除帳印單!B:E,4,0),"")</f>
        <v/>
      </c>
      <c r="X1405" s="68" t="str">
        <f>IFERROR(INDEX(刷條碼區!A:C,MATCH(點上線資訊!S1405,刷條碼區!C:C,0),1),"")</f>
        <v/>
      </c>
      <c r="Y1405" s="69" t="str">
        <f>IFERROR(INDEX(刷條碼區!A:C,MATCH(點上線資訊!S1405,刷條碼區!C:C,0),2),"")</f>
        <v/>
      </c>
      <c r="Z1405" s="70" t="str">
        <f>IFERROR(INDEX(刷條碼區!D:G,MATCH(點上線資訊!S1405,刷條碼區!F:F,0),1),"")</f>
        <v/>
      </c>
      <c r="AA1405" s="71" t="str">
        <f>IFERROR(INDEX(刷條碼區!D:G,MATCH(點上線資訊!S1405,刷條碼區!F:F,0),2),"")</f>
        <v/>
      </c>
      <c r="AB1405" s="20">
        <f t="shared" si="136"/>
        <v>0</v>
      </c>
      <c r="AC1405" s="20" t="b">
        <f t="shared" si="137"/>
        <v>0</v>
      </c>
      <c r="AD1405" s="17" t="b">
        <f t="shared" si="138"/>
        <v>0</v>
      </c>
      <c r="AE1405" s="17" t="b">
        <f t="shared" si="139"/>
        <v>0</v>
      </c>
    </row>
    <row r="1406" spans="17:31" x14ac:dyDescent="0.2">
      <c r="Q1406" s="17">
        <f>IFERROR(VLOOKUP(A1406,已除帳印單!B:C,1,0),0)*1</f>
        <v>0</v>
      </c>
      <c r="R1406" s="67" t="str">
        <f>IFERROR(VLOOKUP(J1406,線別!A:B,2,1),"")</f>
        <v/>
      </c>
      <c r="S1406" s="17" t="str">
        <f>IFERROR(VLOOKUP(A1406,已除帳印單!B:C,2,0),"")</f>
        <v/>
      </c>
      <c r="T1406" s="68" t="e">
        <f t="shared" si="134"/>
        <v>#VALUE!</v>
      </c>
      <c r="U1406" s="69">
        <f t="shared" si="135"/>
        <v>0</v>
      </c>
      <c r="V1406" s="68" t="str">
        <f>IFERROR(VLOOKUP(A1406,已除帳印單!B:D,3,0),"")</f>
        <v/>
      </c>
      <c r="W1406" s="69" t="str">
        <f>IFERROR(VLOOKUP(A1406,已除帳印單!B:E,4,0),"")</f>
        <v/>
      </c>
      <c r="X1406" s="68" t="str">
        <f>IFERROR(INDEX(刷條碼區!A:C,MATCH(點上線資訊!S1406,刷條碼區!C:C,0),1),"")</f>
        <v/>
      </c>
      <c r="Y1406" s="69" t="str">
        <f>IFERROR(INDEX(刷條碼區!A:C,MATCH(點上線資訊!S1406,刷條碼區!C:C,0),2),"")</f>
        <v/>
      </c>
      <c r="Z1406" s="70" t="str">
        <f>IFERROR(INDEX(刷條碼區!D:G,MATCH(點上線資訊!S1406,刷條碼區!F:F,0),1),"")</f>
        <v/>
      </c>
      <c r="AA1406" s="71" t="str">
        <f>IFERROR(INDEX(刷條碼區!D:G,MATCH(點上線資訊!S1406,刷條碼區!F:F,0),2),"")</f>
        <v/>
      </c>
      <c r="AB1406" s="20">
        <f t="shared" si="136"/>
        <v>0</v>
      </c>
      <c r="AC1406" s="20" t="b">
        <f t="shared" si="137"/>
        <v>0</v>
      </c>
      <c r="AD1406" s="17" t="b">
        <f t="shared" si="138"/>
        <v>0</v>
      </c>
      <c r="AE1406" s="17" t="b">
        <f t="shared" si="139"/>
        <v>0</v>
      </c>
    </row>
    <row r="1407" spans="17:31" x14ac:dyDescent="0.2">
      <c r="Q1407" s="17">
        <f>IFERROR(VLOOKUP(A1407,已除帳印單!B:C,1,0),0)*1</f>
        <v>0</v>
      </c>
      <c r="R1407" s="67" t="str">
        <f>IFERROR(VLOOKUP(J1407,線別!A:B,2,1),"")</f>
        <v/>
      </c>
      <c r="S1407" s="17" t="str">
        <f>IFERROR(VLOOKUP(A1407,已除帳印單!B:C,2,0),"")</f>
        <v/>
      </c>
      <c r="T1407" s="68" t="e">
        <f t="shared" si="134"/>
        <v>#VALUE!</v>
      </c>
      <c r="U1407" s="69">
        <f t="shared" si="135"/>
        <v>0</v>
      </c>
      <c r="V1407" s="68" t="str">
        <f>IFERROR(VLOOKUP(A1407,已除帳印單!B:D,3,0),"")</f>
        <v/>
      </c>
      <c r="W1407" s="69" t="str">
        <f>IFERROR(VLOOKUP(A1407,已除帳印單!B:E,4,0),"")</f>
        <v/>
      </c>
      <c r="X1407" s="68" t="str">
        <f>IFERROR(INDEX(刷條碼區!A:C,MATCH(點上線資訊!S1407,刷條碼區!C:C,0),1),"")</f>
        <v/>
      </c>
      <c r="Y1407" s="69" t="str">
        <f>IFERROR(INDEX(刷條碼區!A:C,MATCH(點上線資訊!S1407,刷條碼區!C:C,0),2),"")</f>
        <v/>
      </c>
      <c r="Z1407" s="70" t="str">
        <f>IFERROR(INDEX(刷條碼區!D:G,MATCH(點上線資訊!S1407,刷條碼區!F:F,0),1),"")</f>
        <v/>
      </c>
      <c r="AA1407" s="71" t="str">
        <f>IFERROR(INDEX(刷條碼區!D:G,MATCH(點上線資訊!S1407,刷條碼區!F:F,0),2),"")</f>
        <v/>
      </c>
      <c r="AB1407" s="20">
        <f t="shared" si="136"/>
        <v>0</v>
      </c>
      <c r="AC1407" s="20" t="b">
        <f t="shared" si="137"/>
        <v>0</v>
      </c>
      <c r="AD1407" s="17" t="b">
        <f t="shared" si="138"/>
        <v>0</v>
      </c>
      <c r="AE1407" s="17" t="b">
        <f t="shared" si="139"/>
        <v>0</v>
      </c>
    </row>
    <row r="1408" spans="17:31" x14ac:dyDescent="0.2">
      <c r="Q1408" s="17">
        <f>IFERROR(VLOOKUP(A1408,已除帳印單!B:C,1,0),0)*1</f>
        <v>0</v>
      </c>
      <c r="R1408" s="67" t="str">
        <f>IFERROR(VLOOKUP(J1408,線別!A:B,2,1),"")</f>
        <v/>
      </c>
      <c r="S1408" s="17" t="str">
        <f>IFERROR(VLOOKUP(A1408,已除帳印單!B:C,2,0),"")</f>
        <v/>
      </c>
      <c r="T1408" s="68" t="e">
        <f t="shared" si="134"/>
        <v>#VALUE!</v>
      </c>
      <c r="U1408" s="69">
        <f t="shared" si="135"/>
        <v>0</v>
      </c>
      <c r="V1408" s="68" t="str">
        <f>IFERROR(VLOOKUP(A1408,已除帳印單!B:D,3,0),"")</f>
        <v/>
      </c>
      <c r="W1408" s="69" t="str">
        <f>IFERROR(VLOOKUP(A1408,已除帳印單!B:E,4,0),"")</f>
        <v/>
      </c>
      <c r="X1408" s="68" t="str">
        <f>IFERROR(INDEX(刷條碼區!A:C,MATCH(點上線資訊!S1408,刷條碼區!C:C,0),1),"")</f>
        <v/>
      </c>
      <c r="Y1408" s="69" t="str">
        <f>IFERROR(INDEX(刷條碼區!A:C,MATCH(點上線資訊!S1408,刷條碼區!C:C,0),2),"")</f>
        <v/>
      </c>
      <c r="Z1408" s="70" t="str">
        <f>IFERROR(INDEX(刷條碼區!D:G,MATCH(點上線資訊!S1408,刷條碼區!F:F,0),1),"")</f>
        <v/>
      </c>
      <c r="AA1408" s="71" t="str">
        <f>IFERROR(INDEX(刷條碼區!D:G,MATCH(點上線資訊!S1408,刷條碼區!F:F,0),2),"")</f>
        <v/>
      </c>
      <c r="AB1408" s="20">
        <f t="shared" si="136"/>
        <v>0</v>
      </c>
      <c r="AC1408" s="20" t="b">
        <f t="shared" si="137"/>
        <v>0</v>
      </c>
      <c r="AD1408" s="17" t="b">
        <f t="shared" si="138"/>
        <v>0</v>
      </c>
      <c r="AE1408" s="17" t="b">
        <f t="shared" si="139"/>
        <v>0</v>
      </c>
    </row>
    <row r="1409" spans="17:31" x14ac:dyDescent="0.2">
      <c r="Q1409" s="17">
        <f>IFERROR(VLOOKUP(A1409,已除帳印單!B:C,1,0),0)*1</f>
        <v>0</v>
      </c>
      <c r="R1409" s="67" t="str">
        <f>IFERROR(VLOOKUP(J1409,線別!A:B,2,1),"")</f>
        <v/>
      </c>
      <c r="S1409" s="17" t="str">
        <f>IFERROR(VLOOKUP(A1409,已除帳印單!B:C,2,0),"")</f>
        <v/>
      </c>
      <c r="T1409" s="68" t="e">
        <f t="shared" si="134"/>
        <v>#VALUE!</v>
      </c>
      <c r="U1409" s="69">
        <f t="shared" si="135"/>
        <v>0</v>
      </c>
      <c r="V1409" s="68" t="str">
        <f>IFERROR(VLOOKUP(A1409,已除帳印單!B:D,3,0),"")</f>
        <v/>
      </c>
      <c r="W1409" s="69" t="str">
        <f>IFERROR(VLOOKUP(A1409,已除帳印單!B:E,4,0),"")</f>
        <v/>
      </c>
      <c r="X1409" s="68" t="str">
        <f>IFERROR(INDEX(刷條碼區!A:C,MATCH(點上線資訊!S1409,刷條碼區!C:C,0),1),"")</f>
        <v/>
      </c>
      <c r="Y1409" s="69" t="str">
        <f>IFERROR(INDEX(刷條碼區!A:C,MATCH(點上線資訊!S1409,刷條碼區!C:C,0),2),"")</f>
        <v/>
      </c>
      <c r="Z1409" s="70" t="str">
        <f>IFERROR(INDEX(刷條碼區!D:G,MATCH(點上線資訊!S1409,刷條碼區!F:F,0),1),"")</f>
        <v/>
      </c>
      <c r="AA1409" s="71" t="str">
        <f>IFERROR(INDEX(刷條碼區!D:G,MATCH(點上線資訊!S1409,刷條碼區!F:F,0),2),"")</f>
        <v/>
      </c>
      <c r="AB1409" s="20">
        <f t="shared" si="136"/>
        <v>0</v>
      </c>
      <c r="AC1409" s="20" t="b">
        <f t="shared" si="137"/>
        <v>0</v>
      </c>
      <c r="AD1409" s="17" t="b">
        <f t="shared" si="138"/>
        <v>0</v>
      </c>
      <c r="AE1409" s="17" t="b">
        <f t="shared" si="139"/>
        <v>0</v>
      </c>
    </row>
    <row r="1410" spans="17:31" x14ac:dyDescent="0.2">
      <c r="Q1410" s="17">
        <f>IFERROR(VLOOKUP(A1410,已除帳印單!B:C,1,0),0)*1</f>
        <v>0</v>
      </c>
      <c r="R1410" s="67" t="str">
        <f>IFERROR(VLOOKUP(J1410,線別!A:B,2,1),"")</f>
        <v/>
      </c>
      <c r="S1410" s="17" t="str">
        <f>IFERROR(VLOOKUP(A1410,已除帳印單!B:C,2,0),"")</f>
        <v/>
      </c>
      <c r="T1410" s="68" t="e">
        <f t="shared" si="134"/>
        <v>#VALUE!</v>
      </c>
      <c r="U1410" s="69">
        <f t="shared" si="135"/>
        <v>0</v>
      </c>
      <c r="V1410" s="68" t="str">
        <f>IFERROR(VLOOKUP(A1410,已除帳印單!B:D,3,0),"")</f>
        <v/>
      </c>
      <c r="W1410" s="69" t="str">
        <f>IFERROR(VLOOKUP(A1410,已除帳印單!B:E,4,0),"")</f>
        <v/>
      </c>
      <c r="X1410" s="68" t="str">
        <f>IFERROR(INDEX(刷條碼區!A:C,MATCH(點上線資訊!S1410,刷條碼區!C:C,0),1),"")</f>
        <v/>
      </c>
      <c r="Y1410" s="69" t="str">
        <f>IFERROR(INDEX(刷條碼區!A:C,MATCH(點上線資訊!S1410,刷條碼區!C:C,0),2),"")</f>
        <v/>
      </c>
      <c r="Z1410" s="70" t="str">
        <f>IFERROR(INDEX(刷條碼區!D:G,MATCH(點上線資訊!S1410,刷條碼區!F:F,0),1),"")</f>
        <v/>
      </c>
      <c r="AA1410" s="71" t="str">
        <f>IFERROR(INDEX(刷條碼區!D:G,MATCH(點上線資訊!S1410,刷條碼區!F:F,0),2),"")</f>
        <v/>
      </c>
      <c r="AB1410" s="20">
        <f t="shared" si="136"/>
        <v>0</v>
      </c>
      <c r="AC1410" s="20" t="b">
        <f t="shared" si="137"/>
        <v>0</v>
      </c>
      <c r="AD1410" s="17" t="b">
        <f t="shared" si="138"/>
        <v>0</v>
      </c>
      <c r="AE1410" s="17" t="b">
        <f t="shared" si="139"/>
        <v>0</v>
      </c>
    </row>
    <row r="1411" spans="17:31" x14ac:dyDescent="0.2">
      <c r="Q1411" s="17">
        <f>IFERROR(VLOOKUP(A1411,已除帳印單!B:C,1,0),0)*1</f>
        <v>0</v>
      </c>
      <c r="R1411" s="67" t="str">
        <f>IFERROR(VLOOKUP(J1411,線別!A:B,2,1),"")</f>
        <v/>
      </c>
      <c r="S1411" s="17" t="str">
        <f>IFERROR(VLOOKUP(A1411,已除帳印單!B:C,2,0),"")</f>
        <v/>
      </c>
      <c r="T1411" s="68" t="e">
        <f t="shared" si="134"/>
        <v>#VALUE!</v>
      </c>
      <c r="U1411" s="69">
        <f t="shared" si="135"/>
        <v>0</v>
      </c>
      <c r="V1411" s="68" t="str">
        <f>IFERROR(VLOOKUP(A1411,已除帳印單!B:D,3,0),"")</f>
        <v/>
      </c>
      <c r="W1411" s="69" t="str">
        <f>IFERROR(VLOOKUP(A1411,已除帳印單!B:E,4,0),"")</f>
        <v/>
      </c>
      <c r="X1411" s="68" t="str">
        <f>IFERROR(INDEX(刷條碼區!A:C,MATCH(點上線資訊!S1411,刷條碼區!C:C,0),1),"")</f>
        <v/>
      </c>
      <c r="Y1411" s="69" t="str">
        <f>IFERROR(INDEX(刷條碼區!A:C,MATCH(點上線資訊!S1411,刷條碼區!C:C,0),2),"")</f>
        <v/>
      </c>
      <c r="Z1411" s="70" t="str">
        <f>IFERROR(INDEX(刷條碼區!D:G,MATCH(點上線資訊!S1411,刷條碼區!F:F,0),1),"")</f>
        <v/>
      </c>
      <c r="AA1411" s="71" t="str">
        <f>IFERROR(INDEX(刷條碼區!D:G,MATCH(點上線資訊!S1411,刷條碼區!F:F,0),2),"")</f>
        <v/>
      </c>
      <c r="AB1411" s="20">
        <f t="shared" si="136"/>
        <v>0</v>
      </c>
      <c r="AC1411" s="20" t="b">
        <f t="shared" si="137"/>
        <v>0</v>
      </c>
      <c r="AD1411" s="17" t="b">
        <f t="shared" si="138"/>
        <v>0</v>
      </c>
      <c r="AE1411" s="17" t="b">
        <f t="shared" si="139"/>
        <v>0</v>
      </c>
    </row>
    <row r="1412" spans="17:31" x14ac:dyDescent="0.2">
      <c r="Q1412" s="17">
        <f>IFERROR(VLOOKUP(A1412,已除帳印單!B:C,1,0),0)*1</f>
        <v>0</v>
      </c>
      <c r="R1412" s="67" t="str">
        <f>IFERROR(VLOOKUP(J1412,線別!A:B,2,1),"")</f>
        <v/>
      </c>
      <c r="S1412" s="17" t="str">
        <f>IFERROR(VLOOKUP(A1412,已除帳印單!B:C,2,0),"")</f>
        <v/>
      </c>
      <c r="T1412" s="68" t="e">
        <f t="shared" si="134"/>
        <v>#VALUE!</v>
      </c>
      <c r="U1412" s="69">
        <f t="shared" si="135"/>
        <v>0</v>
      </c>
      <c r="V1412" s="68" t="str">
        <f>IFERROR(VLOOKUP(A1412,已除帳印單!B:D,3,0),"")</f>
        <v/>
      </c>
      <c r="W1412" s="69" t="str">
        <f>IFERROR(VLOOKUP(A1412,已除帳印單!B:E,4,0),"")</f>
        <v/>
      </c>
      <c r="X1412" s="68" t="str">
        <f>IFERROR(INDEX(刷條碼區!A:C,MATCH(點上線資訊!S1412,刷條碼區!C:C,0),1),"")</f>
        <v/>
      </c>
      <c r="Y1412" s="69" t="str">
        <f>IFERROR(INDEX(刷條碼區!A:C,MATCH(點上線資訊!S1412,刷條碼區!C:C,0),2),"")</f>
        <v/>
      </c>
      <c r="Z1412" s="70" t="str">
        <f>IFERROR(INDEX(刷條碼區!D:G,MATCH(點上線資訊!S1412,刷條碼區!F:F,0),1),"")</f>
        <v/>
      </c>
      <c r="AA1412" s="71" t="str">
        <f>IFERROR(INDEX(刷條碼區!D:G,MATCH(點上線資訊!S1412,刷條碼區!F:F,0),2),"")</f>
        <v/>
      </c>
      <c r="AB1412" s="20">
        <f t="shared" si="136"/>
        <v>0</v>
      </c>
      <c r="AC1412" s="20" t="b">
        <f t="shared" si="137"/>
        <v>0</v>
      </c>
      <c r="AD1412" s="17" t="b">
        <f t="shared" si="138"/>
        <v>0</v>
      </c>
      <c r="AE1412" s="17" t="b">
        <f t="shared" si="139"/>
        <v>0</v>
      </c>
    </row>
    <row r="1413" spans="17:31" x14ac:dyDescent="0.2">
      <c r="Q1413" s="17">
        <f>IFERROR(VLOOKUP(A1413,已除帳印單!B:C,1,0),0)*1</f>
        <v>0</v>
      </c>
      <c r="R1413" s="67" t="str">
        <f>IFERROR(VLOOKUP(J1413,線別!A:B,2,1),"")</f>
        <v/>
      </c>
      <c r="S1413" s="17" t="str">
        <f>IFERROR(VLOOKUP(A1413,已除帳印單!B:C,2,0),"")</f>
        <v/>
      </c>
      <c r="T1413" s="68" t="e">
        <f t="shared" si="134"/>
        <v>#VALUE!</v>
      </c>
      <c r="U1413" s="69">
        <f t="shared" si="135"/>
        <v>0</v>
      </c>
      <c r="V1413" s="68" t="str">
        <f>IFERROR(VLOOKUP(A1413,已除帳印單!B:D,3,0),"")</f>
        <v/>
      </c>
      <c r="W1413" s="69" t="str">
        <f>IFERROR(VLOOKUP(A1413,已除帳印單!B:E,4,0),"")</f>
        <v/>
      </c>
      <c r="X1413" s="68" t="str">
        <f>IFERROR(INDEX(刷條碼區!A:C,MATCH(點上線資訊!S1413,刷條碼區!C:C,0),1),"")</f>
        <v/>
      </c>
      <c r="Y1413" s="69" t="str">
        <f>IFERROR(INDEX(刷條碼區!A:C,MATCH(點上線資訊!S1413,刷條碼區!C:C,0),2),"")</f>
        <v/>
      </c>
      <c r="Z1413" s="70" t="str">
        <f>IFERROR(INDEX(刷條碼區!D:G,MATCH(點上線資訊!S1413,刷條碼區!F:F,0),1),"")</f>
        <v/>
      </c>
      <c r="AA1413" s="71" t="str">
        <f>IFERROR(INDEX(刷條碼區!D:G,MATCH(點上線資訊!S1413,刷條碼區!F:F,0),2),"")</f>
        <v/>
      </c>
      <c r="AB1413" s="20">
        <f t="shared" si="136"/>
        <v>0</v>
      </c>
      <c r="AC1413" s="20" t="b">
        <f t="shared" si="137"/>
        <v>0</v>
      </c>
      <c r="AD1413" s="17" t="b">
        <f t="shared" si="138"/>
        <v>0</v>
      </c>
      <c r="AE1413" s="17" t="b">
        <f t="shared" si="139"/>
        <v>0</v>
      </c>
    </row>
    <row r="1414" spans="17:31" x14ac:dyDescent="0.2">
      <c r="Q1414" s="17">
        <f>IFERROR(VLOOKUP(A1414,已除帳印單!B:C,1,0),0)*1</f>
        <v>0</v>
      </c>
      <c r="R1414" s="67" t="str">
        <f>IFERROR(VLOOKUP(J1414,線別!A:B,2,1),"")</f>
        <v/>
      </c>
      <c r="S1414" s="17" t="str">
        <f>IFERROR(VLOOKUP(A1414,已除帳印單!B:C,2,0),"")</f>
        <v/>
      </c>
      <c r="T1414" s="68" t="e">
        <f t="shared" si="134"/>
        <v>#VALUE!</v>
      </c>
      <c r="U1414" s="69">
        <f t="shared" si="135"/>
        <v>0</v>
      </c>
      <c r="V1414" s="68" t="str">
        <f>IFERROR(VLOOKUP(A1414,已除帳印單!B:D,3,0),"")</f>
        <v/>
      </c>
      <c r="W1414" s="69" t="str">
        <f>IFERROR(VLOOKUP(A1414,已除帳印單!B:E,4,0),"")</f>
        <v/>
      </c>
      <c r="X1414" s="68" t="str">
        <f>IFERROR(INDEX(刷條碼區!A:C,MATCH(點上線資訊!S1414,刷條碼區!C:C,0),1),"")</f>
        <v/>
      </c>
      <c r="Y1414" s="69" t="str">
        <f>IFERROR(INDEX(刷條碼區!A:C,MATCH(點上線資訊!S1414,刷條碼區!C:C,0),2),"")</f>
        <v/>
      </c>
      <c r="Z1414" s="70" t="str">
        <f>IFERROR(INDEX(刷條碼區!D:G,MATCH(點上線資訊!S1414,刷條碼區!F:F,0),1),"")</f>
        <v/>
      </c>
      <c r="AA1414" s="71" t="str">
        <f>IFERROR(INDEX(刷條碼區!D:G,MATCH(點上線資訊!S1414,刷條碼區!F:F,0),2),"")</f>
        <v/>
      </c>
      <c r="AB1414" s="20">
        <f t="shared" si="136"/>
        <v>0</v>
      </c>
      <c r="AC1414" s="20" t="b">
        <f t="shared" si="137"/>
        <v>0</v>
      </c>
      <c r="AD1414" s="17" t="b">
        <f t="shared" si="138"/>
        <v>0</v>
      </c>
      <c r="AE1414" s="17" t="b">
        <f t="shared" si="139"/>
        <v>0</v>
      </c>
    </row>
    <row r="1415" spans="17:31" x14ac:dyDescent="0.2">
      <c r="Q1415" s="17">
        <f>IFERROR(VLOOKUP(A1415,已除帳印單!B:C,1,0),0)*1</f>
        <v>0</v>
      </c>
      <c r="R1415" s="67" t="str">
        <f>IFERROR(VLOOKUP(J1415,線別!A:B,2,1),"")</f>
        <v/>
      </c>
      <c r="S1415" s="17" t="str">
        <f>IFERROR(VLOOKUP(A1415,已除帳印單!B:C,2,0),"")</f>
        <v/>
      </c>
      <c r="T1415" s="68" t="e">
        <f t="shared" si="134"/>
        <v>#VALUE!</v>
      </c>
      <c r="U1415" s="69">
        <f t="shared" si="135"/>
        <v>0</v>
      </c>
      <c r="V1415" s="68" t="str">
        <f>IFERROR(VLOOKUP(A1415,已除帳印單!B:D,3,0),"")</f>
        <v/>
      </c>
      <c r="W1415" s="69" t="str">
        <f>IFERROR(VLOOKUP(A1415,已除帳印單!B:E,4,0),"")</f>
        <v/>
      </c>
      <c r="X1415" s="68" t="str">
        <f>IFERROR(INDEX(刷條碼區!A:C,MATCH(點上線資訊!S1415,刷條碼區!C:C,0),1),"")</f>
        <v/>
      </c>
      <c r="Y1415" s="69" t="str">
        <f>IFERROR(INDEX(刷條碼區!A:C,MATCH(點上線資訊!S1415,刷條碼區!C:C,0),2),"")</f>
        <v/>
      </c>
      <c r="Z1415" s="70" t="str">
        <f>IFERROR(INDEX(刷條碼區!D:G,MATCH(點上線資訊!S1415,刷條碼區!F:F,0),1),"")</f>
        <v/>
      </c>
      <c r="AA1415" s="71" t="str">
        <f>IFERROR(INDEX(刷條碼區!D:G,MATCH(點上線資訊!S1415,刷條碼區!F:F,0),2),"")</f>
        <v/>
      </c>
      <c r="AB1415" s="20">
        <f t="shared" si="136"/>
        <v>0</v>
      </c>
      <c r="AC1415" s="20" t="b">
        <f t="shared" si="137"/>
        <v>0</v>
      </c>
      <c r="AD1415" s="17" t="b">
        <f t="shared" si="138"/>
        <v>0</v>
      </c>
      <c r="AE1415" s="17" t="b">
        <f t="shared" si="139"/>
        <v>0</v>
      </c>
    </row>
    <row r="1416" spans="17:31" x14ac:dyDescent="0.2">
      <c r="Q1416" s="17">
        <f>IFERROR(VLOOKUP(A1416,已除帳印單!B:C,1,0),0)*1</f>
        <v>0</v>
      </c>
      <c r="R1416" s="67" t="str">
        <f>IFERROR(VLOOKUP(J1416,線別!A:B,2,1),"")</f>
        <v/>
      </c>
      <c r="S1416" s="17" t="str">
        <f>IFERROR(VLOOKUP(A1416,已除帳印單!B:C,2,0),"")</f>
        <v/>
      </c>
      <c r="T1416" s="68" t="e">
        <f t="shared" si="134"/>
        <v>#VALUE!</v>
      </c>
      <c r="U1416" s="69">
        <f t="shared" si="135"/>
        <v>0</v>
      </c>
      <c r="V1416" s="68" t="str">
        <f>IFERROR(VLOOKUP(A1416,已除帳印單!B:D,3,0),"")</f>
        <v/>
      </c>
      <c r="W1416" s="69" t="str">
        <f>IFERROR(VLOOKUP(A1416,已除帳印單!B:E,4,0),"")</f>
        <v/>
      </c>
      <c r="X1416" s="68" t="str">
        <f>IFERROR(INDEX(刷條碼區!A:C,MATCH(點上線資訊!S1416,刷條碼區!C:C,0),1),"")</f>
        <v/>
      </c>
      <c r="Y1416" s="69" t="str">
        <f>IFERROR(INDEX(刷條碼區!A:C,MATCH(點上線資訊!S1416,刷條碼區!C:C,0),2),"")</f>
        <v/>
      </c>
      <c r="Z1416" s="70" t="str">
        <f>IFERROR(INDEX(刷條碼區!D:G,MATCH(點上線資訊!S1416,刷條碼區!F:F,0),1),"")</f>
        <v/>
      </c>
      <c r="AA1416" s="71" t="str">
        <f>IFERROR(INDEX(刷條碼區!D:G,MATCH(點上線資訊!S1416,刷條碼區!F:F,0),2),"")</f>
        <v/>
      </c>
      <c r="AB1416" s="20">
        <f t="shared" si="136"/>
        <v>0</v>
      </c>
      <c r="AC1416" s="20" t="b">
        <f t="shared" si="137"/>
        <v>0</v>
      </c>
      <c r="AD1416" s="17" t="b">
        <f t="shared" si="138"/>
        <v>0</v>
      </c>
      <c r="AE1416" s="17" t="b">
        <f t="shared" si="139"/>
        <v>0</v>
      </c>
    </row>
    <row r="1417" spans="17:31" x14ac:dyDescent="0.2">
      <c r="Q1417" s="17">
        <f>IFERROR(VLOOKUP(A1417,已除帳印單!B:C,1,0),0)*1</f>
        <v>0</v>
      </c>
      <c r="R1417" s="67" t="str">
        <f>IFERROR(VLOOKUP(J1417,線別!A:B,2,1),"")</f>
        <v/>
      </c>
      <c r="S1417" s="17" t="str">
        <f>IFERROR(VLOOKUP(A1417,已除帳印單!B:C,2,0),"")</f>
        <v/>
      </c>
      <c r="T1417" s="68" t="e">
        <f t="shared" si="134"/>
        <v>#VALUE!</v>
      </c>
      <c r="U1417" s="69">
        <f t="shared" si="135"/>
        <v>0</v>
      </c>
      <c r="V1417" s="68" t="str">
        <f>IFERROR(VLOOKUP(A1417,已除帳印單!B:D,3,0),"")</f>
        <v/>
      </c>
      <c r="W1417" s="69" t="str">
        <f>IFERROR(VLOOKUP(A1417,已除帳印單!B:E,4,0),"")</f>
        <v/>
      </c>
      <c r="X1417" s="68" t="str">
        <f>IFERROR(INDEX(刷條碼區!A:C,MATCH(點上線資訊!S1417,刷條碼區!C:C,0),1),"")</f>
        <v/>
      </c>
      <c r="Y1417" s="69" t="str">
        <f>IFERROR(INDEX(刷條碼區!A:C,MATCH(點上線資訊!S1417,刷條碼區!C:C,0),2),"")</f>
        <v/>
      </c>
      <c r="Z1417" s="70" t="str">
        <f>IFERROR(INDEX(刷條碼區!D:G,MATCH(點上線資訊!S1417,刷條碼區!F:F,0),1),"")</f>
        <v/>
      </c>
      <c r="AA1417" s="71" t="str">
        <f>IFERROR(INDEX(刷條碼區!D:G,MATCH(點上線資訊!S1417,刷條碼區!F:F,0),2),"")</f>
        <v/>
      </c>
      <c r="AB1417" s="20">
        <f t="shared" si="136"/>
        <v>0</v>
      </c>
      <c r="AC1417" s="20" t="b">
        <f t="shared" si="137"/>
        <v>0</v>
      </c>
      <c r="AD1417" s="17" t="b">
        <f t="shared" si="138"/>
        <v>0</v>
      </c>
      <c r="AE1417" s="17" t="b">
        <f t="shared" si="139"/>
        <v>0</v>
      </c>
    </row>
    <row r="1418" spans="17:31" x14ac:dyDescent="0.2">
      <c r="Q1418" s="17">
        <f>IFERROR(VLOOKUP(A1418,已除帳印單!B:C,1,0),0)*1</f>
        <v>0</v>
      </c>
      <c r="R1418" s="67" t="str">
        <f>IFERROR(VLOOKUP(J1418,線別!A:B,2,1),"")</f>
        <v/>
      </c>
      <c r="S1418" s="17" t="str">
        <f>IFERROR(VLOOKUP(A1418,已除帳印單!B:C,2,0),"")</f>
        <v/>
      </c>
      <c r="T1418" s="68" t="e">
        <f t="shared" si="134"/>
        <v>#VALUE!</v>
      </c>
      <c r="U1418" s="69">
        <f t="shared" si="135"/>
        <v>0</v>
      </c>
      <c r="V1418" s="68" t="str">
        <f>IFERROR(VLOOKUP(A1418,已除帳印單!B:D,3,0),"")</f>
        <v/>
      </c>
      <c r="W1418" s="69" t="str">
        <f>IFERROR(VLOOKUP(A1418,已除帳印單!B:E,4,0),"")</f>
        <v/>
      </c>
      <c r="X1418" s="68" t="str">
        <f>IFERROR(INDEX(刷條碼區!A:C,MATCH(點上線資訊!S1418,刷條碼區!C:C,0),1),"")</f>
        <v/>
      </c>
      <c r="Y1418" s="69" t="str">
        <f>IFERROR(INDEX(刷條碼區!A:C,MATCH(點上線資訊!S1418,刷條碼區!C:C,0),2),"")</f>
        <v/>
      </c>
      <c r="Z1418" s="70" t="str">
        <f>IFERROR(INDEX(刷條碼區!D:G,MATCH(點上線資訊!S1418,刷條碼區!F:F,0),1),"")</f>
        <v/>
      </c>
      <c r="AA1418" s="71" t="str">
        <f>IFERROR(INDEX(刷條碼區!D:G,MATCH(點上線資訊!S1418,刷條碼區!F:F,0),2),"")</f>
        <v/>
      </c>
      <c r="AB1418" s="20">
        <f t="shared" si="136"/>
        <v>0</v>
      </c>
      <c r="AC1418" s="20" t="b">
        <f t="shared" si="137"/>
        <v>0</v>
      </c>
      <c r="AD1418" s="17" t="b">
        <f t="shared" si="138"/>
        <v>0</v>
      </c>
      <c r="AE1418" s="17" t="b">
        <f t="shared" si="139"/>
        <v>0</v>
      </c>
    </row>
    <row r="1419" spans="17:31" x14ac:dyDescent="0.2">
      <c r="Q1419" s="17">
        <f>IFERROR(VLOOKUP(A1419,已除帳印單!B:C,1,0),0)*1</f>
        <v>0</v>
      </c>
      <c r="R1419" s="67" t="str">
        <f>IFERROR(VLOOKUP(J1419,線別!A:B,2,1),"")</f>
        <v/>
      </c>
      <c r="S1419" s="17" t="str">
        <f>IFERROR(VLOOKUP(A1419,已除帳印單!B:C,2,0),"")</f>
        <v/>
      </c>
      <c r="T1419" s="68" t="e">
        <f t="shared" si="134"/>
        <v>#VALUE!</v>
      </c>
      <c r="U1419" s="69">
        <f t="shared" si="135"/>
        <v>0</v>
      </c>
      <c r="V1419" s="68" t="str">
        <f>IFERROR(VLOOKUP(A1419,已除帳印單!B:D,3,0),"")</f>
        <v/>
      </c>
      <c r="W1419" s="69" t="str">
        <f>IFERROR(VLOOKUP(A1419,已除帳印單!B:E,4,0),"")</f>
        <v/>
      </c>
      <c r="X1419" s="68" t="str">
        <f>IFERROR(INDEX(刷條碼區!A:C,MATCH(點上線資訊!S1419,刷條碼區!C:C,0),1),"")</f>
        <v/>
      </c>
      <c r="Y1419" s="69" t="str">
        <f>IFERROR(INDEX(刷條碼區!A:C,MATCH(點上線資訊!S1419,刷條碼區!C:C,0),2),"")</f>
        <v/>
      </c>
      <c r="Z1419" s="70" t="str">
        <f>IFERROR(INDEX(刷條碼區!D:G,MATCH(點上線資訊!S1419,刷條碼區!F:F,0),1),"")</f>
        <v/>
      </c>
      <c r="AA1419" s="71" t="str">
        <f>IFERROR(INDEX(刷條碼區!D:G,MATCH(點上線資訊!S1419,刷條碼區!F:F,0),2),"")</f>
        <v/>
      </c>
      <c r="AB1419" s="20">
        <f t="shared" si="136"/>
        <v>0</v>
      </c>
      <c r="AC1419" s="20" t="b">
        <f t="shared" si="137"/>
        <v>0</v>
      </c>
      <c r="AD1419" s="17" t="b">
        <f t="shared" si="138"/>
        <v>0</v>
      </c>
      <c r="AE1419" s="17" t="b">
        <f t="shared" si="139"/>
        <v>0</v>
      </c>
    </row>
    <row r="1420" spans="17:31" x14ac:dyDescent="0.2">
      <c r="Q1420" s="17">
        <f>IFERROR(VLOOKUP(A1420,已除帳印單!B:C,1,0),0)*1</f>
        <v>0</v>
      </c>
      <c r="R1420" s="67" t="str">
        <f>IFERROR(VLOOKUP(J1420,線別!A:B,2,1),"")</f>
        <v/>
      </c>
      <c r="S1420" s="17" t="str">
        <f>IFERROR(VLOOKUP(A1420,已除帳印單!B:C,2,0),"")</f>
        <v/>
      </c>
      <c r="T1420" s="68" t="e">
        <f t="shared" si="134"/>
        <v>#VALUE!</v>
      </c>
      <c r="U1420" s="69">
        <f t="shared" si="135"/>
        <v>0</v>
      </c>
      <c r="V1420" s="68" t="str">
        <f>IFERROR(VLOOKUP(A1420,已除帳印單!B:D,3,0),"")</f>
        <v/>
      </c>
      <c r="W1420" s="69" t="str">
        <f>IFERROR(VLOOKUP(A1420,已除帳印單!B:E,4,0),"")</f>
        <v/>
      </c>
      <c r="X1420" s="68" t="str">
        <f>IFERROR(INDEX(刷條碼區!A:C,MATCH(點上線資訊!S1420,刷條碼區!C:C,0),1),"")</f>
        <v/>
      </c>
      <c r="Y1420" s="69" t="str">
        <f>IFERROR(INDEX(刷條碼區!A:C,MATCH(點上線資訊!S1420,刷條碼區!C:C,0),2),"")</f>
        <v/>
      </c>
      <c r="Z1420" s="70" t="str">
        <f>IFERROR(INDEX(刷條碼區!D:G,MATCH(點上線資訊!S1420,刷條碼區!F:F,0),1),"")</f>
        <v/>
      </c>
      <c r="AA1420" s="71" t="str">
        <f>IFERROR(INDEX(刷條碼區!D:G,MATCH(點上線資訊!S1420,刷條碼區!F:F,0),2),"")</f>
        <v/>
      </c>
      <c r="AB1420" s="20">
        <f t="shared" si="136"/>
        <v>0</v>
      </c>
      <c r="AC1420" s="20" t="b">
        <f t="shared" si="137"/>
        <v>0</v>
      </c>
      <c r="AD1420" s="17" t="b">
        <f t="shared" si="138"/>
        <v>0</v>
      </c>
      <c r="AE1420" s="17" t="b">
        <f t="shared" si="139"/>
        <v>0</v>
      </c>
    </row>
    <row r="1421" spans="17:31" x14ac:dyDescent="0.2">
      <c r="Q1421" s="17">
        <f>IFERROR(VLOOKUP(A1421,已除帳印單!B:C,1,0),0)*1</f>
        <v>0</v>
      </c>
      <c r="R1421" s="67" t="str">
        <f>IFERROR(VLOOKUP(J1421,線別!A:B,2,1),"")</f>
        <v/>
      </c>
      <c r="S1421" s="17" t="str">
        <f>IFERROR(VLOOKUP(A1421,已除帳印單!B:C,2,0),"")</f>
        <v/>
      </c>
      <c r="T1421" s="68" t="e">
        <f t="shared" si="134"/>
        <v>#VALUE!</v>
      </c>
      <c r="U1421" s="69">
        <f t="shared" si="135"/>
        <v>0</v>
      </c>
      <c r="V1421" s="68" t="str">
        <f>IFERROR(VLOOKUP(A1421,已除帳印單!B:D,3,0),"")</f>
        <v/>
      </c>
      <c r="W1421" s="69" t="str">
        <f>IFERROR(VLOOKUP(A1421,已除帳印單!B:E,4,0),"")</f>
        <v/>
      </c>
      <c r="X1421" s="68" t="str">
        <f>IFERROR(INDEX(刷條碼區!A:C,MATCH(點上線資訊!S1421,刷條碼區!C:C,0),1),"")</f>
        <v/>
      </c>
      <c r="Y1421" s="69" t="str">
        <f>IFERROR(INDEX(刷條碼區!A:C,MATCH(點上線資訊!S1421,刷條碼區!C:C,0),2),"")</f>
        <v/>
      </c>
      <c r="Z1421" s="70" t="str">
        <f>IFERROR(INDEX(刷條碼區!D:G,MATCH(點上線資訊!S1421,刷條碼區!F:F,0),1),"")</f>
        <v/>
      </c>
      <c r="AA1421" s="71" t="str">
        <f>IFERROR(INDEX(刷條碼區!D:G,MATCH(點上線資訊!S1421,刷條碼區!F:F,0),2),"")</f>
        <v/>
      </c>
      <c r="AB1421" s="20">
        <f t="shared" si="136"/>
        <v>0</v>
      </c>
      <c r="AC1421" s="20" t="b">
        <f t="shared" si="137"/>
        <v>0</v>
      </c>
      <c r="AD1421" s="17" t="b">
        <f t="shared" si="138"/>
        <v>0</v>
      </c>
      <c r="AE1421" s="17" t="b">
        <f t="shared" si="139"/>
        <v>0</v>
      </c>
    </row>
    <row r="1422" spans="17:31" x14ac:dyDescent="0.2">
      <c r="Q1422" s="17">
        <f>IFERROR(VLOOKUP(A1422,已除帳印單!B:C,1,0),0)*1</f>
        <v>0</v>
      </c>
      <c r="R1422" s="67" t="str">
        <f>IFERROR(VLOOKUP(J1422,線別!A:B,2,1),"")</f>
        <v/>
      </c>
      <c r="S1422" s="17" t="str">
        <f>IFERROR(VLOOKUP(A1422,已除帳印單!B:C,2,0),"")</f>
        <v/>
      </c>
      <c r="T1422" s="68" t="e">
        <f t="shared" si="134"/>
        <v>#VALUE!</v>
      </c>
      <c r="U1422" s="69">
        <f t="shared" si="135"/>
        <v>0</v>
      </c>
      <c r="V1422" s="68" t="str">
        <f>IFERROR(VLOOKUP(A1422,已除帳印單!B:D,3,0),"")</f>
        <v/>
      </c>
      <c r="W1422" s="69" t="str">
        <f>IFERROR(VLOOKUP(A1422,已除帳印單!B:E,4,0),"")</f>
        <v/>
      </c>
      <c r="X1422" s="68" t="str">
        <f>IFERROR(INDEX(刷條碼區!A:C,MATCH(點上線資訊!S1422,刷條碼區!C:C,0),1),"")</f>
        <v/>
      </c>
      <c r="Y1422" s="69" t="str">
        <f>IFERROR(INDEX(刷條碼區!A:C,MATCH(點上線資訊!S1422,刷條碼區!C:C,0),2),"")</f>
        <v/>
      </c>
      <c r="Z1422" s="70" t="str">
        <f>IFERROR(INDEX(刷條碼區!D:G,MATCH(點上線資訊!S1422,刷條碼區!F:F,0),1),"")</f>
        <v/>
      </c>
      <c r="AA1422" s="71" t="str">
        <f>IFERROR(INDEX(刷條碼區!D:G,MATCH(點上線資訊!S1422,刷條碼區!F:F,0),2),"")</f>
        <v/>
      </c>
      <c r="AB1422" s="20">
        <f t="shared" si="136"/>
        <v>0</v>
      </c>
      <c r="AC1422" s="20" t="b">
        <f t="shared" si="137"/>
        <v>0</v>
      </c>
      <c r="AD1422" s="17" t="b">
        <f t="shared" si="138"/>
        <v>0</v>
      </c>
      <c r="AE1422" s="17" t="b">
        <f t="shared" si="139"/>
        <v>0</v>
      </c>
    </row>
    <row r="1423" spans="17:31" x14ac:dyDescent="0.2">
      <c r="Q1423" s="17">
        <f>IFERROR(VLOOKUP(A1423,已除帳印單!B:C,1,0),0)*1</f>
        <v>0</v>
      </c>
      <c r="R1423" s="67" t="str">
        <f>IFERROR(VLOOKUP(J1423,線別!A:B,2,1),"")</f>
        <v/>
      </c>
      <c r="S1423" s="17" t="str">
        <f>IFERROR(VLOOKUP(A1423,已除帳印單!B:C,2,0),"")</f>
        <v/>
      </c>
      <c r="T1423" s="68" t="e">
        <f t="shared" si="134"/>
        <v>#VALUE!</v>
      </c>
      <c r="U1423" s="69">
        <f t="shared" si="135"/>
        <v>0</v>
      </c>
      <c r="V1423" s="68" t="str">
        <f>IFERROR(VLOOKUP(A1423,已除帳印單!B:D,3,0),"")</f>
        <v/>
      </c>
      <c r="W1423" s="69" t="str">
        <f>IFERROR(VLOOKUP(A1423,已除帳印單!B:E,4,0),"")</f>
        <v/>
      </c>
      <c r="X1423" s="68" t="str">
        <f>IFERROR(INDEX(刷條碼區!A:C,MATCH(點上線資訊!S1423,刷條碼區!C:C,0),1),"")</f>
        <v/>
      </c>
      <c r="Y1423" s="69" t="str">
        <f>IFERROR(INDEX(刷條碼區!A:C,MATCH(點上線資訊!S1423,刷條碼區!C:C,0),2),"")</f>
        <v/>
      </c>
      <c r="Z1423" s="70" t="str">
        <f>IFERROR(INDEX(刷條碼區!D:G,MATCH(點上線資訊!S1423,刷條碼區!F:F,0),1),"")</f>
        <v/>
      </c>
      <c r="AA1423" s="71" t="str">
        <f>IFERROR(INDEX(刷條碼區!D:G,MATCH(點上線資訊!S1423,刷條碼區!F:F,0),2),"")</f>
        <v/>
      </c>
      <c r="AB1423" s="20">
        <f t="shared" si="136"/>
        <v>0</v>
      </c>
      <c r="AC1423" s="20" t="b">
        <f t="shared" si="137"/>
        <v>0</v>
      </c>
      <c r="AD1423" s="17" t="b">
        <f t="shared" si="138"/>
        <v>0</v>
      </c>
      <c r="AE1423" s="17" t="b">
        <f t="shared" si="139"/>
        <v>0</v>
      </c>
    </row>
    <row r="1424" spans="17:31" x14ac:dyDescent="0.2">
      <c r="Q1424" s="17">
        <f>IFERROR(VLOOKUP(A1424,已除帳印單!B:C,1,0),0)*1</f>
        <v>0</v>
      </c>
      <c r="R1424" s="67" t="str">
        <f>IFERROR(VLOOKUP(J1424,線別!A:B,2,1),"")</f>
        <v/>
      </c>
      <c r="S1424" s="17" t="str">
        <f>IFERROR(VLOOKUP(A1424,已除帳印單!B:C,2,0),"")</f>
        <v/>
      </c>
      <c r="T1424" s="68" t="e">
        <f t="shared" si="134"/>
        <v>#VALUE!</v>
      </c>
      <c r="U1424" s="69">
        <f t="shared" si="135"/>
        <v>0</v>
      </c>
      <c r="V1424" s="68" t="str">
        <f>IFERROR(VLOOKUP(A1424,已除帳印單!B:D,3,0),"")</f>
        <v/>
      </c>
      <c r="W1424" s="69" t="str">
        <f>IFERROR(VLOOKUP(A1424,已除帳印單!B:E,4,0),"")</f>
        <v/>
      </c>
      <c r="X1424" s="68" t="str">
        <f>IFERROR(INDEX(刷條碼區!A:C,MATCH(點上線資訊!S1424,刷條碼區!C:C,0),1),"")</f>
        <v/>
      </c>
      <c r="Y1424" s="69" t="str">
        <f>IFERROR(INDEX(刷條碼區!A:C,MATCH(點上線資訊!S1424,刷條碼區!C:C,0),2),"")</f>
        <v/>
      </c>
      <c r="Z1424" s="70" t="str">
        <f>IFERROR(INDEX(刷條碼區!D:G,MATCH(點上線資訊!S1424,刷條碼區!F:F,0),1),"")</f>
        <v/>
      </c>
      <c r="AA1424" s="71" t="str">
        <f>IFERROR(INDEX(刷條碼區!D:G,MATCH(點上線資訊!S1424,刷條碼區!F:F,0),2),"")</f>
        <v/>
      </c>
      <c r="AB1424" s="20">
        <f t="shared" si="136"/>
        <v>0</v>
      </c>
      <c r="AC1424" s="20" t="b">
        <f t="shared" si="137"/>
        <v>0</v>
      </c>
      <c r="AD1424" s="17" t="b">
        <f t="shared" si="138"/>
        <v>0</v>
      </c>
      <c r="AE1424" s="17" t="b">
        <f t="shared" si="139"/>
        <v>0</v>
      </c>
    </row>
    <row r="1425" spans="17:31" x14ac:dyDescent="0.2">
      <c r="Q1425" s="17">
        <f>IFERROR(VLOOKUP(A1425,已除帳印單!B:C,1,0),0)*1</f>
        <v>0</v>
      </c>
      <c r="R1425" s="67" t="str">
        <f>IFERROR(VLOOKUP(J1425,線別!A:B,2,1),"")</f>
        <v/>
      </c>
      <c r="S1425" s="17" t="str">
        <f>IFERROR(VLOOKUP(A1425,已除帳印單!B:C,2,0),"")</f>
        <v/>
      </c>
      <c r="T1425" s="68" t="e">
        <f t="shared" si="134"/>
        <v>#VALUE!</v>
      </c>
      <c r="U1425" s="69">
        <f t="shared" si="135"/>
        <v>0</v>
      </c>
      <c r="V1425" s="68" t="str">
        <f>IFERROR(VLOOKUP(A1425,已除帳印單!B:D,3,0),"")</f>
        <v/>
      </c>
      <c r="W1425" s="69" t="str">
        <f>IFERROR(VLOOKUP(A1425,已除帳印單!B:E,4,0),"")</f>
        <v/>
      </c>
      <c r="X1425" s="68" t="str">
        <f>IFERROR(INDEX(刷條碼區!A:C,MATCH(點上線資訊!S1425,刷條碼區!C:C,0),1),"")</f>
        <v/>
      </c>
      <c r="Y1425" s="69" t="str">
        <f>IFERROR(INDEX(刷條碼區!A:C,MATCH(點上線資訊!S1425,刷條碼區!C:C,0),2),"")</f>
        <v/>
      </c>
      <c r="Z1425" s="70" t="str">
        <f>IFERROR(INDEX(刷條碼區!D:G,MATCH(點上線資訊!S1425,刷條碼區!F:F,0),1),"")</f>
        <v/>
      </c>
      <c r="AA1425" s="71" t="str">
        <f>IFERROR(INDEX(刷條碼區!D:G,MATCH(點上線資訊!S1425,刷條碼區!F:F,0),2),"")</f>
        <v/>
      </c>
      <c r="AB1425" s="20">
        <f t="shared" si="136"/>
        <v>0</v>
      </c>
      <c r="AC1425" s="20" t="b">
        <f t="shared" si="137"/>
        <v>0</v>
      </c>
      <c r="AD1425" s="17" t="b">
        <f t="shared" si="138"/>
        <v>0</v>
      </c>
      <c r="AE1425" s="17" t="b">
        <f t="shared" si="139"/>
        <v>0</v>
      </c>
    </row>
    <row r="1426" spans="17:31" x14ac:dyDescent="0.2">
      <c r="Q1426" s="17">
        <f>IFERROR(VLOOKUP(A1426,已除帳印單!B:C,1,0),0)*1</f>
        <v>0</v>
      </c>
      <c r="R1426" s="67" t="str">
        <f>IFERROR(VLOOKUP(J1426,線別!A:B,2,1),"")</f>
        <v/>
      </c>
      <c r="S1426" s="17" t="str">
        <f>IFERROR(VLOOKUP(A1426,已除帳印單!B:C,2,0),"")</f>
        <v/>
      </c>
      <c r="T1426" s="68" t="e">
        <f t="shared" si="134"/>
        <v>#VALUE!</v>
      </c>
      <c r="U1426" s="69">
        <f t="shared" si="135"/>
        <v>0</v>
      </c>
      <c r="V1426" s="68" t="str">
        <f>IFERROR(VLOOKUP(A1426,已除帳印單!B:D,3,0),"")</f>
        <v/>
      </c>
      <c r="W1426" s="69" t="str">
        <f>IFERROR(VLOOKUP(A1426,已除帳印單!B:E,4,0),"")</f>
        <v/>
      </c>
      <c r="X1426" s="68" t="str">
        <f>IFERROR(INDEX(刷條碼區!A:C,MATCH(點上線資訊!S1426,刷條碼區!C:C,0),1),"")</f>
        <v/>
      </c>
      <c r="Y1426" s="69" t="str">
        <f>IFERROR(INDEX(刷條碼區!A:C,MATCH(點上線資訊!S1426,刷條碼區!C:C,0),2),"")</f>
        <v/>
      </c>
      <c r="Z1426" s="70" t="str">
        <f>IFERROR(INDEX(刷條碼區!D:G,MATCH(點上線資訊!S1426,刷條碼區!F:F,0),1),"")</f>
        <v/>
      </c>
      <c r="AA1426" s="71" t="str">
        <f>IFERROR(INDEX(刷條碼區!D:G,MATCH(點上線資訊!S1426,刷條碼區!F:F,0),2),"")</f>
        <v/>
      </c>
      <c r="AB1426" s="20">
        <f t="shared" si="136"/>
        <v>0</v>
      </c>
      <c r="AC1426" s="20" t="b">
        <f t="shared" si="137"/>
        <v>0</v>
      </c>
      <c r="AD1426" s="17" t="b">
        <f t="shared" si="138"/>
        <v>0</v>
      </c>
      <c r="AE1426" s="17" t="b">
        <f t="shared" si="139"/>
        <v>0</v>
      </c>
    </row>
    <row r="1427" spans="17:31" x14ac:dyDescent="0.2">
      <c r="Q1427" s="17">
        <f>IFERROR(VLOOKUP(A1427,已除帳印單!B:C,1,0),0)*1</f>
        <v>0</v>
      </c>
      <c r="R1427" s="67" t="str">
        <f>IFERROR(VLOOKUP(J1427,線別!A:B,2,1),"")</f>
        <v/>
      </c>
      <c r="S1427" s="17" t="str">
        <f>IFERROR(VLOOKUP(A1427,已除帳印單!B:C,2,0),"")</f>
        <v/>
      </c>
      <c r="T1427" s="68" t="e">
        <f t="shared" si="134"/>
        <v>#VALUE!</v>
      </c>
      <c r="U1427" s="69">
        <f t="shared" si="135"/>
        <v>0</v>
      </c>
      <c r="V1427" s="68" t="str">
        <f>IFERROR(VLOOKUP(A1427,已除帳印單!B:D,3,0),"")</f>
        <v/>
      </c>
      <c r="W1427" s="69" t="str">
        <f>IFERROR(VLOOKUP(A1427,已除帳印單!B:E,4,0),"")</f>
        <v/>
      </c>
      <c r="X1427" s="68" t="str">
        <f>IFERROR(INDEX(刷條碼區!A:C,MATCH(點上線資訊!S1427,刷條碼區!C:C,0),1),"")</f>
        <v/>
      </c>
      <c r="Y1427" s="69" t="str">
        <f>IFERROR(INDEX(刷條碼區!A:C,MATCH(點上線資訊!S1427,刷條碼區!C:C,0),2),"")</f>
        <v/>
      </c>
      <c r="Z1427" s="70" t="str">
        <f>IFERROR(INDEX(刷條碼區!D:G,MATCH(點上線資訊!S1427,刷條碼區!F:F,0),1),"")</f>
        <v/>
      </c>
      <c r="AA1427" s="71" t="str">
        <f>IFERROR(INDEX(刷條碼區!D:G,MATCH(點上線資訊!S1427,刷條碼區!F:F,0),2),"")</f>
        <v/>
      </c>
      <c r="AB1427" s="20">
        <f t="shared" si="136"/>
        <v>0</v>
      </c>
      <c r="AC1427" s="20" t="b">
        <f t="shared" si="137"/>
        <v>0</v>
      </c>
      <c r="AD1427" s="17" t="b">
        <f t="shared" si="138"/>
        <v>0</v>
      </c>
      <c r="AE1427" s="17" t="b">
        <f t="shared" si="139"/>
        <v>0</v>
      </c>
    </row>
    <row r="1428" spans="17:31" x14ac:dyDescent="0.2">
      <c r="Q1428" s="17">
        <f>IFERROR(VLOOKUP(A1428,已除帳印單!B:C,1,0),0)*1</f>
        <v>0</v>
      </c>
      <c r="R1428" s="67" t="str">
        <f>IFERROR(VLOOKUP(J1428,線別!A:B,2,1),"")</f>
        <v/>
      </c>
      <c r="S1428" s="17" t="str">
        <f>IFERROR(VLOOKUP(A1428,已除帳印單!B:C,2,0),"")</f>
        <v/>
      </c>
      <c r="T1428" s="68" t="e">
        <f t="shared" si="134"/>
        <v>#VALUE!</v>
      </c>
      <c r="U1428" s="69">
        <f t="shared" si="135"/>
        <v>0</v>
      </c>
      <c r="V1428" s="68" t="str">
        <f>IFERROR(VLOOKUP(A1428,已除帳印單!B:D,3,0),"")</f>
        <v/>
      </c>
      <c r="W1428" s="69" t="str">
        <f>IFERROR(VLOOKUP(A1428,已除帳印單!B:E,4,0),"")</f>
        <v/>
      </c>
      <c r="X1428" s="68" t="str">
        <f>IFERROR(INDEX(刷條碼區!A:C,MATCH(點上線資訊!S1428,刷條碼區!C:C,0),1),"")</f>
        <v/>
      </c>
      <c r="Y1428" s="69" t="str">
        <f>IFERROR(INDEX(刷條碼區!A:C,MATCH(點上線資訊!S1428,刷條碼區!C:C,0),2),"")</f>
        <v/>
      </c>
      <c r="Z1428" s="70" t="str">
        <f>IFERROR(INDEX(刷條碼區!D:G,MATCH(點上線資訊!S1428,刷條碼區!F:F,0),1),"")</f>
        <v/>
      </c>
      <c r="AA1428" s="71" t="str">
        <f>IFERROR(INDEX(刷條碼區!D:G,MATCH(點上線資訊!S1428,刷條碼區!F:F,0),2),"")</f>
        <v/>
      </c>
      <c r="AB1428" s="20">
        <f t="shared" si="136"/>
        <v>0</v>
      </c>
      <c r="AC1428" s="20" t="b">
        <f t="shared" si="137"/>
        <v>0</v>
      </c>
      <c r="AD1428" s="17" t="b">
        <f t="shared" si="138"/>
        <v>0</v>
      </c>
      <c r="AE1428" s="17" t="b">
        <f t="shared" si="139"/>
        <v>0</v>
      </c>
    </row>
    <row r="1429" spans="17:31" x14ac:dyDescent="0.2">
      <c r="Q1429" s="17">
        <f>IFERROR(VLOOKUP(A1429,已除帳印單!B:C,1,0),0)*1</f>
        <v>0</v>
      </c>
      <c r="R1429" s="67" t="str">
        <f>IFERROR(VLOOKUP(J1429,線別!A:B,2,1),"")</f>
        <v/>
      </c>
      <c r="S1429" s="17" t="str">
        <f>IFERROR(VLOOKUP(A1429,已除帳印單!B:C,2,0),"")</f>
        <v/>
      </c>
      <c r="T1429" s="68" t="e">
        <f t="shared" si="134"/>
        <v>#VALUE!</v>
      </c>
      <c r="U1429" s="69">
        <f t="shared" si="135"/>
        <v>0</v>
      </c>
      <c r="V1429" s="68" t="str">
        <f>IFERROR(VLOOKUP(A1429,已除帳印單!B:D,3,0),"")</f>
        <v/>
      </c>
      <c r="W1429" s="69" t="str">
        <f>IFERROR(VLOOKUP(A1429,已除帳印單!B:E,4,0),"")</f>
        <v/>
      </c>
      <c r="X1429" s="68" t="str">
        <f>IFERROR(INDEX(刷條碼區!A:C,MATCH(點上線資訊!S1429,刷條碼區!C:C,0),1),"")</f>
        <v/>
      </c>
      <c r="Y1429" s="69" t="str">
        <f>IFERROR(INDEX(刷條碼區!A:C,MATCH(點上線資訊!S1429,刷條碼區!C:C,0),2),"")</f>
        <v/>
      </c>
      <c r="Z1429" s="70" t="str">
        <f>IFERROR(INDEX(刷條碼區!D:G,MATCH(點上線資訊!S1429,刷條碼區!F:F,0),1),"")</f>
        <v/>
      </c>
      <c r="AA1429" s="71" t="str">
        <f>IFERROR(INDEX(刷條碼區!D:G,MATCH(點上線資訊!S1429,刷條碼區!F:F,0),2),"")</f>
        <v/>
      </c>
      <c r="AB1429" s="20">
        <f t="shared" si="136"/>
        <v>0</v>
      </c>
      <c r="AC1429" s="20" t="b">
        <f t="shared" si="137"/>
        <v>0</v>
      </c>
      <c r="AD1429" s="17" t="b">
        <f t="shared" si="138"/>
        <v>0</v>
      </c>
      <c r="AE1429" s="17" t="b">
        <f t="shared" si="139"/>
        <v>0</v>
      </c>
    </row>
    <row r="1430" spans="17:31" x14ac:dyDescent="0.2">
      <c r="Q1430" s="17">
        <f>IFERROR(VLOOKUP(A1430,已除帳印單!B:C,1,0),0)*1</f>
        <v>0</v>
      </c>
      <c r="R1430" s="67" t="str">
        <f>IFERROR(VLOOKUP(J1430,線別!A:B,2,1),"")</f>
        <v/>
      </c>
      <c r="S1430" s="17" t="str">
        <f>IFERROR(VLOOKUP(A1430,已除帳印單!B:C,2,0),"")</f>
        <v/>
      </c>
      <c r="T1430" s="68" t="e">
        <f t="shared" si="134"/>
        <v>#VALUE!</v>
      </c>
      <c r="U1430" s="69">
        <f t="shared" si="135"/>
        <v>0</v>
      </c>
      <c r="V1430" s="68" t="str">
        <f>IFERROR(VLOOKUP(A1430,已除帳印單!B:D,3,0),"")</f>
        <v/>
      </c>
      <c r="W1430" s="69" t="str">
        <f>IFERROR(VLOOKUP(A1430,已除帳印單!B:E,4,0),"")</f>
        <v/>
      </c>
      <c r="X1430" s="68" t="str">
        <f>IFERROR(INDEX(刷條碼區!A:C,MATCH(點上線資訊!S1430,刷條碼區!C:C,0),1),"")</f>
        <v/>
      </c>
      <c r="Y1430" s="69" t="str">
        <f>IFERROR(INDEX(刷條碼區!A:C,MATCH(點上線資訊!S1430,刷條碼區!C:C,0),2),"")</f>
        <v/>
      </c>
      <c r="Z1430" s="70" t="str">
        <f>IFERROR(INDEX(刷條碼區!D:G,MATCH(點上線資訊!S1430,刷條碼區!F:F,0),1),"")</f>
        <v/>
      </c>
      <c r="AA1430" s="71" t="str">
        <f>IFERROR(INDEX(刷條碼區!D:G,MATCH(點上線資訊!S1430,刷條碼區!F:F,0),2),"")</f>
        <v/>
      </c>
      <c r="AB1430" s="20">
        <f t="shared" si="136"/>
        <v>0</v>
      </c>
      <c r="AC1430" s="20" t="b">
        <f t="shared" si="137"/>
        <v>0</v>
      </c>
      <c r="AD1430" s="17" t="b">
        <f t="shared" si="138"/>
        <v>0</v>
      </c>
      <c r="AE1430" s="17" t="b">
        <f t="shared" si="139"/>
        <v>0</v>
      </c>
    </row>
    <row r="1431" spans="17:31" x14ac:dyDescent="0.2">
      <c r="Q1431" s="17">
        <f>IFERROR(VLOOKUP(A1431,已除帳印單!B:C,1,0),0)*1</f>
        <v>0</v>
      </c>
      <c r="R1431" s="67" t="str">
        <f>IFERROR(VLOOKUP(J1431,線別!A:B,2,1),"")</f>
        <v/>
      </c>
      <c r="S1431" s="17" t="str">
        <f>IFERROR(VLOOKUP(A1431,已除帳印單!B:C,2,0),"")</f>
        <v/>
      </c>
      <c r="T1431" s="68" t="e">
        <f t="shared" si="134"/>
        <v>#VALUE!</v>
      </c>
      <c r="U1431" s="69">
        <f t="shared" si="135"/>
        <v>0</v>
      </c>
      <c r="V1431" s="68" t="str">
        <f>IFERROR(VLOOKUP(A1431,已除帳印單!B:D,3,0),"")</f>
        <v/>
      </c>
      <c r="W1431" s="69" t="str">
        <f>IFERROR(VLOOKUP(A1431,已除帳印單!B:E,4,0),"")</f>
        <v/>
      </c>
      <c r="X1431" s="68" t="str">
        <f>IFERROR(INDEX(刷條碼區!A:C,MATCH(點上線資訊!S1431,刷條碼區!C:C,0),1),"")</f>
        <v/>
      </c>
      <c r="Y1431" s="69" t="str">
        <f>IFERROR(INDEX(刷條碼區!A:C,MATCH(點上線資訊!S1431,刷條碼區!C:C,0),2),"")</f>
        <v/>
      </c>
      <c r="Z1431" s="70" t="str">
        <f>IFERROR(INDEX(刷條碼區!D:G,MATCH(點上線資訊!S1431,刷條碼區!F:F,0),1),"")</f>
        <v/>
      </c>
      <c r="AA1431" s="71" t="str">
        <f>IFERROR(INDEX(刷條碼區!D:G,MATCH(點上線資訊!S1431,刷條碼區!F:F,0),2),"")</f>
        <v/>
      </c>
      <c r="AB1431" s="20">
        <f t="shared" si="136"/>
        <v>0</v>
      </c>
      <c r="AC1431" s="20" t="b">
        <f t="shared" si="137"/>
        <v>0</v>
      </c>
      <c r="AD1431" s="17" t="b">
        <f t="shared" si="138"/>
        <v>0</v>
      </c>
      <c r="AE1431" s="17" t="b">
        <f t="shared" si="139"/>
        <v>0</v>
      </c>
    </row>
    <row r="1432" spans="17:31" x14ac:dyDescent="0.2">
      <c r="Q1432" s="17">
        <f>IFERROR(VLOOKUP(A1432,已除帳印單!B:C,1,0),0)*1</f>
        <v>0</v>
      </c>
      <c r="R1432" s="67" t="str">
        <f>IFERROR(VLOOKUP(J1432,線別!A:B,2,1),"")</f>
        <v/>
      </c>
      <c r="S1432" s="17" t="str">
        <f>IFERROR(VLOOKUP(A1432,已除帳印單!B:C,2,0),"")</f>
        <v/>
      </c>
      <c r="T1432" s="68" t="e">
        <f t="shared" si="134"/>
        <v>#VALUE!</v>
      </c>
      <c r="U1432" s="69">
        <f t="shared" si="135"/>
        <v>0</v>
      </c>
      <c r="V1432" s="68" t="str">
        <f>IFERROR(VLOOKUP(A1432,已除帳印單!B:D,3,0),"")</f>
        <v/>
      </c>
      <c r="W1432" s="69" t="str">
        <f>IFERROR(VLOOKUP(A1432,已除帳印單!B:E,4,0),"")</f>
        <v/>
      </c>
      <c r="X1432" s="68" t="str">
        <f>IFERROR(INDEX(刷條碼區!A:C,MATCH(點上線資訊!S1432,刷條碼區!C:C,0),1),"")</f>
        <v/>
      </c>
      <c r="Y1432" s="69" t="str">
        <f>IFERROR(INDEX(刷條碼區!A:C,MATCH(點上線資訊!S1432,刷條碼區!C:C,0),2),"")</f>
        <v/>
      </c>
      <c r="Z1432" s="70" t="str">
        <f>IFERROR(INDEX(刷條碼區!D:G,MATCH(點上線資訊!S1432,刷條碼區!F:F,0),1),"")</f>
        <v/>
      </c>
      <c r="AA1432" s="71" t="str">
        <f>IFERROR(INDEX(刷條碼區!D:G,MATCH(點上線資訊!S1432,刷條碼區!F:F,0),2),"")</f>
        <v/>
      </c>
      <c r="AB1432" s="20">
        <f t="shared" si="136"/>
        <v>0</v>
      </c>
      <c r="AC1432" s="20" t="b">
        <f t="shared" si="137"/>
        <v>0</v>
      </c>
      <c r="AD1432" s="17" t="b">
        <f t="shared" si="138"/>
        <v>0</v>
      </c>
      <c r="AE1432" s="17" t="b">
        <f t="shared" si="139"/>
        <v>0</v>
      </c>
    </row>
    <row r="1433" spans="17:31" x14ac:dyDescent="0.2">
      <c r="Q1433" s="17">
        <f>IFERROR(VLOOKUP(A1433,已除帳印單!B:C,1,0),0)*1</f>
        <v>0</v>
      </c>
      <c r="R1433" s="67" t="str">
        <f>IFERROR(VLOOKUP(J1433,線別!A:B,2,1),"")</f>
        <v/>
      </c>
      <c r="S1433" s="17" t="str">
        <f>IFERROR(VLOOKUP(A1433,已除帳印單!B:C,2,0),"")</f>
        <v/>
      </c>
      <c r="T1433" s="68" t="e">
        <f t="shared" si="134"/>
        <v>#VALUE!</v>
      </c>
      <c r="U1433" s="69">
        <f t="shared" si="135"/>
        <v>0</v>
      </c>
      <c r="V1433" s="68" t="str">
        <f>IFERROR(VLOOKUP(A1433,已除帳印單!B:D,3,0),"")</f>
        <v/>
      </c>
      <c r="W1433" s="69" t="str">
        <f>IFERROR(VLOOKUP(A1433,已除帳印單!B:E,4,0),"")</f>
        <v/>
      </c>
      <c r="X1433" s="68" t="str">
        <f>IFERROR(INDEX(刷條碼區!A:C,MATCH(點上線資訊!S1433,刷條碼區!C:C,0),1),"")</f>
        <v/>
      </c>
      <c r="Y1433" s="69" t="str">
        <f>IFERROR(INDEX(刷條碼區!A:C,MATCH(點上線資訊!S1433,刷條碼區!C:C,0),2),"")</f>
        <v/>
      </c>
      <c r="Z1433" s="70" t="str">
        <f>IFERROR(INDEX(刷條碼區!D:G,MATCH(點上線資訊!S1433,刷條碼區!F:F,0),1),"")</f>
        <v/>
      </c>
      <c r="AA1433" s="71" t="str">
        <f>IFERROR(INDEX(刷條碼區!D:G,MATCH(點上線資訊!S1433,刷條碼區!F:F,0),2),"")</f>
        <v/>
      </c>
      <c r="AB1433" s="20">
        <f t="shared" si="136"/>
        <v>0</v>
      </c>
      <c r="AC1433" s="20" t="b">
        <f t="shared" si="137"/>
        <v>0</v>
      </c>
      <c r="AD1433" s="17" t="b">
        <f t="shared" si="138"/>
        <v>0</v>
      </c>
      <c r="AE1433" s="17" t="b">
        <f t="shared" si="139"/>
        <v>0</v>
      </c>
    </row>
    <row r="1434" spans="17:31" x14ac:dyDescent="0.2">
      <c r="Q1434" s="17">
        <f>IFERROR(VLOOKUP(A1434,已除帳印單!B:C,1,0),0)*1</f>
        <v>0</v>
      </c>
      <c r="R1434" s="67" t="str">
        <f>IFERROR(VLOOKUP(J1434,線別!A:B,2,1),"")</f>
        <v/>
      </c>
      <c r="S1434" s="17" t="str">
        <f>IFERROR(VLOOKUP(A1434,已除帳印單!B:C,2,0),"")</f>
        <v/>
      </c>
      <c r="T1434" s="68" t="e">
        <f t="shared" si="134"/>
        <v>#VALUE!</v>
      </c>
      <c r="U1434" s="69">
        <f t="shared" si="135"/>
        <v>0</v>
      </c>
      <c r="V1434" s="68" t="str">
        <f>IFERROR(VLOOKUP(A1434,已除帳印單!B:D,3,0),"")</f>
        <v/>
      </c>
      <c r="W1434" s="69" t="str">
        <f>IFERROR(VLOOKUP(A1434,已除帳印單!B:E,4,0),"")</f>
        <v/>
      </c>
      <c r="X1434" s="68" t="str">
        <f>IFERROR(INDEX(刷條碼區!A:C,MATCH(點上線資訊!S1434,刷條碼區!C:C,0),1),"")</f>
        <v/>
      </c>
      <c r="Y1434" s="69" t="str">
        <f>IFERROR(INDEX(刷條碼區!A:C,MATCH(點上線資訊!S1434,刷條碼區!C:C,0),2),"")</f>
        <v/>
      </c>
      <c r="Z1434" s="70" t="str">
        <f>IFERROR(INDEX(刷條碼區!D:G,MATCH(點上線資訊!S1434,刷條碼區!F:F,0),1),"")</f>
        <v/>
      </c>
      <c r="AA1434" s="71" t="str">
        <f>IFERROR(INDEX(刷條碼區!D:G,MATCH(點上線資訊!S1434,刷條碼區!F:F,0),2),"")</f>
        <v/>
      </c>
      <c r="AB1434" s="20">
        <f t="shared" si="136"/>
        <v>0</v>
      </c>
      <c r="AC1434" s="20" t="b">
        <f t="shared" si="137"/>
        <v>0</v>
      </c>
      <c r="AD1434" s="17" t="b">
        <f t="shared" si="138"/>
        <v>0</v>
      </c>
      <c r="AE1434" s="17" t="b">
        <f t="shared" si="139"/>
        <v>0</v>
      </c>
    </row>
    <row r="1435" spans="17:31" x14ac:dyDescent="0.2">
      <c r="Q1435" s="17">
        <f>IFERROR(VLOOKUP(A1435,已除帳印單!B:C,1,0),0)*1</f>
        <v>0</v>
      </c>
      <c r="R1435" s="67" t="str">
        <f>IFERROR(VLOOKUP(J1435,線別!A:B,2,1),"")</f>
        <v/>
      </c>
      <c r="S1435" s="17" t="str">
        <f>IFERROR(VLOOKUP(A1435,已除帳印單!B:C,2,0),"")</f>
        <v/>
      </c>
      <c r="T1435" s="68" t="e">
        <f t="shared" si="134"/>
        <v>#VALUE!</v>
      </c>
      <c r="U1435" s="69">
        <f t="shared" si="135"/>
        <v>0</v>
      </c>
      <c r="V1435" s="68" t="str">
        <f>IFERROR(VLOOKUP(A1435,已除帳印單!B:D,3,0),"")</f>
        <v/>
      </c>
      <c r="W1435" s="69" t="str">
        <f>IFERROR(VLOOKUP(A1435,已除帳印單!B:E,4,0),"")</f>
        <v/>
      </c>
      <c r="X1435" s="68" t="str">
        <f>IFERROR(INDEX(刷條碼區!A:C,MATCH(點上線資訊!S1435,刷條碼區!C:C,0),1),"")</f>
        <v/>
      </c>
      <c r="Y1435" s="69" t="str">
        <f>IFERROR(INDEX(刷條碼區!A:C,MATCH(點上線資訊!S1435,刷條碼區!C:C,0),2),"")</f>
        <v/>
      </c>
      <c r="Z1435" s="70" t="str">
        <f>IFERROR(INDEX(刷條碼區!D:G,MATCH(點上線資訊!S1435,刷條碼區!F:F,0),1),"")</f>
        <v/>
      </c>
      <c r="AA1435" s="71" t="str">
        <f>IFERROR(INDEX(刷條碼區!D:G,MATCH(點上線資訊!S1435,刷條碼區!F:F,0),2),"")</f>
        <v/>
      </c>
      <c r="AB1435" s="20">
        <f t="shared" si="136"/>
        <v>0</v>
      </c>
      <c r="AC1435" s="20" t="b">
        <f t="shared" si="137"/>
        <v>0</v>
      </c>
      <c r="AD1435" s="17" t="b">
        <f t="shared" si="138"/>
        <v>0</v>
      </c>
      <c r="AE1435" s="17" t="b">
        <f t="shared" si="139"/>
        <v>0</v>
      </c>
    </row>
    <row r="1436" spans="17:31" x14ac:dyDescent="0.2">
      <c r="Q1436" s="17">
        <f>IFERROR(VLOOKUP(A1436,已除帳印單!B:C,1,0),0)*1</f>
        <v>0</v>
      </c>
      <c r="R1436" s="67" t="str">
        <f>IFERROR(VLOOKUP(J1436,線別!A:B,2,1),"")</f>
        <v/>
      </c>
      <c r="S1436" s="17" t="str">
        <f>IFERROR(VLOOKUP(A1436,已除帳印單!B:C,2,0),"")</f>
        <v/>
      </c>
      <c r="T1436" s="68" t="e">
        <f t="shared" si="134"/>
        <v>#VALUE!</v>
      </c>
      <c r="U1436" s="69">
        <f t="shared" si="135"/>
        <v>0</v>
      </c>
      <c r="V1436" s="68" t="str">
        <f>IFERROR(VLOOKUP(A1436,已除帳印單!B:D,3,0),"")</f>
        <v/>
      </c>
      <c r="W1436" s="69" t="str">
        <f>IFERROR(VLOOKUP(A1436,已除帳印單!B:E,4,0),"")</f>
        <v/>
      </c>
      <c r="X1436" s="68" t="str">
        <f>IFERROR(INDEX(刷條碼區!A:C,MATCH(點上線資訊!S1436,刷條碼區!C:C,0),1),"")</f>
        <v/>
      </c>
      <c r="Y1436" s="69" t="str">
        <f>IFERROR(INDEX(刷條碼區!A:C,MATCH(點上線資訊!S1436,刷條碼區!C:C,0),2),"")</f>
        <v/>
      </c>
      <c r="Z1436" s="70" t="str">
        <f>IFERROR(INDEX(刷條碼區!D:G,MATCH(點上線資訊!S1436,刷條碼區!F:F,0),1),"")</f>
        <v/>
      </c>
      <c r="AA1436" s="71" t="str">
        <f>IFERROR(INDEX(刷條碼區!D:G,MATCH(點上線資訊!S1436,刷條碼區!F:F,0),2),"")</f>
        <v/>
      </c>
      <c r="AB1436" s="20">
        <f t="shared" si="136"/>
        <v>0</v>
      </c>
      <c r="AC1436" s="20" t="b">
        <f t="shared" si="137"/>
        <v>0</v>
      </c>
      <c r="AD1436" s="17" t="b">
        <f t="shared" si="138"/>
        <v>0</v>
      </c>
      <c r="AE1436" s="17" t="b">
        <f t="shared" si="139"/>
        <v>0</v>
      </c>
    </row>
    <row r="1437" spans="17:31" x14ac:dyDescent="0.2">
      <c r="Q1437" s="17">
        <f>IFERROR(VLOOKUP(A1437,已除帳印單!B:C,1,0),0)*1</f>
        <v>0</v>
      </c>
      <c r="R1437" s="67" t="str">
        <f>IFERROR(VLOOKUP(J1437,線別!A:B,2,1),"")</f>
        <v/>
      </c>
      <c r="S1437" s="17" t="str">
        <f>IFERROR(VLOOKUP(A1437,已除帳印單!B:C,2,0),"")</f>
        <v/>
      </c>
      <c r="T1437" s="68" t="e">
        <f t="shared" si="134"/>
        <v>#VALUE!</v>
      </c>
      <c r="U1437" s="69">
        <f t="shared" si="135"/>
        <v>0</v>
      </c>
      <c r="V1437" s="68" t="str">
        <f>IFERROR(VLOOKUP(A1437,已除帳印單!B:D,3,0),"")</f>
        <v/>
      </c>
      <c r="W1437" s="69" t="str">
        <f>IFERROR(VLOOKUP(A1437,已除帳印單!B:E,4,0),"")</f>
        <v/>
      </c>
      <c r="X1437" s="68" t="str">
        <f>IFERROR(INDEX(刷條碼區!A:C,MATCH(點上線資訊!S1437,刷條碼區!C:C,0),1),"")</f>
        <v/>
      </c>
      <c r="Y1437" s="69" t="str">
        <f>IFERROR(INDEX(刷條碼區!A:C,MATCH(點上線資訊!S1437,刷條碼區!C:C,0),2),"")</f>
        <v/>
      </c>
      <c r="Z1437" s="70" t="str">
        <f>IFERROR(INDEX(刷條碼區!D:G,MATCH(點上線資訊!S1437,刷條碼區!F:F,0),1),"")</f>
        <v/>
      </c>
      <c r="AA1437" s="71" t="str">
        <f>IFERROR(INDEX(刷條碼區!D:G,MATCH(點上線資訊!S1437,刷條碼區!F:F,0),2),"")</f>
        <v/>
      </c>
      <c r="AB1437" s="20">
        <f t="shared" si="136"/>
        <v>0</v>
      </c>
      <c r="AC1437" s="20" t="b">
        <f t="shared" si="137"/>
        <v>0</v>
      </c>
      <c r="AD1437" s="17" t="b">
        <f t="shared" si="138"/>
        <v>0</v>
      </c>
      <c r="AE1437" s="17" t="b">
        <f t="shared" si="139"/>
        <v>0</v>
      </c>
    </row>
    <row r="1438" spans="17:31" x14ac:dyDescent="0.2">
      <c r="Q1438" s="17">
        <f>IFERROR(VLOOKUP(A1438,已除帳印單!B:C,1,0),0)*1</f>
        <v>0</v>
      </c>
      <c r="R1438" s="67" t="str">
        <f>IFERROR(VLOOKUP(J1438,線別!A:B,2,1),"")</f>
        <v/>
      </c>
      <c r="S1438" s="17" t="str">
        <f>IFERROR(VLOOKUP(A1438,已除帳印單!B:C,2,0),"")</f>
        <v/>
      </c>
      <c r="T1438" s="68" t="e">
        <f t="shared" si="134"/>
        <v>#VALUE!</v>
      </c>
      <c r="U1438" s="69">
        <f t="shared" si="135"/>
        <v>0</v>
      </c>
      <c r="V1438" s="68" t="str">
        <f>IFERROR(VLOOKUP(A1438,已除帳印單!B:D,3,0),"")</f>
        <v/>
      </c>
      <c r="W1438" s="69" t="str">
        <f>IFERROR(VLOOKUP(A1438,已除帳印單!B:E,4,0),"")</f>
        <v/>
      </c>
      <c r="X1438" s="68" t="str">
        <f>IFERROR(INDEX(刷條碼區!A:C,MATCH(點上線資訊!S1438,刷條碼區!C:C,0),1),"")</f>
        <v/>
      </c>
      <c r="Y1438" s="69" t="str">
        <f>IFERROR(INDEX(刷條碼區!A:C,MATCH(點上線資訊!S1438,刷條碼區!C:C,0),2),"")</f>
        <v/>
      </c>
      <c r="Z1438" s="70" t="str">
        <f>IFERROR(INDEX(刷條碼區!D:G,MATCH(點上線資訊!S1438,刷條碼區!F:F,0),1),"")</f>
        <v/>
      </c>
      <c r="AA1438" s="71" t="str">
        <f>IFERROR(INDEX(刷條碼區!D:G,MATCH(點上線資訊!S1438,刷條碼區!F:F,0),2),"")</f>
        <v/>
      </c>
      <c r="AB1438" s="20">
        <f t="shared" si="136"/>
        <v>0</v>
      </c>
      <c r="AC1438" s="20" t="b">
        <f t="shared" si="137"/>
        <v>0</v>
      </c>
      <c r="AD1438" s="17" t="b">
        <f t="shared" si="138"/>
        <v>0</v>
      </c>
      <c r="AE1438" s="17" t="b">
        <f t="shared" si="139"/>
        <v>0</v>
      </c>
    </row>
    <row r="1439" spans="17:31" x14ac:dyDescent="0.2">
      <c r="Q1439" s="17">
        <f>IFERROR(VLOOKUP(A1439,已除帳印單!B:C,1,0),0)*1</f>
        <v>0</v>
      </c>
      <c r="R1439" s="67" t="str">
        <f>IFERROR(VLOOKUP(J1439,線別!A:B,2,1),"")</f>
        <v/>
      </c>
      <c r="S1439" s="17" t="str">
        <f>IFERROR(VLOOKUP(A1439,已除帳印單!B:C,2,0),"")</f>
        <v/>
      </c>
      <c r="T1439" s="68" t="e">
        <f t="shared" si="134"/>
        <v>#VALUE!</v>
      </c>
      <c r="U1439" s="69">
        <f t="shared" si="135"/>
        <v>0</v>
      </c>
      <c r="V1439" s="68" t="str">
        <f>IFERROR(VLOOKUP(A1439,已除帳印單!B:D,3,0),"")</f>
        <v/>
      </c>
      <c r="W1439" s="69" t="str">
        <f>IFERROR(VLOOKUP(A1439,已除帳印單!B:E,4,0),"")</f>
        <v/>
      </c>
      <c r="X1439" s="68" t="str">
        <f>IFERROR(INDEX(刷條碼區!A:C,MATCH(點上線資訊!S1439,刷條碼區!C:C,0),1),"")</f>
        <v/>
      </c>
      <c r="Y1439" s="69" t="str">
        <f>IFERROR(INDEX(刷條碼區!A:C,MATCH(點上線資訊!S1439,刷條碼區!C:C,0),2),"")</f>
        <v/>
      </c>
      <c r="Z1439" s="70" t="str">
        <f>IFERROR(INDEX(刷條碼區!D:G,MATCH(點上線資訊!S1439,刷條碼區!F:F,0),1),"")</f>
        <v/>
      </c>
      <c r="AA1439" s="71" t="str">
        <f>IFERROR(INDEX(刷條碼區!D:G,MATCH(點上線資訊!S1439,刷條碼區!F:F,0),2),"")</f>
        <v/>
      </c>
      <c r="AB1439" s="20">
        <f t="shared" si="136"/>
        <v>0</v>
      </c>
      <c r="AC1439" s="20" t="b">
        <f t="shared" si="137"/>
        <v>0</v>
      </c>
      <c r="AD1439" s="17" t="b">
        <f t="shared" si="138"/>
        <v>0</v>
      </c>
      <c r="AE1439" s="17" t="b">
        <f t="shared" si="139"/>
        <v>0</v>
      </c>
    </row>
    <row r="1440" spans="17:31" x14ac:dyDescent="0.2">
      <c r="Q1440" s="17">
        <f>IFERROR(VLOOKUP(A1440,已除帳印單!B:C,1,0),0)*1</f>
        <v>0</v>
      </c>
      <c r="R1440" s="67" t="str">
        <f>IFERROR(VLOOKUP(J1440,線別!A:B,2,1),"")</f>
        <v/>
      </c>
      <c r="S1440" s="17" t="str">
        <f>IFERROR(VLOOKUP(A1440,已除帳印單!B:C,2,0),"")</f>
        <v/>
      </c>
      <c r="T1440" s="68" t="e">
        <f t="shared" si="134"/>
        <v>#VALUE!</v>
      </c>
      <c r="U1440" s="69">
        <f t="shared" si="135"/>
        <v>0</v>
      </c>
      <c r="V1440" s="68" t="str">
        <f>IFERROR(VLOOKUP(A1440,已除帳印單!B:D,3,0),"")</f>
        <v/>
      </c>
      <c r="W1440" s="69" t="str">
        <f>IFERROR(VLOOKUP(A1440,已除帳印單!B:E,4,0),"")</f>
        <v/>
      </c>
      <c r="X1440" s="68" t="str">
        <f>IFERROR(INDEX(刷條碼區!A:C,MATCH(點上線資訊!S1440,刷條碼區!C:C,0),1),"")</f>
        <v/>
      </c>
      <c r="Y1440" s="69" t="str">
        <f>IFERROR(INDEX(刷條碼區!A:C,MATCH(點上線資訊!S1440,刷條碼區!C:C,0),2),"")</f>
        <v/>
      </c>
      <c r="Z1440" s="70" t="str">
        <f>IFERROR(INDEX(刷條碼區!D:G,MATCH(點上線資訊!S1440,刷條碼區!F:F,0),1),"")</f>
        <v/>
      </c>
      <c r="AA1440" s="71" t="str">
        <f>IFERROR(INDEX(刷條碼區!D:G,MATCH(點上線資訊!S1440,刷條碼區!F:F,0),2),"")</f>
        <v/>
      </c>
      <c r="AB1440" s="20">
        <f t="shared" si="136"/>
        <v>0</v>
      </c>
      <c r="AC1440" s="20" t="b">
        <f t="shared" si="137"/>
        <v>0</v>
      </c>
      <c r="AD1440" s="17" t="b">
        <f t="shared" si="138"/>
        <v>0</v>
      </c>
      <c r="AE1440" s="17" t="b">
        <f t="shared" si="139"/>
        <v>0</v>
      </c>
    </row>
    <row r="1441" spans="17:31" x14ac:dyDescent="0.2">
      <c r="Q1441" s="17">
        <f>IFERROR(VLOOKUP(A1441,已除帳印單!B:C,1,0),0)*1</f>
        <v>0</v>
      </c>
      <c r="R1441" s="67" t="str">
        <f>IFERROR(VLOOKUP(J1441,線別!A:B,2,1),"")</f>
        <v/>
      </c>
      <c r="S1441" s="17" t="str">
        <f>IFERROR(VLOOKUP(A1441,已除帳印單!B:C,2,0),"")</f>
        <v/>
      </c>
      <c r="T1441" s="68" t="e">
        <f t="shared" si="134"/>
        <v>#VALUE!</v>
      </c>
      <c r="U1441" s="69">
        <f t="shared" si="135"/>
        <v>0</v>
      </c>
      <c r="V1441" s="68" t="str">
        <f>IFERROR(VLOOKUP(A1441,已除帳印單!B:D,3,0),"")</f>
        <v/>
      </c>
      <c r="W1441" s="69" t="str">
        <f>IFERROR(VLOOKUP(A1441,已除帳印單!B:E,4,0),"")</f>
        <v/>
      </c>
      <c r="X1441" s="68" t="str">
        <f>IFERROR(INDEX(刷條碼區!A:C,MATCH(點上線資訊!S1441,刷條碼區!C:C,0),1),"")</f>
        <v/>
      </c>
      <c r="Y1441" s="69" t="str">
        <f>IFERROR(INDEX(刷條碼區!A:C,MATCH(點上線資訊!S1441,刷條碼區!C:C,0),2),"")</f>
        <v/>
      </c>
      <c r="Z1441" s="70" t="str">
        <f>IFERROR(INDEX(刷條碼區!D:G,MATCH(點上線資訊!S1441,刷條碼區!F:F,0),1),"")</f>
        <v/>
      </c>
      <c r="AA1441" s="71" t="str">
        <f>IFERROR(INDEX(刷條碼區!D:G,MATCH(點上線資訊!S1441,刷條碼區!F:F,0),2),"")</f>
        <v/>
      </c>
      <c r="AB1441" s="20">
        <f t="shared" si="136"/>
        <v>0</v>
      </c>
      <c r="AC1441" s="20" t="b">
        <f t="shared" si="137"/>
        <v>0</v>
      </c>
      <c r="AD1441" s="17" t="b">
        <f t="shared" si="138"/>
        <v>0</v>
      </c>
      <c r="AE1441" s="17" t="b">
        <f t="shared" si="139"/>
        <v>0</v>
      </c>
    </row>
    <row r="1442" spans="17:31" x14ac:dyDescent="0.2">
      <c r="Q1442" s="17">
        <f>IFERROR(VLOOKUP(A1442,已除帳印單!B:C,1,0),0)*1</f>
        <v>0</v>
      </c>
      <c r="R1442" s="67" t="str">
        <f>IFERROR(VLOOKUP(J1442,線別!A:B,2,1),"")</f>
        <v/>
      </c>
      <c r="S1442" s="17" t="str">
        <f>IFERROR(VLOOKUP(A1442,已除帳印單!B:C,2,0),"")</f>
        <v/>
      </c>
      <c r="T1442" s="68" t="e">
        <f t="shared" si="134"/>
        <v>#VALUE!</v>
      </c>
      <c r="U1442" s="69">
        <f t="shared" si="135"/>
        <v>0</v>
      </c>
      <c r="V1442" s="68" t="str">
        <f>IFERROR(VLOOKUP(A1442,已除帳印單!B:D,3,0),"")</f>
        <v/>
      </c>
      <c r="W1442" s="69" t="str">
        <f>IFERROR(VLOOKUP(A1442,已除帳印單!B:E,4,0),"")</f>
        <v/>
      </c>
      <c r="X1442" s="68" t="str">
        <f>IFERROR(INDEX(刷條碼區!A:C,MATCH(點上線資訊!S1442,刷條碼區!C:C,0),1),"")</f>
        <v/>
      </c>
      <c r="Y1442" s="69" t="str">
        <f>IFERROR(INDEX(刷條碼區!A:C,MATCH(點上線資訊!S1442,刷條碼區!C:C,0),2),"")</f>
        <v/>
      </c>
      <c r="Z1442" s="70" t="str">
        <f>IFERROR(INDEX(刷條碼區!D:G,MATCH(點上線資訊!S1442,刷條碼區!F:F,0),1),"")</f>
        <v/>
      </c>
      <c r="AA1442" s="71" t="str">
        <f>IFERROR(INDEX(刷條碼區!D:G,MATCH(點上線資訊!S1442,刷條碼區!F:F,0),2),"")</f>
        <v/>
      </c>
      <c r="AB1442" s="20">
        <f t="shared" si="136"/>
        <v>0</v>
      </c>
      <c r="AC1442" s="20" t="b">
        <f t="shared" si="137"/>
        <v>0</v>
      </c>
      <c r="AD1442" s="17" t="b">
        <f t="shared" si="138"/>
        <v>0</v>
      </c>
      <c r="AE1442" s="17" t="b">
        <f t="shared" si="139"/>
        <v>0</v>
      </c>
    </row>
    <row r="1443" spans="17:31" x14ac:dyDescent="0.2">
      <c r="Q1443" s="17">
        <f>IFERROR(VLOOKUP(A1443,已除帳印單!B:C,1,0),0)*1</f>
        <v>0</v>
      </c>
      <c r="R1443" s="67" t="str">
        <f>IFERROR(VLOOKUP(J1443,線別!A:B,2,1),"")</f>
        <v/>
      </c>
      <c r="S1443" s="17" t="str">
        <f>IFERROR(VLOOKUP(A1443,已除帳印單!B:C,2,0),"")</f>
        <v/>
      </c>
      <c r="T1443" s="68" t="e">
        <f t="shared" si="134"/>
        <v>#VALUE!</v>
      </c>
      <c r="U1443" s="69">
        <f t="shared" si="135"/>
        <v>0</v>
      </c>
      <c r="V1443" s="68" t="str">
        <f>IFERROR(VLOOKUP(A1443,已除帳印單!B:D,3,0),"")</f>
        <v/>
      </c>
      <c r="W1443" s="69" t="str">
        <f>IFERROR(VLOOKUP(A1443,已除帳印單!B:E,4,0),"")</f>
        <v/>
      </c>
      <c r="X1443" s="68" t="str">
        <f>IFERROR(INDEX(刷條碼區!A:C,MATCH(點上線資訊!S1443,刷條碼區!C:C,0),1),"")</f>
        <v/>
      </c>
      <c r="Y1443" s="69" t="str">
        <f>IFERROR(INDEX(刷條碼區!A:C,MATCH(點上線資訊!S1443,刷條碼區!C:C,0),2),"")</f>
        <v/>
      </c>
      <c r="Z1443" s="70" t="str">
        <f>IFERROR(INDEX(刷條碼區!D:G,MATCH(點上線資訊!S1443,刷條碼區!F:F,0),1),"")</f>
        <v/>
      </c>
      <c r="AA1443" s="71" t="str">
        <f>IFERROR(INDEX(刷條碼區!D:G,MATCH(點上線資訊!S1443,刷條碼區!F:F,0),2),"")</f>
        <v/>
      </c>
      <c r="AB1443" s="20">
        <f t="shared" si="136"/>
        <v>0</v>
      </c>
      <c r="AC1443" s="20" t="b">
        <f t="shared" si="137"/>
        <v>0</v>
      </c>
      <c r="AD1443" s="17" t="b">
        <f t="shared" si="138"/>
        <v>0</v>
      </c>
      <c r="AE1443" s="17" t="b">
        <f t="shared" si="139"/>
        <v>0</v>
      </c>
    </row>
    <row r="1444" spans="17:31" x14ac:dyDescent="0.2">
      <c r="Q1444" s="17">
        <f>IFERROR(VLOOKUP(A1444,已除帳印單!B:C,1,0),0)*1</f>
        <v>0</v>
      </c>
      <c r="R1444" s="67" t="str">
        <f>IFERROR(VLOOKUP(J1444,線別!A:B,2,1),"")</f>
        <v/>
      </c>
      <c r="S1444" s="17" t="str">
        <f>IFERROR(VLOOKUP(A1444,已除帳印單!B:C,2,0),"")</f>
        <v/>
      </c>
      <c r="T1444" s="68" t="e">
        <f t="shared" si="134"/>
        <v>#VALUE!</v>
      </c>
      <c r="U1444" s="69">
        <f t="shared" si="135"/>
        <v>0</v>
      </c>
      <c r="V1444" s="68" t="str">
        <f>IFERROR(VLOOKUP(A1444,已除帳印單!B:D,3,0),"")</f>
        <v/>
      </c>
      <c r="W1444" s="69" t="str">
        <f>IFERROR(VLOOKUP(A1444,已除帳印單!B:E,4,0),"")</f>
        <v/>
      </c>
      <c r="X1444" s="68" t="str">
        <f>IFERROR(INDEX(刷條碼區!A:C,MATCH(點上線資訊!S1444,刷條碼區!C:C,0),1),"")</f>
        <v/>
      </c>
      <c r="Y1444" s="69" t="str">
        <f>IFERROR(INDEX(刷條碼區!A:C,MATCH(點上線資訊!S1444,刷條碼區!C:C,0),2),"")</f>
        <v/>
      </c>
      <c r="Z1444" s="70" t="str">
        <f>IFERROR(INDEX(刷條碼區!D:G,MATCH(點上線資訊!S1444,刷條碼區!F:F,0),1),"")</f>
        <v/>
      </c>
      <c r="AA1444" s="71" t="str">
        <f>IFERROR(INDEX(刷條碼區!D:G,MATCH(點上線資訊!S1444,刷條碼區!F:F,0),2),"")</f>
        <v/>
      </c>
      <c r="AB1444" s="20">
        <f t="shared" si="136"/>
        <v>0</v>
      </c>
      <c r="AC1444" s="20" t="b">
        <f t="shared" si="137"/>
        <v>0</v>
      </c>
      <c r="AD1444" s="17" t="b">
        <f t="shared" si="138"/>
        <v>0</v>
      </c>
      <c r="AE1444" s="17" t="b">
        <f t="shared" si="139"/>
        <v>0</v>
      </c>
    </row>
    <row r="1445" spans="17:31" x14ac:dyDescent="0.2">
      <c r="Q1445" s="17">
        <f>IFERROR(VLOOKUP(A1445,已除帳印單!B:C,1,0),0)*1</f>
        <v>0</v>
      </c>
      <c r="R1445" s="67" t="str">
        <f>IFERROR(VLOOKUP(J1445,線別!A:B,2,1),"")</f>
        <v/>
      </c>
      <c r="S1445" s="17" t="str">
        <f>IFERROR(VLOOKUP(A1445,已除帳印單!B:C,2,0),"")</f>
        <v/>
      </c>
      <c r="T1445" s="68" t="e">
        <f t="shared" si="134"/>
        <v>#VALUE!</v>
      </c>
      <c r="U1445" s="69">
        <f t="shared" si="135"/>
        <v>0</v>
      </c>
      <c r="V1445" s="68" t="str">
        <f>IFERROR(VLOOKUP(A1445,已除帳印單!B:D,3,0),"")</f>
        <v/>
      </c>
      <c r="W1445" s="69" t="str">
        <f>IFERROR(VLOOKUP(A1445,已除帳印單!B:E,4,0),"")</f>
        <v/>
      </c>
      <c r="X1445" s="68" t="str">
        <f>IFERROR(INDEX(刷條碼區!A:C,MATCH(點上線資訊!S1445,刷條碼區!C:C,0),1),"")</f>
        <v/>
      </c>
      <c r="Y1445" s="69" t="str">
        <f>IFERROR(INDEX(刷條碼區!A:C,MATCH(點上線資訊!S1445,刷條碼區!C:C,0),2),"")</f>
        <v/>
      </c>
      <c r="Z1445" s="70" t="str">
        <f>IFERROR(INDEX(刷條碼區!D:G,MATCH(點上線資訊!S1445,刷條碼區!F:F,0),1),"")</f>
        <v/>
      </c>
      <c r="AA1445" s="71" t="str">
        <f>IFERROR(INDEX(刷條碼區!D:G,MATCH(點上線資訊!S1445,刷條碼區!F:F,0),2),"")</f>
        <v/>
      </c>
      <c r="AB1445" s="20">
        <f t="shared" si="136"/>
        <v>0</v>
      </c>
      <c r="AC1445" s="20" t="b">
        <f t="shared" si="137"/>
        <v>0</v>
      </c>
      <c r="AD1445" s="17" t="b">
        <f t="shared" si="138"/>
        <v>0</v>
      </c>
      <c r="AE1445" s="17" t="b">
        <f t="shared" si="139"/>
        <v>0</v>
      </c>
    </row>
    <row r="1446" spans="17:31" x14ac:dyDescent="0.2">
      <c r="Q1446" s="17">
        <f>IFERROR(VLOOKUP(A1446,已除帳印單!B:C,1,0),0)*1</f>
        <v>0</v>
      </c>
      <c r="R1446" s="67" t="str">
        <f>IFERROR(VLOOKUP(J1446,線別!A:B,2,1),"")</f>
        <v/>
      </c>
      <c r="S1446" s="17" t="str">
        <f>IFERROR(VLOOKUP(A1446,已除帳印單!B:C,2,0),"")</f>
        <v/>
      </c>
      <c r="T1446" s="68" t="e">
        <f t="shared" si="134"/>
        <v>#VALUE!</v>
      </c>
      <c r="U1446" s="69">
        <f t="shared" si="135"/>
        <v>0</v>
      </c>
      <c r="V1446" s="68" t="str">
        <f>IFERROR(VLOOKUP(A1446,已除帳印單!B:D,3,0),"")</f>
        <v/>
      </c>
      <c r="W1446" s="69" t="str">
        <f>IFERROR(VLOOKUP(A1446,已除帳印單!B:E,4,0),"")</f>
        <v/>
      </c>
      <c r="X1446" s="68" t="str">
        <f>IFERROR(INDEX(刷條碼區!A:C,MATCH(點上線資訊!S1446,刷條碼區!C:C,0),1),"")</f>
        <v/>
      </c>
      <c r="Y1446" s="69" t="str">
        <f>IFERROR(INDEX(刷條碼區!A:C,MATCH(點上線資訊!S1446,刷條碼區!C:C,0),2),"")</f>
        <v/>
      </c>
      <c r="Z1446" s="70" t="str">
        <f>IFERROR(INDEX(刷條碼區!D:G,MATCH(點上線資訊!S1446,刷條碼區!F:F,0),1),"")</f>
        <v/>
      </c>
      <c r="AA1446" s="71" t="str">
        <f>IFERROR(INDEX(刷條碼區!D:G,MATCH(點上線資訊!S1446,刷條碼區!F:F,0),2),"")</f>
        <v/>
      </c>
      <c r="AB1446" s="20">
        <f t="shared" si="136"/>
        <v>0</v>
      </c>
      <c r="AC1446" s="20" t="b">
        <f t="shared" si="137"/>
        <v>0</v>
      </c>
      <c r="AD1446" s="17" t="b">
        <f t="shared" si="138"/>
        <v>0</v>
      </c>
      <c r="AE1446" s="17" t="b">
        <f t="shared" si="139"/>
        <v>0</v>
      </c>
    </row>
    <row r="1447" spans="17:31" x14ac:dyDescent="0.2">
      <c r="Q1447" s="17">
        <f>IFERROR(VLOOKUP(A1447,已除帳印單!B:C,1,0),0)*1</f>
        <v>0</v>
      </c>
      <c r="R1447" s="67" t="str">
        <f>IFERROR(VLOOKUP(J1447,線別!A:B,2,1),"")</f>
        <v/>
      </c>
      <c r="S1447" s="17" t="str">
        <f>IFERROR(VLOOKUP(A1447,已除帳印單!B:C,2,0),"")</f>
        <v/>
      </c>
      <c r="T1447" s="68" t="e">
        <f t="shared" si="134"/>
        <v>#VALUE!</v>
      </c>
      <c r="U1447" s="69">
        <f t="shared" si="135"/>
        <v>0</v>
      </c>
      <c r="V1447" s="68" t="str">
        <f>IFERROR(VLOOKUP(A1447,已除帳印單!B:D,3,0),"")</f>
        <v/>
      </c>
      <c r="W1447" s="69" t="str">
        <f>IFERROR(VLOOKUP(A1447,已除帳印單!B:E,4,0),"")</f>
        <v/>
      </c>
      <c r="X1447" s="68" t="str">
        <f>IFERROR(INDEX(刷條碼區!A:C,MATCH(點上線資訊!S1447,刷條碼區!C:C,0),1),"")</f>
        <v/>
      </c>
      <c r="Y1447" s="69" t="str">
        <f>IFERROR(INDEX(刷條碼區!A:C,MATCH(點上線資訊!S1447,刷條碼區!C:C,0),2),"")</f>
        <v/>
      </c>
      <c r="Z1447" s="70" t="str">
        <f>IFERROR(INDEX(刷條碼區!D:G,MATCH(點上線資訊!S1447,刷條碼區!F:F,0),1),"")</f>
        <v/>
      </c>
      <c r="AA1447" s="71" t="str">
        <f>IFERROR(INDEX(刷條碼區!D:G,MATCH(點上線資訊!S1447,刷條碼區!F:F,0),2),"")</f>
        <v/>
      </c>
      <c r="AB1447" s="20">
        <f t="shared" si="136"/>
        <v>0</v>
      </c>
      <c r="AC1447" s="20" t="b">
        <f t="shared" si="137"/>
        <v>0</v>
      </c>
      <c r="AD1447" s="17" t="b">
        <f t="shared" si="138"/>
        <v>0</v>
      </c>
      <c r="AE1447" s="17" t="b">
        <f t="shared" si="139"/>
        <v>0</v>
      </c>
    </row>
    <row r="1448" spans="17:31" x14ac:dyDescent="0.2">
      <c r="Q1448" s="17">
        <f>IFERROR(VLOOKUP(A1448,已除帳印單!B:C,1,0),0)*1</f>
        <v>0</v>
      </c>
      <c r="R1448" s="67" t="str">
        <f>IFERROR(VLOOKUP(J1448,線別!A:B,2,1),"")</f>
        <v/>
      </c>
      <c r="S1448" s="17" t="str">
        <f>IFERROR(VLOOKUP(A1448,已除帳印單!B:C,2,0),"")</f>
        <v/>
      </c>
      <c r="T1448" s="68" t="e">
        <f t="shared" si="134"/>
        <v>#VALUE!</v>
      </c>
      <c r="U1448" s="69">
        <f t="shared" si="135"/>
        <v>0</v>
      </c>
      <c r="V1448" s="68" t="str">
        <f>IFERROR(VLOOKUP(A1448,已除帳印單!B:D,3,0),"")</f>
        <v/>
      </c>
      <c r="W1448" s="69" t="str">
        <f>IFERROR(VLOOKUP(A1448,已除帳印單!B:E,4,0),"")</f>
        <v/>
      </c>
      <c r="X1448" s="68" t="str">
        <f>IFERROR(INDEX(刷條碼區!A:C,MATCH(點上線資訊!S1448,刷條碼區!C:C,0),1),"")</f>
        <v/>
      </c>
      <c r="Y1448" s="69" t="str">
        <f>IFERROR(INDEX(刷條碼區!A:C,MATCH(點上線資訊!S1448,刷條碼區!C:C,0),2),"")</f>
        <v/>
      </c>
      <c r="Z1448" s="70" t="str">
        <f>IFERROR(INDEX(刷條碼區!D:G,MATCH(點上線資訊!S1448,刷條碼區!F:F,0),1),"")</f>
        <v/>
      </c>
      <c r="AA1448" s="71" t="str">
        <f>IFERROR(INDEX(刷條碼區!D:G,MATCH(點上線資訊!S1448,刷條碼區!F:F,0),2),"")</f>
        <v/>
      </c>
      <c r="AB1448" s="20">
        <f t="shared" si="136"/>
        <v>0</v>
      </c>
      <c r="AC1448" s="20" t="b">
        <f t="shared" si="137"/>
        <v>0</v>
      </c>
      <c r="AD1448" s="17" t="b">
        <f t="shared" si="138"/>
        <v>0</v>
      </c>
      <c r="AE1448" s="17" t="b">
        <f t="shared" si="139"/>
        <v>0</v>
      </c>
    </row>
    <row r="1449" spans="17:31" x14ac:dyDescent="0.2">
      <c r="Q1449" s="17">
        <f>IFERROR(VLOOKUP(A1449,已除帳印單!B:C,1,0),0)*1</f>
        <v>0</v>
      </c>
      <c r="R1449" s="67" t="str">
        <f>IFERROR(VLOOKUP(J1449,線別!A:B,2,1),"")</f>
        <v/>
      </c>
      <c r="S1449" s="17" t="str">
        <f>IFERROR(VLOOKUP(A1449,已除帳印單!B:C,2,0),"")</f>
        <v/>
      </c>
      <c r="T1449" s="68" t="e">
        <f t="shared" si="134"/>
        <v>#VALUE!</v>
      </c>
      <c r="U1449" s="69">
        <f t="shared" si="135"/>
        <v>0</v>
      </c>
      <c r="V1449" s="68" t="str">
        <f>IFERROR(VLOOKUP(A1449,已除帳印單!B:D,3,0),"")</f>
        <v/>
      </c>
      <c r="W1449" s="69" t="str">
        <f>IFERROR(VLOOKUP(A1449,已除帳印單!B:E,4,0),"")</f>
        <v/>
      </c>
      <c r="X1449" s="68" t="str">
        <f>IFERROR(INDEX(刷條碼區!A:C,MATCH(點上線資訊!S1449,刷條碼區!C:C,0),1),"")</f>
        <v/>
      </c>
      <c r="Y1449" s="69" t="str">
        <f>IFERROR(INDEX(刷條碼區!A:C,MATCH(點上線資訊!S1449,刷條碼區!C:C,0),2),"")</f>
        <v/>
      </c>
      <c r="Z1449" s="70" t="str">
        <f>IFERROR(INDEX(刷條碼區!D:G,MATCH(點上線資訊!S1449,刷條碼區!F:F,0),1),"")</f>
        <v/>
      </c>
      <c r="AA1449" s="71" t="str">
        <f>IFERROR(INDEX(刷條碼區!D:G,MATCH(點上線資訊!S1449,刷條碼區!F:F,0),2),"")</f>
        <v/>
      </c>
      <c r="AB1449" s="20">
        <f t="shared" si="136"/>
        <v>0</v>
      </c>
      <c r="AC1449" s="20" t="b">
        <f t="shared" si="137"/>
        <v>0</v>
      </c>
      <c r="AD1449" s="17" t="b">
        <f t="shared" si="138"/>
        <v>0</v>
      </c>
      <c r="AE1449" s="17" t="b">
        <f t="shared" si="139"/>
        <v>0</v>
      </c>
    </row>
    <row r="1450" spans="17:31" x14ac:dyDescent="0.2">
      <c r="Q1450" s="17">
        <f>IFERROR(VLOOKUP(A1450,已除帳印單!B:C,1,0),0)*1</f>
        <v>0</v>
      </c>
      <c r="R1450" s="67" t="str">
        <f>IFERROR(VLOOKUP(J1450,線別!A:B,2,1),"")</f>
        <v/>
      </c>
      <c r="S1450" s="17" t="str">
        <f>IFERROR(VLOOKUP(A1450,已除帳印單!B:C,2,0),"")</f>
        <v/>
      </c>
      <c r="T1450" s="68" t="e">
        <f t="shared" si="134"/>
        <v>#VALUE!</v>
      </c>
      <c r="U1450" s="69">
        <f t="shared" si="135"/>
        <v>0</v>
      </c>
      <c r="V1450" s="68" t="str">
        <f>IFERROR(VLOOKUP(A1450,已除帳印單!B:D,3,0),"")</f>
        <v/>
      </c>
      <c r="W1450" s="69" t="str">
        <f>IFERROR(VLOOKUP(A1450,已除帳印單!B:E,4,0),"")</f>
        <v/>
      </c>
      <c r="X1450" s="68" t="str">
        <f>IFERROR(INDEX(刷條碼區!A:C,MATCH(點上線資訊!S1450,刷條碼區!C:C,0),1),"")</f>
        <v/>
      </c>
      <c r="Y1450" s="69" t="str">
        <f>IFERROR(INDEX(刷條碼區!A:C,MATCH(點上線資訊!S1450,刷條碼區!C:C,0),2),"")</f>
        <v/>
      </c>
      <c r="Z1450" s="70" t="str">
        <f>IFERROR(INDEX(刷條碼區!D:G,MATCH(點上線資訊!S1450,刷條碼區!F:F,0),1),"")</f>
        <v/>
      </c>
      <c r="AA1450" s="71" t="str">
        <f>IFERROR(INDEX(刷條碼區!D:G,MATCH(點上線資訊!S1450,刷條碼區!F:F,0),2),"")</f>
        <v/>
      </c>
      <c r="AB1450" s="20">
        <f t="shared" si="136"/>
        <v>0</v>
      </c>
      <c r="AC1450" s="20" t="b">
        <f t="shared" si="137"/>
        <v>0</v>
      </c>
      <c r="AD1450" s="17" t="b">
        <f t="shared" si="138"/>
        <v>0</v>
      </c>
      <c r="AE1450" s="17" t="b">
        <f t="shared" si="139"/>
        <v>0</v>
      </c>
    </row>
    <row r="1451" spans="17:31" x14ac:dyDescent="0.2">
      <c r="Q1451" s="17">
        <f>IFERROR(VLOOKUP(A1451,已除帳印單!B:C,1,0),0)*1</f>
        <v>0</v>
      </c>
      <c r="R1451" s="67" t="str">
        <f>IFERROR(VLOOKUP(J1451,線別!A:B,2,1),"")</f>
        <v/>
      </c>
      <c r="S1451" s="17" t="str">
        <f>IFERROR(VLOOKUP(A1451,已除帳印單!B:C,2,0),"")</f>
        <v/>
      </c>
      <c r="T1451" s="68" t="e">
        <f t="shared" si="134"/>
        <v>#VALUE!</v>
      </c>
      <c r="U1451" s="69">
        <f t="shared" si="135"/>
        <v>0</v>
      </c>
      <c r="V1451" s="68" t="str">
        <f>IFERROR(VLOOKUP(A1451,已除帳印單!B:D,3,0),"")</f>
        <v/>
      </c>
      <c r="W1451" s="69" t="str">
        <f>IFERROR(VLOOKUP(A1451,已除帳印單!B:E,4,0),"")</f>
        <v/>
      </c>
      <c r="X1451" s="68" t="str">
        <f>IFERROR(INDEX(刷條碼區!A:C,MATCH(點上線資訊!S1451,刷條碼區!C:C,0),1),"")</f>
        <v/>
      </c>
      <c r="Y1451" s="69" t="str">
        <f>IFERROR(INDEX(刷條碼區!A:C,MATCH(點上線資訊!S1451,刷條碼區!C:C,0),2),"")</f>
        <v/>
      </c>
      <c r="Z1451" s="70" t="str">
        <f>IFERROR(INDEX(刷條碼區!D:G,MATCH(點上線資訊!S1451,刷條碼區!F:F,0),1),"")</f>
        <v/>
      </c>
      <c r="AA1451" s="71" t="str">
        <f>IFERROR(INDEX(刷條碼區!D:G,MATCH(點上線資訊!S1451,刷條碼區!F:F,0),2),"")</f>
        <v/>
      </c>
      <c r="AB1451" s="20">
        <f t="shared" si="136"/>
        <v>0</v>
      </c>
      <c r="AC1451" s="20" t="b">
        <f t="shared" si="137"/>
        <v>0</v>
      </c>
      <c r="AD1451" s="17" t="b">
        <f t="shared" si="138"/>
        <v>0</v>
      </c>
      <c r="AE1451" s="17" t="b">
        <f t="shared" si="139"/>
        <v>0</v>
      </c>
    </row>
    <row r="1452" spans="17:31" x14ac:dyDescent="0.2">
      <c r="Q1452" s="17">
        <f>IFERROR(VLOOKUP(A1452,已除帳印單!B:C,1,0),0)*1</f>
        <v>0</v>
      </c>
      <c r="R1452" s="67" t="str">
        <f>IFERROR(VLOOKUP(J1452,線別!A:B,2,1),"")</f>
        <v/>
      </c>
      <c r="S1452" s="17" t="str">
        <f>IFERROR(VLOOKUP(A1452,已除帳印單!B:C,2,0),"")</f>
        <v/>
      </c>
      <c r="T1452" s="68" t="e">
        <f t="shared" si="134"/>
        <v>#VALUE!</v>
      </c>
      <c r="U1452" s="69">
        <f t="shared" si="135"/>
        <v>0</v>
      </c>
      <c r="V1452" s="68" t="str">
        <f>IFERROR(VLOOKUP(A1452,已除帳印單!B:D,3,0),"")</f>
        <v/>
      </c>
      <c r="W1452" s="69" t="str">
        <f>IFERROR(VLOOKUP(A1452,已除帳印單!B:E,4,0),"")</f>
        <v/>
      </c>
      <c r="X1452" s="68" t="str">
        <f>IFERROR(INDEX(刷條碼區!A:C,MATCH(點上線資訊!S1452,刷條碼區!C:C,0),1),"")</f>
        <v/>
      </c>
      <c r="Y1452" s="69" t="str">
        <f>IFERROR(INDEX(刷條碼區!A:C,MATCH(點上線資訊!S1452,刷條碼區!C:C,0),2),"")</f>
        <v/>
      </c>
      <c r="Z1452" s="70" t="str">
        <f>IFERROR(INDEX(刷條碼區!D:G,MATCH(點上線資訊!S1452,刷條碼區!F:F,0),1),"")</f>
        <v/>
      </c>
      <c r="AA1452" s="71" t="str">
        <f>IFERROR(INDEX(刷條碼區!D:G,MATCH(點上線資訊!S1452,刷條碼區!F:F,0),2),"")</f>
        <v/>
      </c>
      <c r="AB1452" s="20">
        <f t="shared" si="136"/>
        <v>0</v>
      </c>
      <c r="AC1452" s="20" t="b">
        <f t="shared" si="137"/>
        <v>0</v>
      </c>
      <c r="AD1452" s="17" t="b">
        <f t="shared" si="138"/>
        <v>0</v>
      </c>
      <c r="AE1452" s="17" t="b">
        <f t="shared" si="139"/>
        <v>0</v>
      </c>
    </row>
    <row r="1453" spans="17:31" x14ac:dyDescent="0.2">
      <c r="Q1453" s="17">
        <f>IFERROR(VLOOKUP(A1453,已除帳印單!B:C,1,0),0)*1</f>
        <v>0</v>
      </c>
      <c r="R1453" s="67" t="str">
        <f>IFERROR(VLOOKUP(J1453,線別!A:B,2,1),"")</f>
        <v/>
      </c>
      <c r="S1453" s="17" t="str">
        <f>IFERROR(VLOOKUP(A1453,已除帳印單!B:C,2,0),"")</f>
        <v/>
      </c>
      <c r="T1453" s="68" t="e">
        <f t="shared" si="134"/>
        <v>#VALUE!</v>
      </c>
      <c r="U1453" s="69">
        <f t="shared" si="135"/>
        <v>0</v>
      </c>
      <c r="V1453" s="68" t="str">
        <f>IFERROR(VLOOKUP(A1453,已除帳印單!B:D,3,0),"")</f>
        <v/>
      </c>
      <c r="W1453" s="69" t="str">
        <f>IFERROR(VLOOKUP(A1453,已除帳印單!B:E,4,0),"")</f>
        <v/>
      </c>
      <c r="X1453" s="68" t="str">
        <f>IFERROR(INDEX(刷條碼區!A:C,MATCH(點上線資訊!S1453,刷條碼區!C:C,0),1),"")</f>
        <v/>
      </c>
      <c r="Y1453" s="69" t="str">
        <f>IFERROR(INDEX(刷條碼區!A:C,MATCH(點上線資訊!S1453,刷條碼區!C:C,0),2),"")</f>
        <v/>
      </c>
      <c r="Z1453" s="70" t="str">
        <f>IFERROR(INDEX(刷條碼區!D:G,MATCH(點上線資訊!S1453,刷條碼區!F:F,0),1),"")</f>
        <v/>
      </c>
      <c r="AA1453" s="71" t="str">
        <f>IFERROR(INDEX(刷條碼區!D:G,MATCH(點上線資訊!S1453,刷條碼區!F:F,0),2),"")</f>
        <v/>
      </c>
      <c r="AB1453" s="20">
        <f t="shared" si="136"/>
        <v>0</v>
      </c>
      <c r="AC1453" s="20" t="b">
        <f t="shared" si="137"/>
        <v>0</v>
      </c>
      <c r="AD1453" s="17" t="b">
        <f t="shared" si="138"/>
        <v>0</v>
      </c>
      <c r="AE1453" s="17" t="b">
        <f t="shared" si="139"/>
        <v>0</v>
      </c>
    </row>
    <row r="1454" spans="17:31" x14ac:dyDescent="0.2">
      <c r="Q1454" s="17">
        <f>IFERROR(VLOOKUP(A1454,已除帳印單!B:C,1,0),0)*1</f>
        <v>0</v>
      </c>
      <c r="R1454" s="67" t="str">
        <f>IFERROR(VLOOKUP(J1454,線別!A:B,2,1),"")</f>
        <v/>
      </c>
      <c r="S1454" s="17" t="str">
        <f>IFERROR(VLOOKUP(A1454,已除帳印單!B:C,2,0),"")</f>
        <v/>
      </c>
      <c r="T1454" s="68" t="e">
        <f t="shared" si="134"/>
        <v>#VALUE!</v>
      </c>
      <c r="U1454" s="69">
        <f t="shared" si="135"/>
        <v>0</v>
      </c>
      <c r="V1454" s="68" t="str">
        <f>IFERROR(VLOOKUP(A1454,已除帳印單!B:D,3,0),"")</f>
        <v/>
      </c>
      <c r="W1454" s="69" t="str">
        <f>IFERROR(VLOOKUP(A1454,已除帳印單!B:E,4,0),"")</f>
        <v/>
      </c>
      <c r="X1454" s="68" t="str">
        <f>IFERROR(INDEX(刷條碼區!A:C,MATCH(點上線資訊!S1454,刷條碼區!C:C,0),1),"")</f>
        <v/>
      </c>
      <c r="Y1454" s="69" t="str">
        <f>IFERROR(INDEX(刷條碼區!A:C,MATCH(點上線資訊!S1454,刷條碼區!C:C,0),2),"")</f>
        <v/>
      </c>
      <c r="Z1454" s="70" t="str">
        <f>IFERROR(INDEX(刷條碼區!D:G,MATCH(點上線資訊!S1454,刷條碼區!F:F,0),1),"")</f>
        <v/>
      </c>
      <c r="AA1454" s="71" t="str">
        <f>IFERROR(INDEX(刷條碼區!D:G,MATCH(點上線資訊!S1454,刷條碼區!F:F,0),2),"")</f>
        <v/>
      </c>
      <c r="AB1454" s="20">
        <f t="shared" si="136"/>
        <v>0</v>
      </c>
      <c r="AC1454" s="20" t="b">
        <f t="shared" si="137"/>
        <v>0</v>
      </c>
      <c r="AD1454" s="17" t="b">
        <f t="shared" si="138"/>
        <v>0</v>
      </c>
      <c r="AE1454" s="17" t="b">
        <f t="shared" si="139"/>
        <v>0</v>
      </c>
    </row>
    <row r="1455" spans="17:31" x14ac:dyDescent="0.2">
      <c r="Q1455" s="17">
        <f>IFERROR(VLOOKUP(A1455,已除帳印單!B:C,1,0),0)*1</f>
        <v>0</v>
      </c>
      <c r="R1455" s="67" t="str">
        <f>IFERROR(VLOOKUP(J1455,線別!A:B,2,1),"")</f>
        <v/>
      </c>
      <c r="S1455" s="17" t="str">
        <f>IFERROR(VLOOKUP(A1455,已除帳印單!B:C,2,0),"")</f>
        <v/>
      </c>
      <c r="T1455" s="68" t="e">
        <f t="shared" si="134"/>
        <v>#VALUE!</v>
      </c>
      <c r="U1455" s="69">
        <f t="shared" si="135"/>
        <v>0</v>
      </c>
      <c r="V1455" s="68" t="str">
        <f>IFERROR(VLOOKUP(A1455,已除帳印單!B:D,3,0),"")</f>
        <v/>
      </c>
      <c r="W1455" s="69" t="str">
        <f>IFERROR(VLOOKUP(A1455,已除帳印單!B:E,4,0),"")</f>
        <v/>
      </c>
      <c r="X1455" s="68" t="str">
        <f>IFERROR(INDEX(刷條碼區!A:C,MATCH(點上線資訊!S1455,刷條碼區!C:C,0),1),"")</f>
        <v/>
      </c>
      <c r="Y1455" s="69" t="str">
        <f>IFERROR(INDEX(刷條碼區!A:C,MATCH(點上線資訊!S1455,刷條碼區!C:C,0),2),"")</f>
        <v/>
      </c>
      <c r="Z1455" s="70" t="str">
        <f>IFERROR(INDEX(刷條碼區!D:G,MATCH(點上線資訊!S1455,刷條碼區!F:F,0),1),"")</f>
        <v/>
      </c>
      <c r="AA1455" s="71" t="str">
        <f>IFERROR(INDEX(刷條碼區!D:G,MATCH(點上線資訊!S1455,刷條碼區!F:F,0),2),"")</f>
        <v/>
      </c>
      <c r="AB1455" s="20">
        <f t="shared" si="136"/>
        <v>0</v>
      </c>
      <c r="AC1455" s="20" t="b">
        <f t="shared" si="137"/>
        <v>0</v>
      </c>
      <c r="AD1455" s="17" t="b">
        <f t="shared" si="138"/>
        <v>0</v>
      </c>
      <c r="AE1455" s="17" t="b">
        <f t="shared" si="139"/>
        <v>0</v>
      </c>
    </row>
    <row r="1456" spans="17:31" x14ac:dyDescent="0.2">
      <c r="Q1456" s="17">
        <f>IFERROR(VLOOKUP(A1456,已除帳印單!B:C,1,0),0)*1</f>
        <v>0</v>
      </c>
      <c r="R1456" s="67" t="str">
        <f>IFERROR(VLOOKUP(J1456,線別!A:B,2,1),"")</f>
        <v/>
      </c>
      <c r="S1456" s="17" t="str">
        <f>IFERROR(VLOOKUP(A1456,已除帳印單!B:C,2,0),"")</f>
        <v/>
      </c>
      <c r="T1456" s="68" t="e">
        <f t="shared" si="134"/>
        <v>#VALUE!</v>
      </c>
      <c r="U1456" s="69">
        <f t="shared" si="135"/>
        <v>0</v>
      </c>
      <c r="V1456" s="68" t="str">
        <f>IFERROR(VLOOKUP(A1456,已除帳印單!B:D,3,0),"")</f>
        <v/>
      </c>
      <c r="W1456" s="69" t="str">
        <f>IFERROR(VLOOKUP(A1456,已除帳印單!B:E,4,0),"")</f>
        <v/>
      </c>
      <c r="X1456" s="68" t="str">
        <f>IFERROR(INDEX(刷條碼區!A:C,MATCH(點上線資訊!S1456,刷條碼區!C:C,0),1),"")</f>
        <v/>
      </c>
      <c r="Y1456" s="69" t="str">
        <f>IFERROR(INDEX(刷條碼區!A:C,MATCH(點上線資訊!S1456,刷條碼區!C:C,0),2),"")</f>
        <v/>
      </c>
      <c r="Z1456" s="70" t="str">
        <f>IFERROR(INDEX(刷條碼區!D:G,MATCH(點上線資訊!S1456,刷條碼區!F:F,0),1),"")</f>
        <v/>
      </c>
      <c r="AA1456" s="71" t="str">
        <f>IFERROR(INDEX(刷條碼區!D:G,MATCH(點上線資訊!S1456,刷條碼區!F:F,0),2),"")</f>
        <v/>
      </c>
      <c r="AB1456" s="20">
        <f t="shared" si="136"/>
        <v>0</v>
      </c>
      <c r="AC1456" s="20" t="b">
        <f t="shared" si="137"/>
        <v>0</v>
      </c>
      <c r="AD1456" s="17" t="b">
        <f t="shared" si="138"/>
        <v>0</v>
      </c>
      <c r="AE1456" s="17" t="b">
        <f t="shared" si="139"/>
        <v>0</v>
      </c>
    </row>
    <row r="1457" spans="17:31" x14ac:dyDescent="0.2">
      <c r="Q1457" s="17">
        <f>IFERROR(VLOOKUP(A1457,已除帳印單!B:C,1,0),0)*1</f>
        <v>0</v>
      </c>
      <c r="R1457" s="67" t="str">
        <f>IFERROR(VLOOKUP(J1457,線別!A:B,2,1),"")</f>
        <v/>
      </c>
      <c r="S1457" s="17" t="str">
        <f>IFERROR(VLOOKUP(A1457,已除帳印單!B:C,2,0),"")</f>
        <v/>
      </c>
      <c r="T1457" s="68" t="e">
        <f t="shared" si="134"/>
        <v>#VALUE!</v>
      </c>
      <c r="U1457" s="69">
        <f t="shared" si="135"/>
        <v>0</v>
      </c>
      <c r="V1457" s="68" t="str">
        <f>IFERROR(VLOOKUP(A1457,已除帳印單!B:D,3,0),"")</f>
        <v/>
      </c>
      <c r="W1457" s="69" t="str">
        <f>IFERROR(VLOOKUP(A1457,已除帳印單!B:E,4,0),"")</f>
        <v/>
      </c>
      <c r="X1457" s="68" t="str">
        <f>IFERROR(INDEX(刷條碼區!A:C,MATCH(點上線資訊!S1457,刷條碼區!C:C,0),1),"")</f>
        <v/>
      </c>
      <c r="Y1457" s="69" t="str">
        <f>IFERROR(INDEX(刷條碼區!A:C,MATCH(點上線資訊!S1457,刷條碼區!C:C,0),2),"")</f>
        <v/>
      </c>
      <c r="Z1457" s="70" t="str">
        <f>IFERROR(INDEX(刷條碼區!D:G,MATCH(點上線資訊!S1457,刷條碼區!F:F,0),1),"")</f>
        <v/>
      </c>
      <c r="AA1457" s="71" t="str">
        <f>IFERROR(INDEX(刷條碼區!D:G,MATCH(點上線資訊!S1457,刷條碼區!F:F,0),2),"")</f>
        <v/>
      </c>
      <c r="AB1457" s="20">
        <f t="shared" si="136"/>
        <v>0</v>
      </c>
      <c r="AC1457" s="20" t="b">
        <f t="shared" si="137"/>
        <v>0</v>
      </c>
      <c r="AD1457" s="17" t="b">
        <f t="shared" si="138"/>
        <v>0</v>
      </c>
      <c r="AE1457" s="17" t="b">
        <f t="shared" si="139"/>
        <v>0</v>
      </c>
    </row>
    <row r="1458" spans="17:31" x14ac:dyDescent="0.2">
      <c r="Q1458" s="17">
        <f>IFERROR(VLOOKUP(A1458,已除帳印單!B:C,1,0),0)*1</f>
        <v>0</v>
      </c>
      <c r="R1458" s="67" t="str">
        <f>IFERROR(VLOOKUP(J1458,線別!A:B,2,1),"")</f>
        <v/>
      </c>
      <c r="S1458" s="17" t="str">
        <f>IFERROR(VLOOKUP(A1458,已除帳印單!B:C,2,0),"")</f>
        <v/>
      </c>
      <c r="T1458" s="68" t="e">
        <f t="shared" si="134"/>
        <v>#VALUE!</v>
      </c>
      <c r="U1458" s="69">
        <f t="shared" si="135"/>
        <v>0</v>
      </c>
      <c r="V1458" s="68" t="str">
        <f>IFERROR(VLOOKUP(A1458,已除帳印單!B:D,3,0),"")</f>
        <v/>
      </c>
      <c r="W1458" s="69" t="str">
        <f>IFERROR(VLOOKUP(A1458,已除帳印單!B:E,4,0),"")</f>
        <v/>
      </c>
      <c r="X1458" s="68" t="str">
        <f>IFERROR(INDEX(刷條碼區!A:C,MATCH(點上線資訊!S1458,刷條碼區!C:C,0),1),"")</f>
        <v/>
      </c>
      <c r="Y1458" s="69" t="str">
        <f>IFERROR(INDEX(刷條碼區!A:C,MATCH(點上線資訊!S1458,刷條碼區!C:C,0),2),"")</f>
        <v/>
      </c>
      <c r="Z1458" s="70" t="str">
        <f>IFERROR(INDEX(刷條碼區!D:G,MATCH(點上線資訊!S1458,刷條碼區!F:F,0),1),"")</f>
        <v/>
      </c>
      <c r="AA1458" s="71" t="str">
        <f>IFERROR(INDEX(刷條碼區!D:G,MATCH(點上線資訊!S1458,刷條碼區!F:F,0),2),"")</f>
        <v/>
      </c>
      <c r="AB1458" s="20">
        <f t="shared" si="136"/>
        <v>0</v>
      </c>
      <c r="AC1458" s="20" t="b">
        <f t="shared" si="137"/>
        <v>0</v>
      </c>
      <c r="AD1458" s="17" t="b">
        <f t="shared" si="138"/>
        <v>0</v>
      </c>
      <c r="AE1458" s="17" t="b">
        <f t="shared" si="139"/>
        <v>0</v>
      </c>
    </row>
    <row r="1459" spans="17:31" x14ac:dyDescent="0.2">
      <c r="Q1459" s="17">
        <f>IFERROR(VLOOKUP(A1459,已除帳印單!B:C,1,0),0)*1</f>
        <v>0</v>
      </c>
      <c r="R1459" s="67" t="str">
        <f>IFERROR(VLOOKUP(J1459,線別!A:B,2,1),"")</f>
        <v/>
      </c>
      <c r="S1459" s="17" t="str">
        <f>IFERROR(VLOOKUP(A1459,已除帳印單!B:C,2,0),"")</f>
        <v/>
      </c>
      <c r="T1459" s="68" t="e">
        <f t="shared" si="134"/>
        <v>#VALUE!</v>
      </c>
      <c r="U1459" s="69">
        <f t="shared" si="135"/>
        <v>0</v>
      </c>
      <c r="V1459" s="68" t="str">
        <f>IFERROR(VLOOKUP(A1459,已除帳印單!B:D,3,0),"")</f>
        <v/>
      </c>
      <c r="W1459" s="69" t="str">
        <f>IFERROR(VLOOKUP(A1459,已除帳印單!B:E,4,0),"")</f>
        <v/>
      </c>
      <c r="X1459" s="68" t="str">
        <f>IFERROR(INDEX(刷條碼區!A:C,MATCH(點上線資訊!S1459,刷條碼區!C:C,0),1),"")</f>
        <v/>
      </c>
      <c r="Y1459" s="69" t="str">
        <f>IFERROR(INDEX(刷條碼區!A:C,MATCH(點上線資訊!S1459,刷條碼區!C:C,0),2),"")</f>
        <v/>
      </c>
      <c r="Z1459" s="70" t="str">
        <f>IFERROR(INDEX(刷條碼區!D:G,MATCH(點上線資訊!S1459,刷條碼區!F:F,0),1),"")</f>
        <v/>
      </c>
      <c r="AA1459" s="71" t="str">
        <f>IFERROR(INDEX(刷條碼區!D:G,MATCH(點上線資訊!S1459,刷條碼區!F:F,0),2),"")</f>
        <v/>
      </c>
      <c r="AB1459" s="20">
        <f t="shared" si="136"/>
        <v>0</v>
      </c>
      <c r="AC1459" s="20" t="b">
        <f t="shared" si="137"/>
        <v>0</v>
      </c>
      <c r="AD1459" s="17" t="b">
        <f t="shared" si="138"/>
        <v>0</v>
      </c>
      <c r="AE1459" s="17" t="b">
        <f t="shared" si="139"/>
        <v>0</v>
      </c>
    </row>
    <row r="1460" spans="17:31" x14ac:dyDescent="0.2">
      <c r="Q1460" s="17">
        <f>IFERROR(VLOOKUP(A1460,已除帳印單!B:C,1,0),0)*1</f>
        <v>0</v>
      </c>
      <c r="R1460" s="67" t="str">
        <f>IFERROR(VLOOKUP(J1460,線別!A:B,2,1),"")</f>
        <v/>
      </c>
      <c r="S1460" s="17" t="str">
        <f>IFERROR(VLOOKUP(A1460,已除帳印單!B:C,2,0),"")</f>
        <v/>
      </c>
      <c r="T1460" s="68" t="e">
        <f t="shared" si="134"/>
        <v>#VALUE!</v>
      </c>
      <c r="U1460" s="69">
        <f t="shared" si="135"/>
        <v>0</v>
      </c>
      <c r="V1460" s="68" t="str">
        <f>IFERROR(VLOOKUP(A1460,已除帳印單!B:D,3,0),"")</f>
        <v/>
      </c>
      <c r="W1460" s="69" t="str">
        <f>IFERROR(VLOOKUP(A1460,已除帳印單!B:E,4,0),"")</f>
        <v/>
      </c>
      <c r="X1460" s="68" t="str">
        <f>IFERROR(INDEX(刷條碼區!A:C,MATCH(點上線資訊!S1460,刷條碼區!C:C,0),1),"")</f>
        <v/>
      </c>
      <c r="Y1460" s="69" t="str">
        <f>IFERROR(INDEX(刷條碼區!A:C,MATCH(點上線資訊!S1460,刷條碼區!C:C,0),2),"")</f>
        <v/>
      </c>
      <c r="Z1460" s="70" t="str">
        <f>IFERROR(INDEX(刷條碼區!D:G,MATCH(點上線資訊!S1460,刷條碼區!F:F,0),1),"")</f>
        <v/>
      </c>
      <c r="AA1460" s="71" t="str">
        <f>IFERROR(INDEX(刷條碼區!D:G,MATCH(點上線資訊!S1460,刷條碼區!F:F,0),2),"")</f>
        <v/>
      </c>
      <c r="AB1460" s="20">
        <f t="shared" si="136"/>
        <v>0</v>
      </c>
      <c r="AC1460" s="20" t="b">
        <f t="shared" si="137"/>
        <v>0</v>
      </c>
      <c r="AD1460" s="17" t="b">
        <f t="shared" si="138"/>
        <v>0</v>
      </c>
      <c r="AE1460" s="17" t="b">
        <f t="shared" si="139"/>
        <v>0</v>
      </c>
    </row>
    <row r="1461" spans="17:31" x14ac:dyDescent="0.2">
      <c r="Q1461" s="17">
        <f>IFERROR(VLOOKUP(A1461,已除帳印單!B:C,1,0),0)*1</f>
        <v>0</v>
      </c>
      <c r="R1461" s="67" t="str">
        <f>IFERROR(VLOOKUP(J1461,線別!A:B,2,1),"")</f>
        <v/>
      </c>
      <c r="S1461" s="17" t="str">
        <f>IFERROR(VLOOKUP(A1461,已除帳印單!B:C,2,0),"")</f>
        <v/>
      </c>
      <c r="T1461" s="68" t="e">
        <f t="shared" ref="T1461:T1524" si="140">--TEXT(B1461,"0000-00-00")</f>
        <v>#VALUE!</v>
      </c>
      <c r="U1461" s="69">
        <f t="shared" ref="U1461:U1524" si="141">--TEXT(C1461,"00\:00\:00")</f>
        <v>0</v>
      </c>
      <c r="V1461" s="68" t="str">
        <f>IFERROR(VLOOKUP(A1461,已除帳印單!B:D,3,0),"")</f>
        <v/>
      </c>
      <c r="W1461" s="69" t="str">
        <f>IFERROR(VLOOKUP(A1461,已除帳印單!B:E,4,0),"")</f>
        <v/>
      </c>
      <c r="X1461" s="68" t="str">
        <f>IFERROR(INDEX(刷條碼區!A:C,MATCH(點上線資訊!S1461,刷條碼區!C:C,0),1),"")</f>
        <v/>
      </c>
      <c r="Y1461" s="69" t="str">
        <f>IFERROR(INDEX(刷條碼區!A:C,MATCH(點上線資訊!S1461,刷條碼區!C:C,0),2),"")</f>
        <v/>
      </c>
      <c r="Z1461" s="70" t="str">
        <f>IFERROR(INDEX(刷條碼區!D:G,MATCH(點上線資訊!S1461,刷條碼區!F:F,0),1),"")</f>
        <v/>
      </c>
      <c r="AA1461" s="71" t="str">
        <f>IFERROR(INDEX(刷條碼區!D:G,MATCH(點上線資訊!S1461,刷條碼區!F:F,0),2),"")</f>
        <v/>
      </c>
      <c r="AB1461" s="20">
        <f t="shared" ref="AB1461:AB1524" si="142">IF(K1461&amp;N1461="",G1461)</f>
        <v>0</v>
      </c>
      <c r="AC1461" s="20" t="b">
        <f t="shared" ref="AC1461:AC1524" si="143">IF(S1461&lt;&gt;"",G1461)</f>
        <v>0</v>
      </c>
      <c r="AD1461" s="17" t="b">
        <f t="shared" ref="AD1461:AD1524" si="144">IF(X1461&lt;&gt;"",G1461)</f>
        <v>0</v>
      </c>
      <c r="AE1461" s="17" t="b">
        <f t="shared" ref="AE1461:AE1524" si="145">IF(Z1461&lt;&gt;"",G1461)</f>
        <v>0</v>
      </c>
    </row>
    <row r="1462" spans="17:31" x14ac:dyDescent="0.2">
      <c r="Q1462" s="17">
        <f>IFERROR(VLOOKUP(A1462,已除帳印單!B:C,1,0),0)*1</f>
        <v>0</v>
      </c>
      <c r="R1462" s="67" t="str">
        <f>IFERROR(VLOOKUP(J1462,線別!A:B,2,1),"")</f>
        <v/>
      </c>
      <c r="S1462" s="17" t="str">
        <f>IFERROR(VLOOKUP(A1462,已除帳印單!B:C,2,0),"")</f>
        <v/>
      </c>
      <c r="T1462" s="68" t="e">
        <f t="shared" si="140"/>
        <v>#VALUE!</v>
      </c>
      <c r="U1462" s="69">
        <f t="shared" si="141"/>
        <v>0</v>
      </c>
      <c r="V1462" s="68" t="str">
        <f>IFERROR(VLOOKUP(A1462,已除帳印單!B:D,3,0),"")</f>
        <v/>
      </c>
      <c r="W1462" s="69" t="str">
        <f>IFERROR(VLOOKUP(A1462,已除帳印單!B:E,4,0),"")</f>
        <v/>
      </c>
      <c r="X1462" s="68" t="str">
        <f>IFERROR(INDEX(刷條碼區!A:C,MATCH(點上線資訊!S1462,刷條碼區!C:C,0),1),"")</f>
        <v/>
      </c>
      <c r="Y1462" s="69" t="str">
        <f>IFERROR(INDEX(刷條碼區!A:C,MATCH(點上線資訊!S1462,刷條碼區!C:C,0),2),"")</f>
        <v/>
      </c>
      <c r="Z1462" s="70" t="str">
        <f>IFERROR(INDEX(刷條碼區!D:G,MATCH(點上線資訊!S1462,刷條碼區!F:F,0),1),"")</f>
        <v/>
      </c>
      <c r="AA1462" s="71" t="str">
        <f>IFERROR(INDEX(刷條碼區!D:G,MATCH(點上線資訊!S1462,刷條碼區!F:F,0),2),"")</f>
        <v/>
      </c>
      <c r="AB1462" s="20">
        <f t="shared" si="142"/>
        <v>0</v>
      </c>
      <c r="AC1462" s="20" t="b">
        <f t="shared" si="143"/>
        <v>0</v>
      </c>
      <c r="AD1462" s="17" t="b">
        <f t="shared" si="144"/>
        <v>0</v>
      </c>
      <c r="AE1462" s="17" t="b">
        <f t="shared" si="145"/>
        <v>0</v>
      </c>
    </row>
    <row r="1463" spans="17:31" x14ac:dyDescent="0.2">
      <c r="Q1463" s="17">
        <f>IFERROR(VLOOKUP(A1463,已除帳印單!B:C,1,0),0)*1</f>
        <v>0</v>
      </c>
      <c r="R1463" s="67" t="str">
        <f>IFERROR(VLOOKUP(J1463,線別!A:B,2,1),"")</f>
        <v/>
      </c>
      <c r="S1463" s="17" t="str">
        <f>IFERROR(VLOOKUP(A1463,已除帳印單!B:C,2,0),"")</f>
        <v/>
      </c>
      <c r="T1463" s="68" t="e">
        <f t="shared" si="140"/>
        <v>#VALUE!</v>
      </c>
      <c r="U1463" s="69">
        <f t="shared" si="141"/>
        <v>0</v>
      </c>
      <c r="V1463" s="68" t="str">
        <f>IFERROR(VLOOKUP(A1463,已除帳印單!B:D,3,0),"")</f>
        <v/>
      </c>
      <c r="W1463" s="69" t="str">
        <f>IFERROR(VLOOKUP(A1463,已除帳印單!B:E,4,0),"")</f>
        <v/>
      </c>
      <c r="X1463" s="68" t="str">
        <f>IFERROR(INDEX(刷條碼區!A:C,MATCH(點上線資訊!S1463,刷條碼區!C:C,0),1),"")</f>
        <v/>
      </c>
      <c r="Y1463" s="69" t="str">
        <f>IFERROR(INDEX(刷條碼區!A:C,MATCH(點上線資訊!S1463,刷條碼區!C:C,0),2),"")</f>
        <v/>
      </c>
      <c r="Z1463" s="70" t="str">
        <f>IFERROR(INDEX(刷條碼區!D:G,MATCH(點上線資訊!S1463,刷條碼區!F:F,0),1),"")</f>
        <v/>
      </c>
      <c r="AA1463" s="71" t="str">
        <f>IFERROR(INDEX(刷條碼區!D:G,MATCH(點上線資訊!S1463,刷條碼區!F:F,0),2),"")</f>
        <v/>
      </c>
      <c r="AB1463" s="20">
        <f t="shared" si="142"/>
        <v>0</v>
      </c>
      <c r="AC1463" s="20" t="b">
        <f t="shared" si="143"/>
        <v>0</v>
      </c>
      <c r="AD1463" s="17" t="b">
        <f t="shared" si="144"/>
        <v>0</v>
      </c>
      <c r="AE1463" s="17" t="b">
        <f t="shared" si="145"/>
        <v>0</v>
      </c>
    </row>
    <row r="1464" spans="17:31" x14ac:dyDescent="0.2">
      <c r="Q1464" s="17">
        <f>IFERROR(VLOOKUP(A1464,已除帳印單!B:C,1,0),0)*1</f>
        <v>0</v>
      </c>
      <c r="R1464" s="67" t="str">
        <f>IFERROR(VLOOKUP(J1464,線別!A:B,2,1),"")</f>
        <v/>
      </c>
      <c r="S1464" s="17" t="str">
        <f>IFERROR(VLOOKUP(A1464,已除帳印單!B:C,2,0),"")</f>
        <v/>
      </c>
      <c r="T1464" s="68" t="e">
        <f t="shared" si="140"/>
        <v>#VALUE!</v>
      </c>
      <c r="U1464" s="69">
        <f t="shared" si="141"/>
        <v>0</v>
      </c>
      <c r="V1464" s="68" t="str">
        <f>IFERROR(VLOOKUP(A1464,已除帳印單!B:D,3,0),"")</f>
        <v/>
      </c>
      <c r="W1464" s="69" t="str">
        <f>IFERROR(VLOOKUP(A1464,已除帳印單!B:E,4,0),"")</f>
        <v/>
      </c>
      <c r="X1464" s="68" t="str">
        <f>IFERROR(INDEX(刷條碼區!A:C,MATCH(點上線資訊!S1464,刷條碼區!C:C,0),1),"")</f>
        <v/>
      </c>
      <c r="Y1464" s="69" t="str">
        <f>IFERROR(INDEX(刷條碼區!A:C,MATCH(點上線資訊!S1464,刷條碼區!C:C,0),2),"")</f>
        <v/>
      </c>
      <c r="Z1464" s="70" t="str">
        <f>IFERROR(INDEX(刷條碼區!D:G,MATCH(點上線資訊!S1464,刷條碼區!F:F,0),1),"")</f>
        <v/>
      </c>
      <c r="AA1464" s="71" t="str">
        <f>IFERROR(INDEX(刷條碼區!D:G,MATCH(點上線資訊!S1464,刷條碼區!F:F,0),2),"")</f>
        <v/>
      </c>
      <c r="AB1464" s="20">
        <f t="shared" si="142"/>
        <v>0</v>
      </c>
      <c r="AC1464" s="20" t="b">
        <f t="shared" si="143"/>
        <v>0</v>
      </c>
      <c r="AD1464" s="17" t="b">
        <f t="shared" si="144"/>
        <v>0</v>
      </c>
      <c r="AE1464" s="17" t="b">
        <f t="shared" si="145"/>
        <v>0</v>
      </c>
    </row>
    <row r="1465" spans="17:31" x14ac:dyDescent="0.2">
      <c r="Q1465" s="17">
        <f>IFERROR(VLOOKUP(A1465,已除帳印單!B:C,1,0),0)*1</f>
        <v>0</v>
      </c>
      <c r="R1465" s="67" t="str">
        <f>IFERROR(VLOOKUP(J1465,線別!A:B,2,1),"")</f>
        <v/>
      </c>
      <c r="S1465" s="17" t="str">
        <f>IFERROR(VLOOKUP(A1465,已除帳印單!B:C,2,0),"")</f>
        <v/>
      </c>
      <c r="T1465" s="68" t="e">
        <f t="shared" si="140"/>
        <v>#VALUE!</v>
      </c>
      <c r="U1465" s="69">
        <f t="shared" si="141"/>
        <v>0</v>
      </c>
      <c r="V1465" s="68" t="str">
        <f>IFERROR(VLOOKUP(A1465,已除帳印單!B:D,3,0),"")</f>
        <v/>
      </c>
      <c r="W1465" s="69" t="str">
        <f>IFERROR(VLOOKUP(A1465,已除帳印單!B:E,4,0),"")</f>
        <v/>
      </c>
      <c r="X1465" s="68" t="str">
        <f>IFERROR(INDEX(刷條碼區!A:C,MATCH(點上線資訊!S1465,刷條碼區!C:C,0),1),"")</f>
        <v/>
      </c>
      <c r="Y1465" s="69" t="str">
        <f>IFERROR(INDEX(刷條碼區!A:C,MATCH(點上線資訊!S1465,刷條碼區!C:C,0),2),"")</f>
        <v/>
      </c>
      <c r="Z1465" s="70" t="str">
        <f>IFERROR(INDEX(刷條碼區!D:G,MATCH(點上線資訊!S1465,刷條碼區!F:F,0),1),"")</f>
        <v/>
      </c>
      <c r="AA1465" s="71" t="str">
        <f>IFERROR(INDEX(刷條碼區!D:G,MATCH(點上線資訊!S1465,刷條碼區!F:F,0),2),"")</f>
        <v/>
      </c>
      <c r="AB1465" s="20">
        <f t="shared" si="142"/>
        <v>0</v>
      </c>
      <c r="AC1465" s="20" t="b">
        <f t="shared" si="143"/>
        <v>0</v>
      </c>
      <c r="AD1465" s="17" t="b">
        <f t="shared" si="144"/>
        <v>0</v>
      </c>
      <c r="AE1465" s="17" t="b">
        <f t="shared" si="145"/>
        <v>0</v>
      </c>
    </row>
    <row r="1466" spans="17:31" x14ac:dyDescent="0.2">
      <c r="Q1466" s="17">
        <f>IFERROR(VLOOKUP(A1466,已除帳印單!B:C,1,0),0)*1</f>
        <v>0</v>
      </c>
      <c r="R1466" s="67" t="str">
        <f>IFERROR(VLOOKUP(J1466,線別!A:B,2,1),"")</f>
        <v/>
      </c>
      <c r="S1466" s="17" t="str">
        <f>IFERROR(VLOOKUP(A1466,已除帳印單!B:C,2,0),"")</f>
        <v/>
      </c>
      <c r="T1466" s="68" t="e">
        <f t="shared" si="140"/>
        <v>#VALUE!</v>
      </c>
      <c r="U1466" s="69">
        <f t="shared" si="141"/>
        <v>0</v>
      </c>
      <c r="V1466" s="68" t="str">
        <f>IFERROR(VLOOKUP(A1466,已除帳印單!B:D,3,0),"")</f>
        <v/>
      </c>
      <c r="W1466" s="69" t="str">
        <f>IFERROR(VLOOKUP(A1466,已除帳印單!B:E,4,0),"")</f>
        <v/>
      </c>
      <c r="X1466" s="68" t="str">
        <f>IFERROR(INDEX(刷條碼區!A:C,MATCH(點上線資訊!S1466,刷條碼區!C:C,0),1),"")</f>
        <v/>
      </c>
      <c r="Y1466" s="69" t="str">
        <f>IFERROR(INDEX(刷條碼區!A:C,MATCH(點上線資訊!S1466,刷條碼區!C:C,0),2),"")</f>
        <v/>
      </c>
      <c r="Z1466" s="70" t="str">
        <f>IFERROR(INDEX(刷條碼區!D:G,MATCH(點上線資訊!S1466,刷條碼區!F:F,0),1),"")</f>
        <v/>
      </c>
      <c r="AA1466" s="71" t="str">
        <f>IFERROR(INDEX(刷條碼區!D:G,MATCH(點上線資訊!S1466,刷條碼區!F:F,0),2),"")</f>
        <v/>
      </c>
      <c r="AB1466" s="20">
        <f t="shared" si="142"/>
        <v>0</v>
      </c>
      <c r="AC1466" s="20" t="b">
        <f t="shared" si="143"/>
        <v>0</v>
      </c>
      <c r="AD1466" s="17" t="b">
        <f t="shared" si="144"/>
        <v>0</v>
      </c>
      <c r="AE1466" s="17" t="b">
        <f t="shared" si="145"/>
        <v>0</v>
      </c>
    </row>
    <row r="1467" spans="17:31" x14ac:dyDescent="0.2">
      <c r="Q1467" s="17">
        <f>IFERROR(VLOOKUP(A1467,已除帳印單!B:C,1,0),0)*1</f>
        <v>0</v>
      </c>
      <c r="R1467" s="67" t="str">
        <f>IFERROR(VLOOKUP(J1467,線別!A:B,2,1),"")</f>
        <v/>
      </c>
      <c r="S1467" s="17" t="str">
        <f>IFERROR(VLOOKUP(A1467,已除帳印單!B:C,2,0),"")</f>
        <v/>
      </c>
      <c r="T1467" s="68" t="e">
        <f t="shared" si="140"/>
        <v>#VALUE!</v>
      </c>
      <c r="U1467" s="69">
        <f t="shared" si="141"/>
        <v>0</v>
      </c>
      <c r="V1467" s="68" t="str">
        <f>IFERROR(VLOOKUP(A1467,已除帳印單!B:D,3,0),"")</f>
        <v/>
      </c>
      <c r="W1467" s="69" t="str">
        <f>IFERROR(VLOOKUP(A1467,已除帳印單!B:E,4,0),"")</f>
        <v/>
      </c>
      <c r="X1467" s="68" t="str">
        <f>IFERROR(INDEX(刷條碼區!A:C,MATCH(點上線資訊!S1467,刷條碼區!C:C,0),1),"")</f>
        <v/>
      </c>
      <c r="Y1467" s="69" t="str">
        <f>IFERROR(INDEX(刷條碼區!A:C,MATCH(點上線資訊!S1467,刷條碼區!C:C,0),2),"")</f>
        <v/>
      </c>
      <c r="Z1467" s="70" t="str">
        <f>IFERROR(INDEX(刷條碼區!D:G,MATCH(點上線資訊!S1467,刷條碼區!F:F,0),1),"")</f>
        <v/>
      </c>
      <c r="AA1467" s="71" t="str">
        <f>IFERROR(INDEX(刷條碼區!D:G,MATCH(點上線資訊!S1467,刷條碼區!F:F,0),2),"")</f>
        <v/>
      </c>
      <c r="AB1467" s="20">
        <f t="shared" si="142"/>
        <v>0</v>
      </c>
      <c r="AC1467" s="20" t="b">
        <f t="shared" si="143"/>
        <v>0</v>
      </c>
      <c r="AD1467" s="17" t="b">
        <f t="shared" si="144"/>
        <v>0</v>
      </c>
      <c r="AE1467" s="17" t="b">
        <f t="shared" si="145"/>
        <v>0</v>
      </c>
    </row>
    <row r="1468" spans="17:31" x14ac:dyDescent="0.2">
      <c r="Q1468" s="17">
        <f>IFERROR(VLOOKUP(A1468,已除帳印單!B:C,1,0),0)*1</f>
        <v>0</v>
      </c>
      <c r="R1468" s="67" t="str">
        <f>IFERROR(VLOOKUP(J1468,線別!A:B,2,1),"")</f>
        <v/>
      </c>
      <c r="S1468" s="17" t="str">
        <f>IFERROR(VLOOKUP(A1468,已除帳印單!B:C,2,0),"")</f>
        <v/>
      </c>
      <c r="T1468" s="68" t="e">
        <f t="shared" si="140"/>
        <v>#VALUE!</v>
      </c>
      <c r="U1468" s="69">
        <f t="shared" si="141"/>
        <v>0</v>
      </c>
      <c r="V1468" s="68" t="str">
        <f>IFERROR(VLOOKUP(A1468,已除帳印單!B:D,3,0),"")</f>
        <v/>
      </c>
      <c r="W1468" s="69" t="str">
        <f>IFERROR(VLOOKUP(A1468,已除帳印單!B:E,4,0),"")</f>
        <v/>
      </c>
      <c r="X1468" s="68" t="str">
        <f>IFERROR(INDEX(刷條碼區!A:C,MATCH(點上線資訊!S1468,刷條碼區!C:C,0),1),"")</f>
        <v/>
      </c>
      <c r="Y1468" s="69" t="str">
        <f>IFERROR(INDEX(刷條碼區!A:C,MATCH(點上線資訊!S1468,刷條碼區!C:C,0),2),"")</f>
        <v/>
      </c>
      <c r="Z1468" s="70" t="str">
        <f>IFERROR(INDEX(刷條碼區!D:G,MATCH(點上線資訊!S1468,刷條碼區!F:F,0),1),"")</f>
        <v/>
      </c>
      <c r="AA1468" s="71" t="str">
        <f>IFERROR(INDEX(刷條碼區!D:G,MATCH(點上線資訊!S1468,刷條碼區!F:F,0),2),"")</f>
        <v/>
      </c>
      <c r="AB1468" s="20">
        <f t="shared" si="142"/>
        <v>0</v>
      </c>
      <c r="AC1468" s="20" t="b">
        <f t="shared" si="143"/>
        <v>0</v>
      </c>
      <c r="AD1468" s="17" t="b">
        <f t="shared" si="144"/>
        <v>0</v>
      </c>
      <c r="AE1468" s="17" t="b">
        <f t="shared" si="145"/>
        <v>0</v>
      </c>
    </row>
    <row r="1469" spans="17:31" x14ac:dyDescent="0.2">
      <c r="Q1469" s="17">
        <f>IFERROR(VLOOKUP(A1469,已除帳印單!B:C,1,0),0)*1</f>
        <v>0</v>
      </c>
      <c r="R1469" s="67" t="str">
        <f>IFERROR(VLOOKUP(J1469,線別!A:B,2,1),"")</f>
        <v/>
      </c>
      <c r="S1469" s="17" t="str">
        <f>IFERROR(VLOOKUP(A1469,已除帳印單!B:C,2,0),"")</f>
        <v/>
      </c>
      <c r="T1469" s="68" t="e">
        <f t="shared" si="140"/>
        <v>#VALUE!</v>
      </c>
      <c r="U1469" s="69">
        <f t="shared" si="141"/>
        <v>0</v>
      </c>
      <c r="V1469" s="68" t="str">
        <f>IFERROR(VLOOKUP(A1469,已除帳印單!B:D,3,0),"")</f>
        <v/>
      </c>
      <c r="W1469" s="69" t="str">
        <f>IFERROR(VLOOKUP(A1469,已除帳印單!B:E,4,0),"")</f>
        <v/>
      </c>
      <c r="X1469" s="68" t="str">
        <f>IFERROR(INDEX(刷條碼區!A:C,MATCH(點上線資訊!S1469,刷條碼區!C:C,0),1),"")</f>
        <v/>
      </c>
      <c r="Y1469" s="69" t="str">
        <f>IFERROR(INDEX(刷條碼區!A:C,MATCH(點上線資訊!S1469,刷條碼區!C:C,0),2),"")</f>
        <v/>
      </c>
      <c r="Z1469" s="70" t="str">
        <f>IFERROR(INDEX(刷條碼區!D:G,MATCH(點上線資訊!S1469,刷條碼區!F:F,0),1),"")</f>
        <v/>
      </c>
      <c r="AA1469" s="71" t="str">
        <f>IFERROR(INDEX(刷條碼區!D:G,MATCH(點上線資訊!S1469,刷條碼區!F:F,0),2),"")</f>
        <v/>
      </c>
      <c r="AB1469" s="20">
        <f t="shared" si="142"/>
        <v>0</v>
      </c>
      <c r="AC1469" s="20" t="b">
        <f t="shared" si="143"/>
        <v>0</v>
      </c>
      <c r="AD1469" s="17" t="b">
        <f t="shared" si="144"/>
        <v>0</v>
      </c>
      <c r="AE1469" s="17" t="b">
        <f t="shared" si="145"/>
        <v>0</v>
      </c>
    </row>
    <row r="1470" spans="17:31" x14ac:dyDescent="0.2">
      <c r="Q1470" s="17">
        <f>IFERROR(VLOOKUP(A1470,已除帳印單!B:C,1,0),0)*1</f>
        <v>0</v>
      </c>
      <c r="R1470" s="67" t="str">
        <f>IFERROR(VLOOKUP(J1470,線別!A:B,2,1),"")</f>
        <v/>
      </c>
      <c r="S1470" s="17" t="str">
        <f>IFERROR(VLOOKUP(A1470,已除帳印單!B:C,2,0),"")</f>
        <v/>
      </c>
      <c r="T1470" s="68" t="e">
        <f t="shared" si="140"/>
        <v>#VALUE!</v>
      </c>
      <c r="U1470" s="69">
        <f t="shared" si="141"/>
        <v>0</v>
      </c>
      <c r="V1470" s="68" t="str">
        <f>IFERROR(VLOOKUP(A1470,已除帳印單!B:D,3,0),"")</f>
        <v/>
      </c>
      <c r="W1470" s="69" t="str">
        <f>IFERROR(VLOOKUP(A1470,已除帳印單!B:E,4,0),"")</f>
        <v/>
      </c>
      <c r="X1470" s="68" t="str">
        <f>IFERROR(INDEX(刷條碼區!A:C,MATCH(點上線資訊!S1470,刷條碼區!C:C,0),1),"")</f>
        <v/>
      </c>
      <c r="Y1470" s="69" t="str">
        <f>IFERROR(INDEX(刷條碼區!A:C,MATCH(點上線資訊!S1470,刷條碼區!C:C,0),2),"")</f>
        <v/>
      </c>
      <c r="Z1470" s="70" t="str">
        <f>IFERROR(INDEX(刷條碼區!D:G,MATCH(點上線資訊!S1470,刷條碼區!F:F,0),1),"")</f>
        <v/>
      </c>
      <c r="AA1470" s="71" t="str">
        <f>IFERROR(INDEX(刷條碼區!D:G,MATCH(點上線資訊!S1470,刷條碼區!F:F,0),2),"")</f>
        <v/>
      </c>
      <c r="AB1470" s="20">
        <f t="shared" si="142"/>
        <v>0</v>
      </c>
      <c r="AC1470" s="20" t="b">
        <f t="shared" si="143"/>
        <v>0</v>
      </c>
      <c r="AD1470" s="17" t="b">
        <f t="shared" si="144"/>
        <v>0</v>
      </c>
      <c r="AE1470" s="17" t="b">
        <f t="shared" si="145"/>
        <v>0</v>
      </c>
    </row>
    <row r="1471" spans="17:31" x14ac:dyDescent="0.2">
      <c r="Q1471" s="17">
        <f>IFERROR(VLOOKUP(A1471,已除帳印單!B:C,1,0),0)*1</f>
        <v>0</v>
      </c>
      <c r="R1471" s="67" t="str">
        <f>IFERROR(VLOOKUP(J1471,線別!A:B,2,1),"")</f>
        <v/>
      </c>
      <c r="S1471" s="17" t="str">
        <f>IFERROR(VLOOKUP(A1471,已除帳印單!B:C,2,0),"")</f>
        <v/>
      </c>
      <c r="T1471" s="68" t="e">
        <f t="shared" si="140"/>
        <v>#VALUE!</v>
      </c>
      <c r="U1471" s="69">
        <f t="shared" si="141"/>
        <v>0</v>
      </c>
      <c r="V1471" s="68" t="str">
        <f>IFERROR(VLOOKUP(A1471,已除帳印單!B:D,3,0),"")</f>
        <v/>
      </c>
      <c r="W1471" s="69" t="str">
        <f>IFERROR(VLOOKUP(A1471,已除帳印單!B:E,4,0),"")</f>
        <v/>
      </c>
      <c r="X1471" s="68" t="str">
        <f>IFERROR(INDEX(刷條碼區!A:C,MATCH(點上線資訊!S1471,刷條碼區!C:C,0),1),"")</f>
        <v/>
      </c>
      <c r="Y1471" s="69" t="str">
        <f>IFERROR(INDEX(刷條碼區!A:C,MATCH(點上線資訊!S1471,刷條碼區!C:C,0),2),"")</f>
        <v/>
      </c>
      <c r="Z1471" s="70" t="str">
        <f>IFERROR(INDEX(刷條碼區!D:G,MATCH(點上線資訊!S1471,刷條碼區!F:F,0),1),"")</f>
        <v/>
      </c>
      <c r="AA1471" s="71" t="str">
        <f>IFERROR(INDEX(刷條碼區!D:G,MATCH(點上線資訊!S1471,刷條碼區!F:F,0),2),"")</f>
        <v/>
      </c>
      <c r="AB1471" s="20">
        <f t="shared" si="142"/>
        <v>0</v>
      </c>
      <c r="AC1471" s="20" t="b">
        <f t="shared" si="143"/>
        <v>0</v>
      </c>
      <c r="AD1471" s="17" t="b">
        <f t="shared" si="144"/>
        <v>0</v>
      </c>
      <c r="AE1471" s="17" t="b">
        <f t="shared" si="145"/>
        <v>0</v>
      </c>
    </row>
    <row r="1472" spans="17:31" x14ac:dyDescent="0.2">
      <c r="Q1472" s="17">
        <f>IFERROR(VLOOKUP(A1472,已除帳印單!B:C,1,0),0)*1</f>
        <v>0</v>
      </c>
      <c r="R1472" s="67" t="str">
        <f>IFERROR(VLOOKUP(J1472,線別!A:B,2,1),"")</f>
        <v/>
      </c>
      <c r="S1472" s="17" t="str">
        <f>IFERROR(VLOOKUP(A1472,已除帳印單!B:C,2,0),"")</f>
        <v/>
      </c>
      <c r="T1472" s="68" t="e">
        <f t="shared" si="140"/>
        <v>#VALUE!</v>
      </c>
      <c r="U1472" s="69">
        <f t="shared" si="141"/>
        <v>0</v>
      </c>
      <c r="V1472" s="68" t="str">
        <f>IFERROR(VLOOKUP(A1472,已除帳印單!B:D,3,0),"")</f>
        <v/>
      </c>
      <c r="W1472" s="69" t="str">
        <f>IFERROR(VLOOKUP(A1472,已除帳印單!B:E,4,0),"")</f>
        <v/>
      </c>
      <c r="X1472" s="68" t="str">
        <f>IFERROR(INDEX(刷條碼區!A:C,MATCH(點上線資訊!S1472,刷條碼區!C:C,0),1),"")</f>
        <v/>
      </c>
      <c r="Y1472" s="69" t="str">
        <f>IFERROR(INDEX(刷條碼區!A:C,MATCH(點上線資訊!S1472,刷條碼區!C:C,0),2),"")</f>
        <v/>
      </c>
      <c r="Z1472" s="70" t="str">
        <f>IFERROR(INDEX(刷條碼區!D:G,MATCH(點上線資訊!S1472,刷條碼區!F:F,0),1),"")</f>
        <v/>
      </c>
      <c r="AA1472" s="71" t="str">
        <f>IFERROR(INDEX(刷條碼區!D:G,MATCH(點上線資訊!S1472,刷條碼區!F:F,0),2),"")</f>
        <v/>
      </c>
      <c r="AB1472" s="20">
        <f t="shared" si="142"/>
        <v>0</v>
      </c>
      <c r="AC1472" s="20" t="b">
        <f t="shared" si="143"/>
        <v>0</v>
      </c>
      <c r="AD1472" s="17" t="b">
        <f t="shared" si="144"/>
        <v>0</v>
      </c>
      <c r="AE1472" s="17" t="b">
        <f t="shared" si="145"/>
        <v>0</v>
      </c>
    </row>
    <row r="1473" spans="17:31" x14ac:dyDescent="0.2">
      <c r="Q1473" s="17">
        <f>IFERROR(VLOOKUP(A1473,已除帳印單!B:C,1,0),0)*1</f>
        <v>0</v>
      </c>
      <c r="R1473" s="67" t="str">
        <f>IFERROR(VLOOKUP(J1473,線別!A:B,2,1),"")</f>
        <v/>
      </c>
      <c r="S1473" s="17" t="str">
        <f>IFERROR(VLOOKUP(A1473,已除帳印單!B:C,2,0),"")</f>
        <v/>
      </c>
      <c r="T1473" s="68" t="e">
        <f t="shared" si="140"/>
        <v>#VALUE!</v>
      </c>
      <c r="U1473" s="69">
        <f t="shared" si="141"/>
        <v>0</v>
      </c>
      <c r="V1473" s="68" t="str">
        <f>IFERROR(VLOOKUP(A1473,已除帳印單!B:D,3,0),"")</f>
        <v/>
      </c>
      <c r="W1473" s="69" t="str">
        <f>IFERROR(VLOOKUP(A1473,已除帳印單!B:E,4,0),"")</f>
        <v/>
      </c>
      <c r="X1473" s="68" t="str">
        <f>IFERROR(INDEX(刷條碼區!A:C,MATCH(點上線資訊!S1473,刷條碼區!C:C,0),1),"")</f>
        <v/>
      </c>
      <c r="Y1473" s="69" t="str">
        <f>IFERROR(INDEX(刷條碼區!A:C,MATCH(點上線資訊!S1473,刷條碼區!C:C,0),2),"")</f>
        <v/>
      </c>
      <c r="Z1473" s="70" t="str">
        <f>IFERROR(INDEX(刷條碼區!D:G,MATCH(點上線資訊!S1473,刷條碼區!F:F,0),1),"")</f>
        <v/>
      </c>
      <c r="AA1473" s="71" t="str">
        <f>IFERROR(INDEX(刷條碼區!D:G,MATCH(點上線資訊!S1473,刷條碼區!F:F,0),2),"")</f>
        <v/>
      </c>
      <c r="AB1473" s="20">
        <f t="shared" si="142"/>
        <v>0</v>
      </c>
      <c r="AC1473" s="20" t="b">
        <f t="shared" si="143"/>
        <v>0</v>
      </c>
      <c r="AD1473" s="17" t="b">
        <f t="shared" si="144"/>
        <v>0</v>
      </c>
      <c r="AE1473" s="17" t="b">
        <f t="shared" si="145"/>
        <v>0</v>
      </c>
    </row>
    <row r="1474" spans="17:31" x14ac:dyDescent="0.2">
      <c r="Q1474" s="17">
        <f>IFERROR(VLOOKUP(A1474,已除帳印單!B:C,1,0),0)*1</f>
        <v>0</v>
      </c>
      <c r="R1474" s="67" t="str">
        <f>IFERROR(VLOOKUP(J1474,線別!A:B,2,1),"")</f>
        <v/>
      </c>
      <c r="S1474" s="17" t="str">
        <f>IFERROR(VLOOKUP(A1474,已除帳印單!B:C,2,0),"")</f>
        <v/>
      </c>
      <c r="T1474" s="68" t="e">
        <f t="shared" si="140"/>
        <v>#VALUE!</v>
      </c>
      <c r="U1474" s="69">
        <f t="shared" si="141"/>
        <v>0</v>
      </c>
      <c r="V1474" s="68" t="str">
        <f>IFERROR(VLOOKUP(A1474,已除帳印單!B:D,3,0),"")</f>
        <v/>
      </c>
      <c r="W1474" s="69" t="str">
        <f>IFERROR(VLOOKUP(A1474,已除帳印單!B:E,4,0),"")</f>
        <v/>
      </c>
      <c r="X1474" s="68" t="str">
        <f>IFERROR(INDEX(刷條碼區!A:C,MATCH(點上線資訊!S1474,刷條碼區!C:C,0),1),"")</f>
        <v/>
      </c>
      <c r="Y1474" s="69" t="str">
        <f>IFERROR(INDEX(刷條碼區!A:C,MATCH(點上線資訊!S1474,刷條碼區!C:C,0),2),"")</f>
        <v/>
      </c>
      <c r="Z1474" s="70" t="str">
        <f>IFERROR(INDEX(刷條碼區!D:G,MATCH(點上線資訊!S1474,刷條碼區!F:F,0),1),"")</f>
        <v/>
      </c>
      <c r="AA1474" s="71" t="str">
        <f>IFERROR(INDEX(刷條碼區!D:G,MATCH(點上線資訊!S1474,刷條碼區!F:F,0),2),"")</f>
        <v/>
      </c>
      <c r="AB1474" s="20">
        <f t="shared" si="142"/>
        <v>0</v>
      </c>
      <c r="AC1474" s="20" t="b">
        <f t="shared" si="143"/>
        <v>0</v>
      </c>
      <c r="AD1474" s="17" t="b">
        <f t="shared" si="144"/>
        <v>0</v>
      </c>
      <c r="AE1474" s="17" t="b">
        <f t="shared" si="145"/>
        <v>0</v>
      </c>
    </row>
    <row r="1475" spans="17:31" x14ac:dyDescent="0.2">
      <c r="Q1475" s="17">
        <f>IFERROR(VLOOKUP(A1475,已除帳印單!B:C,1,0),0)*1</f>
        <v>0</v>
      </c>
      <c r="R1475" s="67" t="str">
        <f>IFERROR(VLOOKUP(J1475,線別!A:B,2,1),"")</f>
        <v/>
      </c>
      <c r="S1475" s="17" t="str">
        <f>IFERROR(VLOOKUP(A1475,已除帳印單!B:C,2,0),"")</f>
        <v/>
      </c>
      <c r="T1475" s="68" t="e">
        <f t="shared" si="140"/>
        <v>#VALUE!</v>
      </c>
      <c r="U1475" s="69">
        <f t="shared" si="141"/>
        <v>0</v>
      </c>
      <c r="V1475" s="68" t="str">
        <f>IFERROR(VLOOKUP(A1475,已除帳印單!B:D,3,0),"")</f>
        <v/>
      </c>
      <c r="W1475" s="69" t="str">
        <f>IFERROR(VLOOKUP(A1475,已除帳印單!B:E,4,0),"")</f>
        <v/>
      </c>
      <c r="X1475" s="68" t="str">
        <f>IFERROR(INDEX(刷條碼區!A:C,MATCH(點上線資訊!S1475,刷條碼區!C:C,0),1),"")</f>
        <v/>
      </c>
      <c r="Y1475" s="69" t="str">
        <f>IFERROR(INDEX(刷條碼區!A:C,MATCH(點上線資訊!S1475,刷條碼區!C:C,0),2),"")</f>
        <v/>
      </c>
      <c r="Z1475" s="70" t="str">
        <f>IFERROR(INDEX(刷條碼區!D:G,MATCH(點上線資訊!S1475,刷條碼區!F:F,0),1),"")</f>
        <v/>
      </c>
      <c r="AA1475" s="71" t="str">
        <f>IFERROR(INDEX(刷條碼區!D:G,MATCH(點上線資訊!S1475,刷條碼區!F:F,0),2),"")</f>
        <v/>
      </c>
      <c r="AB1475" s="20">
        <f t="shared" si="142"/>
        <v>0</v>
      </c>
      <c r="AC1475" s="20" t="b">
        <f t="shared" si="143"/>
        <v>0</v>
      </c>
      <c r="AD1475" s="17" t="b">
        <f t="shared" si="144"/>
        <v>0</v>
      </c>
      <c r="AE1475" s="17" t="b">
        <f t="shared" si="145"/>
        <v>0</v>
      </c>
    </row>
    <row r="1476" spans="17:31" x14ac:dyDescent="0.2">
      <c r="Q1476" s="17">
        <f>IFERROR(VLOOKUP(A1476,已除帳印單!B:C,1,0),0)*1</f>
        <v>0</v>
      </c>
      <c r="R1476" s="67" t="str">
        <f>IFERROR(VLOOKUP(J1476,線別!A:B,2,1),"")</f>
        <v/>
      </c>
      <c r="S1476" s="17" t="str">
        <f>IFERROR(VLOOKUP(A1476,已除帳印單!B:C,2,0),"")</f>
        <v/>
      </c>
      <c r="T1476" s="68" t="e">
        <f t="shared" si="140"/>
        <v>#VALUE!</v>
      </c>
      <c r="U1476" s="69">
        <f t="shared" si="141"/>
        <v>0</v>
      </c>
      <c r="V1476" s="68" t="str">
        <f>IFERROR(VLOOKUP(A1476,已除帳印單!B:D,3,0),"")</f>
        <v/>
      </c>
      <c r="W1476" s="69" t="str">
        <f>IFERROR(VLOOKUP(A1476,已除帳印單!B:E,4,0),"")</f>
        <v/>
      </c>
      <c r="X1476" s="68" t="str">
        <f>IFERROR(INDEX(刷條碼區!A:C,MATCH(點上線資訊!S1476,刷條碼區!C:C,0),1),"")</f>
        <v/>
      </c>
      <c r="Y1476" s="69" t="str">
        <f>IFERROR(INDEX(刷條碼區!A:C,MATCH(點上線資訊!S1476,刷條碼區!C:C,0),2),"")</f>
        <v/>
      </c>
      <c r="Z1476" s="70" t="str">
        <f>IFERROR(INDEX(刷條碼區!D:G,MATCH(點上線資訊!S1476,刷條碼區!F:F,0),1),"")</f>
        <v/>
      </c>
      <c r="AA1476" s="71" t="str">
        <f>IFERROR(INDEX(刷條碼區!D:G,MATCH(點上線資訊!S1476,刷條碼區!F:F,0),2),"")</f>
        <v/>
      </c>
      <c r="AB1476" s="20">
        <f t="shared" si="142"/>
        <v>0</v>
      </c>
      <c r="AC1476" s="20" t="b">
        <f t="shared" si="143"/>
        <v>0</v>
      </c>
      <c r="AD1476" s="17" t="b">
        <f t="shared" si="144"/>
        <v>0</v>
      </c>
      <c r="AE1476" s="17" t="b">
        <f t="shared" si="145"/>
        <v>0</v>
      </c>
    </row>
    <row r="1477" spans="17:31" x14ac:dyDescent="0.2">
      <c r="Q1477" s="17">
        <f>IFERROR(VLOOKUP(A1477,已除帳印單!B:C,1,0),0)*1</f>
        <v>0</v>
      </c>
      <c r="R1477" s="67" t="str">
        <f>IFERROR(VLOOKUP(J1477,線別!A:B,2,1),"")</f>
        <v/>
      </c>
      <c r="S1477" s="17" t="str">
        <f>IFERROR(VLOOKUP(A1477,已除帳印單!B:C,2,0),"")</f>
        <v/>
      </c>
      <c r="T1477" s="68" t="e">
        <f t="shared" si="140"/>
        <v>#VALUE!</v>
      </c>
      <c r="U1477" s="69">
        <f t="shared" si="141"/>
        <v>0</v>
      </c>
      <c r="V1477" s="68" t="str">
        <f>IFERROR(VLOOKUP(A1477,已除帳印單!B:D,3,0),"")</f>
        <v/>
      </c>
      <c r="W1477" s="69" t="str">
        <f>IFERROR(VLOOKUP(A1477,已除帳印單!B:E,4,0),"")</f>
        <v/>
      </c>
      <c r="X1477" s="68" t="str">
        <f>IFERROR(INDEX(刷條碼區!A:C,MATCH(點上線資訊!S1477,刷條碼區!C:C,0),1),"")</f>
        <v/>
      </c>
      <c r="Y1477" s="69" t="str">
        <f>IFERROR(INDEX(刷條碼區!A:C,MATCH(點上線資訊!S1477,刷條碼區!C:C,0),2),"")</f>
        <v/>
      </c>
      <c r="Z1477" s="70" t="str">
        <f>IFERROR(INDEX(刷條碼區!D:G,MATCH(點上線資訊!S1477,刷條碼區!F:F,0),1),"")</f>
        <v/>
      </c>
      <c r="AA1477" s="71" t="str">
        <f>IFERROR(INDEX(刷條碼區!D:G,MATCH(點上線資訊!S1477,刷條碼區!F:F,0),2),"")</f>
        <v/>
      </c>
      <c r="AB1477" s="20">
        <f t="shared" si="142"/>
        <v>0</v>
      </c>
      <c r="AC1477" s="20" t="b">
        <f t="shared" si="143"/>
        <v>0</v>
      </c>
      <c r="AD1477" s="17" t="b">
        <f t="shared" si="144"/>
        <v>0</v>
      </c>
      <c r="AE1477" s="17" t="b">
        <f t="shared" si="145"/>
        <v>0</v>
      </c>
    </row>
    <row r="1478" spans="17:31" x14ac:dyDescent="0.2">
      <c r="Q1478" s="17">
        <f>IFERROR(VLOOKUP(A1478,已除帳印單!B:C,1,0),0)*1</f>
        <v>0</v>
      </c>
      <c r="R1478" s="67" t="str">
        <f>IFERROR(VLOOKUP(J1478,線別!A:B,2,1),"")</f>
        <v/>
      </c>
      <c r="S1478" s="17" t="str">
        <f>IFERROR(VLOOKUP(A1478,已除帳印單!B:C,2,0),"")</f>
        <v/>
      </c>
      <c r="T1478" s="68" t="e">
        <f t="shared" si="140"/>
        <v>#VALUE!</v>
      </c>
      <c r="U1478" s="69">
        <f t="shared" si="141"/>
        <v>0</v>
      </c>
      <c r="V1478" s="68" t="str">
        <f>IFERROR(VLOOKUP(A1478,已除帳印單!B:D,3,0),"")</f>
        <v/>
      </c>
      <c r="W1478" s="69" t="str">
        <f>IFERROR(VLOOKUP(A1478,已除帳印單!B:E,4,0),"")</f>
        <v/>
      </c>
      <c r="X1478" s="68" t="str">
        <f>IFERROR(INDEX(刷條碼區!A:C,MATCH(點上線資訊!S1478,刷條碼區!C:C,0),1),"")</f>
        <v/>
      </c>
      <c r="Y1478" s="69" t="str">
        <f>IFERROR(INDEX(刷條碼區!A:C,MATCH(點上線資訊!S1478,刷條碼區!C:C,0),2),"")</f>
        <v/>
      </c>
      <c r="Z1478" s="70" t="str">
        <f>IFERROR(INDEX(刷條碼區!D:G,MATCH(點上線資訊!S1478,刷條碼區!F:F,0),1),"")</f>
        <v/>
      </c>
      <c r="AA1478" s="71" t="str">
        <f>IFERROR(INDEX(刷條碼區!D:G,MATCH(點上線資訊!S1478,刷條碼區!F:F,0),2),"")</f>
        <v/>
      </c>
      <c r="AB1478" s="20">
        <f t="shared" si="142"/>
        <v>0</v>
      </c>
      <c r="AC1478" s="20" t="b">
        <f t="shared" si="143"/>
        <v>0</v>
      </c>
      <c r="AD1478" s="17" t="b">
        <f t="shared" si="144"/>
        <v>0</v>
      </c>
      <c r="AE1478" s="17" t="b">
        <f t="shared" si="145"/>
        <v>0</v>
      </c>
    </row>
    <row r="1479" spans="17:31" x14ac:dyDescent="0.2">
      <c r="Q1479" s="17">
        <f>IFERROR(VLOOKUP(A1479,已除帳印單!B:C,1,0),0)*1</f>
        <v>0</v>
      </c>
      <c r="R1479" s="67" t="str">
        <f>IFERROR(VLOOKUP(J1479,線別!A:B,2,1),"")</f>
        <v/>
      </c>
      <c r="S1479" s="17" t="str">
        <f>IFERROR(VLOOKUP(A1479,已除帳印單!B:C,2,0),"")</f>
        <v/>
      </c>
      <c r="T1479" s="68" t="e">
        <f t="shared" si="140"/>
        <v>#VALUE!</v>
      </c>
      <c r="U1479" s="69">
        <f t="shared" si="141"/>
        <v>0</v>
      </c>
      <c r="V1479" s="68" t="str">
        <f>IFERROR(VLOOKUP(A1479,已除帳印單!B:D,3,0),"")</f>
        <v/>
      </c>
      <c r="W1479" s="69" t="str">
        <f>IFERROR(VLOOKUP(A1479,已除帳印單!B:E,4,0),"")</f>
        <v/>
      </c>
      <c r="X1479" s="68" t="str">
        <f>IFERROR(INDEX(刷條碼區!A:C,MATCH(點上線資訊!S1479,刷條碼區!C:C,0),1),"")</f>
        <v/>
      </c>
      <c r="Y1479" s="69" t="str">
        <f>IFERROR(INDEX(刷條碼區!A:C,MATCH(點上線資訊!S1479,刷條碼區!C:C,0),2),"")</f>
        <v/>
      </c>
      <c r="Z1479" s="70" t="str">
        <f>IFERROR(INDEX(刷條碼區!D:G,MATCH(點上線資訊!S1479,刷條碼區!F:F,0),1),"")</f>
        <v/>
      </c>
      <c r="AA1479" s="71" t="str">
        <f>IFERROR(INDEX(刷條碼區!D:G,MATCH(點上線資訊!S1479,刷條碼區!F:F,0),2),"")</f>
        <v/>
      </c>
      <c r="AB1479" s="20">
        <f t="shared" si="142"/>
        <v>0</v>
      </c>
      <c r="AC1479" s="20" t="b">
        <f t="shared" si="143"/>
        <v>0</v>
      </c>
      <c r="AD1479" s="17" t="b">
        <f t="shared" si="144"/>
        <v>0</v>
      </c>
      <c r="AE1479" s="17" t="b">
        <f t="shared" si="145"/>
        <v>0</v>
      </c>
    </row>
    <row r="1480" spans="17:31" x14ac:dyDescent="0.2">
      <c r="Q1480" s="17">
        <f>IFERROR(VLOOKUP(A1480,已除帳印單!B:C,1,0),0)*1</f>
        <v>0</v>
      </c>
      <c r="R1480" s="67" t="str">
        <f>IFERROR(VLOOKUP(J1480,線別!A:B,2,1),"")</f>
        <v/>
      </c>
      <c r="S1480" s="17" t="str">
        <f>IFERROR(VLOOKUP(A1480,已除帳印單!B:C,2,0),"")</f>
        <v/>
      </c>
      <c r="T1480" s="68" t="e">
        <f t="shared" si="140"/>
        <v>#VALUE!</v>
      </c>
      <c r="U1480" s="69">
        <f t="shared" si="141"/>
        <v>0</v>
      </c>
      <c r="V1480" s="68" t="str">
        <f>IFERROR(VLOOKUP(A1480,已除帳印單!B:D,3,0),"")</f>
        <v/>
      </c>
      <c r="W1480" s="69" t="str">
        <f>IFERROR(VLOOKUP(A1480,已除帳印單!B:E,4,0),"")</f>
        <v/>
      </c>
      <c r="X1480" s="68" t="str">
        <f>IFERROR(INDEX(刷條碼區!A:C,MATCH(點上線資訊!S1480,刷條碼區!C:C,0),1),"")</f>
        <v/>
      </c>
      <c r="Y1480" s="69" t="str">
        <f>IFERROR(INDEX(刷條碼區!A:C,MATCH(點上線資訊!S1480,刷條碼區!C:C,0),2),"")</f>
        <v/>
      </c>
      <c r="Z1480" s="70" t="str">
        <f>IFERROR(INDEX(刷條碼區!D:G,MATCH(點上線資訊!S1480,刷條碼區!F:F,0),1),"")</f>
        <v/>
      </c>
      <c r="AA1480" s="71" t="str">
        <f>IFERROR(INDEX(刷條碼區!D:G,MATCH(點上線資訊!S1480,刷條碼區!F:F,0),2),"")</f>
        <v/>
      </c>
      <c r="AB1480" s="20">
        <f t="shared" si="142"/>
        <v>0</v>
      </c>
      <c r="AC1480" s="20" t="b">
        <f t="shared" si="143"/>
        <v>0</v>
      </c>
      <c r="AD1480" s="17" t="b">
        <f t="shared" si="144"/>
        <v>0</v>
      </c>
      <c r="AE1480" s="17" t="b">
        <f t="shared" si="145"/>
        <v>0</v>
      </c>
    </row>
    <row r="1481" spans="17:31" x14ac:dyDescent="0.2">
      <c r="Q1481" s="17">
        <f>IFERROR(VLOOKUP(A1481,已除帳印單!B:C,1,0),0)*1</f>
        <v>0</v>
      </c>
      <c r="R1481" s="67" t="str">
        <f>IFERROR(VLOOKUP(J1481,線別!A:B,2,1),"")</f>
        <v/>
      </c>
      <c r="S1481" s="17" t="str">
        <f>IFERROR(VLOOKUP(A1481,已除帳印單!B:C,2,0),"")</f>
        <v/>
      </c>
      <c r="T1481" s="68" t="e">
        <f t="shared" si="140"/>
        <v>#VALUE!</v>
      </c>
      <c r="U1481" s="69">
        <f t="shared" si="141"/>
        <v>0</v>
      </c>
      <c r="V1481" s="68" t="str">
        <f>IFERROR(VLOOKUP(A1481,已除帳印單!B:D,3,0),"")</f>
        <v/>
      </c>
      <c r="W1481" s="69" t="str">
        <f>IFERROR(VLOOKUP(A1481,已除帳印單!B:E,4,0),"")</f>
        <v/>
      </c>
      <c r="X1481" s="68" t="str">
        <f>IFERROR(INDEX(刷條碼區!A:C,MATCH(點上線資訊!S1481,刷條碼區!C:C,0),1),"")</f>
        <v/>
      </c>
      <c r="Y1481" s="69" t="str">
        <f>IFERROR(INDEX(刷條碼區!A:C,MATCH(點上線資訊!S1481,刷條碼區!C:C,0),2),"")</f>
        <v/>
      </c>
      <c r="Z1481" s="70" t="str">
        <f>IFERROR(INDEX(刷條碼區!D:G,MATCH(點上線資訊!S1481,刷條碼區!F:F,0),1),"")</f>
        <v/>
      </c>
      <c r="AA1481" s="71" t="str">
        <f>IFERROR(INDEX(刷條碼區!D:G,MATCH(點上線資訊!S1481,刷條碼區!F:F,0),2),"")</f>
        <v/>
      </c>
      <c r="AB1481" s="20">
        <f t="shared" si="142"/>
        <v>0</v>
      </c>
      <c r="AC1481" s="20" t="b">
        <f t="shared" si="143"/>
        <v>0</v>
      </c>
      <c r="AD1481" s="17" t="b">
        <f t="shared" si="144"/>
        <v>0</v>
      </c>
      <c r="AE1481" s="17" t="b">
        <f t="shared" si="145"/>
        <v>0</v>
      </c>
    </row>
    <row r="1482" spans="17:31" x14ac:dyDescent="0.2">
      <c r="Q1482" s="17">
        <f>IFERROR(VLOOKUP(A1482,已除帳印單!B:C,1,0),0)*1</f>
        <v>0</v>
      </c>
      <c r="R1482" s="67" t="str">
        <f>IFERROR(VLOOKUP(J1482,線別!A:B,2,1),"")</f>
        <v/>
      </c>
      <c r="S1482" s="17" t="str">
        <f>IFERROR(VLOOKUP(A1482,已除帳印單!B:C,2,0),"")</f>
        <v/>
      </c>
      <c r="T1482" s="68" t="e">
        <f t="shared" si="140"/>
        <v>#VALUE!</v>
      </c>
      <c r="U1482" s="69">
        <f t="shared" si="141"/>
        <v>0</v>
      </c>
      <c r="V1482" s="68" t="str">
        <f>IFERROR(VLOOKUP(A1482,已除帳印單!B:D,3,0),"")</f>
        <v/>
      </c>
      <c r="W1482" s="69" t="str">
        <f>IFERROR(VLOOKUP(A1482,已除帳印單!B:E,4,0),"")</f>
        <v/>
      </c>
      <c r="X1482" s="68" t="str">
        <f>IFERROR(INDEX(刷條碼區!A:C,MATCH(點上線資訊!S1482,刷條碼區!C:C,0),1),"")</f>
        <v/>
      </c>
      <c r="Y1482" s="69" t="str">
        <f>IFERROR(INDEX(刷條碼區!A:C,MATCH(點上線資訊!S1482,刷條碼區!C:C,0),2),"")</f>
        <v/>
      </c>
      <c r="Z1482" s="70" t="str">
        <f>IFERROR(INDEX(刷條碼區!D:G,MATCH(點上線資訊!S1482,刷條碼區!F:F,0),1),"")</f>
        <v/>
      </c>
      <c r="AA1482" s="71" t="str">
        <f>IFERROR(INDEX(刷條碼區!D:G,MATCH(點上線資訊!S1482,刷條碼區!F:F,0),2),"")</f>
        <v/>
      </c>
      <c r="AB1482" s="20">
        <f t="shared" si="142"/>
        <v>0</v>
      </c>
      <c r="AC1482" s="20" t="b">
        <f t="shared" si="143"/>
        <v>0</v>
      </c>
      <c r="AD1482" s="17" t="b">
        <f t="shared" si="144"/>
        <v>0</v>
      </c>
      <c r="AE1482" s="17" t="b">
        <f t="shared" si="145"/>
        <v>0</v>
      </c>
    </row>
    <row r="1483" spans="17:31" x14ac:dyDescent="0.2">
      <c r="Q1483" s="17">
        <f>IFERROR(VLOOKUP(A1483,已除帳印單!B:C,1,0),0)*1</f>
        <v>0</v>
      </c>
      <c r="R1483" s="67" t="str">
        <f>IFERROR(VLOOKUP(J1483,線別!A:B,2,1),"")</f>
        <v/>
      </c>
      <c r="S1483" s="17" t="str">
        <f>IFERROR(VLOOKUP(A1483,已除帳印單!B:C,2,0),"")</f>
        <v/>
      </c>
      <c r="T1483" s="68" t="e">
        <f t="shared" si="140"/>
        <v>#VALUE!</v>
      </c>
      <c r="U1483" s="69">
        <f t="shared" si="141"/>
        <v>0</v>
      </c>
      <c r="V1483" s="68" t="str">
        <f>IFERROR(VLOOKUP(A1483,已除帳印單!B:D,3,0),"")</f>
        <v/>
      </c>
      <c r="W1483" s="69" t="str">
        <f>IFERROR(VLOOKUP(A1483,已除帳印單!B:E,4,0),"")</f>
        <v/>
      </c>
      <c r="X1483" s="68" t="str">
        <f>IFERROR(INDEX(刷條碼區!A:C,MATCH(點上線資訊!S1483,刷條碼區!C:C,0),1),"")</f>
        <v/>
      </c>
      <c r="Y1483" s="69" t="str">
        <f>IFERROR(INDEX(刷條碼區!A:C,MATCH(點上線資訊!S1483,刷條碼區!C:C,0),2),"")</f>
        <v/>
      </c>
      <c r="Z1483" s="70" t="str">
        <f>IFERROR(INDEX(刷條碼區!D:G,MATCH(點上線資訊!S1483,刷條碼區!F:F,0),1),"")</f>
        <v/>
      </c>
      <c r="AA1483" s="71" t="str">
        <f>IFERROR(INDEX(刷條碼區!D:G,MATCH(點上線資訊!S1483,刷條碼區!F:F,0),2),"")</f>
        <v/>
      </c>
      <c r="AB1483" s="20">
        <f t="shared" si="142"/>
        <v>0</v>
      </c>
      <c r="AC1483" s="20" t="b">
        <f t="shared" si="143"/>
        <v>0</v>
      </c>
      <c r="AD1483" s="17" t="b">
        <f t="shared" si="144"/>
        <v>0</v>
      </c>
      <c r="AE1483" s="17" t="b">
        <f t="shared" si="145"/>
        <v>0</v>
      </c>
    </row>
    <row r="1484" spans="17:31" x14ac:dyDescent="0.2">
      <c r="Q1484" s="17">
        <f>IFERROR(VLOOKUP(A1484,已除帳印單!B:C,1,0),0)*1</f>
        <v>0</v>
      </c>
      <c r="R1484" s="67" t="str">
        <f>IFERROR(VLOOKUP(J1484,線別!A:B,2,1),"")</f>
        <v/>
      </c>
      <c r="S1484" s="17" t="str">
        <f>IFERROR(VLOOKUP(A1484,已除帳印單!B:C,2,0),"")</f>
        <v/>
      </c>
      <c r="T1484" s="68" t="e">
        <f t="shared" si="140"/>
        <v>#VALUE!</v>
      </c>
      <c r="U1484" s="69">
        <f t="shared" si="141"/>
        <v>0</v>
      </c>
      <c r="V1484" s="68" t="str">
        <f>IFERROR(VLOOKUP(A1484,已除帳印單!B:D,3,0),"")</f>
        <v/>
      </c>
      <c r="W1484" s="69" t="str">
        <f>IFERROR(VLOOKUP(A1484,已除帳印單!B:E,4,0),"")</f>
        <v/>
      </c>
      <c r="X1484" s="68" t="str">
        <f>IFERROR(INDEX(刷條碼區!A:C,MATCH(點上線資訊!S1484,刷條碼區!C:C,0),1),"")</f>
        <v/>
      </c>
      <c r="Y1484" s="69" t="str">
        <f>IFERROR(INDEX(刷條碼區!A:C,MATCH(點上線資訊!S1484,刷條碼區!C:C,0),2),"")</f>
        <v/>
      </c>
      <c r="Z1484" s="70" t="str">
        <f>IFERROR(INDEX(刷條碼區!D:G,MATCH(點上線資訊!S1484,刷條碼區!F:F,0),1),"")</f>
        <v/>
      </c>
      <c r="AA1484" s="71" t="str">
        <f>IFERROR(INDEX(刷條碼區!D:G,MATCH(點上線資訊!S1484,刷條碼區!F:F,0),2),"")</f>
        <v/>
      </c>
      <c r="AB1484" s="20">
        <f t="shared" si="142"/>
        <v>0</v>
      </c>
      <c r="AC1484" s="20" t="b">
        <f t="shared" si="143"/>
        <v>0</v>
      </c>
      <c r="AD1484" s="17" t="b">
        <f t="shared" si="144"/>
        <v>0</v>
      </c>
      <c r="AE1484" s="17" t="b">
        <f t="shared" si="145"/>
        <v>0</v>
      </c>
    </row>
    <row r="1485" spans="17:31" x14ac:dyDescent="0.2">
      <c r="Q1485" s="17">
        <f>IFERROR(VLOOKUP(A1485,已除帳印單!B:C,1,0),0)*1</f>
        <v>0</v>
      </c>
      <c r="R1485" s="67" t="str">
        <f>IFERROR(VLOOKUP(J1485,線別!A:B,2,1),"")</f>
        <v/>
      </c>
      <c r="S1485" s="17" t="str">
        <f>IFERROR(VLOOKUP(A1485,已除帳印單!B:C,2,0),"")</f>
        <v/>
      </c>
      <c r="T1485" s="68" t="e">
        <f t="shared" si="140"/>
        <v>#VALUE!</v>
      </c>
      <c r="U1485" s="69">
        <f t="shared" si="141"/>
        <v>0</v>
      </c>
      <c r="V1485" s="68" t="str">
        <f>IFERROR(VLOOKUP(A1485,已除帳印單!B:D,3,0),"")</f>
        <v/>
      </c>
      <c r="W1485" s="69" t="str">
        <f>IFERROR(VLOOKUP(A1485,已除帳印單!B:E,4,0),"")</f>
        <v/>
      </c>
      <c r="X1485" s="68" t="str">
        <f>IFERROR(INDEX(刷條碼區!A:C,MATCH(點上線資訊!S1485,刷條碼區!C:C,0),1),"")</f>
        <v/>
      </c>
      <c r="Y1485" s="69" t="str">
        <f>IFERROR(INDEX(刷條碼區!A:C,MATCH(點上線資訊!S1485,刷條碼區!C:C,0),2),"")</f>
        <v/>
      </c>
      <c r="Z1485" s="70" t="str">
        <f>IFERROR(INDEX(刷條碼區!D:G,MATCH(點上線資訊!S1485,刷條碼區!F:F,0),1),"")</f>
        <v/>
      </c>
      <c r="AA1485" s="71" t="str">
        <f>IFERROR(INDEX(刷條碼區!D:G,MATCH(點上線資訊!S1485,刷條碼區!F:F,0),2),"")</f>
        <v/>
      </c>
      <c r="AB1485" s="20">
        <f t="shared" si="142"/>
        <v>0</v>
      </c>
      <c r="AC1485" s="20" t="b">
        <f t="shared" si="143"/>
        <v>0</v>
      </c>
      <c r="AD1485" s="17" t="b">
        <f t="shared" si="144"/>
        <v>0</v>
      </c>
      <c r="AE1485" s="17" t="b">
        <f t="shared" si="145"/>
        <v>0</v>
      </c>
    </row>
    <row r="1486" spans="17:31" x14ac:dyDescent="0.2">
      <c r="Q1486" s="17">
        <f>IFERROR(VLOOKUP(A1486,已除帳印單!B:C,1,0),0)*1</f>
        <v>0</v>
      </c>
      <c r="R1486" s="67" t="str">
        <f>IFERROR(VLOOKUP(J1486,線別!A:B,2,1),"")</f>
        <v/>
      </c>
      <c r="S1486" s="17" t="str">
        <f>IFERROR(VLOOKUP(A1486,已除帳印單!B:C,2,0),"")</f>
        <v/>
      </c>
      <c r="T1486" s="68" t="e">
        <f t="shared" si="140"/>
        <v>#VALUE!</v>
      </c>
      <c r="U1486" s="69">
        <f t="shared" si="141"/>
        <v>0</v>
      </c>
      <c r="V1486" s="68" t="str">
        <f>IFERROR(VLOOKUP(A1486,已除帳印單!B:D,3,0),"")</f>
        <v/>
      </c>
      <c r="W1486" s="69" t="str">
        <f>IFERROR(VLOOKUP(A1486,已除帳印單!B:E,4,0),"")</f>
        <v/>
      </c>
      <c r="X1486" s="68" t="str">
        <f>IFERROR(INDEX(刷條碼區!A:C,MATCH(點上線資訊!S1486,刷條碼區!C:C,0),1),"")</f>
        <v/>
      </c>
      <c r="Y1486" s="69" t="str">
        <f>IFERROR(INDEX(刷條碼區!A:C,MATCH(點上線資訊!S1486,刷條碼區!C:C,0),2),"")</f>
        <v/>
      </c>
      <c r="Z1486" s="70" t="str">
        <f>IFERROR(INDEX(刷條碼區!D:G,MATCH(點上線資訊!S1486,刷條碼區!F:F,0),1),"")</f>
        <v/>
      </c>
      <c r="AA1486" s="71" t="str">
        <f>IFERROR(INDEX(刷條碼區!D:G,MATCH(點上線資訊!S1486,刷條碼區!F:F,0),2),"")</f>
        <v/>
      </c>
      <c r="AB1486" s="20">
        <f t="shared" si="142"/>
        <v>0</v>
      </c>
      <c r="AC1486" s="20" t="b">
        <f t="shared" si="143"/>
        <v>0</v>
      </c>
      <c r="AD1486" s="17" t="b">
        <f t="shared" si="144"/>
        <v>0</v>
      </c>
      <c r="AE1486" s="17" t="b">
        <f t="shared" si="145"/>
        <v>0</v>
      </c>
    </row>
    <row r="1487" spans="17:31" x14ac:dyDescent="0.2">
      <c r="Q1487" s="17">
        <f>IFERROR(VLOOKUP(A1487,已除帳印單!B:C,1,0),0)*1</f>
        <v>0</v>
      </c>
      <c r="R1487" s="67" t="str">
        <f>IFERROR(VLOOKUP(J1487,線別!A:B,2,1),"")</f>
        <v/>
      </c>
      <c r="S1487" s="17" t="str">
        <f>IFERROR(VLOOKUP(A1487,已除帳印單!B:C,2,0),"")</f>
        <v/>
      </c>
      <c r="T1487" s="68" t="e">
        <f t="shared" si="140"/>
        <v>#VALUE!</v>
      </c>
      <c r="U1487" s="69">
        <f t="shared" si="141"/>
        <v>0</v>
      </c>
      <c r="V1487" s="68" t="str">
        <f>IFERROR(VLOOKUP(A1487,已除帳印單!B:D,3,0),"")</f>
        <v/>
      </c>
      <c r="W1487" s="69" t="str">
        <f>IFERROR(VLOOKUP(A1487,已除帳印單!B:E,4,0),"")</f>
        <v/>
      </c>
      <c r="X1487" s="68" t="str">
        <f>IFERROR(INDEX(刷條碼區!A:C,MATCH(點上線資訊!S1487,刷條碼區!C:C,0),1),"")</f>
        <v/>
      </c>
      <c r="Y1487" s="69" t="str">
        <f>IFERROR(INDEX(刷條碼區!A:C,MATCH(點上線資訊!S1487,刷條碼區!C:C,0),2),"")</f>
        <v/>
      </c>
      <c r="Z1487" s="70" t="str">
        <f>IFERROR(INDEX(刷條碼區!D:G,MATCH(點上線資訊!S1487,刷條碼區!F:F,0),1),"")</f>
        <v/>
      </c>
      <c r="AA1487" s="71" t="str">
        <f>IFERROR(INDEX(刷條碼區!D:G,MATCH(點上線資訊!S1487,刷條碼區!F:F,0),2),"")</f>
        <v/>
      </c>
      <c r="AB1487" s="20">
        <f t="shared" si="142"/>
        <v>0</v>
      </c>
      <c r="AC1487" s="20" t="b">
        <f t="shared" si="143"/>
        <v>0</v>
      </c>
      <c r="AD1487" s="17" t="b">
        <f t="shared" si="144"/>
        <v>0</v>
      </c>
      <c r="AE1487" s="17" t="b">
        <f t="shared" si="145"/>
        <v>0</v>
      </c>
    </row>
    <row r="1488" spans="17:31" x14ac:dyDescent="0.2">
      <c r="Q1488" s="17">
        <f>IFERROR(VLOOKUP(A1488,已除帳印單!B:C,1,0),0)*1</f>
        <v>0</v>
      </c>
      <c r="R1488" s="67" t="str">
        <f>IFERROR(VLOOKUP(J1488,線別!A:B,2,1),"")</f>
        <v/>
      </c>
      <c r="S1488" s="17" t="str">
        <f>IFERROR(VLOOKUP(A1488,已除帳印單!B:C,2,0),"")</f>
        <v/>
      </c>
      <c r="T1488" s="68" t="e">
        <f t="shared" si="140"/>
        <v>#VALUE!</v>
      </c>
      <c r="U1488" s="69">
        <f t="shared" si="141"/>
        <v>0</v>
      </c>
      <c r="V1488" s="68" t="str">
        <f>IFERROR(VLOOKUP(A1488,已除帳印單!B:D,3,0),"")</f>
        <v/>
      </c>
      <c r="W1488" s="69" t="str">
        <f>IFERROR(VLOOKUP(A1488,已除帳印單!B:E,4,0),"")</f>
        <v/>
      </c>
      <c r="X1488" s="68" t="str">
        <f>IFERROR(INDEX(刷條碼區!A:C,MATCH(點上線資訊!S1488,刷條碼區!C:C,0),1),"")</f>
        <v/>
      </c>
      <c r="Y1488" s="69" t="str">
        <f>IFERROR(INDEX(刷條碼區!A:C,MATCH(點上線資訊!S1488,刷條碼區!C:C,0),2),"")</f>
        <v/>
      </c>
      <c r="Z1488" s="70" t="str">
        <f>IFERROR(INDEX(刷條碼區!D:G,MATCH(點上線資訊!S1488,刷條碼區!F:F,0),1),"")</f>
        <v/>
      </c>
      <c r="AA1488" s="71" t="str">
        <f>IFERROR(INDEX(刷條碼區!D:G,MATCH(點上線資訊!S1488,刷條碼區!F:F,0),2),"")</f>
        <v/>
      </c>
      <c r="AB1488" s="20">
        <f t="shared" si="142"/>
        <v>0</v>
      </c>
      <c r="AC1488" s="20" t="b">
        <f t="shared" si="143"/>
        <v>0</v>
      </c>
      <c r="AD1488" s="17" t="b">
        <f t="shared" si="144"/>
        <v>0</v>
      </c>
      <c r="AE1488" s="17" t="b">
        <f t="shared" si="145"/>
        <v>0</v>
      </c>
    </row>
    <row r="1489" spans="17:31" x14ac:dyDescent="0.2">
      <c r="Q1489" s="17">
        <f>IFERROR(VLOOKUP(A1489,已除帳印單!B:C,1,0),0)*1</f>
        <v>0</v>
      </c>
      <c r="R1489" s="67" t="str">
        <f>IFERROR(VLOOKUP(J1489,線別!A:B,2,1),"")</f>
        <v/>
      </c>
      <c r="S1489" s="17" t="str">
        <f>IFERROR(VLOOKUP(A1489,已除帳印單!B:C,2,0),"")</f>
        <v/>
      </c>
      <c r="T1489" s="68" t="e">
        <f t="shared" si="140"/>
        <v>#VALUE!</v>
      </c>
      <c r="U1489" s="69">
        <f t="shared" si="141"/>
        <v>0</v>
      </c>
      <c r="V1489" s="68" t="str">
        <f>IFERROR(VLOOKUP(A1489,已除帳印單!B:D,3,0),"")</f>
        <v/>
      </c>
      <c r="W1489" s="69" t="str">
        <f>IFERROR(VLOOKUP(A1489,已除帳印單!B:E,4,0),"")</f>
        <v/>
      </c>
      <c r="X1489" s="68" t="str">
        <f>IFERROR(INDEX(刷條碼區!A:C,MATCH(點上線資訊!S1489,刷條碼區!C:C,0),1),"")</f>
        <v/>
      </c>
      <c r="Y1489" s="69" t="str">
        <f>IFERROR(INDEX(刷條碼區!A:C,MATCH(點上線資訊!S1489,刷條碼區!C:C,0),2),"")</f>
        <v/>
      </c>
      <c r="Z1489" s="70" t="str">
        <f>IFERROR(INDEX(刷條碼區!D:G,MATCH(點上線資訊!S1489,刷條碼區!F:F,0),1),"")</f>
        <v/>
      </c>
      <c r="AA1489" s="71" t="str">
        <f>IFERROR(INDEX(刷條碼區!D:G,MATCH(點上線資訊!S1489,刷條碼區!F:F,0),2),"")</f>
        <v/>
      </c>
      <c r="AB1489" s="20">
        <f t="shared" si="142"/>
        <v>0</v>
      </c>
      <c r="AC1489" s="20" t="b">
        <f t="shared" si="143"/>
        <v>0</v>
      </c>
      <c r="AD1489" s="17" t="b">
        <f t="shared" si="144"/>
        <v>0</v>
      </c>
      <c r="AE1489" s="17" t="b">
        <f t="shared" si="145"/>
        <v>0</v>
      </c>
    </row>
    <row r="1490" spans="17:31" x14ac:dyDescent="0.2">
      <c r="Q1490" s="17">
        <f>IFERROR(VLOOKUP(A1490,已除帳印單!B:C,1,0),0)*1</f>
        <v>0</v>
      </c>
      <c r="R1490" s="67" t="str">
        <f>IFERROR(VLOOKUP(J1490,線別!A:B,2,1),"")</f>
        <v/>
      </c>
      <c r="S1490" s="17" t="str">
        <f>IFERROR(VLOOKUP(A1490,已除帳印單!B:C,2,0),"")</f>
        <v/>
      </c>
      <c r="T1490" s="68" t="e">
        <f t="shared" si="140"/>
        <v>#VALUE!</v>
      </c>
      <c r="U1490" s="69">
        <f t="shared" si="141"/>
        <v>0</v>
      </c>
      <c r="V1490" s="68" t="str">
        <f>IFERROR(VLOOKUP(A1490,已除帳印單!B:D,3,0),"")</f>
        <v/>
      </c>
      <c r="W1490" s="69" t="str">
        <f>IFERROR(VLOOKUP(A1490,已除帳印單!B:E,4,0),"")</f>
        <v/>
      </c>
      <c r="X1490" s="68" t="str">
        <f>IFERROR(INDEX(刷條碼區!A:C,MATCH(點上線資訊!S1490,刷條碼區!C:C,0),1),"")</f>
        <v/>
      </c>
      <c r="Y1490" s="69" t="str">
        <f>IFERROR(INDEX(刷條碼區!A:C,MATCH(點上線資訊!S1490,刷條碼區!C:C,0),2),"")</f>
        <v/>
      </c>
      <c r="Z1490" s="70" t="str">
        <f>IFERROR(INDEX(刷條碼區!D:G,MATCH(點上線資訊!S1490,刷條碼區!F:F,0),1),"")</f>
        <v/>
      </c>
      <c r="AA1490" s="71" t="str">
        <f>IFERROR(INDEX(刷條碼區!D:G,MATCH(點上線資訊!S1490,刷條碼區!F:F,0),2),"")</f>
        <v/>
      </c>
      <c r="AB1490" s="20">
        <f t="shared" si="142"/>
        <v>0</v>
      </c>
      <c r="AC1490" s="20" t="b">
        <f t="shared" si="143"/>
        <v>0</v>
      </c>
      <c r="AD1490" s="17" t="b">
        <f t="shared" si="144"/>
        <v>0</v>
      </c>
      <c r="AE1490" s="17" t="b">
        <f t="shared" si="145"/>
        <v>0</v>
      </c>
    </row>
    <row r="1491" spans="17:31" x14ac:dyDescent="0.2">
      <c r="Q1491" s="17">
        <f>IFERROR(VLOOKUP(A1491,已除帳印單!B:C,1,0),0)*1</f>
        <v>0</v>
      </c>
      <c r="R1491" s="67" t="str">
        <f>IFERROR(VLOOKUP(J1491,線別!A:B,2,1),"")</f>
        <v/>
      </c>
      <c r="S1491" s="17" t="str">
        <f>IFERROR(VLOOKUP(A1491,已除帳印單!B:C,2,0),"")</f>
        <v/>
      </c>
      <c r="T1491" s="68" t="e">
        <f t="shared" si="140"/>
        <v>#VALUE!</v>
      </c>
      <c r="U1491" s="69">
        <f t="shared" si="141"/>
        <v>0</v>
      </c>
      <c r="V1491" s="68" t="str">
        <f>IFERROR(VLOOKUP(A1491,已除帳印單!B:D,3,0),"")</f>
        <v/>
      </c>
      <c r="W1491" s="69" t="str">
        <f>IFERROR(VLOOKUP(A1491,已除帳印單!B:E,4,0),"")</f>
        <v/>
      </c>
      <c r="X1491" s="68" t="str">
        <f>IFERROR(INDEX(刷條碼區!A:C,MATCH(點上線資訊!S1491,刷條碼區!C:C,0),1),"")</f>
        <v/>
      </c>
      <c r="Y1491" s="69" t="str">
        <f>IFERROR(INDEX(刷條碼區!A:C,MATCH(點上線資訊!S1491,刷條碼區!C:C,0),2),"")</f>
        <v/>
      </c>
      <c r="Z1491" s="70" t="str">
        <f>IFERROR(INDEX(刷條碼區!D:G,MATCH(點上線資訊!S1491,刷條碼區!F:F,0),1),"")</f>
        <v/>
      </c>
      <c r="AA1491" s="71" t="str">
        <f>IFERROR(INDEX(刷條碼區!D:G,MATCH(點上線資訊!S1491,刷條碼區!F:F,0),2),"")</f>
        <v/>
      </c>
      <c r="AB1491" s="20">
        <f t="shared" si="142"/>
        <v>0</v>
      </c>
      <c r="AC1491" s="20" t="b">
        <f t="shared" si="143"/>
        <v>0</v>
      </c>
      <c r="AD1491" s="17" t="b">
        <f t="shared" si="144"/>
        <v>0</v>
      </c>
      <c r="AE1491" s="17" t="b">
        <f t="shared" si="145"/>
        <v>0</v>
      </c>
    </row>
    <row r="1492" spans="17:31" x14ac:dyDescent="0.2">
      <c r="Q1492" s="17">
        <f>IFERROR(VLOOKUP(A1492,已除帳印單!B:C,1,0),0)*1</f>
        <v>0</v>
      </c>
      <c r="R1492" s="67" t="str">
        <f>IFERROR(VLOOKUP(J1492,線別!A:B,2,1),"")</f>
        <v/>
      </c>
      <c r="S1492" s="17" t="str">
        <f>IFERROR(VLOOKUP(A1492,已除帳印單!B:C,2,0),"")</f>
        <v/>
      </c>
      <c r="T1492" s="68" t="e">
        <f t="shared" si="140"/>
        <v>#VALUE!</v>
      </c>
      <c r="U1492" s="69">
        <f t="shared" si="141"/>
        <v>0</v>
      </c>
      <c r="V1492" s="68" t="str">
        <f>IFERROR(VLOOKUP(A1492,已除帳印單!B:D,3,0),"")</f>
        <v/>
      </c>
      <c r="W1492" s="69" t="str">
        <f>IFERROR(VLOOKUP(A1492,已除帳印單!B:E,4,0),"")</f>
        <v/>
      </c>
      <c r="X1492" s="68" t="str">
        <f>IFERROR(INDEX(刷條碼區!A:C,MATCH(點上線資訊!S1492,刷條碼區!C:C,0),1),"")</f>
        <v/>
      </c>
      <c r="Y1492" s="69" t="str">
        <f>IFERROR(INDEX(刷條碼區!A:C,MATCH(點上線資訊!S1492,刷條碼區!C:C,0),2),"")</f>
        <v/>
      </c>
      <c r="Z1492" s="70" t="str">
        <f>IFERROR(INDEX(刷條碼區!D:G,MATCH(點上線資訊!S1492,刷條碼區!F:F,0),1),"")</f>
        <v/>
      </c>
      <c r="AA1492" s="71" t="str">
        <f>IFERROR(INDEX(刷條碼區!D:G,MATCH(點上線資訊!S1492,刷條碼區!F:F,0),2),"")</f>
        <v/>
      </c>
      <c r="AB1492" s="20">
        <f t="shared" si="142"/>
        <v>0</v>
      </c>
      <c r="AC1492" s="20" t="b">
        <f t="shared" si="143"/>
        <v>0</v>
      </c>
      <c r="AD1492" s="17" t="b">
        <f t="shared" si="144"/>
        <v>0</v>
      </c>
      <c r="AE1492" s="17" t="b">
        <f t="shared" si="145"/>
        <v>0</v>
      </c>
    </row>
    <row r="1493" spans="17:31" x14ac:dyDescent="0.2">
      <c r="Q1493" s="17">
        <f>IFERROR(VLOOKUP(A1493,已除帳印單!B:C,1,0),0)*1</f>
        <v>0</v>
      </c>
      <c r="R1493" s="67" t="str">
        <f>IFERROR(VLOOKUP(J1493,線別!A:B,2,1),"")</f>
        <v/>
      </c>
      <c r="S1493" s="17" t="str">
        <f>IFERROR(VLOOKUP(A1493,已除帳印單!B:C,2,0),"")</f>
        <v/>
      </c>
      <c r="T1493" s="68" t="e">
        <f t="shared" si="140"/>
        <v>#VALUE!</v>
      </c>
      <c r="U1493" s="69">
        <f t="shared" si="141"/>
        <v>0</v>
      </c>
      <c r="V1493" s="68" t="str">
        <f>IFERROR(VLOOKUP(A1493,已除帳印單!B:D,3,0),"")</f>
        <v/>
      </c>
      <c r="W1493" s="69" t="str">
        <f>IFERROR(VLOOKUP(A1493,已除帳印單!B:E,4,0),"")</f>
        <v/>
      </c>
      <c r="X1493" s="68" t="str">
        <f>IFERROR(INDEX(刷條碼區!A:C,MATCH(點上線資訊!S1493,刷條碼區!C:C,0),1),"")</f>
        <v/>
      </c>
      <c r="Y1493" s="69" t="str">
        <f>IFERROR(INDEX(刷條碼區!A:C,MATCH(點上線資訊!S1493,刷條碼區!C:C,0),2),"")</f>
        <v/>
      </c>
      <c r="Z1493" s="70" t="str">
        <f>IFERROR(INDEX(刷條碼區!D:G,MATCH(點上線資訊!S1493,刷條碼區!F:F,0),1),"")</f>
        <v/>
      </c>
      <c r="AA1493" s="71" t="str">
        <f>IFERROR(INDEX(刷條碼區!D:G,MATCH(點上線資訊!S1493,刷條碼區!F:F,0),2),"")</f>
        <v/>
      </c>
      <c r="AB1493" s="20">
        <f t="shared" si="142"/>
        <v>0</v>
      </c>
      <c r="AC1493" s="20" t="b">
        <f t="shared" si="143"/>
        <v>0</v>
      </c>
      <c r="AD1493" s="17" t="b">
        <f t="shared" si="144"/>
        <v>0</v>
      </c>
      <c r="AE1493" s="17" t="b">
        <f t="shared" si="145"/>
        <v>0</v>
      </c>
    </row>
    <row r="1494" spans="17:31" x14ac:dyDescent="0.2">
      <c r="Q1494" s="17">
        <f>IFERROR(VLOOKUP(A1494,已除帳印單!B:C,1,0),0)*1</f>
        <v>0</v>
      </c>
      <c r="R1494" s="67" t="str">
        <f>IFERROR(VLOOKUP(J1494,線別!A:B,2,1),"")</f>
        <v/>
      </c>
      <c r="S1494" s="17" t="str">
        <f>IFERROR(VLOOKUP(A1494,已除帳印單!B:C,2,0),"")</f>
        <v/>
      </c>
      <c r="T1494" s="68" t="e">
        <f t="shared" si="140"/>
        <v>#VALUE!</v>
      </c>
      <c r="U1494" s="69">
        <f t="shared" si="141"/>
        <v>0</v>
      </c>
      <c r="V1494" s="68" t="str">
        <f>IFERROR(VLOOKUP(A1494,已除帳印單!B:D,3,0),"")</f>
        <v/>
      </c>
      <c r="W1494" s="69" t="str">
        <f>IFERROR(VLOOKUP(A1494,已除帳印單!B:E,4,0),"")</f>
        <v/>
      </c>
      <c r="X1494" s="68" t="str">
        <f>IFERROR(INDEX(刷條碼區!A:C,MATCH(點上線資訊!S1494,刷條碼區!C:C,0),1),"")</f>
        <v/>
      </c>
      <c r="Y1494" s="69" t="str">
        <f>IFERROR(INDEX(刷條碼區!A:C,MATCH(點上線資訊!S1494,刷條碼區!C:C,0),2),"")</f>
        <v/>
      </c>
      <c r="Z1494" s="70" t="str">
        <f>IFERROR(INDEX(刷條碼區!D:G,MATCH(點上線資訊!S1494,刷條碼區!F:F,0),1),"")</f>
        <v/>
      </c>
      <c r="AA1494" s="71" t="str">
        <f>IFERROR(INDEX(刷條碼區!D:G,MATCH(點上線資訊!S1494,刷條碼區!F:F,0),2),"")</f>
        <v/>
      </c>
      <c r="AB1494" s="20">
        <f t="shared" si="142"/>
        <v>0</v>
      </c>
      <c r="AC1494" s="20" t="b">
        <f t="shared" si="143"/>
        <v>0</v>
      </c>
      <c r="AD1494" s="17" t="b">
        <f t="shared" si="144"/>
        <v>0</v>
      </c>
      <c r="AE1494" s="17" t="b">
        <f t="shared" si="145"/>
        <v>0</v>
      </c>
    </row>
    <row r="1495" spans="17:31" x14ac:dyDescent="0.2">
      <c r="Q1495" s="17">
        <f>IFERROR(VLOOKUP(A1495,已除帳印單!B:C,1,0),0)*1</f>
        <v>0</v>
      </c>
      <c r="R1495" s="67" t="str">
        <f>IFERROR(VLOOKUP(J1495,線別!A:B,2,1),"")</f>
        <v/>
      </c>
      <c r="S1495" s="17" t="str">
        <f>IFERROR(VLOOKUP(A1495,已除帳印單!B:C,2,0),"")</f>
        <v/>
      </c>
      <c r="T1495" s="68" t="e">
        <f t="shared" si="140"/>
        <v>#VALUE!</v>
      </c>
      <c r="U1495" s="69">
        <f t="shared" si="141"/>
        <v>0</v>
      </c>
      <c r="V1495" s="68" t="str">
        <f>IFERROR(VLOOKUP(A1495,已除帳印單!B:D,3,0),"")</f>
        <v/>
      </c>
      <c r="W1495" s="69" t="str">
        <f>IFERROR(VLOOKUP(A1495,已除帳印單!B:E,4,0),"")</f>
        <v/>
      </c>
      <c r="X1495" s="68" t="str">
        <f>IFERROR(INDEX(刷條碼區!A:C,MATCH(點上線資訊!S1495,刷條碼區!C:C,0),1),"")</f>
        <v/>
      </c>
      <c r="Y1495" s="69" t="str">
        <f>IFERROR(INDEX(刷條碼區!A:C,MATCH(點上線資訊!S1495,刷條碼區!C:C,0),2),"")</f>
        <v/>
      </c>
      <c r="Z1495" s="70" t="str">
        <f>IFERROR(INDEX(刷條碼區!D:G,MATCH(點上線資訊!S1495,刷條碼區!F:F,0),1),"")</f>
        <v/>
      </c>
      <c r="AA1495" s="71" t="str">
        <f>IFERROR(INDEX(刷條碼區!D:G,MATCH(點上線資訊!S1495,刷條碼區!F:F,0),2),"")</f>
        <v/>
      </c>
      <c r="AB1495" s="20">
        <f t="shared" si="142"/>
        <v>0</v>
      </c>
      <c r="AC1495" s="20" t="b">
        <f t="shared" si="143"/>
        <v>0</v>
      </c>
      <c r="AD1495" s="17" t="b">
        <f t="shared" si="144"/>
        <v>0</v>
      </c>
      <c r="AE1495" s="17" t="b">
        <f t="shared" si="145"/>
        <v>0</v>
      </c>
    </row>
    <row r="1496" spans="17:31" x14ac:dyDescent="0.2">
      <c r="Q1496" s="17">
        <f>IFERROR(VLOOKUP(A1496,已除帳印單!B:C,1,0),0)*1</f>
        <v>0</v>
      </c>
      <c r="R1496" s="67" t="str">
        <f>IFERROR(VLOOKUP(J1496,線別!A:B,2,1),"")</f>
        <v/>
      </c>
      <c r="S1496" s="17" t="str">
        <f>IFERROR(VLOOKUP(A1496,已除帳印單!B:C,2,0),"")</f>
        <v/>
      </c>
      <c r="T1496" s="68" t="e">
        <f t="shared" si="140"/>
        <v>#VALUE!</v>
      </c>
      <c r="U1496" s="69">
        <f t="shared" si="141"/>
        <v>0</v>
      </c>
      <c r="V1496" s="68" t="str">
        <f>IFERROR(VLOOKUP(A1496,已除帳印單!B:D,3,0),"")</f>
        <v/>
      </c>
      <c r="W1496" s="69" t="str">
        <f>IFERROR(VLOOKUP(A1496,已除帳印單!B:E,4,0),"")</f>
        <v/>
      </c>
      <c r="X1496" s="68" t="str">
        <f>IFERROR(INDEX(刷條碼區!A:C,MATCH(點上線資訊!S1496,刷條碼區!C:C,0),1),"")</f>
        <v/>
      </c>
      <c r="Y1496" s="69" t="str">
        <f>IFERROR(INDEX(刷條碼區!A:C,MATCH(點上線資訊!S1496,刷條碼區!C:C,0),2),"")</f>
        <v/>
      </c>
      <c r="Z1496" s="70" t="str">
        <f>IFERROR(INDEX(刷條碼區!D:G,MATCH(點上線資訊!S1496,刷條碼區!F:F,0),1),"")</f>
        <v/>
      </c>
      <c r="AA1496" s="71" t="str">
        <f>IFERROR(INDEX(刷條碼區!D:G,MATCH(點上線資訊!S1496,刷條碼區!F:F,0),2),"")</f>
        <v/>
      </c>
      <c r="AB1496" s="20">
        <f t="shared" si="142"/>
        <v>0</v>
      </c>
      <c r="AC1496" s="20" t="b">
        <f t="shared" si="143"/>
        <v>0</v>
      </c>
      <c r="AD1496" s="17" t="b">
        <f t="shared" si="144"/>
        <v>0</v>
      </c>
      <c r="AE1496" s="17" t="b">
        <f t="shared" si="145"/>
        <v>0</v>
      </c>
    </row>
    <row r="1497" spans="17:31" x14ac:dyDescent="0.2">
      <c r="Q1497" s="17">
        <f>IFERROR(VLOOKUP(A1497,已除帳印單!B:C,1,0),0)*1</f>
        <v>0</v>
      </c>
      <c r="R1497" s="67" t="str">
        <f>IFERROR(VLOOKUP(J1497,線別!A:B,2,1),"")</f>
        <v/>
      </c>
      <c r="S1497" s="17" t="str">
        <f>IFERROR(VLOOKUP(A1497,已除帳印單!B:C,2,0),"")</f>
        <v/>
      </c>
      <c r="T1497" s="68" t="e">
        <f t="shared" si="140"/>
        <v>#VALUE!</v>
      </c>
      <c r="U1497" s="69">
        <f t="shared" si="141"/>
        <v>0</v>
      </c>
      <c r="V1497" s="68" t="str">
        <f>IFERROR(VLOOKUP(A1497,已除帳印單!B:D,3,0),"")</f>
        <v/>
      </c>
      <c r="W1497" s="69" t="str">
        <f>IFERROR(VLOOKUP(A1497,已除帳印單!B:E,4,0),"")</f>
        <v/>
      </c>
      <c r="X1497" s="68" t="str">
        <f>IFERROR(INDEX(刷條碼區!A:C,MATCH(點上線資訊!S1497,刷條碼區!C:C,0),1),"")</f>
        <v/>
      </c>
      <c r="Y1497" s="69" t="str">
        <f>IFERROR(INDEX(刷條碼區!A:C,MATCH(點上線資訊!S1497,刷條碼區!C:C,0),2),"")</f>
        <v/>
      </c>
      <c r="Z1497" s="70" t="str">
        <f>IFERROR(INDEX(刷條碼區!D:G,MATCH(點上線資訊!S1497,刷條碼區!F:F,0),1),"")</f>
        <v/>
      </c>
      <c r="AA1497" s="71" t="str">
        <f>IFERROR(INDEX(刷條碼區!D:G,MATCH(點上線資訊!S1497,刷條碼區!F:F,0),2),"")</f>
        <v/>
      </c>
      <c r="AB1497" s="20">
        <f t="shared" si="142"/>
        <v>0</v>
      </c>
      <c r="AC1497" s="20" t="b">
        <f t="shared" si="143"/>
        <v>0</v>
      </c>
      <c r="AD1497" s="17" t="b">
        <f t="shared" si="144"/>
        <v>0</v>
      </c>
      <c r="AE1497" s="17" t="b">
        <f t="shared" si="145"/>
        <v>0</v>
      </c>
    </row>
    <row r="1498" spans="17:31" x14ac:dyDescent="0.2">
      <c r="Q1498" s="17">
        <f>IFERROR(VLOOKUP(A1498,已除帳印單!B:C,1,0),0)*1</f>
        <v>0</v>
      </c>
      <c r="R1498" s="67" t="str">
        <f>IFERROR(VLOOKUP(J1498,線別!A:B,2,1),"")</f>
        <v/>
      </c>
      <c r="S1498" s="17" t="str">
        <f>IFERROR(VLOOKUP(A1498,已除帳印單!B:C,2,0),"")</f>
        <v/>
      </c>
      <c r="T1498" s="68" t="e">
        <f t="shared" si="140"/>
        <v>#VALUE!</v>
      </c>
      <c r="U1498" s="69">
        <f t="shared" si="141"/>
        <v>0</v>
      </c>
      <c r="V1498" s="68" t="str">
        <f>IFERROR(VLOOKUP(A1498,已除帳印單!B:D,3,0),"")</f>
        <v/>
      </c>
      <c r="W1498" s="69" t="str">
        <f>IFERROR(VLOOKUP(A1498,已除帳印單!B:E,4,0),"")</f>
        <v/>
      </c>
      <c r="X1498" s="68" t="str">
        <f>IFERROR(INDEX(刷條碼區!A:C,MATCH(點上線資訊!S1498,刷條碼區!C:C,0),1),"")</f>
        <v/>
      </c>
      <c r="Y1498" s="69" t="str">
        <f>IFERROR(INDEX(刷條碼區!A:C,MATCH(點上線資訊!S1498,刷條碼區!C:C,0),2),"")</f>
        <v/>
      </c>
      <c r="Z1498" s="70" t="str">
        <f>IFERROR(INDEX(刷條碼區!D:G,MATCH(點上線資訊!S1498,刷條碼區!F:F,0),1),"")</f>
        <v/>
      </c>
      <c r="AA1498" s="71" t="str">
        <f>IFERROR(INDEX(刷條碼區!D:G,MATCH(點上線資訊!S1498,刷條碼區!F:F,0),2),"")</f>
        <v/>
      </c>
      <c r="AB1498" s="20">
        <f t="shared" si="142"/>
        <v>0</v>
      </c>
      <c r="AC1498" s="20" t="b">
        <f t="shared" si="143"/>
        <v>0</v>
      </c>
      <c r="AD1498" s="17" t="b">
        <f t="shared" si="144"/>
        <v>0</v>
      </c>
      <c r="AE1498" s="17" t="b">
        <f t="shared" si="145"/>
        <v>0</v>
      </c>
    </row>
    <row r="1499" spans="17:31" x14ac:dyDescent="0.2">
      <c r="Q1499" s="17">
        <f>IFERROR(VLOOKUP(A1499,已除帳印單!B:C,1,0),0)*1</f>
        <v>0</v>
      </c>
      <c r="R1499" s="67" t="str">
        <f>IFERROR(VLOOKUP(J1499,線別!A:B,2,1),"")</f>
        <v/>
      </c>
      <c r="S1499" s="17" t="str">
        <f>IFERROR(VLOOKUP(A1499,已除帳印單!B:C,2,0),"")</f>
        <v/>
      </c>
      <c r="T1499" s="68" t="e">
        <f t="shared" si="140"/>
        <v>#VALUE!</v>
      </c>
      <c r="U1499" s="69">
        <f t="shared" si="141"/>
        <v>0</v>
      </c>
      <c r="V1499" s="68" t="str">
        <f>IFERROR(VLOOKUP(A1499,已除帳印單!B:D,3,0),"")</f>
        <v/>
      </c>
      <c r="W1499" s="69" t="str">
        <f>IFERROR(VLOOKUP(A1499,已除帳印單!B:E,4,0),"")</f>
        <v/>
      </c>
      <c r="X1499" s="68" t="str">
        <f>IFERROR(INDEX(刷條碼區!A:C,MATCH(點上線資訊!S1499,刷條碼區!C:C,0),1),"")</f>
        <v/>
      </c>
      <c r="Y1499" s="69" t="str">
        <f>IFERROR(INDEX(刷條碼區!A:C,MATCH(點上線資訊!S1499,刷條碼區!C:C,0),2),"")</f>
        <v/>
      </c>
      <c r="Z1499" s="70" t="str">
        <f>IFERROR(INDEX(刷條碼區!D:G,MATCH(點上線資訊!S1499,刷條碼區!F:F,0),1),"")</f>
        <v/>
      </c>
      <c r="AA1499" s="71" t="str">
        <f>IFERROR(INDEX(刷條碼區!D:G,MATCH(點上線資訊!S1499,刷條碼區!F:F,0),2),"")</f>
        <v/>
      </c>
      <c r="AB1499" s="20">
        <f t="shared" si="142"/>
        <v>0</v>
      </c>
      <c r="AC1499" s="20" t="b">
        <f t="shared" si="143"/>
        <v>0</v>
      </c>
      <c r="AD1499" s="17" t="b">
        <f t="shared" si="144"/>
        <v>0</v>
      </c>
      <c r="AE1499" s="17" t="b">
        <f t="shared" si="145"/>
        <v>0</v>
      </c>
    </row>
    <row r="1500" spans="17:31" x14ac:dyDescent="0.2">
      <c r="Q1500" s="17">
        <f>IFERROR(VLOOKUP(A1500,已除帳印單!B:C,1,0),0)*1</f>
        <v>0</v>
      </c>
      <c r="R1500" s="67" t="str">
        <f>IFERROR(VLOOKUP(J1500,線別!A:B,2,1),"")</f>
        <v/>
      </c>
      <c r="S1500" s="17" t="str">
        <f>IFERROR(VLOOKUP(A1500,已除帳印單!B:C,2,0),"")</f>
        <v/>
      </c>
      <c r="T1500" s="68" t="e">
        <f t="shared" si="140"/>
        <v>#VALUE!</v>
      </c>
      <c r="U1500" s="69">
        <f t="shared" si="141"/>
        <v>0</v>
      </c>
      <c r="V1500" s="68" t="str">
        <f>IFERROR(VLOOKUP(A1500,已除帳印單!B:D,3,0),"")</f>
        <v/>
      </c>
      <c r="W1500" s="69" t="str">
        <f>IFERROR(VLOOKUP(A1500,已除帳印單!B:E,4,0),"")</f>
        <v/>
      </c>
      <c r="X1500" s="68" t="str">
        <f>IFERROR(INDEX(刷條碼區!A:C,MATCH(點上線資訊!S1500,刷條碼區!C:C,0),1),"")</f>
        <v/>
      </c>
      <c r="Y1500" s="69" t="str">
        <f>IFERROR(INDEX(刷條碼區!A:C,MATCH(點上線資訊!S1500,刷條碼區!C:C,0),2),"")</f>
        <v/>
      </c>
      <c r="Z1500" s="70" t="str">
        <f>IFERROR(INDEX(刷條碼區!D:G,MATCH(點上線資訊!S1500,刷條碼區!F:F,0),1),"")</f>
        <v/>
      </c>
      <c r="AA1500" s="71" t="str">
        <f>IFERROR(INDEX(刷條碼區!D:G,MATCH(點上線資訊!S1500,刷條碼區!F:F,0),2),"")</f>
        <v/>
      </c>
      <c r="AB1500" s="20">
        <f t="shared" si="142"/>
        <v>0</v>
      </c>
      <c r="AC1500" s="20" t="b">
        <f t="shared" si="143"/>
        <v>0</v>
      </c>
      <c r="AD1500" s="17" t="b">
        <f t="shared" si="144"/>
        <v>0</v>
      </c>
      <c r="AE1500" s="17" t="b">
        <f t="shared" si="145"/>
        <v>0</v>
      </c>
    </row>
    <row r="1501" spans="17:31" x14ac:dyDescent="0.2">
      <c r="Q1501" s="17">
        <f>IFERROR(VLOOKUP(A1501,已除帳印單!B:C,1,0),0)*1</f>
        <v>0</v>
      </c>
      <c r="R1501" s="67" t="str">
        <f>IFERROR(VLOOKUP(J1501,線別!A:B,2,1),"")</f>
        <v/>
      </c>
      <c r="S1501" s="17" t="str">
        <f>IFERROR(VLOOKUP(A1501,已除帳印單!B:C,2,0),"")</f>
        <v/>
      </c>
      <c r="T1501" s="68" t="e">
        <f t="shared" si="140"/>
        <v>#VALUE!</v>
      </c>
      <c r="U1501" s="69">
        <f t="shared" si="141"/>
        <v>0</v>
      </c>
      <c r="V1501" s="68" t="str">
        <f>IFERROR(VLOOKUP(A1501,已除帳印單!B:D,3,0),"")</f>
        <v/>
      </c>
      <c r="W1501" s="69" t="str">
        <f>IFERROR(VLOOKUP(A1501,已除帳印單!B:E,4,0),"")</f>
        <v/>
      </c>
      <c r="X1501" s="68" t="str">
        <f>IFERROR(INDEX(刷條碼區!A:C,MATCH(點上線資訊!S1501,刷條碼區!C:C,0),1),"")</f>
        <v/>
      </c>
      <c r="Y1501" s="69" t="str">
        <f>IFERROR(INDEX(刷條碼區!A:C,MATCH(點上線資訊!S1501,刷條碼區!C:C,0),2),"")</f>
        <v/>
      </c>
      <c r="Z1501" s="70" t="str">
        <f>IFERROR(INDEX(刷條碼區!D:G,MATCH(點上線資訊!S1501,刷條碼區!F:F,0),1),"")</f>
        <v/>
      </c>
      <c r="AA1501" s="71" t="str">
        <f>IFERROR(INDEX(刷條碼區!D:G,MATCH(點上線資訊!S1501,刷條碼區!F:F,0),2),"")</f>
        <v/>
      </c>
      <c r="AB1501" s="20">
        <f t="shared" si="142"/>
        <v>0</v>
      </c>
      <c r="AC1501" s="20" t="b">
        <f t="shared" si="143"/>
        <v>0</v>
      </c>
      <c r="AD1501" s="17" t="b">
        <f t="shared" si="144"/>
        <v>0</v>
      </c>
      <c r="AE1501" s="17" t="b">
        <f t="shared" si="145"/>
        <v>0</v>
      </c>
    </row>
    <row r="1502" spans="17:31" x14ac:dyDescent="0.2">
      <c r="Q1502" s="17">
        <f>IFERROR(VLOOKUP(A1502,已除帳印單!B:C,1,0),0)*1</f>
        <v>0</v>
      </c>
      <c r="R1502" s="67" t="str">
        <f>IFERROR(VLOOKUP(J1502,線別!A:B,2,1),"")</f>
        <v/>
      </c>
      <c r="S1502" s="17" t="str">
        <f>IFERROR(VLOOKUP(A1502,已除帳印單!B:C,2,0),"")</f>
        <v/>
      </c>
      <c r="T1502" s="68" t="e">
        <f t="shared" si="140"/>
        <v>#VALUE!</v>
      </c>
      <c r="U1502" s="69">
        <f t="shared" si="141"/>
        <v>0</v>
      </c>
      <c r="V1502" s="68" t="str">
        <f>IFERROR(VLOOKUP(A1502,已除帳印單!B:D,3,0),"")</f>
        <v/>
      </c>
      <c r="W1502" s="69" t="str">
        <f>IFERROR(VLOOKUP(A1502,已除帳印單!B:E,4,0),"")</f>
        <v/>
      </c>
      <c r="X1502" s="68" t="str">
        <f>IFERROR(INDEX(刷條碼區!A:C,MATCH(點上線資訊!S1502,刷條碼區!C:C,0),1),"")</f>
        <v/>
      </c>
      <c r="Y1502" s="69" t="str">
        <f>IFERROR(INDEX(刷條碼區!A:C,MATCH(點上線資訊!S1502,刷條碼區!C:C,0),2),"")</f>
        <v/>
      </c>
      <c r="Z1502" s="70" t="str">
        <f>IFERROR(INDEX(刷條碼區!D:G,MATCH(點上線資訊!S1502,刷條碼區!F:F,0),1),"")</f>
        <v/>
      </c>
      <c r="AA1502" s="71" t="str">
        <f>IFERROR(INDEX(刷條碼區!D:G,MATCH(點上線資訊!S1502,刷條碼區!F:F,0),2),"")</f>
        <v/>
      </c>
      <c r="AB1502" s="20">
        <f t="shared" si="142"/>
        <v>0</v>
      </c>
      <c r="AC1502" s="20" t="b">
        <f t="shared" si="143"/>
        <v>0</v>
      </c>
      <c r="AD1502" s="17" t="b">
        <f t="shared" si="144"/>
        <v>0</v>
      </c>
      <c r="AE1502" s="17" t="b">
        <f t="shared" si="145"/>
        <v>0</v>
      </c>
    </row>
    <row r="1503" spans="17:31" x14ac:dyDescent="0.2">
      <c r="Q1503" s="17">
        <f>IFERROR(VLOOKUP(A1503,已除帳印單!B:C,1,0),0)*1</f>
        <v>0</v>
      </c>
      <c r="R1503" s="67" t="str">
        <f>IFERROR(VLOOKUP(J1503,線別!A:B,2,1),"")</f>
        <v/>
      </c>
      <c r="S1503" s="17" t="str">
        <f>IFERROR(VLOOKUP(A1503,已除帳印單!B:C,2,0),"")</f>
        <v/>
      </c>
      <c r="T1503" s="68" t="e">
        <f t="shared" si="140"/>
        <v>#VALUE!</v>
      </c>
      <c r="U1503" s="69">
        <f t="shared" si="141"/>
        <v>0</v>
      </c>
      <c r="V1503" s="68" t="str">
        <f>IFERROR(VLOOKUP(A1503,已除帳印單!B:D,3,0),"")</f>
        <v/>
      </c>
      <c r="W1503" s="69" t="str">
        <f>IFERROR(VLOOKUP(A1503,已除帳印單!B:E,4,0),"")</f>
        <v/>
      </c>
      <c r="X1503" s="68" t="str">
        <f>IFERROR(INDEX(刷條碼區!A:C,MATCH(點上線資訊!S1503,刷條碼區!C:C,0),1),"")</f>
        <v/>
      </c>
      <c r="Y1503" s="69" t="str">
        <f>IFERROR(INDEX(刷條碼區!A:C,MATCH(點上線資訊!S1503,刷條碼區!C:C,0),2),"")</f>
        <v/>
      </c>
      <c r="Z1503" s="70" t="str">
        <f>IFERROR(INDEX(刷條碼區!D:G,MATCH(點上線資訊!S1503,刷條碼區!F:F,0),1),"")</f>
        <v/>
      </c>
      <c r="AA1503" s="71" t="str">
        <f>IFERROR(INDEX(刷條碼區!D:G,MATCH(點上線資訊!S1503,刷條碼區!F:F,0),2),"")</f>
        <v/>
      </c>
      <c r="AB1503" s="20">
        <f t="shared" si="142"/>
        <v>0</v>
      </c>
      <c r="AC1503" s="20" t="b">
        <f t="shared" si="143"/>
        <v>0</v>
      </c>
      <c r="AD1503" s="17" t="b">
        <f t="shared" si="144"/>
        <v>0</v>
      </c>
      <c r="AE1503" s="17" t="b">
        <f t="shared" si="145"/>
        <v>0</v>
      </c>
    </row>
    <row r="1504" spans="17:31" x14ac:dyDescent="0.2">
      <c r="Q1504" s="17">
        <f>IFERROR(VLOOKUP(A1504,已除帳印單!B:C,1,0),0)*1</f>
        <v>0</v>
      </c>
      <c r="R1504" s="67" t="str">
        <f>IFERROR(VLOOKUP(J1504,線別!A:B,2,1),"")</f>
        <v/>
      </c>
      <c r="S1504" s="17" t="str">
        <f>IFERROR(VLOOKUP(A1504,已除帳印單!B:C,2,0),"")</f>
        <v/>
      </c>
      <c r="T1504" s="68" t="e">
        <f t="shared" si="140"/>
        <v>#VALUE!</v>
      </c>
      <c r="U1504" s="69">
        <f t="shared" si="141"/>
        <v>0</v>
      </c>
      <c r="V1504" s="68" t="str">
        <f>IFERROR(VLOOKUP(A1504,已除帳印單!B:D,3,0),"")</f>
        <v/>
      </c>
      <c r="W1504" s="69" t="str">
        <f>IFERROR(VLOOKUP(A1504,已除帳印單!B:E,4,0),"")</f>
        <v/>
      </c>
      <c r="X1504" s="68" t="str">
        <f>IFERROR(INDEX(刷條碼區!A:C,MATCH(點上線資訊!S1504,刷條碼區!C:C,0),1),"")</f>
        <v/>
      </c>
      <c r="Y1504" s="69" t="str">
        <f>IFERROR(INDEX(刷條碼區!A:C,MATCH(點上線資訊!S1504,刷條碼區!C:C,0),2),"")</f>
        <v/>
      </c>
      <c r="Z1504" s="70" t="str">
        <f>IFERROR(INDEX(刷條碼區!D:G,MATCH(點上線資訊!S1504,刷條碼區!F:F,0),1),"")</f>
        <v/>
      </c>
      <c r="AA1504" s="71" t="str">
        <f>IFERROR(INDEX(刷條碼區!D:G,MATCH(點上線資訊!S1504,刷條碼區!F:F,0),2),"")</f>
        <v/>
      </c>
      <c r="AB1504" s="20">
        <f t="shared" si="142"/>
        <v>0</v>
      </c>
      <c r="AC1504" s="20" t="b">
        <f t="shared" si="143"/>
        <v>0</v>
      </c>
      <c r="AD1504" s="17" t="b">
        <f t="shared" si="144"/>
        <v>0</v>
      </c>
      <c r="AE1504" s="17" t="b">
        <f t="shared" si="145"/>
        <v>0</v>
      </c>
    </row>
    <row r="1505" spans="17:31" x14ac:dyDescent="0.2">
      <c r="Q1505" s="17">
        <f>IFERROR(VLOOKUP(A1505,已除帳印單!B:C,1,0),0)*1</f>
        <v>0</v>
      </c>
      <c r="R1505" s="67" t="str">
        <f>IFERROR(VLOOKUP(J1505,線別!A:B,2,1),"")</f>
        <v/>
      </c>
      <c r="S1505" s="17" t="str">
        <f>IFERROR(VLOOKUP(A1505,已除帳印單!B:C,2,0),"")</f>
        <v/>
      </c>
      <c r="T1505" s="68" t="e">
        <f t="shared" si="140"/>
        <v>#VALUE!</v>
      </c>
      <c r="U1505" s="69">
        <f t="shared" si="141"/>
        <v>0</v>
      </c>
      <c r="V1505" s="68" t="str">
        <f>IFERROR(VLOOKUP(A1505,已除帳印單!B:D,3,0),"")</f>
        <v/>
      </c>
      <c r="W1505" s="69" t="str">
        <f>IFERROR(VLOOKUP(A1505,已除帳印單!B:E,4,0),"")</f>
        <v/>
      </c>
      <c r="X1505" s="68" t="str">
        <f>IFERROR(INDEX(刷條碼區!A:C,MATCH(點上線資訊!S1505,刷條碼區!C:C,0),1),"")</f>
        <v/>
      </c>
      <c r="Y1505" s="69" t="str">
        <f>IFERROR(INDEX(刷條碼區!A:C,MATCH(點上線資訊!S1505,刷條碼區!C:C,0),2),"")</f>
        <v/>
      </c>
      <c r="Z1505" s="70" t="str">
        <f>IFERROR(INDEX(刷條碼區!D:G,MATCH(點上線資訊!S1505,刷條碼區!F:F,0),1),"")</f>
        <v/>
      </c>
      <c r="AA1505" s="71" t="str">
        <f>IFERROR(INDEX(刷條碼區!D:G,MATCH(點上線資訊!S1505,刷條碼區!F:F,0),2),"")</f>
        <v/>
      </c>
      <c r="AB1505" s="20">
        <f t="shared" si="142"/>
        <v>0</v>
      </c>
      <c r="AC1505" s="20" t="b">
        <f t="shared" si="143"/>
        <v>0</v>
      </c>
      <c r="AD1505" s="17" t="b">
        <f t="shared" si="144"/>
        <v>0</v>
      </c>
      <c r="AE1505" s="17" t="b">
        <f t="shared" si="145"/>
        <v>0</v>
      </c>
    </row>
    <row r="1506" spans="17:31" x14ac:dyDescent="0.2">
      <c r="Q1506" s="17">
        <f>IFERROR(VLOOKUP(A1506,已除帳印單!B:C,1,0),0)*1</f>
        <v>0</v>
      </c>
      <c r="R1506" s="67" t="str">
        <f>IFERROR(VLOOKUP(J1506,線別!A:B,2,1),"")</f>
        <v/>
      </c>
      <c r="S1506" s="17" t="str">
        <f>IFERROR(VLOOKUP(A1506,已除帳印單!B:C,2,0),"")</f>
        <v/>
      </c>
      <c r="T1506" s="68" t="e">
        <f t="shared" si="140"/>
        <v>#VALUE!</v>
      </c>
      <c r="U1506" s="69">
        <f t="shared" si="141"/>
        <v>0</v>
      </c>
      <c r="V1506" s="68" t="str">
        <f>IFERROR(VLOOKUP(A1506,已除帳印單!B:D,3,0),"")</f>
        <v/>
      </c>
      <c r="W1506" s="69" t="str">
        <f>IFERROR(VLOOKUP(A1506,已除帳印單!B:E,4,0),"")</f>
        <v/>
      </c>
      <c r="X1506" s="68" t="str">
        <f>IFERROR(INDEX(刷條碼區!A:C,MATCH(點上線資訊!S1506,刷條碼區!C:C,0),1),"")</f>
        <v/>
      </c>
      <c r="Y1506" s="69" t="str">
        <f>IFERROR(INDEX(刷條碼區!A:C,MATCH(點上線資訊!S1506,刷條碼區!C:C,0),2),"")</f>
        <v/>
      </c>
      <c r="Z1506" s="70" t="str">
        <f>IFERROR(INDEX(刷條碼區!D:G,MATCH(點上線資訊!S1506,刷條碼區!F:F,0),1),"")</f>
        <v/>
      </c>
      <c r="AA1506" s="71" t="str">
        <f>IFERROR(INDEX(刷條碼區!D:G,MATCH(點上線資訊!S1506,刷條碼區!F:F,0),2),"")</f>
        <v/>
      </c>
      <c r="AB1506" s="20">
        <f t="shared" si="142"/>
        <v>0</v>
      </c>
      <c r="AC1506" s="20" t="b">
        <f t="shared" si="143"/>
        <v>0</v>
      </c>
      <c r="AD1506" s="17" t="b">
        <f t="shared" si="144"/>
        <v>0</v>
      </c>
      <c r="AE1506" s="17" t="b">
        <f t="shared" si="145"/>
        <v>0</v>
      </c>
    </row>
    <row r="1507" spans="17:31" x14ac:dyDescent="0.2">
      <c r="Q1507" s="17">
        <f>IFERROR(VLOOKUP(A1507,已除帳印單!B:C,1,0),0)*1</f>
        <v>0</v>
      </c>
      <c r="R1507" s="67" t="str">
        <f>IFERROR(VLOOKUP(J1507,線別!A:B,2,1),"")</f>
        <v/>
      </c>
      <c r="S1507" s="17" t="str">
        <f>IFERROR(VLOOKUP(A1507,已除帳印單!B:C,2,0),"")</f>
        <v/>
      </c>
      <c r="T1507" s="68" t="e">
        <f t="shared" si="140"/>
        <v>#VALUE!</v>
      </c>
      <c r="U1507" s="69">
        <f t="shared" si="141"/>
        <v>0</v>
      </c>
      <c r="V1507" s="68" t="str">
        <f>IFERROR(VLOOKUP(A1507,已除帳印單!B:D,3,0),"")</f>
        <v/>
      </c>
      <c r="W1507" s="69" t="str">
        <f>IFERROR(VLOOKUP(A1507,已除帳印單!B:E,4,0),"")</f>
        <v/>
      </c>
      <c r="X1507" s="68" t="str">
        <f>IFERROR(INDEX(刷條碼區!A:C,MATCH(點上線資訊!S1507,刷條碼區!C:C,0),1),"")</f>
        <v/>
      </c>
      <c r="Y1507" s="69" t="str">
        <f>IFERROR(INDEX(刷條碼區!A:C,MATCH(點上線資訊!S1507,刷條碼區!C:C,0),2),"")</f>
        <v/>
      </c>
      <c r="Z1507" s="70" t="str">
        <f>IFERROR(INDEX(刷條碼區!D:G,MATCH(點上線資訊!S1507,刷條碼區!F:F,0),1),"")</f>
        <v/>
      </c>
      <c r="AA1507" s="71" t="str">
        <f>IFERROR(INDEX(刷條碼區!D:G,MATCH(點上線資訊!S1507,刷條碼區!F:F,0),2),"")</f>
        <v/>
      </c>
      <c r="AB1507" s="20">
        <f t="shared" si="142"/>
        <v>0</v>
      </c>
      <c r="AC1507" s="20" t="b">
        <f t="shared" si="143"/>
        <v>0</v>
      </c>
      <c r="AD1507" s="17" t="b">
        <f t="shared" si="144"/>
        <v>0</v>
      </c>
      <c r="AE1507" s="17" t="b">
        <f t="shared" si="145"/>
        <v>0</v>
      </c>
    </row>
    <row r="1508" spans="17:31" x14ac:dyDescent="0.2">
      <c r="Q1508" s="17">
        <f>IFERROR(VLOOKUP(A1508,已除帳印單!B:C,1,0),0)*1</f>
        <v>0</v>
      </c>
      <c r="R1508" s="67" t="str">
        <f>IFERROR(VLOOKUP(J1508,線別!A:B,2,1),"")</f>
        <v/>
      </c>
      <c r="S1508" s="17" t="str">
        <f>IFERROR(VLOOKUP(A1508,已除帳印單!B:C,2,0),"")</f>
        <v/>
      </c>
      <c r="T1508" s="68" t="e">
        <f t="shared" si="140"/>
        <v>#VALUE!</v>
      </c>
      <c r="U1508" s="69">
        <f t="shared" si="141"/>
        <v>0</v>
      </c>
      <c r="V1508" s="68" t="str">
        <f>IFERROR(VLOOKUP(A1508,已除帳印單!B:D,3,0),"")</f>
        <v/>
      </c>
      <c r="W1508" s="69" t="str">
        <f>IFERROR(VLOOKUP(A1508,已除帳印單!B:E,4,0),"")</f>
        <v/>
      </c>
      <c r="X1508" s="68" t="str">
        <f>IFERROR(INDEX(刷條碼區!A:C,MATCH(點上線資訊!S1508,刷條碼區!C:C,0),1),"")</f>
        <v/>
      </c>
      <c r="Y1508" s="69" t="str">
        <f>IFERROR(INDEX(刷條碼區!A:C,MATCH(點上線資訊!S1508,刷條碼區!C:C,0),2),"")</f>
        <v/>
      </c>
      <c r="Z1508" s="70" t="str">
        <f>IFERROR(INDEX(刷條碼區!D:G,MATCH(點上線資訊!S1508,刷條碼區!F:F,0),1),"")</f>
        <v/>
      </c>
      <c r="AA1508" s="71" t="str">
        <f>IFERROR(INDEX(刷條碼區!D:G,MATCH(點上線資訊!S1508,刷條碼區!F:F,0),2),"")</f>
        <v/>
      </c>
      <c r="AB1508" s="20">
        <f t="shared" si="142"/>
        <v>0</v>
      </c>
      <c r="AC1508" s="20" t="b">
        <f t="shared" si="143"/>
        <v>0</v>
      </c>
      <c r="AD1508" s="17" t="b">
        <f t="shared" si="144"/>
        <v>0</v>
      </c>
      <c r="AE1508" s="17" t="b">
        <f t="shared" si="145"/>
        <v>0</v>
      </c>
    </row>
    <row r="1509" spans="17:31" x14ac:dyDescent="0.2">
      <c r="Q1509" s="17">
        <f>IFERROR(VLOOKUP(A1509,已除帳印單!B:C,1,0),0)*1</f>
        <v>0</v>
      </c>
      <c r="R1509" s="67" t="str">
        <f>IFERROR(VLOOKUP(J1509,線別!A:B,2,1),"")</f>
        <v/>
      </c>
      <c r="S1509" s="17" t="str">
        <f>IFERROR(VLOOKUP(A1509,已除帳印單!B:C,2,0),"")</f>
        <v/>
      </c>
      <c r="T1509" s="68" t="e">
        <f t="shared" si="140"/>
        <v>#VALUE!</v>
      </c>
      <c r="U1509" s="69">
        <f t="shared" si="141"/>
        <v>0</v>
      </c>
      <c r="V1509" s="68" t="str">
        <f>IFERROR(VLOOKUP(A1509,已除帳印單!B:D,3,0),"")</f>
        <v/>
      </c>
      <c r="W1509" s="69" t="str">
        <f>IFERROR(VLOOKUP(A1509,已除帳印單!B:E,4,0),"")</f>
        <v/>
      </c>
      <c r="X1509" s="68" t="str">
        <f>IFERROR(INDEX(刷條碼區!A:C,MATCH(點上線資訊!S1509,刷條碼區!C:C,0),1),"")</f>
        <v/>
      </c>
      <c r="Y1509" s="69" t="str">
        <f>IFERROR(INDEX(刷條碼區!A:C,MATCH(點上線資訊!S1509,刷條碼區!C:C,0),2),"")</f>
        <v/>
      </c>
      <c r="Z1509" s="70" t="str">
        <f>IFERROR(INDEX(刷條碼區!D:G,MATCH(點上線資訊!S1509,刷條碼區!F:F,0),1),"")</f>
        <v/>
      </c>
      <c r="AA1509" s="71" t="str">
        <f>IFERROR(INDEX(刷條碼區!D:G,MATCH(點上線資訊!S1509,刷條碼區!F:F,0),2),"")</f>
        <v/>
      </c>
      <c r="AB1509" s="20">
        <f t="shared" si="142"/>
        <v>0</v>
      </c>
      <c r="AC1509" s="20" t="b">
        <f t="shared" si="143"/>
        <v>0</v>
      </c>
      <c r="AD1509" s="17" t="b">
        <f t="shared" si="144"/>
        <v>0</v>
      </c>
      <c r="AE1509" s="17" t="b">
        <f t="shared" si="145"/>
        <v>0</v>
      </c>
    </row>
    <row r="1510" spans="17:31" x14ac:dyDescent="0.2">
      <c r="Q1510" s="17">
        <f>IFERROR(VLOOKUP(A1510,已除帳印單!B:C,1,0),0)*1</f>
        <v>0</v>
      </c>
      <c r="R1510" s="67" t="str">
        <f>IFERROR(VLOOKUP(J1510,線別!A:B,2,1),"")</f>
        <v/>
      </c>
      <c r="S1510" s="17" t="str">
        <f>IFERROR(VLOOKUP(A1510,已除帳印單!B:C,2,0),"")</f>
        <v/>
      </c>
      <c r="T1510" s="68" t="e">
        <f t="shared" si="140"/>
        <v>#VALUE!</v>
      </c>
      <c r="U1510" s="69">
        <f t="shared" si="141"/>
        <v>0</v>
      </c>
      <c r="V1510" s="68" t="str">
        <f>IFERROR(VLOOKUP(A1510,已除帳印單!B:D,3,0),"")</f>
        <v/>
      </c>
      <c r="W1510" s="69" t="str">
        <f>IFERROR(VLOOKUP(A1510,已除帳印單!B:E,4,0),"")</f>
        <v/>
      </c>
      <c r="X1510" s="68" t="str">
        <f>IFERROR(INDEX(刷條碼區!A:C,MATCH(點上線資訊!S1510,刷條碼區!C:C,0),1),"")</f>
        <v/>
      </c>
      <c r="Y1510" s="69" t="str">
        <f>IFERROR(INDEX(刷條碼區!A:C,MATCH(點上線資訊!S1510,刷條碼區!C:C,0),2),"")</f>
        <v/>
      </c>
      <c r="Z1510" s="70" t="str">
        <f>IFERROR(INDEX(刷條碼區!D:G,MATCH(點上線資訊!S1510,刷條碼區!F:F,0),1),"")</f>
        <v/>
      </c>
      <c r="AA1510" s="71" t="str">
        <f>IFERROR(INDEX(刷條碼區!D:G,MATCH(點上線資訊!S1510,刷條碼區!F:F,0),2),"")</f>
        <v/>
      </c>
      <c r="AB1510" s="20">
        <f t="shared" si="142"/>
        <v>0</v>
      </c>
      <c r="AC1510" s="20" t="b">
        <f t="shared" si="143"/>
        <v>0</v>
      </c>
      <c r="AD1510" s="17" t="b">
        <f t="shared" si="144"/>
        <v>0</v>
      </c>
      <c r="AE1510" s="17" t="b">
        <f t="shared" si="145"/>
        <v>0</v>
      </c>
    </row>
    <row r="1511" spans="17:31" x14ac:dyDescent="0.2">
      <c r="Q1511" s="17">
        <f>IFERROR(VLOOKUP(A1511,已除帳印單!B:C,1,0),0)*1</f>
        <v>0</v>
      </c>
      <c r="R1511" s="67" t="str">
        <f>IFERROR(VLOOKUP(J1511,線別!A:B,2,1),"")</f>
        <v/>
      </c>
      <c r="S1511" s="17" t="str">
        <f>IFERROR(VLOOKUP(A1511,已除帳印單!B:C,2,0),"")</f>
        <v/>
      </c>
      <c r="T1511" s="68" t="e">
        <f t="shared" si="140"/>
        <v>#VALUE!</v>
      </c>
      <c r="U1511" s="69">
        <f t="shared" si="141"/>
        <v>0</v>
      </c>
      <c r="V1511" s="68" t="str">
        <f>IFERROR(VLOOKUP(A1511,已除帳印單!B:D,3,0),"")</f>
        <v/>
      </c>
      <c r="W1511" s="69" t="str">
        <f>IFERROR(VLOOKUP(A1511,已除帳印單!B:E,4,0),"")</f>
        <v/>
      </c>
      <c r="X1511" s="68" t="str">
        <f>IFERROR(INDEX(刷條碼區!A:C,MATCH(點上線資訊!S1511,刷條碼區!C:C,0),1),"")</f>
        <v/>
      </c>
      <c r="Y1511" s="69" t="str">
        <f>IFERROR(INDEX(刷條碼區!A:C,MATCH(點上線資訊!S1511,刷條碼區!C:C,0),2),"")</f>
        <v/>
      </c>
      <c r="Z1511" s="70" t="str">
        <f>IFERROR(INDEX(刷條碼區!D:G,MATCH(點上線資訊!S1511,刷條碼區!F:F,0),1),"")</f>
        <v/>
      </c>
      <c r="AA1511" s="71" t="str">
        <f>IFERROR(INDEX(刷條碼區!D:G,MATCH(點上線資訊!S1511,刷條碼區!F:F,0),2),"")</f>
        <v/>
      </c>
      <c r="AB1511" s="20">
        <f t="shared" si="142"/>
        <v>0</v>
      </c>
      <c r="AC1511" s="20" t="b">
        <f t="shared" si="143"/>
        <v>0</v>
      </c>
      <c r="AD1511" s="17" t="b">
        <f t="shared" si="144"/>
        <v>0</v>
      </c>
      <c r="AE1511" s="17" t="b">
        <f t="shared" si="145"/>
        <v>0</v>
      </c>
    </row>
    <row r="1512" spans="17:31" x14ac:dyDescent="0.2">
      <c r="Q1512" s="17">
        <f>IFERROR(VLOOKUP(A1512,已除帳印單!B:C,1,0),0)*1</f>
        <v>0</v>
      </c>
      <c r="R1512" s="67" t="str">
        <f>IFERROR(VLOOKUP(J1512,線別!A:B,2,1),"")</f>
        <v/>
      </c>
      <c r="S1512" s="17" t="str">
        <f>IFERROR(VLOOKUP(A1512,已除帳印單!B:C,2,0),"")</f>
        <v/>
      </c>
      <c r="T1512" s="68" t="e">
        <f t="shared" si="140"/>
        <v>#VALUE!</v>
      </c>
      <c r="U1512" s="69">
        <f t="shared" si="141"/>
        <v>0</v>
      </c>
      <c r="V1512" s="68" t="str">
        <f>IFERROR(VLOOKUP(A1512,已除帳印單!B:D,3,0),"")</f>
        <v/>
      </c>
      <c r="W1512" s="69" t="str">
        <f>IFERROR(VLOOKUP(A1512,已除帳印單!B:E,4,0),"")</f>
        <v/>
      </c>
      <c r="X1512" s="68" t="str">
        <f>IFERROR(INDEX(刷條碼區!A:C,MATCH(點上線資訊!S1512,刷條碼區!C:C,0),1),"")</f>
        <v/>
      </c>
      <c r="Y1512" s="69" t="str">
        <f>IFERROR(INDEX(刷條碼區!A:C,MATCH(點上線資訊!S1512,刷條碼區!C:C,0),2),"")</f>
        <v/>
      </c>
      <c r="Z1512" s="70" t="str">
        <f>IFERROR(INDEX(刷條碼區!D:G,MATCH(點上線資訊!S1512,刷條碼區!F:F,0),1),"")</f>
        <v/>
      </c>
      <c r="AA1512" s="71" t="str">
        <f>IFERROR(INDEX(刷條碼區!D:G,MATCH(點上線資訊!S1512,刷條碼區!F:F,0),2),"")</f>
        <v/>
      </c>
      <c r="AB1512" s="20">
        <f t="shared" si="142"/>
        <v>0</v>
      </c>
      <c r="AC1512" s="20" t="b">
        <f t="shared" si="143"/>
        <v>0</v>
      </c>
      <c r="AD1512" s="17" t="b">
        <f t="shared" si="144"/>
        <v>0</v>
      </c>
      <c r="AE1512" s="17" t="b">
        <f t="shared" si="145"/>
        <v>0</v>
      </c>
    </row>
    <row r="1513" spans="17:31" x14ac:dyDescent="0.2">
      <c r="Q1513" s="17">
        <f>IFERROR(VLOOKUP(A1513,已除帳印單!B:C,1,0),0)*1</f>
        <v>0</v>
      </c>
      <c r="R1513" s="67" t="str">
        <f>IFERROR(VLOOKUP(J1513,線別!A:B,2,1),"")</f>
        <v/>
      </c>
      <c r="S1513" s="17" t="str">
        <f>IFERROR(VLOOKUP(A1513,已除帳印單!B:C,2,0),"")</f>
        <v/>
      </c>
      <c r="T1513" s="68" t="e">
        <f t="shared" si="140"/>
        <v>#VALUE!</v>
      </c>
      <c r="U1513" s="69">
        <f t="shared" si="141"/>
        <v>0</v>
      </c>
      <c r="V1513" s="68" t="str">
        <f>IFERROR(VLOOKUP(A1513,已除帳印單!B:D,3,0),"")</f>
        <v/>
      </c>
      <c r="W1513" s="69" t="str">
        <f>IFERROR(VLOOKUP(A1513,已除帳印單!B:E,4,0),"")</f>
        <v/>
      </c>
      <c r="X1513" s="68" t="str">
        <f>IFERROR(INDEX(刷條碼區!A:C,MATCH(點上線資訊!S1513,刷條碼區!C:C,0),1),"")</f>
        <v/>
      </c>
      <c r="Y1513" s="69" t="str">
        <f>IFERROR(INDEX(刷條碼區!A:C,MATCH(點上線資訊!S1513,刷條碼區!C:C,0),2),"")</f>
        <v/>
      </c>
      <c r="Z1513" s="70" t="str">
        <f>IFERROR(INDEX(刷條碼區!D:G,MATCH(點上線資訊!S1513,刷條碼區!F:F,0),1),"")</f>
        <v/>
      </c>
      <c r="AA1513" s="71" t="str">
        <f>IFERROR(INDEX(刷條碼區!D:G,MATCH(點上線資訊!S1513,刷條碼區!F:F,0),2),"")</f>
        <v/>
      </c>
      <c r="AB1513" s="20">
        <f t="shared" si="142"/>
        <v>0</v>
      </c>
      <c r="AC1513" s="20" t="b">
        <f t="shared" si="143"/>
        <v>0</v>
      </c>
      <c r="AD1513" s="17" t="b">
        <f t="shared" si="144"/>
        <v>0</v>
      </c>
      <c r="AE1513" s="17" t="b">
        <f t="shared" si="145"/>
        <v>0</v>
      </c>
    </row>
    <row r="1514" spans="17:31" x14ac:dyDescent="0.2">
      <c r="Q1514" s="17">
        <f>IFERROR(VLOOKUP(A1514,已除帳印單!B:C,1,0),0)*1</f>
        <v>0</v>
      </c>
      <c r="R1514" s="67" t="str">
        <f>IFERROR(VLOOKUP(J1514,線別!A:B,2,1),"")</f>
        <v/>
      </c>
      <c r="S1514" s="17" t="str">
        <f>IFERROR(VLOOKUP(A1514,已除帳印單!B:C,2,0),"")</f>
        <v/>
      </c>
      <c r="T1514" s="68" t="e">
        <f t="shared" si="140"/>
        <v>#VALUE!</v>
      </c>
      <c r="U1514" s="69">
        <f t="shared" si="141"/>
        <v>0</v>
      </c>
      <c r="V1514" s="68" t="str">
        <f>IFERROR(VLOOKUP(A1514,已除帳印單!B:D,3,0),"")</f>
        <v/>
      </c>
      <c r="W1514" s="69" t="str">
        <f>IFERROR(VLOOKUP(A1514,已除帳印單!B:E,4,0),"")</f>
        <v/>
      </c>
      <c r="X1514" s="68" t="str">
        <f>IFERROR(INDEX(刷條碼區!A:C,MATCH(點上線資訊!S1514,刷條碼區!C:C,0),1),"")</f>
        <v/>
      </c>
      <c r="Y1514" s="69" t="str">
        <f>IFERROR(INDEX(刷條碼區!A:C,MATCH(點上線資訊!S1514,刷條碼區!C:C,0),2),"")</f>
        <v/>
      </c>
      <c r="Z1514" s="70" t="str">
        <f>IFERROR(INDEX(刷條碼區!D:G,MATCH(點上線資訊!S1514,刷條碼區!F:F,0),1),"")</f>
        <v/>
      </c>
      <c r="AA1514" s="71" t="str">
        <f>IFERROR(INDEX(刷條碼區!D:G,MATCH(點上線資訊!S1514,刷條碼區!F:F,0),2),"")</f>
        <v/>
      </c>
      <c r="AB1514" s="20">
        <f t="shared" si="142"/>
        <v>0</v>
      </c>
      <c r="AC1514" s="20" t="b">
        <f t="shared" si="143"/>
        <v>0</v>
      </c>
      <c r="AD1514" s="17" t="b">
        <f t="shared" si="144"/>
        <v>0</v>
      </c>
      <c r="AE1514" s="17" t="b">
        <f t="shared" si="145"/>
        <v>0</v>
      </c>
    </row>
    <row r="1515" spans="17:31" x14ac:dyDescent="0.2">
      <c r="Q1515" s="17">
        <f>IFERROR(VLOOKUP(A1515,已除帳印單!B:C,1,0),0)*1</f>
        <v>0</v>
      </c>
      <c r="R1515" s="67" t="str">
        <f>IFERROR(VLOOKUP(J1515,線別!A:B,2,1),"")</f>
        <v/>
      </c>
      <c r="S1515" s="17" t="str">
        <f>IFERROR(VLOOKUP(A1515,已除帳印單!B:C,2,0),"")</f>
        <v/>
      </c>
      <c r="T1515" s="68" t="e">
        <f t="shared" si="140"/>
        <v>#VALUE!</v>
      </c>
      <c r="U1515" s="69">
        <f t="shared" si="141"/>
        <v>0</v>
      </c>
      <c r="V1515" s="68" t="str">
        <f>IFERROR(VLOOKUP(A1515,已除帳印單!B:D,3,0),"")</f>
        <v/>
      </c>
      <c r="W1515" s="69" t="str">
        <f>IFERROR(VLOOKUP(A1515,已除帳印單!B:E,4,0),"")</f>
        <v/>
      </c>
      <c r="X1515" s="68" t="str">
        <f>IFERROR(INDEX(刷條碼區!A:C,MATCH(點上線資訊!S1515,刷條碼區!C:C,0),1),"")</f>
        <v/>
      </c>
      <c r="Y1515" s="69" t="str">
        <f>IFERROR(INDEX(刷條碼區!A:C,MATCH(點上線資訊!S1515,刷條碼區!C:C,0),2),"")</f>
        <v/>
      </c>
      <c r="Z1515" s="70" t="str">
        <f>IFERROR(INDEX(刷條碼區!D:G,MATCH(點上線資訊!S1515,刷條碼區!F:F,0),1),"")</f>
        <v/>
      </c>
      <c r="AA1515" s="71" t="str">
        <f>IFERROR(INDEX(刷條碼區!D:G,MATCH(點上線資訊!S1515,刷條碼區!F:F,0),2),"")</f>
        <v/>
      </c>
      <c r="AB1515" s="20">
        <f t="shared" si="142"/>
        <v>0</v>
      </c>
      <c r="AC1515" s="20" t="b">
        <f t="shared" si="143"/>
        <v>0</v>
      </c>
      <c r="AD1515" s="17" t="b">
        <f t="shared" si="144"/>
        <v>0</v>
      </c>
      <c r="AE1515" s="17" t="b">
        <f t="shared" si="145"/>
        <v>0</v>
      </c>
    </row>
    <row r="1516" spans="17:31" x14ac:dyDescent="0.2">
      <c r="Q1516" s="17">
        <f>IFERROR(VLOOKUP(A1516,已除帳印單!B:C,1,0),0)*1</f>
        <v>0</v>
      </c>
      <c r="R1516" s="67" t="str">
        <f>IFERROR(VLOOKUP(J1516,線別!A:B,2,1),"")</f>
        <v/>
      </c>
      <c r="S1516" s="17" t="str">
        <f>IFERROR(VLOOKUP(A1516,已除帳印單!B:C,2,0),"")</f>
        <v/>
      </c>
      <c r="T1516" s="68" t="e">
        <f t="shared" si="140"/>
        <v>#VALUE!</v>
      </c>
      <c r="U1516" s="69">
        <f t="shared" si="141"/>
        <v>0</v>
      </c>
      <c r="V1516" s="68" t="str">
        <f>IFERROR(VLOOKUP(A1516,已除帳印單!B:D,3,0),"")</f>
        <v/>
      </c>
      <c r="W1516" s="69" t="str">
        <f>IFERROR(VLOOKUP(A1516,已除帳印單!B:E,4,0),"")</f>
        <v/>
      </c>
      <c r="X1516" s="68" t="str">
        <f>IFERROR(INDEX(刷條碼區!A:C,MATCH(點上線資訊!S1516,刷條碼區!C:C,0),1),"")</f>
        <v/>
      </c>
      <c r="Y1516" s="69" t="str">
        <f>IFERROR(INDEX(刷條碼區!A:C,MATCH(點上線資訊!S1516,刷條碼區!C:C,0),2),"")</f>
        <v/>
      </c>
      <c r="Z1516" s="70" t="str">
        <f>IFERROR(INDEX(刷條碼區!D:G,MATCH(點上線資訊!S1516,刷條碼區!F:F,0),1),"")</f>
        <v/>
      </c>
      <c r="AA1516" s="71" t="str">
        <f>IFERROR(INDEX(刷條碼區!D:G,MATCH(點上線資訊!S1516,刷條碼區!F:F,0),2),"")</f>
        <v/>
      </c>
      <c r="AB1516" s="20">
        <f t="shared" si="142"/>
        <v>0</v>
      </c>
      <c r="AC1516" s="20" t="b">
        <f t="shared" si="143"/>
        <v>0</v>
      </c>
      <c r="AD1516" s="17" t="b">
        <f t="shared" si="144"/>
        <v>0</v>
      </c>
      <c r="AE1516" s="17" t="b">
        <f t="shared" si="145"/>
        <v>0</v>
      </c>
    </row>
    <row r="1517" spans="17:31" x14ac:dyDescent="0.2">
      <c r="Q1517" s="17">
        <f>IFERROR(VLOOKUP(A1517,已除帳印單!B:C,1,0),0)*1</f>
        <v>0</v>
      </c>
      <c r="R1517" s="67" t="str">
        <f>IFERROR(VLOOKUP(J1517,線別!A:B,2,1),"")</f>
        <v/>
      </c>
      <c r="S1517" s="17" t="str">
        <f>IFERROR(VLOOKUP(A1517,已除帳印單!B:C,2,0),"")</f>
        <v/>
      </c>
      <c r="T1517" s="68" t="e">
        <f t="shared" si="140"/>
        <v>#VALUE!</v>
      </c>
      <c r="U1517" s="69">
        <f t="shared" si="141"/>
        <v>0</v>
      </c>
      <c r="V1517" s="68" t="str">
        <f>IFERROR(VLOOKUP(A1517,已除帳印單!B:D,3,0),"")</f>
        <v/>
      </c>
      <c r="W1517" s="69" t="str">
        <f>IFERROR(VLOOKUP(A1517,已除帳印單!B:E,4,0),"")</f>
        <v/>
      </c>
      <c r="X1517" s="68" t="str">
        <f>IFERROR(INDEX(刷條碼區!A:C,MATCH(點上線資訊!S1517,刷條碼區!C:C,0),1),"")</f>
        <v/>
      </c>
      <c r="Y1517" s="69" t="str">
        <f>IFERROR(INDEX(刷條碼區!A:C,MATCH(點上線資訊!S1517,刷條碼區!C:C,0),2),"")</f>
        <v/>
      </c>
      <c r="Z1517" s="70" t="str">
        <f>IFERROR(INDEX(刷條碼區!D:G,MATCH(點上線資訊!S1517,刷條碼區!F:F,0),1),"")</f>
        <v/>
      </c>
      <c r="AA1517" s="71" t="str">
        <f>IFERROR(INDEX(刷條碼區!D:G,MATCH(點上線資訊!S1517,刷條碼區!F:F,0),2),"")</f>
        <v/>
      </c>
      <c r="AB1517" s="20">
        <f t="shared" si="142"/>
        <v>0</v>
      </c>
      <c r="AC1517" s="20" t="b">
        <f t="shared" si="143"/>
        <v>0</v>
      </c>
      <c r="AD1517" s="17" t="b">
        <f t="shared" si="144"/>
        <v>0</v>
      </c>
      <c r="AE1517" s="17" t="b">
        <f t="shared" si="145"/>
        <v>0</v>
      </c>
    </row>
    <row r="1518" spans="17:31" x14ac:dyDescent="0.2">
      <c r="Q1518" s="17">
        <f>IFERROR(VLOOKUP(A1518,已除帳印單!B:C,1,0),0)*1</f>
        <v>0</v>
      </c>
      <c r="R1518" s="67" t="str">
        <f>IFERROR(VLOOKUP(J1518,線別!A:B,2,1),"")</f>
        <v/>
      </c>
      <c r="S1518" s="17" t="str">
        <f>IFERROR(VLOOKUP(A1518,已除帳印單!B:C,2,0),"")</f>
        <v/>
      </c>
      <c r="T1518" s="68" t="e">
        <f t="shared" si="140"/>
        <v>#VALUE!</v>
      </c>
      <c r="U1518" s="69">
        <f t="shared" si="141"/>
        <v>0</v>
      </c>
      <c r="V1518" s="68" t="str">
        <f>IFERROR(VLOOKUP(A1518,已除帳印單!B:D,3,0),"")</f>
        <v/>
      </c>
      <c r="W1518" s="69" t="str">
        <f>IFERROR(VLOOKUP(A1518,已除帳印單!B:E,4,0),"")</f>
        <v/>
      </c>
      <c r="X1518" s="68" t="str">
        <f>IFERROR(INDEX(刷條碼區!A:C,MATCH(點上線資訊!S1518,刷條碼區!C:C,0),1),"")</f>
        <v/>
      </c>
      <c r="Y1518" s="69" t="str">
        <f>IFERROR(INDEX(刷條碼區!A:C,MATCH(點上線資訊!S1518,刷條碼區!C:C,0),2),"")</f>
        <v/>
      </c>
      <c r="Z1518" s="70" t="str">
        <f>IFERROR(INDEX(刷條碼區!D:G,MATCH(點上線資訊!S1518,刷條碼區!F:F,0),1),"")</f>
        <v/>
      </c>
      <c r="AA1518" s="71" t="str">
        <f>IFERROR(INDEX(刷條碼區!D:G,MATCH(點上線資訊!S1518,刷條碼區!F:F,0),2),"")</f>
        <v/>
      </c>
      <c r="AB1518" s="20">
        <f t="shared" si="142"/>
        <v>0</v>
      </c>
      <c r="AC1518" s="20" t="b">
        <f t="shared" si="143"/>
        <v>0</v>
      </c>
      <c r="AD1518" s="17" t="b">
        <f t="shared" si="144"/>
        <v>0</v>
      </c>
      <c r="AE1518" s="17" t="b">
        <f t="shared" si="145"/>
        <v>0</v>
      </c>
    </row>
    <row r="1519" spans="17:31" x14ac:dyDescent="0.2">
      <c r="Q1519" s="17">
        <f>IFERROR(VLOOKUP(A1519,已除帳印單!B:C,1,0),0)*1</f>
        <v>0</v>
      </c>
      <c r="R1519" s="67" t="str">
        <f>IFERROR(VLOOKUP(J1519,線別!A:B,2,1),"")</f>
        <v/>
      </c>
      <c r="S1519" s="17" t="str">
        <f>IFERROR(VLOOKUP(A1519,已除帳印單!B:C,2,0),"")</f>
        <v/>
      </c>
      <c r="T1519" s="68" t="e">
        <f t="shared" si="140"/>
        <v>#VALUE!</v>
      </c>
      <c r="U1519" s="69">
        <f t="shared" si="141"/>
        <v>0</v>
      </c>
      <c r="V1519" s="68" t="str">
        <f>IFERROR(VLOOKUP(A1519,已除帳印單!B:D,3,0),"")</f>
        <v/>
      </c>
      <c r="W1519" s="69" t="str">
        <f>IFERROR(VLOOKUP(A1519,已除帳印單!B:E,4,0),"")</f>
        <v/>
      </c>
      <c r="X1519" s="68" t="str">
        <f>IFERROR(INDEX(刷條碼區!A:C,MATCH(點上線資訊!S1519,刷條碼區!C:C,0),1),"")</f>
        <v/>
      </c>
      <c r="Y1519" s="69" t="str">
        <f>IFERROR(INDEX(刷條碼區!A:C,MATCH(點上線資訊!S1519,刷條碼區!C:C,0),2),"")</f>
        <v/>
      </c>
      <c r="Z1519" s="70" t="str">
        <f>IFERROR(INDEX(刷條碼區!D:G,MATCH(點上線資訊!S1519,刷條碼區!F:F,0),1),"")</f>
        <v/>
      </c>
      <c r="AA1519" s="71" t="str">
        <f>IFERROR(INDEX(刷條碼區!D:G,MATCH(點上線資訊!S1519,刷條碼區!F:F,0),2),"")</f>
        <v/>
      </c>
      <c r="AB1519" s="20">
        <f t="shared" si="142"/>
        <v>0</v>
      </c>
      <c r="AC1519" s="20" t="b">
        <f t="shared" si="143"/>
        <v>0</v>
      </c>
      <c r="AD1519" s="17" t="b">
        <f t="shared" si="144"/>
        <v>0</v>
      </c>
      <c r="AE1519" s="17" t="b">
        <f t="shared" si="145"/>
        <v>0</v>
      </c>
    </row>
    <row r="1520" spans="17:31" x14ac:dyDescent="0.2">
      <c r="Q1520" s="17">
        <f>IFERROR(VLOOKUP(A1520,已除帳印單!B:C,1,0),0)*1</f>
        <v>0</v>
      </c>
      <c r="R1520" s="67" t="str">
        <f>IFERROR(VLOOKUP(J1520,線別!A:B,2,1),"")</f>
        <v/>
      </c>
      <c r="S1520" s="17" t="str">
        <f>IFERROR(VLOOKUP(A1520,已除帳印單!B:C,2,0),"")</f>
        <v/>
      </c>
      <c r="T1520" s="68" t="e">
        <f t="shared" si="140"/>
        <v>#VALUE!</v>
      </c>
      <c r="U1520" s="69">
        <f t="shared" si="141"/>
        <v>0</v>
      </c>
      <c r="V1520" s="68" t="str">
        <f>IFERROR(VLOOKUP(A1520,已除帳印單!B:D,3,0),"")</f>
        <v/>
      </c>
      <c r="W1520" s="69" t="str">
        <f>IFERROR(VLOOKUP(A1520,已除帳印單!B:E,4,0),"")</f>
        <v/>
      </c>
      <c r="X1520" s="68" t="str">
        <f>IFERROR(INDEX(刷條碼區!A:C,MATCH(點上線資訊!S1520,刷條碼區!C:C,0),1),"")</f>
        <v/>
      </c>
      <c r="Y1520" s="69" t="str">
        <f>IFERROR(INDEX(刷條碼區!A:C,MATCH(點上線資訊!S1520,刷條碼區!C:C,0),2),"")</f>
        <v/>
      </c>
      <c r="Z1520" s="70" t="str">
        <f>IFERROR(INDEX(刷條碼區!D:G,MATCH(點上線資訊!S1520,刷條碼區!F:F,0),1),"")</f>
        <v/>
      </c>
      <c r="AA1520" s="71" t="str">
        <f>IFERROR(INDEX(刷條碼區!D:G,MATCH(點上線資訊!S1520,刷條碼區!F:F,0),2),"")</f>
        <v/>
      </c>
      <c r="AB1520" s="20">
        <f t="shared" si="142"/>
        <v>0</v>
      </c>
      <c r="AC1520" s="20" t="b">
        <f t="shared" si="143"/>
        <v>0</v>
      </c>
      <c r="AD1520" s="17" t="b">
        <f t="shared" si="144"/>
        <v>0</v>
      </c>
      <c r="AE1520" s="17" t="b">
        <f t="shared" si="145"/>
        <v>0</v>
      </c>
    </row>
    <row r="1521" spans="17:31" x14ac:dyDescent="0.2">
      <c r="Q1521" s="17">
        <f>IFERROR(VLOOKUP(A1521,已除帳印單!B:C,1,0),0)*1</f>
        <v>0</v>
      </c>
      <c r="R1521" s="67" t="str">
        <f>IFERROR(VLOOKUP(J1521,線別!A:B,2,1),"")</f>
        <v/>
      </c>
      <c r="S1521" s="17" t="str">
        <f>IFERROR(VLOOKUP(A1521,已除帳印單!B:C,2,0),"")</f>
        <v/>
      </c>
      <c r="T1521" s="68" t="e">
        <f t="shared" si="140"/>
        <v>#VALUE!</v>
      </c>
      <c r="U1521" s="69">
        <f t="shared" si="141"/>
        <v>0</v>
      </c>
      <c r="V1521" s="68" t="str">
        <f>IFERROR(VLOOKUP(A1521,已除帳印單!B:D,3,0),"")</f>
        <v/>
      </c>
      <c r="W1521" s="69" t="str">
        <f>IFERROR(VLOOKUP(A1521,已除帳印單!B:E,4,0),"")</f>
        <v/>
      </c>
      <c r="X1521" s="68" t="str">
        <f>IFERROR(INDEX(刷條碼區!A:C,MATCH(點上線資訊!S1521,刷條碼區!C:C,0),1),"")</f>
        <v/>
      </c>
      <c r="Y1521" s="69" t="str">
        <f>IFERROR(INDEX(刷條碼區!A:C,MATCH(點上線資訊!S1521,刷條碼區!C:C,0),2),"")</f>
        <v/>
      </c>
      <c r="Z1521" s="70" t="str">
        <f>IFERROR(INDEX(刷條碼區!D:G,MATCH(點上線資訊!S1521,刷條碼區!F:F,0),1),"")</f>
        <v/>
      </c>
      <c r="AA1521" s="71" t="str">
        <f>IFERROR(INDEX(刷條碼區!D:G,MATCH(點上線資訊!S1521,刷條碼區!F:F,0),2),"")</f>
        <v/>
      </c>
      <c r="AB1521" s="20">
        <f t="shared" si="142"/>
        <v>0</v>
      </c>
      <c r="AC1521" s="20" t="b">
        <f t="shared" si="143"/>
        <v>0</v>
      </c>
      <c r="AD1521" s="17" t="b">
        <f t="shared" si="144"/>
        <v>0</v>
      </c>
      <c r="AE1521" s="17" t="b">
        <f t="shared" si="145"/>
        <v>0</v>
      </c>
    </row>
    <row r="1522" spans="17:31" x14ac:dyDescent="0.2">
      <c r="Q1522" s="17">
        <f>IFERROR(VLOOKUP(A1522,已除帳印單!B:C,1,0),0)*1</f>
        <v>0</v>
      </c>
      <c r="R1522" s="67" t="str">
        <f>IFERROR(VLOOKUP(J1522,線別!A:B,2,1),"")</f>
        <v/>
      </c>
      <c r="S1522" s="17" t="str">
        <f>IFERROR(VLOOKUP(A1522,已除帳印單!B:C,2,0),"")</f>
        <v/>
      </c>
      <c r="T1522" s="68" t="e">
        <f t="shared" si="140"/>
        <v>#VALUE!</v>
      </c>
      <c r="U1522" s="69">
        <f t="shared" si="141"/>
        <v>0</v>
      </c>
      <c r="V1522" s="68" t="str">
        <f>IFERROR(VLOOKUP(A1522,已除帳印單!B:D,3,0),"")</f>
        <v/>
      </c>
      <c r="W1522" s="69" t="str">
        <f>IFERROR(VLOOKUP(A1522,已除帳印單!B:E,4,0),"")</f>
        <v/>
      </c>
      <c r="X1522" s="68" t="str">
        <f>IFERROR(INDEX(刷條碼區!A:C,MATCH(點上線資訊!S1522,刷條碼區!C:C,0),1),"")</f>
        <v/>
      </c>
      <c r="Y1522" s="69" t="str">
        <f>IFERROR(INDEX(刷條碼區!A:C,MATCH(點上線資訊!S1522,刷條碼區!C:C,0),2),"")</f>
        <v/>
      </c>
      <c r="Z1522" s="70" t="str">
        <f>IFERROR(INDEX(刷條碼區!D:G,MATCH(點上線資訊!S1522,刷條碼區!F:F,0),1),"")</f>
        <v/>
      </c>
      <c r="AA1522" s="71" t="str">
        <f>IFERROR(INDEX(刷條碼區!D:G,MATCH(點上線資訊!S1522,刷條碼區!F:F,0),2),"")</f>
        <v/>
      </c>
      <c r="AB1522" s="20">
        <f t="shared" si="142"/>
        <v>0</v>
      </c>
      <c r="AC1522" s="20" t="b">
        <f t="shared" si="143"/>
        <v>0</v>
      </c>
      <c r="AD1522" s="17" t="b">
        <f t="shared" si="144"/>
        <v>0</v>
      </c>
      <c r="AE1522" s="17" t="b">
        <f t="shared" si="145"/>
        <v>0</v>
      </c>
    </row>
    <row r="1523" spans="17:31" x14ac:dyDescent="0.2">
      <c r="Q1523" s="17">
        <f>IFERROR(VLOOKUP(A1523,已除帳印單!B:C,1,0),0)*1</f>
        <v>0</v>
      </c>
      <c r="R1523" s="67" t="str">
        <f>IFERROR(VLOOKUP(J1523,線別!A:B,2,1),"")</f>
        <v/>
      </c>
      <c r="S1523" s="17" t="str">
        <f>IFERROR(VLOOKUP(A1523,已除帳印單!B:C,2,0),"")</f>
        <v/>
      </c>
      <c r="T1523" s="68" t="e">
        <f t="shared" si="140"/>
        <v>#VALUE!</v>
      </c>
      <c r="U1523" s="69">
        <f t="shared" si="141"/>
        <v>0</v>
      </c>
      <c r="V1523" s="68" t="str">
        <f>IFERROR(VLOOKUP(A1523,已除帳印單!B:D,3,0),"")</f>
        <v/>
      </c>
      <c r="W1523" s="69" t="str">
        <f>IFERROR(VLOOKUP(A1523,已除帳印單!B:E,4,0),"")</f>
        <v/>
      </c>
      <c r="X1523" s="68" t="str">
        <f>IFERROR(INDEX(刷條碼區!A:C,MATCH(點上線資訊!S1523,刷條碼區!C:C,0),1),"")</f>
        <v/>
      </c>
      <c r="Y1523" s="69" t="str">
        <f>IFERROR(INDEX(刷條碼區!A:C,MATCH(點上線資訊!S1523,刷條碼區!C:C,0),2),"")</f>
        <v/>
      </c>
      <c r="Z1523" s="70" t="str">
        <f>IFERROR(INDEX(刷條碼區!D:G,MATCH(點上線資訊!S1523,刷條碼區!F:F,0),1),"")</f>
        <v/>
      </c>
      <c r="AA1523" s="71" t="str">
        <f>IFERROR(INDEX(刷條碼區!D:G,MATCH(點上線資訊!S1523,刷條碼區!F:F,0),2),"")</f>
        <v/>
      </c>
      <c r="AB1523" s="20">
        <f t="shared" si="142"/>
        <v>0</v>
      </c>
      <c r="AC1523" s="20" t="b">
        <f t="shared" si="143"/>
        <v>0</v>
      </c>
      <c r="AD1523" s="17" t="b">
        <f t="shared" si="144"/>
        <v>0</v>
      </c>
      <c r="AE1523" s="17" t="b">
        <f t="shared" si="145"/>
        <v>0</v>
      </c>
    </row>
    <row r="1524" spans="17:31" x14ac:dyDescent="0.2">
      <c r="Q1524" s="17">
        <f>IFERROR(VLOOKUP(A1524,已除帳印單!B:C,1,0),0)*1</f>
        <v>0</v>
      </c>
      <c r="R1524" s="67" t="str">
        <f>IFERROR(VLOOKUP(J1524,線別!A:B,2,1),"")</f>
        <v/>
      </c>
      <c r="S1524" s="17" t="str">
        <f>IFERROR(VLOOKUP(A1524,已除帳印單!B:C,2,0),"")</f>
        <v/>
      </c>
      <c r="T1524" s="68" t="e">
        <f t="shared" si="140"/>
        <v>#VALUE!</v>
      </c>
      <c r="U1524" s="69">
        <f t="shared" si="141"/>
        <v>0</v>
      </c>
      <c r="V1524" s="68" t="str">
        <f>IFERROR(VLOOKUP(A1524,已除帳印單!B:D,3,0),"")</f>
        <v/>
      </c>
      <c r="W1524" s="69" t="str">
        <f>IFERROR(VLOOKUP(A1524,已除帳印單!B:E,4,0),"")</f>
        <v/>
      </c>
      <c r="X1524" s="68" t="str">
        <f>IFERROR(INDEX(刷條碼區!A:C,MATCH(點上線資訊!S1524,刷條碼區!C:C,0),1),"")</f>
        <v/>
      </c>
      <c r="Y1524" s="69" t="str">
        <f>IFERROR(INDEX(刷條碼區!A:C,MATCH(點上線資訊!S1524,刷條碼區!C:C,0),2),"")</f>
        <v/>
      </c>
      <c r="Z1524" s="70" t="str">
        <f>IFERROR(INDEX(刷條碼區!D:G,MATCH(點上線資訊!S1524,刷條碼區!F:F,0),1),"")</f>
        <v/>
      </c>
      <c r="AA1524" s="71" t="str">
        <f>IFERROR(INDEX(刷條碼區!D:G,MATCH(點上線資訊!S1524,刷條碼區!F:F,0),2),"")</f>
        <v/>
      </c>
      <c r="AB1524" s="20">
        <f t="shared" si="142"/>
        <v>0</v>
      </c>
      <c r="AC1524" s="20" t="b">
        <f t="shared" si="143"/>
        <v>0</v>
      </c>
      <c r="AD1524" s="17" t="b">
        <f t="shared" si="144"/>
        <v>0</v>
      </c>
      <c r="AE1524" s="17" t="b">
        <f t="shared" si="145"/>
        <v>0</v>
      </c>
    </row>
    <row r="1525" spans="17:31" x14ac:dyDescent="0.2">
      <c r="Q1525" s="17">
        <f>IFERROR(VLOOKUP(A1525,已除帳印單!B:C,1,0),0)*1</f>
        <v>0</v>
      </c>
      <c r="R1525" s="67" t="str">
        <f>IFERROR(VLOOKUP(J1525,線別!A:B,2,1),"")</f>
        <v/>
      </c>
      <c r="S1525" s="17" t="str">
        <f>IFERROR(VLOOKUP(A1525,已除帳印單!B:C,2,0),"")</f>
        <v/>
      </c>
      <c r="T1525" s="68" t="e">
        <f t="shared" ref="T1525:T1588" si="146">--TEXT(B1525,"0000-00-00")</f>
        <v>#VALUE!</v>
      </c>
      <c r="U1525" s="69">
        <f t="shared" ref="U1525:U1588" si="147">--TEXT(C1525,"00\:00\:00")</f>
        <v>0</v>
      </c>
      <c r="V1525" s="68" t="str">
        <f>IFERROR(VLOOKUP(A1525,已除帳印單!B:D,3,0),"")</f>
        <v/>
      </c>
      <c r="W1525" s="69" t="str">
        <f>IFERROR(VLOOKUP(A1525,已除帳印單!B:E,4,0),"")</f>
        <v/>
      </c>
      <c r="X1525" s="68" t="str">
        <f>IFERROR(INDEX(刷條碼區!A:C,MATCH(點上線資訊!S1525,刷條碼區!C:C,0),1),"")</f>
        <v/>
      </c>
      <c r="Y1525" s="69" t="str">
        <f>IFERROR(INDEX(刷條碼區!A:C,MATCH(點上線資訊!S1525,刷條碼區!C:C,0),2),"")</f>
        <v/>
      </c>
      <c r="Z1525" s="70" t="str">
        <f>IFERROR(INDEX(刷條碼區!D:G,MATCH(點上線資訊!S1525,刷條碼區!F:F,0),1),"")</f>
        <v/>
      </c>
      <c r="AA1525" s="71" t="str">
        <f>IFERROR(INDEX(刷條碼區!D:G,MATCH(點上線資訊!S1525,刷條碼區!F:F,0),2),"")</f>
        <v/>
      </c>
      <c r="AB1525" s="20">
        <f t="shared" ref="AB1525:AB1588" si="148">IF(K1525&amp;N1525="",G1525)</f>
        <v>0</v>
      </c>
      <c r="AC1525" s="20" t="b">
        <f t="shared" ref="AC1525:AC1588" si="149">IF(S1525&lt;&gt;"",G1525)</f>
        <v>0</v>
      </c>
      <c r="AD1525" s="17" t="b">
        <f t="shared" ref="AD1525:AD1588" si="150">IF(X1525&lt;&gt;"",G1525)</f>
        <v>0</v>
      </c>
      <c r="AE1525" s="17" t="b">
        <f t="shared" ref="AE1525:AE1588" si="151">IF(Z1525&lt;&gt;"",G1525)</f>
        <v>0</v>
      </c>
    </row>
    <row r="1526" spans="17:31" x14ac:dyDescent="0.2">
      <c r="Q1526" s="17">
        <f>IFERROR(VLOOKUP(A1526,已除帳印單!B:C,1,0),0)*1</f>
        <v>0</v>
      </c>
      <c r="R1526" s="67" t="str">
        <f>IFERROR(VLOOKUP(J1526,線別!A:B,2,1),"")</f>
        <v/>
      </c>
      <c r="S1526" s="17" t="str">
        <f>IFERROR(VLOOKUP(A1526,已除帳印單!B:C,2,0),"")</f>
        <v/>
      </c>
      <c r="T1526" s="68" t="e">
        <f t="shared" si="146"/>
        <v>#VALUE!</v>
      </c>
      <c r="U1526" s="69">
        <f t="shared" si="147"/>
        <v>0</v>
      </c>
      <c r="V1526" s="68" t="str">
        <f>IFERROR(VLOOKUP(A1526,已除帳印單!B:D,3,0),"")</f>
        <v/>
      </c>
      <c r="W1526" s="69" t="str">
        <f>IFERROR(VLOOKUP(A1526,已除帳印單!B:E,4,0),"")</f>
        <v/>
      </c>
      <c r="X1526" s="68" t="str">
        <f>IFERROR(INDEX(刷條碼區!A:C,MATCH(點上線資訊!S1526,刷條碼區!C:C,0),1),"")</f>
        <v/>
      </c>
      <c r="Y1526" s="69" t="str">
        <f>IFERROR(INDEX(刷條碼區!A:C,MATCH(點上線資訊!S1526,刷條碼區!C:C,0),2),"")</f>
        <v/>
      </c>
      <c r="Z1526" s="70" t="str">
        <f>IFERROR(INDEX(刷條碼區!D:G,MATCH(點上線資訊!S1526,刷條碼區!F:F,0),1),"")</f>
        <v/>
      </c>
      <c r="AA1526" s="71" t="str">
        <f>IFERROR(INDEX(刷條碼區!D:G,MATCH(點上線資訊!S1526,刷條碼區!F:F,0),2),"")</f>
        <v/>
      </c>
      <c r="AB1526" s="20">
        <f t="shared" si="148"/>
        <v>0</v>
      </c>
      <c r="AC1526" s="20" t="b">
        <f t="shared" si="149"/>
        <v>0</v>
      </c>
      <c r="AD1526" s="17" t="b">
        <f t="shared" si="150"/>
        <v>0</v>
      </c>
      <c r="AE1526" s="17" t="b">
        <f t="shared" si="151"/>
        <v>0</v>
      </c>
    </row>
    <row r="1527" spans="17:31" x14ac:dyDescent="0.2">
      <c r="Q1527" s="17">
        <f>IFERROR(VLOOKUP(A1527,已除帳印單!B:C,1,0),0)*1</f>
        <v>0</v>
      </c>
      <c r="R1527" s="67" t="str">
        <f>IFERROR(VLOOKUP(J1527,線別!A:B,2,1),"")</f>
        <v/>
      </c>
      <c r="S1527" s="17" t="str">
        <f>IFERROR(VLOOKUP(A1527,已除帳印單!B:C,2,0),"")</f>
        <v/>
      </c>
      <c r="T1527" s="68" t="e">
        <f t="shared" si="146"/>
        <v>#VALUE!</v>
      </c>
      <c r="U1527" s="69">
        <f t="shared" si="147"/>
        <v>0</v>
      </c>
      <c r="V1527" s="68" t="str">
        <f>IFERROR(VLOOKUP(A1527,已除帳印單!B:D,3,0),"")</f>
        <v/>
      </c>
      <c r="W1527" s="69" t="str">
        <f>IFERROR(VLOOKUP(A1527,已除帳印單!B:E,4,0),"")</f>
        <v/>
      </c>
      <c r="X1527" s="68" t="str">
        <f>IFERROR(INDEX(刷條碼區!A:C,MATCH(點上線資訊!S1527,刷條碼區!C:C,0),1),"")</f>
        <v/>
      </c>
      <c r="Y1527" s="69" t="str">
        <f>IFERROR(INDEX(刷條碼區!A:C,MATCH(點上線資訊!S1527,刷條碼區!C:C,0),2),"")</f>
        <v/>
      </c>
      <c r="Z1527" s="70" t="str">
        <f>IFERROR(INDEX(刷條碼區!D:G,MATCH(點上線資訊!S1527,刷條碼區!F:F,0),1),"")</f>
        <v/>
      </c>
      <c r="AA1527" s="71" t="str">
        <f>IFERROR(INDEX(刷條碼區!D:G,MATCH(點上線資訊!S1527,刷條碼區!F:F,0),2),"")</f>
        <v/>
      </c>
      <c r="AB1527" s="20">
        <f t="shared" si="148"/>
        <v>0</v>
      </c>
      <c r="AC1527" s="20" t="b">
        <f t="shared" si="149"/>
        <v>0</v>
      </c>
      <c r="AD1527" s="17" t="b">
        <f t="shared" si="150"/>
        <v>0</v>
      </c>
      <c r="AE1527" s="17" t="b">
        <f t="shared" si="151"/>
        <v>0</v>
      </c>
    </row>
    <row r="1528" spans="17:31" x14ac:dyDescent="0.2">
      <c r="Q1528" s="17">
        <f>IFERROR(VLOOKUP(A1528,已除帳印單!B:C,1,0),0)*1</f>
        <v>0</v>
      </c>
      <c r="R1528" s="67" t="str">
        <f>IFERROR(VLOOKUP(J1528,線別!A:B,2,1),"")</f>
        <v/>
      </c>
      <c r="S1528" s="17" t="str">
        <f>IFERROR(VLOOKUP(A1528,已除帳印單!B:C,2,0),"")</f>
        <v/>
      </c>
      <c r="T1528" s="68" t="e">
        <f t="shared" si="146"/>
        <v>#VALUE!</v>
      </c>
      <c r="U1528" s="69">
        <f t="shared" si="147"/>
        <v>0</v>
      </c>
      <c r="V1528" s="68" t="str">
        <f>IFERROR(VLOOKUP(A1528,已除帳印單!B:D,3,0),"")</f>
        <v/>
      </c>
      <c r="W1528" s="69" t="str">
        <f>IFERROR(VLOOKUP(A1528,已除帳印單!B:E,4,0),"")</f>
        <v/>
      </c>
      <c r="X1528" s="68" t="str">
        <f>IFERROR(INDEX(刷條碼區!A:C,MATCH(點上線資訊!S1528,刷條碼區!C:C,0),1),"")</f>
        <v/>
      </c>
      <c r="Y1528" s="69" t="str">
        <f>IFERROR(INDEX(刷條碼區!A:C,MATCH(點上線資訊!S1528,刷條碼區!C:C,0),2),"")</f>
        <v/>
      </c>
      <c r="Z1528" s="70" t="str">
        <f>IFERROR(INDEX(刷條碼區!D:G,MATCH(點上線資訊!S1528,刷條碼區!F:F,0),1),"")</f>
        <v/>
      </c>
      <c r="AA1528" s="71" t="str">
        <f>IFERROR(INDEX(刷條碼區!D:G,MATCH(點上線資訊!S1528,刷條碼區!F:F,0),2),"")</f>
        <v/>
      </c>
      <c r="AB1528" s="20">
        <f t="shared" si="148"/>
        <v>0</v>
      </c>
      <c r="AC1528" s="20" t="b">
        <f t="shared" si="149"/>
        <v>0</v>
      </c>
      <c r="AD1528" s="17" t="b">
        <f t="shared" si="150"/>
        <v>0</v>
      </c>
      <c r="AE1528" s="17" t="b">
        <f t="shared" si="151"/>
        <v>0</v>
      </c>
    </row>
    <row r="1529" spans="17:31" x14ac:dyDescent="0.2">
      <c r="Q1529" s="17">
        <f>IFERROR(VLOOKUP(A1529,已除帳印單!B:C,1,0),0)*1</f>
        <v>0</v>
      </c>
      <c r="R1529" s="67" t="str">
        <f>IFERROR(VLOOKUP(J1529,線別!A:B,2,1),"")</f>
        <v/>
      </c>
      <c r="S1529" s="17" t="str">
        <f>IFERROR(VLOOKUP(A1529,已除帳印單!B:C,2,0),"")</f>
        <v/>
      </c>
      <c r="T1529" s="68" t="e">
        <f t="shared" si="146"/>
        <v>#VALUE!</v>
      </c>
      <c r="U1529" s="69">
        <f t="shared" si="147"/>
        <v>0</v>
      </c>
      <c r="V1529" s="68" t="str">
        <f>IFERROR(VLOOKUP(A1529,已除帳印單!B:D,3,0),"")</f>
        <v/>
      </c>
      <c r="W1529" s="69" t="str">
        <f>IFERROR(VLOOKUP(A1529,已除帳印單!B:E,4,0),"")</f>
        <v/>
      </c>
      <c r="X1529" s="68" t="str">
        <f>IFERROR(INDEX(刷條碼區!A:C,MATCH(點上線資訊!S1529,刷條碼區!C:C,0),1),"")</f>
        <v/>
      </c>
      <c r="Y1529" s="69" t="str">
        <f>IFERROR(INDEX(刷條碼區!A:C,MATCH(點上線資訊!S1529,刷條碼區!C:C,0),2),"")</f>
        <v/>
      </c>
      <c r="Z1529" s="70" t="str">
        <f>IFERROR(INDEX(刷條碼區!D:G,MATCH(點上線資訊!S1529,刷條碼區!F:F,0),1),"")</f>
        <v/>
      </c>
      <c r="AA1529" s="71" t="str">
        <f>IFERROR(INDEX(刷條碼區!D:G,MATCH(點上線資訊!S1529,刷條碼區!F:F,0),2),"")</f>
        <v/>
      </c>
      <c r="AB1529" s="20">
        <f t="shared" si="148"/>
        <v>0</v>
      </c>
      <c r="AC1529" s="20" t="b">
        <f t="shared" si="149"/>
        <v>0</v>
      </c>
      <c r="AD1529" s="17" t="b">
        <f t="shared" si="150"/>
        <v>0</v>
      </c>
      <c r="AE1529" s="17" t="b">
        <f t="shared" si="151"/>
        <v>0</v>
      </c>
    </row>
    <row r="1530" spans="17:31" x14ac:dyDescent="0.2">
      <c r="Q1530" s="17">
        <f>IFERROR(VLOOKUP(A1530,已除帳印單!B:C,1,0),0)*1</f>
        <v>0</v>
      </c>
      <c r="R1530" s="67" t="str">
        <f>IFERROR(VLOOKUP(J1530,線別!A:B,2,1),"")</f>
        <v/>
      </c>
      <c r="S1530" s="17" t="str">
        <f>IFERROR(VLOOKUP(A1530,已除帳印單!B:C,2,0),"")</f>
        <v/>
      </c>
      <c r="T1530" s="68" t="e">
        <f t="shared" si="146"/>
        <v>#VALUE!</v>
      </c>
      <c r="U1530" s="69">
        <f t="shared" si="147"/>
        <v>0</v>
      </c>
      <c r="V1530" s="68" t="str">
        <f>IFERROR(VLOOKUP(A1530,已除帳印單!B:D,3,0),"")</f>
        <v/>
      </c>
      <c r="W1530" s="69" t="str">
        <f>IFERROR(VLOOKUP(A1530,已除帳印單!B:E,4,0),"")</f>
        <v/>
      </c>
      <c r="X1530" s="68" t="str">
        <f>IFERROR(INDEX(刷條碼區!A:C,MATCH(點上線資訊!S1530,刷條碼區!C:C,0),1),"")</f>
        <v/>
      </c>
      <c r="Y1530" s="69" t="str">
        <f>IFERROR(INDEX(刷條碼區!A:C,MATCH(點上線資訊!S1530,刷條碼區!C:C,0),2),"")</f>
        <v/>
      </c>
      <c r="Z1530" s="70" t="str">
        <f>IFERROR(INDEX(刷條碼區!D:G,MATCH(點上線資訊!S1530,刷條碼區!F:F,0),1),"")</f>
        <v/>
      </c>
      <c r="AA1530" s="71" t="str">
        <f>IFERROR(INDEX(刷條碼區!D:G,MATCH(點上線資訊!S1530,刷條碼區!F:F,0),2),"")</f>
        <v/>
      </c>
      <c r="AB1530" s="20">
        <f t="shared" si="148"/>
        <v>0</v>
      </c>
      <c r="AC1530" s="20" t="b">
        <f t="shared" si="149"/>
        <v>0</v>
      </c>
      <c r="AD1530" s="17" t="b">
        <f t="shared" si="150"/>
        <v>0</v>
      </c>
      <c r="AE1530" s="17" t="b">
        <f t="shared" si="151"/>
        <v>0</v>
      </c>
    </row>
    <row r="1531" spans="17:31" x14ac:dyDescent="0.2">
      <c r="Q1531" s="17">
        <f>IFERROR(VLOOKUP(A1531,已除帳印單!B:C,1,0),0)*1</f>
        <v>0</v>
      </c>
      <c r="R1531" s="67" t="str">
        <f>IFERROR(VLOOKUP(J1531,線別!A:B,2,1),"")</f>
        <v/>
      </c>
      <c r="S1531" s="17" t="str">
        <f>IFERROR(VLOOKUP(A1531,已除帳印單!B:C,2,0),"")</f>
        <v/>
      </c>
      <c r="T1531" s="68" t="e">
        <f t="shared" si="146"/>
        <v>#VALUE!</v>
      </c>
      <c r="U1531" s="69">
        <f t="shared" si="147"/>
        <v>0</v>
      </c>
      <c r="V1531" s="68" t="str">
        <f>IFERROR(VLOOKUP(A1531,已除帳印單!B:D,3,0),"")</f>
        <v/>
      </c>
      <c r="W1531" s="69" t="str">
        <f>IFERROR(VLOOKUP(A1531,已除帳印單!B:E,4,0),"")</f>
        <v/>
      </c>
      <c r="X1531" s="68" t="str">
        <f>IFERROR(INDEX(刷條碼區!A:C,MATCH(點上線資訊!S1531,刷條碼區!C:C,0),1),"")</f>
        <v/>
      </c>
      <c r="Y1531" s="69" t="str">
        <f>IFERROR(INDEX(刷條碼區!A:C,MATCH(點上線資訊!S1531,刷條碼區!C:C,0),2),"")</f>
        <v/>
      </c>
      <c r="Z1531" s="70" t="str">
        <f>IFERROR(INDEX(刷條碼區!D:G,MATCH(點上線資訊!S1531,刷條碼區!F:F,0),1),"")</f>
        <v/>
      </c>
      <c r="AA1531" s="71" t="str">
        <f>IFERROR(INDEX(刷條碼區!D:G,MATCH(點上線資訊!S1531,刷條碼區!F:F,0),2),"")</f>
        <v/>
      </c>
      <c r="AB1531" s="20">
        <f t="shared" si="148"/>
        <v>0</v>
      </c>
      <c r="AC1531" s="20" t="b">
        <f t="shared" si="149"/>
        <v>0</v>
      </c>
      <c r="AD1531" s="17" t="b">
        <f t="shared" si="150"/>
        <v>0</v>
      </c>
      <c r="AE1531" s="17" t="b">
        <f t="shared" si="151"/>
        <v>0</v>
      </c>
    </row>
    <row r="1532" spans="17:31" x14ac:dyDescent="0.2">
      <c r="Q1532" s="17">
        <f>IFERROR(VLOOKUP(A1532,已除帳印單!B:C,1,0),0)*1</f>
        <v>0</v>
      </c>
      <c r="R1532" s="67" t="str">
        <f>IFERROR(VLOOKUP(J1532,線別!A:B,2,1),"")</f>
        <v/>
      </c>
      <c r="S1532" s="17" t="str">
        <f>IFERROR(VLOOKUP(A1532,已除帳印單!B:C,2,0),"")</f>
        <v/>
      </c>
      <c r="T1532" s="68" t="e">
        <f t="shared" si="146"/>
        <v>#VALUE!</v>
      </c>
      <c r="U1532" s="69">
        <f t="shared" si="147"/>
        <v>0</v>
      </c>
      <c r="V1532" s="68" t="str">
        <f>IFERROR(VLOOKUP(A1532,已除帳印單!B:D,3,0),"")</f>
        <v/>
      </c>
      <c r="W1532" s="69" t="str">
        <f>IFERROR(VLOOKUP(A1532,已除帳印單!B:E,4,0),"")</f>
        <v/>
      </c>
      <c r="X1532" s="68" t="str">
        <f>IFERROR(INDEX(刷條碼區!A:C,MATCH(點上線資訊!S1532,刷條碼區!C:C,0),1),"")</f>
        <v/>
      </c>
      <c r="Y1532" s="69" t="str">
        <f>IFERROR(INDEX(刷條碼區!A:C,MATCH(點上線資訊!S1532,刷條碼區!C:C,0),2),"")</f>
        <v/>
      </c>
      <c r="Z1532" s="70" t="str">
        <f>IFERROR(INDEX(刷條碼區!D:G,MATCH(點上線資訊!S1532,刷條碼區!F:F,0),1),"")</f>
        <v/>
      </c>
      <c r="AA1532" s="71" t="str">
        <f>IFERROR(INDEX(刷條碼區!D:G,MATCH(點上線資訊!S1532,刷條碼區!F:F,0),2),"")</f>
        <v/>
      </c>
      <c r="AB1532" s="20">
        <f t="shared" si="148"/>
        <v>0</v>
      </c>
      <c r="AC1532" s="20" t="b">
        <f t="shared" si="149"/>
        <v>0</v>
      </c>
      <c r="AD1532" s="17" t="b">
        <f t="shared" si="150"/>
        <v>0</v>
      </c>
      <c r="AE1532" s="17" t="b">
        <f t="shared" si="151"/>
        <v>0</v>
      </c>
    </row>
    <row r="1533" spans="17:31" x14ac:dyDescent="0.2">
      <c r="Q1533" s="17">
        <f>IFERROR(VLOOKUP(A1533,已除帳印單!B:C,1,0),0)*1</f>
        <v>0</v>
      </c>
      <c r="R1533" s="67" t="str">
        <f>IFERROR(VLOOKUP(J1533,線別!A:B,2,1),"")</f>
        <v/>
      </c>
      <c r="S1533" s="17" t="str">
        <f>IFERROR(VLOOKUP(A1533,已除帳印單!B:C,2,0),"")</f>
        <v/>
      </c>
      <c r="T1533" s="68" t="e">
        <f t="shared" si="146"/>
        <v>#VALUE!</v>
      </c>
      <c r="U1533" s="69">
        <f t="shared" si="147"/>
        <v>0</v>
      </c>
      <c r="V1533" s="68" t="str">
        <f>IFERROR(VLOOKUP(A1533,已除帳印單!B:D,3,0),"")</f>
        <v/>
      </c>
      <c r="W1533" s="69" t="str">
        <f>IFERROR(VLOOKUP(A1533,已除帳印單!B:E,4,0),"")</f>
        <v/>
      </c>
      <c r="X1533" s="68" t="str">
        <f>IFERROR(INDEX(刷條碼區!A:C,MATCH(點上線資訊!S1533,刷條碼區!C:C,0),1),"")</f>
        <v/>
      </c>
      <c r="Y1533" s="69" t="str">
        <f>IFERROR(INDEX(刷條碼區!A:C,MATCH(點上線資訊!S1533,刷條碼區!C:C,0),2),"")</f>
        <v/>
      </c>
      <c r="Z1533" s="70" t="str">
        <f>IFERROR(INDEX(刷條碼區!D:G,MATCH(點上線資訊!S1533,刷條碼區!F:F,0),1),"")</f>
        <v/>
      </c>
      <c r="AA1533" s="71" t="str">
        <f>IFERROR(INDEX(刷條碼區!D:G,MATCH(點上線資訊!S1533,刷條碼區!F:F,0),2),"")</f>
        <v/>
      </c>
      <c r="AB1533" s="20">
        <f t="shared" si="148"/>
        <v>0</v>
      </c>
      <c r="AC1533" s="20" t="b">
        <f t="shared" si="149"/>
        <v>0</v>
      </c>
      <c r="AD1533" s="17" t="b">
        <f t="shared" si="150"/>
        <v>0</v>
      </c>
      <c r="AE1533" s="17" t="b">
        <f t="shared" si="151"/>
        <v>0</v>
      </c>
    </row>
    <row r="1534" spans="17:31" x14ac:dyDescent="0.2">
      <c r="Q1534" s="17">
        <f>IFERROR(VLOOKUP(A1534,已除帳印單!B:C,1,0),0)*1</f>
        <v>0</v>
      </c>
      <c r="R1534" s="67" t="str">
        <f>IFERROR(VLOOKUP(J1534,線別!A:B,2,1),"")</f>
        <v/>
      </c>
      <c r="S1534" s="17" t="str">
        <f>IFERROR(VLOOKUP(A1534,已除帳印單!B:C,2,0),"")</f>
        <v/>
      </c>
      <c r="T1534" s="68" t="e">
        <f t="shared" si="146"/>
        <v>#VALUE!</v>
      </c>
      <c r="U1534" s="69">
        <f t="shared" si="147"/>
        <v>0</v>
      </c>
      <c r="V1534" s="68" t="str">
        <f>IFERROR(VLOOKUP(A1534,已除帳印單!B:D,3,0),"")</f>
        <v/>
      </c>
      <c r="W1534" s="69" t="str">
        <f>IFERROR(VLOOKUP(A1534,已除帳印單!B:E,4,0),"")</f>
        <v/>
      </c>
      <c r="X1534" s="68" t="str">
        <f>IFERROR(INDEX(刷條碼區!A:C,MATCH(點上線資訊!S1534,刷條碼區!C:C,0),1),"")</f>
        <v/>
      </c>
      <c r="Y1534" s="69" t="str">
        <f>IFERROR(INDEX(刷條碼區!A:C,MATCH(點上線資訊!S1534,刷條碼區!C:C,0),2),"")</f>
        <v/>
      </c>
      <c r="Z1534" s="70" t="str">
        <f>IFERROR(INDEX(刷條碼區!D:G,MATCH(點上線資訊!S1534,刷條碼區!F:F,0),1),"")</f>
        <v/>
      </c>
      <c r="AA1534" s="71" t="str">
        <f>IFERROR(INDEX(刷條碼區!D:G,MATCH(點上線資訊!S1534,刷條碼區!F:F,0),2),"")</f>
        <v/>
      </c>
      <c r="AB1534" s="20">
        <f t="shared" si="148"/>
        <v>0</v>
      </c>
      <c r="AC1534" s="20" t="b">
        <f t="shared" si="149"/>
        <v>0</v>
      </c>
      <c r="AD1534" s="17" t="b">
        <f t="shared" si="150"/>
        <v>0</v>
      </c>
      <c r="AE1534" s="17" t="b">
        <f t="shared" si="151"/>
        <v>0</v>
      </c>
    </row>
    <row r="1535" spans="17:31" x14ac:dyDescent="0.2">
      <c r="Q1535" s="17">
        <f>IFERROR(VLOOKUP(A1535,已除帳印單!B:C,1,0),0)*1</f>
        <v>0</v>
      </c>
      <c r="R1535" s="67" t="str">
        <f>IFERROR(VLOOKUP(J1535,線別!A:B,2,1),"")</f>
        <v/>
      </c>
      <c r="S1535" s="17" t="str">
        <f>IFERROR(VLOOKUP(A1535,已除帳印單!B:C,2,0),"")</f>
        <v/>
      </c>
      <c r="T1535" s="68" t="e">
        <f t="shared" si="146"/>
        <v>#VALUE!</v>
      </c>
      <c r="U1535" s="69">
        <f t="shared" si="147"/>
        <v>0</v>
      </c>
      <c r="V1535" s="68" t="str">
        <f>IFERROR(VLOOKUP(A1535,已除帳印單!B:D,3,0),"")</f>
        <v/>
      </c>
      <c r="W1535" s="69" t="str">
        <f>IFERROR(VLOOKUP(A1535,已除帳印單!B:E,4,0),"")</f>
        <v/>
      </c>
      <c r="X1535" s="68" t="str">
        <f>IFERROR(INDEX(刷條碼區!A:C,MATCH(點上線資訊!S1535,刷條碼區!C:C,0),1),"")</f>
        <v/>
      </c>
      <c r="Y1535" s="69" t="str">
        <f>IFERROR(INDEX(刷條碼區!A:C,MATCH(點上線資訊!S1535,刷條碼區!C:C,0),2),"")</f>
        <v/>
      </c>
      <c r="Z1535" s="70" t="str">
        <f>IFERROR(INDEX(刷條碼區!D:G,MATCH(點上線資訊!S1535,刷條碼區!F:F,0),1),"")</f>
        <v/>
      </c>
      <c r="AA1535" s="71" t="str">
        <f>IFERROR(INDEX(刷條碼區!D:G,MATCH(點上線資訊!S1535,刷條碼區!F:F,0),2),"")</f>
        <v/>
      </c>
      <c r="AB1535" s="20">
        <f t="shared" si="148"/>
        <v>0</v>
      </c>
      <c r="AC1535" s="20" t="b">
        <f t="shared" si="149"/>
        <v>0</v>
      </c>
      <c r="AD1535" s="17" t="b">
        <f t="shared" si="150"/>
        <v>0</v>
      </c>
      <c r="AE1535" s="17" t="b">
        <f t="shared" si="151"/>
        <v>0</v>
      </c>
    </row>
    <row r="1536" spans="17:31" x14ac:dyDescent="0.2">
      <c r="Q1536" s="17">
        <f>IFERROR(VLOOKUP(A1536,已除帳印單!B:C,1,0),0)*1</f>
        <v>0</v>
      </c>
      <c r="R1536" s="67" t="str">
        <f>IFERROR(VLOOKUP(J1536,線別!A:B,2,1),"")</f>
        <v/>
      </c>
      <c r="S1536" s="17" t="str">
        <f>IFERROR(VLOOKUP(A1536,已除帳印單!B:C,2,0),"")</f>
        <v/>
      </c>
      <c r="T1536" s="68" t="e">
        <f t="shared" si="146"/>
        <v>#VALUE!</v>
      </c>
      <c r="U1536" s="69">
        <f t="shared" si="147"/>
        <v>0</v>
      </c>
      <c r="V1536" s="68" t="str">
        <f>IFERROR(VLOOKUP(A1536,已除帳印單!B:D,3,0),"")</f>
        <v/>
      </c>
      <c r="W1536" s="69" t="str">
        <f>IFERROR(VLOOKUP(A1536,已除帳印單!B:E,4,0),"")</f>
        <v/>
      </c>
      <c r="X1536" s="68" t="str">
        <f>IFERROR(INDEX(刷條碼區!A:C,MATCH(點上線資訊!S1536,刷條碼區!C:C,0),1),"")</f>
        <v/>
      </c>
      <c r="Y1536" s="69" t="str">
        <f>IFERROR(INDEX(刷條碼區!A:C,MATCH(點上線資訊!S1536,刷條碼區!C:C,0),2),"")</f>
        <v/>
      </c>
      <c r="Z1536" s="70" t="str">
        <f>IFERROR(INDEX(刷條碼區!D:G,MATCH(點上線資訊!S1536,刷條碼區!F:F,0),1),"")</f>
        <v/>
      </c>
      <c r="AA1536" s="71" t="str">
        <f>IFERROR(INDEX(刷條碼區!D:G,MATCH(點上線資訊!S1536,刷條碼區!F:F,0),2),"")</f>
        <v/>
      </c>
      <c r="AB1536" s="20">
        <f t="shared" si="148"/>
        <v>0</v>
      </c>
      <c r="AC1536" s="20" t="b">
        <f t="shared" si="149"/>
        <v>0</v>
      </c>
      <c r="AD1536" s="17" t="b">
        <f t="shared" si="150"/>
        <v>0</v>
      </c>
      <c r="AE1536" s="17" t="b">
        <f t="shared" si="151"/>
        <v>0</v>
      </c>
    </row>
    <row r="1537" spans="17:31" x14ac:dyDescent="0.2">
      <c r="Q1537" s="17">
        <f>IFERROR(VLOOKUP(A1537,已除帳印單!B:C,1,0),0)*1</f>
        <v>0</v>
      </c>
      <c r="R1537" s="67" t="str">
        <f>IFERROR(VLOOKUP(J1537,線別!A:B,2,1),"")</f>
        <v/>
      </c>
      <c r="S1537" s="17" t="str">
        <f>IFERROR(VLOOKUP(A1537,已除帳印單!B:C,2,0),"")</f>
        <v/>
      </c>
      <c r="T1537" s="68" t="e">
        <f t="shared" si="146"/>
        <v>#VALUE!</v>
      </c>
      <c r="U1537" s="69">
        <f t="shared" si="147"/>
        <v>0</v>
      </c>
      <c r="V1537" s="68" t="str">
        <f>IFERROR(VLOOKUP(A1537,已除帳印單!B:D,3,0),"")</f>
        <v/>
      </c>
      <c r="W1537" s="69" t="str">
        <f>IFERROR(VLOOKUP(A1537,已除帳印單!B:E,4,0),"")</f>
        <v/>
      </c>
      <c r="X1537" s="68" t="str">
        <f>IFERROR(INDEX(刷條碼區!A:C,MATCH(點上線資訊!S1537,刷條碼區!C:C,0),1),"")</f>
        <v/>
      </c>
      <c r="Y1537" s="69" t="str">
        <f>IFERROR(INDEX(刷條碼區!A:C,MATCH(點上線資訊!S1537,刷條碼區!C:C,0),2),"")</f>
        <v/>
      </c>
      <c r="Z1537" s="70" t="str">
        <f>IFERROR(INDEX(刷條碼區!D:G,MATCH(點上線資訊!S1537,刷條碼區!F:F,0),1),"")</f>
        <v/>
      </c>
      <c r="AA1537" s="71" t="str">
        <f>IFERROR(INDEX(刷條碼區!D:G,MATCH(點上線資訊!S1537,刷條碼區!F:F,0),2),"")</f>
        <v/>
      </c>
      <c r="AB1537" s="20">
        <f t="shared" si="148"/>
        <v>0</v>
      </c>
      <c r="AC1537" s="20" t="b">
        <f t="shared" si="149"/>
        <v>0</v>
      </c>
      <c r="AD1537" s="17" t="b">
        <f t="shared" si="150"/>
        <v>0</v>
      </c>
      <c r="AE1537" s="17" t="b">
        <f t="shared" si="151"/>
        <v>0</v>
      </c>
    </row>
    <row r="1538" spans="17:31" x14ac:dyDescent="0.2">
      <c r="Q1538" s="17">
        <f>IFERROR(VLOOKUP(A1538,已除帳印單!B:C,1,0),0)*1</f>
        <v>0</v>
      </c>
      <c r="R1538" s="67" t="str">
        <f>IFERROR(VLOOKUP(J1538,線別!A:B,2,1),"")</f>
        <v/>
      </c>
      <c r="S1538" s="17" t="str">
        <f>IFERROR(VLOOKUP(A1538,已除帳印單!B:C,2,0),"")</f>
        <v/>
      </c>
      <c r="T1538" s="68" t="e">
        <f t="shared" si="146"/>
        <v>#VALUE!</v>
      </c>
      <c r="U1538" s="69">
        <f t="shared" si="147"/>
        <v>0</v>
      </c>
      <c r="V1538" s="68" t="str">
        <f>IFERROR(VLOOKUP(A1538,已除帳印單!B:D,3,0),"")</f>
        <v/>
      </c>
      <c r="W1538" s="69" t="str">
        <f>IFERROR(VLOOKUP(A1538,已除帳印單!B:E,4,0),"")</f>
        <v/>
      </c>
      <c r="X1538" s="68" t="str">
        <f>IFERROR(INDEX(刷條碼區!A:C,MATCH(點上線資訊!S1538,刷條碼區!C:C,0),1),"")</f>
        <v/>
      </c>
      <c r="Y1538" s="69" t="str">
        <f>IFERROR(INDEX(刷條碼區!A:C,MATCH(點上線資訊!S1538,刷條碼區!C:C,0),2),"")</f>
        <v/>
      </c>
      <c r="Z1538" s="70" t="str">
        <f>IFERROR(INDEX(刷條碼區!D:G,MATCH(點上線資訊!S1538,刷條碼區!F:F,0),1),"")</f>
        <v/>
      </c>
      <c r="AA1538" s="71" t="str">
        <f>IFERROR(INDEX(刷條碼區!D:G,MATCH(點上線資訊!S1538,刷條碼區!F:F,0),2),"")</f>
        <v/>
      </c>
      <c r="AB1538" s="20">
        <f t="shared" si="148"/>
        <v>0</v>
      </c>
      <c r="AC1538" s="20" t="b">
        <f t="shared" si="149"/>
        <v>0</v>
      </c>
      <c r="AD1538" s="17" t="b">
        <f t="shared" si="150"/>
        <v>0</v>
      </c>
      <c r="AE1538" s="17" t="b">
        <f t="shared" si="151"/>
        <v>0</v>
      </c>
    </row>
    <row r="1539" spans="17:31" x14ac:dyDescent="0.2">
      <c r="Q1539" s="17">
        <f>IFERROR(VLOOKUP(A1539,已除帳印單!B:C,1,0),0)*1</f>
        <v>0</v>
      </c>
      <c r="R1539" s="67" t="str">
        <f>IFERROR(VLOOKUP(J1539,線別!A:B,2,1),"")</f>
        <v/>
      </c>
      <c r="S1539" s="17" t="str">
        <f>IFERROR(VLOOKUP(A1539,已除帳印單!B:C,2,0),"")</f>
        <v/>
      </c>
      <c r="T1539" s="68" t="e">
        <f t="shared" si="146"/>
        <v>#VALUE!</v>
      </c>
      <c r="U1539" s="69">
        <f t="shared" si="147"/>
        <v>0</v>
      </c>
      <c r="V1539" s="68" t="str">
        <f>IFERROR(VLOOKUP(A1539,已除帳印單!B:D,3,0),"")</f>
        <v/>
      </c>
      <c r="W1539" s="69" t="str">
        <f>IFERROR(VLOOKUP(A1539,已除帳印單!B:E,4,0),"")</f>
        <v/>
      </c>
      <c r="X1539" s="68" t="str">
        <f>IFERROR(INDEX(刷條碼區!A:C,MATCH(點上線資訊!S1539,刷條碼區!C:C,0),1),"")</f>
        <v/>
      </c>
      <c r="Y1539" s="69" t="str">
        <f>IFERROR(INDEX(刷條碼區!A:C,MATCH(點上線資訊!S1539,刷條碼區!C:C,0),2),"")</f>
        <v/>
      </c>
      <c r="Z1539" s="70" t="str">
        <f>IFERROR(INDEX(刷條碼區!D:G,MATCH(點上線資訊!S1539,刷條碼區!F:F,0),1),"")</f>
        <v/>
      </c>
      <c r="AA1539" s="71" t="str">
        <f>IFERROR(INDEX(刷條碼區!D:G,MATCH(點上線資訊!S1539,刷條碼區!F:F,0),2),"")</f>
        <v/>
      </c>
      <c r="AB1539" s="20">
        <f t="shared" si="148"/>
        <v>0</v>
      </c>
      <c r="AC1539" s="20" t="b">
        <f t="shared" si="149"/>
        <v>0</v>
      </c>
      <c r="AD1539" s="17" t="b">
        <f t="shared" si="150"/>
        <v>0</v>
      </c>
      <c r="AE1539" s="17" t="b">
        <f t="shared" si="151"/>
        <v>0</v>
      </c>
    </row>
    <row r="1540" spans="17:31" x14ac:dyDescent="0.2">
      <c r="Q1540" s="17">
        <f>IFERROR(VLOOKUP(A1540,已除帳印單!B:C,1,0),0)*1</f>
        <v>0</v>
      </c>
      <c r="R1540" s="67" t="str">
        <f>IFERROR(VLOOKUP(J1540,線別!A:B,2,1),"")</f>
        <v/>
      </c>
      <c r="S1540" s="17" t="str">
        <f>IFERROR(VLOOKUP(A1540,已除帳印單!B:C,2,0),"")</f>
        <v/>
      </c>
      <c r="T1540" s="68" t="e">
        <f t="shared" si="146"/>
        <v>#VALUE!</v>
      </c>
      <c r="U1540" s="69">
        <f t="shared" si="147"/>
        <v>0</v>
      </c>
      <c r="V1540" s="68" t="str">
        <f>IFERROR(VLOOKUP(A1540,已除帳印單!B:D,3,0),"")</f>
        <v/>
      </c>
      <c r="W1540" s="69" t="str">
        <f>IFERROR(VLOOKUP(A1540,已除帳印單!B:E,4,0),"")</f>
        <v/>
      </c>
      <c r="X1540" s="68" t="str">
        <f>IFERROR(INDEX(刷條碼區!A:C,MATCH(點上線資訊!S1540,刷條碼區!C:C,0),1),"")</f>
        <v/>
      </c>
      <c r="Y1540" s="69" t="str">
        <f>IFERROR(INDEX(刷條碼區!A:C,MATCH(點上線資訊!S1540,刷條碼區!C:C,0),2),"")</f>
        <v/>
      </c>
      <c r="Z1540" s="70" t="str">
        <f>IFERROR(INDEX(刷條碼區!D:G,MATCH(點上線資訊!S1540,刷條碼區!F:F,0),1),"")</f>
        <v/>
      </c>
      <c r="AA1540" s="71" t="str">
        <f>IFERROR(INDEX(刷條碼區!D:G,MATCH(點上線資訊!S1540,刷條碼區!F:F,0),2),"")</f>
        <v/>
      </c>
      <c r="AB1540" s="20">
        <f t="shared" si="148"/>
        <v>0</v>
      </c>
      <c r="AC1540" s="20" t="b">
        <f t="shared" si="149"/>
        <v>0</v>
      </c>
      <c r="AD1540" s="17" t="b">
        <f t="shared" si="150"/>
        <v>0</v>
      </c>
      <c r="AE1540" s="17" t="b">
        <f t="shared" si="151"/>
        <v>0</v>
      </c>
    </row>
    <row r="1541" spans="17:31" x14ac:dyDescent="0.2">
      <c r="Q1541" s="17">
        <f>IFERROR(VLOOKUP(A1541,已除帳印單!B:C,1,0),0)*1</f>
        <v>0</v>
      </c>
      <c r="R1541" s="67" t="str">
        <f>IFERROR(VLOOKUP(J1541,線別!A:B,2,1),"")</f>
        <v/>
      </c>
      <c r="S1541" s="17" t="str">
        <f>IFERROR(VLOOKUP(A1541,已除帳印單!B:C,2,0),"")</f>
        <v/>
      </c>
      <c r="T1541" s="68" t="e">
        <f t="shared" si="146"/>
        <v>#VALUE!</v>
      </c>
      <c r="U1541" s="69">
        <f t="shared" si="147"/>
        <v>0</v>
      </c>
      <c r="V1541" s="68" t="str">
        <f>IFERROR(VLOOKUP(A1541,已除帳印單!B:D,3,0),"")</f>
        <v/>
      </c>
      <c r="W1541" s="69" t="str">
        <f>IFERROR(VLOOKUP(A1541,已除帳印單!B:E,4,0),"")</f>
        <v/>
      </c>
      <c r="X1541" s="68" t="str">
        <f>IFERROR(INDEX(刷條碼區!A:C,MATCH(點上線資訊!S1541,刷條碼區!C:C,0),1),"")</f>
        <v/>
      </c>
      <c r="Y1541" s="69" t="str">
        <f>IFERROR(INDEX(刷條碼區!A:C,MATCH(點上線資訊!S1541,刷條碼區!C:C,0),2),"")</f>
        <v/>
      </c>
      <c r="Z1541" s="70" t="str">
        <f>IFERROR(INDEX(刷條碼區!D:G,MATCH(點上線資訊!S1541,刷條碼區!F:F,0),1),"")</f>
        <v/>
      </c>
      <c r="AA1541" s="71" t="str">
        <f>IFERROR(INDEX(刷條碼區!D:G,MATCH(點上線資訊!S1541,刷條碼區!F:F,0),2),"")</f>
        <v/>
      </c>
      <c r="AB1541" s="20">
        <f t="shared" si="148"/>
        <v>0</v>
      </c>
      <c r="AC1541" s="20" t="b">
        <f t="shared" si="149"/>
        <v>0</v>
      </c>
      <c r="AD1541" s="17" t="b">
        <f t="shared" si="150"/>
        <v>0</v>
      </c>
      <c r="AE1541" s="17" t="b">
        <f t="shared" si="151"/>
        <v>0</v>
      </c>
    </row>
    <row r="1542" spans="17:31" x14ac:dyDescent="0.2">
      <c r="Q1542" s="17">
        <f>IFERROR(VLOOKUP(A1542,已除帳印單!B:C,1,0),0)*1</f>
        <v>0</v>
      </c>
      <c r="R1542" s="67" t="str">
        <f>IFERROR(VLOOKUP(J1542,線別!A:B,2,1),"")</f>
        <v/>
      </c>
      <c r="S1542" s="17" t="str">
        <f>IFERROR(VLOOKUP(A1542,已除帳印單!B:C,2,0),"")</f>
        <v/>
      </c>
      <c r="T1542" s="68" t="e">
        <f t="shared" si="146"/>
        <v>#VALUE!</v>
      </c>
      <c r="U1542" s="69">
        <f t="shared" si="147"/>
        <v>0</v>
      </c>
      <c r="V1542" s="68" t="str">
        <f>IFERROR(VLOOKUP(A1542,已除帳印單!B:D,3,0),"")</f>
        <v/>
      </c>
      <c r="W1542" s="69" t="str">
        <f>IFERROR(VLOOKUP(A1542,已除帳印單!B:E,4,0),"")</f>
        <v/>
      </c>
      <c r="X1542" s="68" t="str">
        <f>IFERROR(INDEX(刷條碼區!A:C,MATCH(點上線資訊!S1542,刷條碼區!C:C,0),1),"")</f>
        <v/>
      </c>
      <c r="Y1542" s="69" t="str">
        <f>IFERROR(INDEX(刷條碼區!A:C,MATCH(點上線資訊!S1542,刷條碼區!C:C,0),2),"")</f>
        <v/>
      </c>
      <c r="Z1542" s="70" t="str">
        <f>IFERROR(INDEX(刷條碼區!D:G,MATCH(點上線資訊!S1542,刷條碼區!F:F,0),1),"")</f>
        <v/>
      </c>
      <c r="AA1542" s="71" t="str">
        <f>IFERROR(INDEX(刷條碼區!D:G,MATCH(點上線資訊!S1542,刷條碼區!F:F,0),2),"")</f>
        <v/>
      </c>
      <c r="AB1542" s="20">
        <f t="shared" si="148"/>
        <v>0</v>
      </c>
      <c r="AC1542" s="20" t="b">
        <f t="shared" si="149"/>
        <v>0</v>
      </c>
      <c r="AD1542" s="17" t="b">
        <f t="shared" si="150"/>
        <v>0</v>
      </c>
      <c r="AE1542" s="17" t="b">
        <f t="shared" si="151"/>
        <v>0</v>
      </c>
    </row>
    <row r="1543" spans="17:31" x14ac:dyDescent="0.2">
      <c r="Q1543" s="17">
        <f>IFERROR(VLOOKUP(A1543,已除帳印單!B:C,1,0),0)*1</f>
        <v>0</v>
      </c>
      <c r="R1543" s="67" t="str">
        <f>IFERROR(VLOOKUP(J1543,線別!A:B,2,1),"")</f>
        <v/>
      </c>
      <c r="S1543" s="17" t="str">
        <f>IFERROR(VLOOKUP(A1543,已除帳印單!B:C,2,0),"")</f>
        <v/>
      </c>
      <c r="T1543" s="68" t="e">
        <f t="shared" si="146"/>
        <v>#VALUE!</v>
      </c>
      <c r="U1543" s="69">
        <f t="shared" si="147"/>
        <v>0</v>
      </c>
      <c r="V1543" s="68" t="str">
        <f>IFERROR(VLOOKUP(A1543,已除帳印單!B:D,3,0),"")</f>
        <v/>
      </c>
      <c r="W1543" s="69" t="str">
        <f>IFERROR(VLOOKUP(A1543,已除帳印單!B:E,4,0),"")</f>
        <v/>
      </c>
      <c r="X1543" s="68" t="str">
        <f>IFERROR(INDEX(刷條碼區!A:C,MATCH(點上線資訊!S1543,刷條碼區!C:C,0),1),"")</f>
        <v/>
      </c>
      <c r="Y1543" s="69" t="str">
        <f>IFERROR(INDEX(刷條碼區!A:C,MATCH(點上線資訊!S1543,刷條碼區!C:C,0),2),"")</f>
        <v/>
      </c>
      <c r="Z1543" s="70" t="str">
        <f>IFERROR(INDEX(刷條碼區!D:G,MATCH(點上線資訊!S1543,刷條碼區!F:F,0),1),"")</f>
        <v/>
      </c>
      <c r="AA1543" s="71" t="str">
        <f>IFERROR(INDEX(刷條碼區!D:G,MATCH(點上線資訊!S1543,刷條碼區!F:F,0),2),"")</f>
        <v/>
      </c>
      <c r="AB1543" s="20">
        <f t="shared" si="148"/>
        <v>0</v>
      </c>
      <c r="AC1543" s="20" t="b">
        <f t="shared" si="149"/>
        <v>0</v>
      </c>
      <c r="AD1543" s="17" t="b">
        <f t="shared" si="150"/>
        <v>0</v>
      </c>
      <c r="AE1543" s="17" t="b">
        <f t="shared" si="151"/>
        <v>0</v>
      </c>
    </row>
    <row r="1544" spans="17:31" x14ac:dyDescent="0.2">
      <c r="Q1544" s="17">
        <f>IFERROR(VLOOKUP(A1544,已除帳印單!B:C,1,0),0)*1</f>
        <v>0</v>
      </c>
      <c r="R1544" s="67" t="str">
        <f>IFERROR(VLOOKUP(J1544,線別!A:B,2,1),"")</f>
        <v/>
      </c>
      <c r="S1544" s="17" t="str">
        <f>IFERROR(VLOOKUP(A1544,已除帳印單!B:C,2,0),"")</f>
        <v/>
      </c>
      <c r="T1544" s="68" t="e">
        <f t="shared" si="146"/>
        <v>#VALUE!</v>
      </c>
      <c r="U1544" s="69">
        <f t="shared" si="147"/>
        <v>0</v>
      </c>
      <c r="V1544" s="68" t="str">
        <f>IFERROR(VLOOKUP(A1544,已除帳印單!B:D,3,0),"")</f>
        <v/>
      </c>
      <c r="W1544" s="69" t="str">
        <f>IFERROR(VLOOKUP(A1544,已除帳印單!B:E,4,0),"")</f>
        <v/>
      </c>
      <c r="X1544" s="68" t="str">
        <f>IFERROR(INDEX(刷條碼區!A:C,MATCH(點上線資訊!S1544,刷條碼區!C:C,0),1),"")</f>
        <v/>
      </c>
      <c r="Y1544" s="69" t="str">
        <f>IFERROR(INDEX(刷條碼區!A:C,MATCH(點上線資訊!S1544,刷條碼區!C:C,0),2),"")</f>
        <v/>
      </c>
      <c r="Z1544" s="70" t="str">
        <f>IFERROR(INDEX(刷條碼區!D:G,MATCH(點上線資訊!S1544,刷條碼區!F:F,0),1),"")</f>
        <v/>
      </c>
      <c r="AA1544" s="71" t="str">
        <f>IFERROR(INDEX(刷條碼區!D:G,MATCH(點上線資訊!S1544,刷條碼區!F:F,0),2),"")</f>
        <v/>
      </c>
      <c r="AB1544" s="20">
        <f t="shared" si="148"/>
        <v>0</v>
      </c>
      <c r="AC1544" s="20" t="b">
        <f t="shared" si="149"/>
        <v>0</v>
      </c>
      <c r="AD1544" s="17" t="b">
        <f t="shared" si="150"/>
        <v>0</v>
      </c>
      <c r="AE1544" s="17" t="b">
        <f t="shared" si="151"/>
        <v>0</v>
      </c>
    </row>
    <row r="1545" spans="17:31" x14ac:dyDescent="0.2">
      <c r="Q1545" s="17">
        <f>IFERROR(VLOOKUP(A1545,已除帳印單!B:C,1,0),0)*1</f>
        <v>0</v>
      </c>
      <c r="R1545" s="67" t="str">
        <f>IFERROR(VLOOKUP(J1545,線別!A:B,2,1),"")</f>
        <v/>
      </c>
      <c r="S1545" s="17" t="str">
        <f>IFERROR(VLOOKUP(A1545,已除帳印單!B:C,2,0),"")</f>
        <v/>
      </c>
      <c r="T1545" s="68" t="e">
        <f t="shared" si="146"/>
        <v>#VALUE!</v>
      </c>
      <c r="U1545" s="69">
        <f t="shared" si="147"/>
        <v>0</v>
      </c>
      <c r="V1545" s="68" t="str">
        <f>IFERROR(VLOOKUP(A1545,已除帳印單!B:D,3,0),"")</f>
        <v/>
      </c>
      <c r="W1545" s="69" t="str">
        <f>IFERROR(VLOOKUP(A1545,已除帳印單!B:E,4,0),"")</f>
        <v/>
      </c>
      <c r="X1545" s="68" t="str">
        <f>IFERROR(INDEX(刷條碼區!A:C,MATCH(點上線資訊!S1545,刷條碼區!C:C,0),1),"")</f>
        <v/>
      </c>
      <c r="Y1545" s="69" t="str">
        <f>IFERROR(INDEX(刷條碼區!A:C,MATCH(點上線資訊!S1545,刷條碼區!C:C,0),2),"")</f>
        <v/>
      </c>
      <c r="Z1545" s="70" t="str">
        <f>IFERROR(INDEX(刷條碼區!D:G,MATCH(點上線資訊!S1545,刷條碼區!F:F,0),1),"")</f>
        <v/>
      </c>
      <c r="AA1545" s="71" t="str">
        <f>IFERROR(INDEX(刷條碼區!D:G,MATCH(點上線資訊!S1545,刷條碼區!F:F,0),2),"")</f>
        <v/>
      </c>
      <c r="AB1545" s="20">
        <f t="shared" si="148"/>
        <v>0</v>
      </c>
      <c r="AC1545" s="20" t="b">
        <f t="shared" si="149"/>
        <v>0</v>
      </c>
      <c r="AD1545" s="17" t="b">
        <f t="shared" si="150"/>
        <v>0</v>
      </c>
      <c r="AE1545" s="17" t="b">
        <f t="shared" si="151"/>
        <v>0</v>
      </c>
    </row>
    <row r="1546" spans="17:31" x14ac:dyDescent="0.2">
      <c r="Q1546" s="17">
        <f>IFERROR(VLOOKUP(A1546,已除帳印單!B:C,1,0),0)*1</f>
        <v>0</v>
      </c>
      <c r="R1546" s="67" t="str">
        <f>IFERROR(VLOOKUP(J1546,線別!A:B,2,1),"")</f>
        <v/>
      </c>
      <c r="S1546" s="17" t="str">
        <f>IFERROR(VLOOKUP(A1546,已除帳印單!B:C,2,0),"")</f>
        <v/>
      </c>
      <c r="T1546" s="68" t="e">
        <f t="shared" si="146"/>
        <v>#VALUE!</v>
      </c>
      <c r="U1546" s="69">
        <f t="shared" si="147"/>
        <v>0</v>
      </c>
      <c r="V1546" s="68" t="str">
        <f>IFERROR(VLOOKUP(A1546,已除帳印單!B:D,3,0),"")</f>
        <v/>
      </c>
      <c r="W1546" s="69" t="str">
        <f>IFERROR(VLOOKUP(A1546,已除帳印單!B:E,4,0),"")</f>
        <v/>
      </c>
      <c r="X1546" s="68" t="str">
        <f>IFERROR(INDEX(刷條碼區!A:C,MATCH(點上線資訊!S1546,刷條碼區!C:C,0),1),"")</f>
        <v/>
      </c>
      <c r="Y1546" s="69" t="str">
        <f>IFERROR(INDEX(刷條碼區!A:C,MATCH(點上線資訊!S1546,刷條碼區!C:C,0),2),"")</f>
        <v/>
      </c>
      <c r="Z1546" s="70" t="str">
        <f>IFERROR(INDEX(刷條碼區!D:G,MATCH(點上線資訊!S1546,刷條碼區!F:F,0),1),"")</f>
        <v/>
      </c>
      <c r="AA1546" s="71" t="str">
        <f>IFERROR(INDEX(刷條碼區!D:G,MATCH(點上線資訊!S1546,刷條碼區!F:F,0),2),"")</f>
        <v/>
      </c>
      <c r="AB1546" s="20">
        <f t="shared" si="148"/>
        <v>0</v>
      </c>
      <c r="AC1546" s="20" t="b">
        <f t="shared" si="149"/>
        <v>0</v>
      </c>
      <c r="AD1546" s="17" t="b">
        <f t="shared" si="150"/>
        <v>0</v>
      </c>
      <c r="AE1546" s="17" t="b">
        <f t="shared" si="151"/>
        <v>0</v>
      </c>
    </row>
    <row r="1547" spans="17:31" x14ac:dyDescent="0.2">
      <c r="Q1547" s="17">
        <f>IFERROR(VLOOKUP(A1547,已除帳印單!B:C,1,0),0)*1</f>
        <v>0</v>
      </c>
      <c r="R1547" s="67" t="str">
        <f>IFERROR(VLOOKUP(J1547,線別!A:B,2,1),"")</f>
        <v/>
      </c>
      <c r="S1547" s="17" t="str">
        <f>IFERROR(VLOOKUP(A1547,已除帳印單!B:C,2,0),"")</f>
        <v/>
      </c>
      <c r="T1547" s="68" t="e">
        <f t="shared" si="146"/>
        <v>#VALUE!</v>
      </c>
      <c r="U1547" s="69">
        <f t="shared" si="147"/>
        <v>0</v>
      </c>
      <c r="V1547" s="68" t="str">
        <f>IFERROR(VLOOKUP(A1547,已除帳印單!B:D,3,0),"")</f>
        <v/>
      </c>
      <c r="W1547" s="69" t="str">
        <f>IFERROR(VLOOKUP(A1547,已除帳印單!B:E,4,0),"")</f>
        <v/>
      </c>
      <c r="X1547" s="68" t="str">
        <f>IFERROR(INDEX(刷條碼區!A:C,MATCH(點上線資訊!S1547,刷條碼區!C:C,0),1),"")</f>
        <v/>
      </c>
      <c r="Y1547" s="69" t="str">
        <f>IFERROR(INDEX(刷條碼區!A:C,MATCH(點上線資訊!S1547,刷條碼區!C:C,0),2),"")</f>
        <v/>
      </c>
      <c r="Z1547" s="70" t="str">
        <f>IFERROR(INDEX(刷條碼區!D:G,MATCH(點上線資訊!S1547,刷條碼區!F:F,0),1),"")</f>
        <v/>
      </c>
      <c r="AA1547" s="71" t="str">
        <f>IFERROR(INDEX(刷條碼區!D:G,MATCH(點上線資訊!S1547,刷條碼區!F:F,0),2),"")</f>
        <v/>
      </c>
      <c r="AB1547" s="20">
        <f t="shared" si="148"/>
        <v>0</v>
      </c>
      <c r="AC1547" s="20" t="b">
        <f t="shared" si="149"/>
        <v>0</v>
      </c>
      <c r="AD1547" s="17" t="b">
        <f t="shared" si="150"/>
        <v>0</v>
      </c>
      <c r="AE1547" s="17" t="b">
        <f t="shared" si="151"/>
        <v>0</v>
      </c>
    </row>
    <row r="1548" spans="17:31" x14ac:dyDescent="0.2">
      <c r="Q1548" s="17">
        <f>IFERROR(VLOOKUP(A1548,已除帳印單!B:C,1,0),0)*1</f>
        <v>0</v>
      </c>
      <c r="R1548" s="67" t="str">
        <f>IFERROR(VLOOKUP(J1548,線別!A:B,2,1),"")</f>
        <v/>
      </c>
      <c r="S1548" s="17" t="str">
        <f>IFERROR(VLOOKUP(A1548,已除帳印單!B:C,2,0),"")</f>
        <v/>
      </c>
      <c r="T1548" s="68" t="e">
        <f t="shared" si="146"/>
        <v>#VALUE!</v>
      </c>
      <c r="U1548" s="69">
        <f t="shared" si="147"/>
        <v>0</v>
      </c>
      <c r="V1548" s="68" t="str">
        <f>IFERROR(VLOOKUP(A1548,已除帳印單!B:D,3,0),"")</f>
        <v/>
      </c>
      <c r="W1548" s="69" t="str">
        <f>IFERROR(VLOOKUP(A1548,已除帳印單!B:E,4,0),"")</f>
        <v/>
      </c>
      <c r="X1548" s="68" t="str">
        <f>IFERROR(INDEX(刷條碼區!A:C,MATCH(點上線資訊!S1548,刷條碼區!C:C,0),1),"")</f>
        <v/>
      </c>
      <c r="Y1548" s="69" t="str">
        <f>IFERROR(INDEX(刷條碼區!A:C,MATCH(點上線資訊!S1548,刷條碼區!C:C,0),2),"")</f>
        <v/>
      </c>
      <c r="Z1548" s="70" t="str">
        <f>IFERROR(INDEX(刷條碼區!D:G,MATCH(點上線資訊!S1548,刷條碼區!F:F,0),1),"")</f>
        <v/>
      </c>
      <c r="AA1548" s="71" t="str">
        <f>IFERROR(INDEX(刷條碼區!D:G,MATCH(點上線資訊!S1548,刷條碼區!F:F,0),2),"")</f>
        <v/>
      </c>
      <c r="AB1548" s="20">
        <f t="shared" si="148"/>
        <v>0</v>
      </c>
      <c r="AC1548" s="20" t="b">
        <f t="shared" si="149"/>
        <v>0</v>
      </c>
      <c r="AD1548" s="17" t="b">
        <f t="shared" si="150"/>
        <v>0</v>
      </c>
      <c r="AE1548" s="17" t="b">
        <f t="shared" si="151"/>
        <v>0</v>
      </c>
    </row>
    <row r="1549" spans="17:31" x14ac:dyDescent="0.2">
      <c r="Q1549" s="17">
        <f>IFERROR(VLOOKUP(A1549,已除帳印單!B:C,1,0),0)*1</f>
        <v>0</v>
      </c>
      <c r="R1549" s="67" t="str">
        <f>IFERROR(VLOOKUP(J1549,線別!A:B,2,1),"")</f>
        <v/>
      </c>
      <c r="S1549" s="17" t="str">
        <f>IFERROR(VLOOKUP(A1549,已除帳印單!B:C,2,0),"")</f>
        <v/>
      </c>
      <c r="T1549" s="68" t="e">
        <f t="shared" si="146"/>
        <v>#VALUE!</v>
      </c>
      <c r="U1549" s="69">
        <f t="shared" si="147"/>
        <v>0</v>
      </c>
      <c r="V1549" s="68" t="str">
        <f>IFERROR(VLOOKUP(A1549,已除帳印單!B:D,3,0),"")</f>
        <v/>
      </c>
      <c r="W1549" s="69" t="str">
        <f>IFERROR(VLOOKUP(A1549,已除帳印單!B:E,4,0),"")</f>
        <v/>
      </c>
      <c r="X1549" s="68" t="str">
        <f>IFERROR(INDEX(刷條碼區!A:C,MATCH(點上線資訊!S1549,刷條碼區!C:C,0),1),"")</f>
        <v/>
      </c>
      <c r="Y1549" s="69" t="str">
        <f>IFERROR(INDEX(刷條碼區!A:C,MATCH(點上線資訊!S1549,刷條碼區!C:C,0),2),"")</f>
        <v/>
      </c>
      <c r="Z1549" s="70" t="str">
        <f>IFERROR(INDEX(刷條碼區!D:G,MATCH(點上線資訊!S1549,刷條碼區!F:F,0),1),"")</f>
        <v/>
      </c>
      <c r="AA1549" s="71" t="str">
        <f>IFERROR(INDEX(刷條碼區!D:G,MATCH(點上線資訊!S1549,刷條碼區!F:F,0),2),"")</f>
        <v/>
      </c>
      <c r="AB1549" s="20">
        <f t="shared" si="148"/>
        <v>0</v>
      </c>
      <c r="AC1549" s="20" t="b">
        <f t="shared" si="149"/>
        <v>0</v>
      </c>
      <c r="AD1549" s="17" t="b">
        <f t="shared" si="150"/>
        <v>0</v>
      </c>
      <c r="AE1549" s="17" t="b">
        <f t="shared" si="151"/>
        <v>0</v>
      </c>
    </row>
    <row r="1550" spans="17:31" x14ac:dyDescent="0.2">
      <c r="Q1550" s="17">
        <f>IFERROR(VLOOKUP(A1550,已除帳印單!B:C,1,0),0)*1</f>
        <v>0</v>
      </c>
      <c r="R1550" s="67" t="str">
        <f>IFERROR(VLOOKUP(J1550,線別!A:B,2,1),"")</f>
        <v/>
      </c>
      <c r="S1550" s="17" t="str">
        <f>IFERROR(VLOOKUP(A1550,已除帳印單!B:C,2,0),"")</f>
        <v/>
      </c>
      <c r="T1550" s="68" t="e">
        <f t="shared" si="146"/>
        <v>#VALUE!</v>
      </c>
      <c r="U1550" s="69">
        <f t="shared" si="147"/>
        <v>0</v>
      </c>
      <c r="V1550" s="68" t="str">
        <f>IFERROR(VLOOKUP(A1550,已除帳印單!B:D,3,0),"")</f>
        <v/>
      </c>
      <c r="W1550" s="69" t="str">
        <f>IFERROR(VLOOKUP(A1550,已除帳印單!B:E,4,0),"")</f>
        <v/>
      </c>
      <c r="X1550" s="68" t="str">
        <f>IFERROR(INDEX(刷條碼區!A:C,MATCH(點上線資訊!S1550,刷條碼區!C:C,0),1),"")</f>
        <v/>
      </c>
      <c r="Y1550" s="69" t="str">
        <f>IFERROR(INDEX(刷條碼區!A:C,MATCH(點上線資訊!S1550,刷條碼區!C:C,0),2),"")</f>
        <v/>
      </c>
      <c r="Z1550" s="70" t="str">
        <f>IFERROR(INDEX(刷條碼區!D:G,MATCH(點上線資訊!S1550,刷條碼區!F:F,0),1),"")</f>
        <v/>
      </c>
      <c r="AA1550" s="71" t="str">
        <f>IFERROR(INDEX(刷條碼區!D:G,MATCH(點上線資訊!S1550,刷條碼區!F:F,0),2),"")</f>
        <v/>
      </c>
      <c r="AB1550" s="20">
        <f t="shared" si="148"/>
        <v>0</v>
      </c>
      <c r="AC1550" s="20" t="b">
        <f t="shared" si="149"/>
        <v>0</v>
      </c>
      <c r="AD1550" s="17" t="b">
        <f t="shared" si="150"/>
        <v>0</v>
      </c>
      <c r="AE1550" s="17" t="b">
        <f t="shared" si="151"/>
        <v>0</v>
      </c>
    </row>
    <row r="1551" spans="17:31" x14ac:dyDescent="0.2">
      <c r="Q1551" s="17">
        <f>IFERROR(VLOOKUP(A1551,已除帳印單!B:C,1,0),0)*1</f>
        <v>0</v>
      </c>
      <c r="R1551" s="67" t="str">
        <f>IFERROR(VLOOKUP(J1551,線別!A:B,2,1),"")</f>
        <v/>
      </c>
      <c r="S1551" s="17" t="str">
        <f>IFERROR(VLOOKUP(A1551,已除帳印單!B:C,2,0),"")</f>
        <v/>
      </c>
      <c r="T1551" s="68" t="e">
        <f t="shared" si="146"/>
        <v>#VALUE!</v>
      </c>
      <c r="U1551" s="69">
        <f t="shared" si="147"/>
        <v>0</v>
      </c>
      <c r="V1551" s="68" t="str">
        <f>IFERROR(VLOOKUP(A1551,已除帳印單!B:D,3,0),"")</f>
        <v/>
      </c>
      <c r="W1551" s="69" t="str">
        <f>IFERROR(VLOOKUP(A1551,已除帳印單!B:E,4,0),"")</f>
        <v/>
      </c>
      <c r="X1551" s="68" t="str">
        <f>IFERROR(INDEX(刷條碼區!A:C,MATCH(點上線資訊!S1551,刷條碼區!C:C,0),1),"")</f>
        <v/>
      </c>
      <c r="Y1551" s="69" t="str">
        <f>IFERROR(INDEX(刷條碼區!A:C,MATCH(點上線資訊!S1551,刷條碼區!C:C,0),2),"")</f>
        <v/>
      </c>
      <c r="Z1551" s="70" t="str">
        <f>IFERROR(INDEX(刷條碼區!D:G,MATCH(點上線資訊!S1551,刷條碼區!F:F,0),1),"")</f>
        <v/>
      </c>
      <c r="AA1551" s="71" t="str">
        <f>IFERROR(INDEX(刷條碼區!D:G,MATCH(點上線資訊!S1551,刷條碼區!F:F,0),2),"")</f>
        <v/>
      </c>
      <c r="AB1551" s="20">
        <f t="shared" si="148"/>
        <v>0</v>
      </c>
      <c r="AC1551" s="20" t="b">
        <f t="shared" si="149"/>
        <v>0</v>
      </c>
      <c r="AD1551" s="17" t="b">
        <f t="shared" si="150"/>
        <v>0</v>
      </c>
      <c r="AE1551" s="17" t="b">
        <f t="shared" si="151"/>
        <v>0</v>
      </c>
    </row>
    <row r="1552" spans="17:31" x14ac:dyDescent="0.2">
      <c r="Q1552" s="17">
        <f>IFERROR(VLOOKUP(A1552,已除帳印單!B:C,1,0),0)*1</f>
        <v>0</v>
      </c>
      <c r="R1552" s="67" t="str">
        <f>IFERROR(VLOOKUP(J1552,線別!A:B,2,1),"")</f>
        <v/>
      </c>
      <c r="S1552" s="17" t="str">
        <f>IFERROR(VLOOKUP(A1552,已除帳印單!B:C,2,0),"")</f>
        <v/>
      </c>
      <c r="T1552" s="68" t="e">
        <f t="shared" si="146"/>
        <v>#VALUE!</v>
      </c>
      <c r="U1552" s="69">
        <f t="shared" si="147"/>
        <v>0</v>
      </c>
      <c r="V1552" s="68" t="str">
        <f>IFERROR(VLOOKUP(A1552,已除帳印單!B:D,3,0),"")</f>
        <v/>
      </c>
      <c r="W1552" s="69" t="str">
        <f>IFERROR(VLOOKUP(A1552,已除帳印單!B:E,4,0),"")</f>
        <v/>
      </c>
      <c r="X1552" s="68" t="str">
        <f>IFERROR(INDEX(刷條碼區!A:C,MATCH(點上線資訊!S1552,刷條碼區!C:C,0),1),"")</f>
        <v/>
      </c>
      <c r="Y1552" s="69" t="str">
        <f>IFERROR(INDEX(刷條碼區!A:C,MATCH(點上線資訊!S1552,刷條碼區!C:C,0),2),"")</f>
        <v/>
      </c>
      <c r="Z1552" s="70" t="str">
        <f>IFERROR(INDEX(刷條碼區!D:G,MATCH(點上線資訊!S1552,刷條碼區!F:F,0),1),"")</f>
        <v/>
      </c>
      <c r="AA1552" s="71" t="str">
        <f>IFERROR(INDEX(刷條碼區!D:G,MATCH(點上線資訊!S1552,刷條碼區!F:F,0),2),"")</f>
        <v/>
      </c>
      <c r="AB1552" s="20">
        <f t="shared" si="148"/>
        <v>0</v>
      </c>
      <c r="AC1552" s="20" t="b">
        <f t="shared" si="149"/>
        <v>0</v>
      </c>
      <c r="AD1552" s="17" t="b">
        <f t="shared" si="150"/>
        <v>0</v>
      </c>
      <c r="AE1552" s="17" t="b">
        <f t="shared" si="151"/>
        <v>0</v>
      </c>
    </row>
    <row r="1553" spans="17:31" x14ac:dyDescent="0.2">
      <c r="Q1553" s="17">
        <f>IFERROR(VLOOKUP(A1553,已除帳印單!B:C,1,0),0)*1</f>
        <v>0</v>
      </c>
      <c r="R1553" s="67" t="str">
        <f>IFERROR(VLOOKUP(J1553,線別!A:B,2,1),"")</f>
        <v/>
      </c>
      <c r="S1553" s="17" t="str">
        <f>IFERROR(VLOOKUP(A1553,已除帳印單!B:C,2,0),"")</f>
        <v/>
      </c>
      <c r="T1553" s="68" t="e">
        <f t="shared" si="146"/>
        <v>#VALUE!</v>
      </c>
      <c r="U1553" s="69">
        <f t="shared" si="147"/>
        <v>0</v>
      </c>
      <c r="V1553" s="68" t="str">
        <f>IFERROR(VLOOKUP(A1553,已除帳印單!B:D,3,0),"")</f>
        <v/>
      </c>
      <c r="W1553" s="69" t="str">
        <f>IFERROR(VLOOKUP(A1553,已除帳印單!B:E,4,0),"")</f>
        <v/>
      </c>
      <c r="X1553" s="68" t="str">
        <f>IFERROR(INDEX(刷條碼區!A:C,MATCH(點上線資訊!S1553,刷條碼區!C:C,0),1),"")</f>
        <v/>
      </c>
      <c r="Y1553" s="69" t="str">
        <f>IFERROR(INDEX(刷條碼區!A:C,MATCH(點上線資訊!S1553,刷條碼區!C:C,0),2),"")</f>
        <v/>
      </c>
      <c r="Z1553" s="70" t="str">
        <f>IFERROR(INDEX(刷條碼區!D:G,MATCH(點上線資訊!S1553,刷條碼區!F:F,0),1),"")</f>
        <v/>
      </c>
      <c r="AA1553" s="71" t="str">
        <f>IFERROR(INDEX(刷條碼區!D:G,MATCH(點上線資訊!S1553,刷條碼區!F:F,0),2),"")</f>
        <v/>
      </c>
      <c r="AB1553" s="20">
        <f t="shared" si="148"/>
        <v>0</v>
      </c>
      <c r="AC1553" s="20" t="b">
        <f t="shared" si="149"/>
        <v>0</v>
      </c>
      <c r="AD1553" s="17" t="b">
        <f t="shared" si="150"/>
        <v>0</v>
      </c>
      <c r="AE1553" s="17" t="b">
        <f t="shared" si="151"/>
        <v>0</v>
      </c>
    </row>
    <row r="1554" spans="17:31" x14ac:dyDescent="0.2">
      <c r="Q1554" s="17">
        <f>IFERROR(VLOOKUP(A1554,已除帳印單!B:C,1,0),0)*1</f>
        <v>0</v>
      </c>
      <c r="R1554" s="67" t="str">
        <f>IFERROR(VLOOKUP(J1554,線別!A:B,2,1),"")</f>
        <v/>
      </c>
      <c r="S1554" s="17" t="str">
        <f>IFERROR(VLOOKUP(A1554,已除帳印單!B:C,2,0),"")</f>
        <v/>
      </c>
      <c r="T1554" s="68" t="e">
        <f t="shared" si="146"/>
        <v>#VALUE!</v>
      </c>
      <c r="U1554" s="69">
        <f t="shared" si="147"/>
        <v>0</v>
      </c>
      <c r="V1554" s="68" t="str">
        <f>IFERROR(VLOOKUP(A1554,已除帳印單!B:D,3,0),"")</f>
        <v/>
      </c>
      <c r="W1554" s="69" t="str">
        <f>IFERROR(VLOOKUP(A1554,已除帳印單!B:E,4,0),"")</f>
        <v/>
      </c>
      <c r="X1554" s="68" t="str">
        <f>IFERROR(INDEX(刷條碼區!A:C,MATCH(點上線資訊!S1554,刷條碼區!C:C,0),1),"")</f>
        <v/>
      </c>
      <c r="Y1554" s="69" t="str">
        <f>IFERROR(INDEX(刷條碼區!A:C,MATCH(點上線資訊!S1554,刷條碼區!C:C,0),2),"")</f>
        <v/>
      </c>
      <c r="Z1554" s="70" t="str">
        <f>IFERROR(INDEX(刷條碼區!D:G,MATCH(點上線資訊!S1554,刷條碼區!F:F,0),1),"")</f>
        <v/>
      </c>
      <c r="AA1554" s="71" t="str">
        <f>IFERROR(INDEX(刷條碼區!D:G,MATCH(點上線資訊!S1554,刷條碼區!F:F,0),2),"")</f>
        <v/>
      </c>
      <c r="AB1554" s="20">
        <f t="shared" si="148"/>
        <v>0</v>
      </c>
      <c r="AC1554" s="20" t="b">
        <f t="shared" si="149"/>
        <v>0</v>
      </c>
      <c r="AD1554" s="17" t="b">
        <f t="shared" si="150"/>
        <v>0</v>
      </c>
      <c r="AE1554" s="17" t="b">
        <f t="shared" si="151"/>
        <v>0</v>
      </c>
    </row>
    <row r="1555" spans="17:31" x14ac:dyDescent="0.2">
      <c r="Q1555" s="17">
        <f>IFERROR(VLOOKUP(A1555,已除帳印單!B:C,1,0),0)*1</f>
        <v>0</v>
      </c>
      <c r="R1555" s="67" t="str">
        <f>IFERROR(VLOOKUP(J1555,線別!A:B,2,1),"")</f>
        <v/>
      </c>
      <c r="S1555" s="17" t="str">
        <f>IFERROR(VLOOKUP(A1555,已除帳印單!B:C,2,0),"")</f>
        <v/>
      </c>
      <c r="T1555" s="68" t="e">
        <f t="shared" si="146"/>
        <v>#VALUE!</v>
      </c>
      <c r="U1555" s="69">
        <f t="shared" si="147"/>
        <v>0</v>
      </c>
      <c r="V1555" s="68" t="str">
        <f>IFERROR(VLOOKUP(A1555,已除帳印單!B:D,3,0),"")</f>
        <v/>
      </c>
      <c r="W1555" s="69" t="str">
        <f>IFERROR(VLOOKUP(A1555,已除帳印單!B:E,4,0),"")</f>
        <v/>
      </c>
      <c r="X1555" s="68" t="str">
        <f>IFERROR(INDEX(刷條碼區!A:C,MATCH(點上線資訊!S1555,刷條碼區!C:C,0),1),"")</f>
        <v/>
      </c>
      <c r="Y1555" s="69" t="str">
        <f>IFERROR(INDEX(刷條碼區!A:C,MATCH(點上線資訊!S1555,刷條碼區!C:C,0),2),"")</f>
        <v/>
      </c>
      <c r="Z1555" s="70" t="str">
        <f>IFERROR(INDEX(刷條碼區!D:G,MATCH(點上線資訊!S1555,刷條碼區!F:F,0),1),"")</f>
        <v/>
      </c>
      <c r="AA1555" s="71" t="str">
        <f>IFERROR(INDEX(刷條碼區!D:G,MATCH(點上線資訊!S1555,刷條碼區!F:F,0),2),"")</f>
        <v/>
      </c>
      <c r="AB1555" s="20">
        <f t="shared" si="148"/>
        <v>0</v>
      </c>
      <c r="AC1555" s="20" t="b">
        <f t="shared" si="149"/>
        <v>0</v>
      </c>
      <c r="AD1555" s="17" t="b">
        <f t="shared" si="150"/>
        <v>0</v>
      </c>
      <c r="AE1555" s="17" t="b">
        <f t="shared" si="151"/>
        <v>0</v>
      </c>
    </row>
    <row r="1556" spans="17:31" x14ac:dyDescent="0.2">
      <c r="Q1556" s="17">
        <f>IFERROR(VLOOKUP(A1556,已除帳印單!B:C,1,0),0)*1</f>
        <v>0</v>
      </c>
      <c r="R1556" s="67" t="str">
        <f>IFERROR(VLOOKUP(J1556,線別!A:B,2,1),"")</f>
        <v/>
      </c>
      <c r="S1556" s="17" t="str">
        <f>IFERROR(VLOOKUP(A1556,已除帳印單!B:C,2,0),"")</f>
        <v/>
      </c>
      <c r="T1556" s="68" t="e">
        <f t="shared" si="146"/>
        <v>#VALUE!</v>
      </c>
      <c r="U1556" s="69">
        <f t="shared" si="147"/>
        <v>0</v>
      </c>
      <c r="V1556" s="68" t="str">
        <f>IFERROR(VLOOKUP(A1556,已除帳印單!B:D,3,0),"")</f>
        <v/>
      </c>
      <c r="W1556" s="69" t="str">
        <f>IFERROR(VLOOKUP(A1556,已除帳印單!B:E,4,0),"")</f>
        <v/>
      </c>
      <c r="X1556" s="68" t="str">
        <f>IFERROR(INDEX(刷條碼區!A:C,MATCH(點上線資訊!S1556,刷條碼區!C:C,0),1),"")</f>
        <v/>
      </c>
      <c r="Y1556" s="69" t="str">
        <f>IFERROR(INDEX(刷條碼區!A:C,MATCH(點上線資訊!S1556,刷條碼區!C:C,0),2),"")</f>
        <v/>
      </c>
      <c r="Z1556" s="70" t="str">
        <f>IFERROR(INDEX(刷條碼區!D:G,MATCH(點上線資訊!S1556,刷條碼區!F:F,0),1),"")</f>
        <v/>
      </c>
      <c r="AA1556" s="71" t="str">
        <f>IFERROR(INDEX(刷條碼區!D:G,MATCH(點上線資訊!S1556,刷條碼區!F:F,0),2),"")</f>
        <v/>
      </c>
      <c r="AB1556" s="20">
        <f t="shared" si="148"/>
        <v>0</v>
      </c>
      <c r="AC1556" s="20" t="b">
        <f t="shared" si="149"/>
        <v>0</v>
      </c>
      <c r="AD1556" s="17" t="b">
        <f t="shared" si="150"/>
        <v>0</v>
      </c>
      <c r="AE1556" s="17" t="b">
        <f t="shared" si="151"/>
        <v>0</v>
      </c>
    </row>
    <row r="1557" spans="17:31" x14ac:dyDescent="0.2">
      <c r="Q1557" s="17">
        <f>IFERROR(VLOOKUP(A1557,已除帳印單!B:C,1,0),0)*1</f>
        <v>0</v>
      </c>
      <c r="R1557" s="67" t="str">
        <f>IFERROR(VLOOKUP(J1557,線別!A:B,2,1),"")</f>
        <v/>
      </c>
      <c r="S1557" s="17" t="str">
        <f>IFERROR(VLOOKUP(A1557,已除帳印單!B:C,2,0),"")</f>
        <v/>
      </c>
      <c r="T1557" s="68" t="e">
        <f t="shared" si="146"/>
        <v>#VALUE!</v>
      </c>
      <c r="U1557" s="69">
        <f t="shared" si="147"/>
        <v>0</v>
      </c>
      <c r="V1557" s="68" t="str">
        <f>IFERROR(VLOOKUP(A1557,已除帳印單!B:D,3,0),"")</f>
        <v/>
      </c>
      <c r="W1557" s="69" t="str">
        <f>IFERROR(VLOOKUP(A1557,已除帳印單!B:E,4,0),"")</f>
        <v/>
      </c>
      <c r="X1557" s="68" t="str">
        <f>IFERROR(INDEX(刷條碼區!A:C,MATCH(點上線資訊!S1557,刷條碼區!C:C,0),1),"")</f>
        <v/>
      </c>
      <c r="Y1557" s="69" t="str">
        <f>IFERROR(INDEX(刷條碼區!A:C,MATCH(點上線資訊!S1557,刷條碼區!C:C,0),2),"")</f>
        <v/>
      </c>
      <c r="Z1557" s="70" t="str">
        <f>IFERROR(INDEX(刷條碼區!D:G,MATCH(點上線資訊!S1557,刷條碼區!F:F,0),1),"")</f>
        <v/>
      </c>
      <c r="AA1557" s="71" t="str">
        <f>IFERROR(INDEX(刷條碼區!D:G,MATCH(點上線資訊!S1557,刷條碼區!F:F,0),2),"")</f>
        <v/>
      </c>
      <c r="AB1557" s="20">
        <f t="shared" si="148"/>
        <v>0</v>
      </c>
      <c r="AC1557" s="20" t="b">
        <f t="shared" si="149"/>
        <v>0</v>
      </c>
      <c r="AD1557" s="17" t="b">
        <f t="shared" si="150"/>
        <v>0</v>
      </c>
      <c r="AE1557" s="17" t="b">
        <f t="shared" si="151"/>
        <v>0</v>
      </c>
    </row>
    <row r="1558" spans="17:31" x14ac:dyDescent="0.2">
      <c r="Q1558" s="17">
        <f>IFERROR(VLOOKUP(A1558,已除帳印單!B:C,1,0),0)*1</f>
        <v>0</v>
      </c>
      <c r="R1558" s="67" t="str">
        <f>IFERROR(VLOOKUP(J1558,線別!A:B,2,1),"")</f>
        <v/>
      </c>
      <c r="S1558" s="17" t="str">
        <f>IFERROR(VLOOKUP(A1558,已除帳印單!B:C,2,0),"")</f>
        <v/>
      </c>
      <c r="T1558" s="68" t="e">
        <f t="shared" si="146"/>
        <v>#VALUE!</v>
      </c>
      <c r="U1558" s="69">
        <f t="shared" si="147"/>
        <v>0</v>
      </c>
      <c r="V1558" s="68" t="str">
        <f>IFERROR(VLOOKUP(A1558,已除帳印單!B:D,3,0),"")</f>
        <v/>
      </c>
      <c r="W1558" s="69" t="str">
        <f>IFERROR(VLOOKUP(A1558,已除帳印單!B:E,4,0),"")</f>
        <v/>
      </c>
      <c r="X1558" s="68" t="str">
        <f>IFERROR(INDEX(刷條碼區!A:C,MATCH(點上線資訊!S1558,刷條碼區!C:C,0),1),"")</f>
        <v/>
      </c>
      <c r="Y1558" s="69" t="str">
        <f>IFERROR(INDEX(刷條碼區!A:C,MATCH(點上線資訊!S1558,刷條碼區!C:C,0),2),"")</f>
        <v/>
      </c>
      <c r="Z1558" s="70" t="str">
        <f>IFERROR(INDEX(刷條碼區!D:G,MATCH(點上線資訊!S1558,刷條碼區!F:F,0),1),"")</f>
        <v/>
      </c>
      <c r="AA1558" s="71" t="str">
        <f>IFERROR(INDEX(刷條碼區!D:G,MATCH(點上線資訊!S1558,刷條碼區!F:F,0),2),"")</f>
        <v/>
      </c>
      <c r="AB1558" s="20">
        <f t="shared" si="148"/>
        <v>0</v>
      </c>
      <c r="AC1558" s="20" t="b">
        <f t="shared" si="149"/>
        <v>0</v>
      </c>
      <c r="AD1558" s="17" t="b">
        <f t="shared" si="150"/>
        <v>0</v>
      </c>
      <c r="AE1558" s="17" t="b">
        <f t="shared" si="151"/>
        <v>0</v>
      </c>
    </row>
    <row r="1559" spans="17:31" x14ac:dyDescent="0.2">
      <c r="Q1559" s="17">
        <f>IFERROR(VLOOKUP(A1559,已除帳印單!B:C,1,0),0)*1</f>
        <v>0</v>
      </c>
      <c r="R1559" s="67" t="str">
        <f>IFERROR(VLOOKUP(J1559,線別!A:B,2,1),"")</f>
        <v/>
      </c>
      <c r="S1559" s="17" t="str">
        <f>IFERROR(VLOOKUP(A1559,已除帳印單!B:C,2,0),"")</f>
        <v/>
      </c>
      <c r="T1559" s="68" t="e">
        <f t="shared" si="146"/>
        <v>#VALUE!</v>
      </c>
      <c r="U1559" s="69">
        <f t="shared" si="147"/>
        <v>0</v>
      </c>
      <c r="V1559" s="68" t="str">
        <f>IFERROR(VLOOKUP(A1559,已除帳印單!B:D,3,0),"")</f>
        <v/>
      </c>
      <c r="W1559" s="69" t="str">
        <f>IFERROR(VLOOKUP(A1559,已除帳印單!B:E,4,0),"")</f>
        <v/>
      </c>
      <c r="X1559" s="68" t="str">
        <f>IFERROR(INDEX(刷條碼區!A:C,MATCH(點上線資訊!S1559,刷條碼區!C:C,0),1),"")</f>
        <v/>
      </c>
      <c r="Y1559" s="69" t="str">
        <f>IFERROR(INDEX(刷條碼區!A:C,MATCH(點上線資訊!S1559,刷條碼區!C:C,0),2),"")</f>
        <v/>
      </c>
      <c r="Z1559" s="70" t="str">
        <f>IFERROR(INDEX(刷條碼區!D:G,MATCH(點上線資訊!S1559,刷條碼區!F:F,0),1),"")</f>
        <v/>
      </c>
      <c r="AA1559" s="71" t="str">
        <f>IFERROR(INDEX(刷條碼區!D:G,MATCH(點上線資訊!S1559,刷條碼區!F:F,0),2),"")</f>
        <v/>
      </c>
      <c r="AB1559" s="20">
        <f t="shared" si="148"/>
        <v>0</v>
      </c>
      <c r="AC1559" s="20" t="b">
        <f t="shared" si="149"/>
        <v>0</v>
      </c>
      <c r="AD1559" s="17" t="b">
        <f t="shared" si="150"/>
        <v>0</v>
      </c>
      <c r="AE1559" s="17" t="b">
        <f t="shared" si="151"/>
        <v>0</v>
      </c>
    </row>
    <row r="1560" spans="17:31" x14ac:dyDescent="0.2">
      <c r="Q1560" s="17">
        <f>IFERROR(VLOOKUP(A1560,已除帳印單!B:C,1,0),0)*1</f>
        <v>0</v>
      </c>
      <c r="R1560" s="67" t="str">
        <f>IFERROR(VLOOKUP(J1560,線別!A:B,2,1),"")</f>
        <v/>
      </c>
      <c r="S1560" s="17" t="str">
        <f>IFERROR(VLOOKUP(A1560,已除帳印單!B:C,2,0),"")</f>
        <v/>
      </c>
      <c r="T1560" s="68" t="e">
        <f t="shared" si="146"/>
        <v>#VALUE!</v>
      </c>
      <c r="U1560" s="69">
        <f t="shared" si="147"/>
        <v>0</v>
      </c>
      <c r="V1560" s="68" t="str">
        <f>IFERROR(VLOOKUP(A1560,已除帳印單!B:D,3,0),"")</f>
        <v/>
      </c>
      <c r="W1560" s="69" t="str">
        <f>IFERROR(VLOOKUP(A1560,已除帳印單!B:E,4,0),"")</f>
        <v/>
      </c>
      <c r="X1560" s="68" t="str">
        <f>IFERROR(INDEX(刷條碼區!A:C,MATCH(點上線資訊!S1560,刷條碼區!C:C,0),1),"")</f>
        <v/>
      </c>
      <c r="Y1560" s="69" t="str">
        <f>IFERROR(INDEX(刷條碼區!A:C,MATCH(點上線資訊!S1560,刷條碼區!C:C,0),2),"")</f>
        <v/>
      </c>
      <c r="Z1560" s="70" t="str">
        <f>IFERROR(INDEX(刷條碼區!D:G,MATCH(點上線資訊!S1560,刷條碼區!F:F,0),1),"")</f>
        <v/>
      </c>
      <c r="AA1560" s="71" t="str">
        <f>IFERROR(INDEX(刷條碼區!D:G,MATCH(點上線資訊!S1560,刷條碼區!F:F,0),2),"")</f>
        <v/>
      </c>
      <c r="AB1560" s="20">
        <f t="shared" si="148"/>
        <v>0</v>
      </c>
      <c r="AC1560" s="20" t="b">
        <f t="shared" si="149"/>
        <v>0</v>
      </c>
      <c r="AD1560" s="17" t="b">
        <f t="shared" si="150"/>
        <v>0</v>
      </c>
      <c r="AE1560" s="17" t="b">
        <f t="shared" si="151"/>
        <v>0</v>
      </c>
    </row>
    <row r="1561" spans="17:31" x14ac:dyDescent="0.2">
      <c r="Q1561" s="17">
        <f>IFERROR(VLOOKUP(A1561,已除帳印單!B:C,1,0),0)*1</f>
        <v>0</v>
      </c>
      <c r="R1561" s="67" t="str">
        <f>IFERROR(VLOOKUP(J1561,線別!A:B,2,1),"")</f>
        <v/>
      </c>
      <c r="S1561" s="17" t="str">
        <f>IFERROR(VLOOKUP(A1561,已除帳印單!B:C,2,0),"")</f>
        <v/>
      </c>
      <c r="T1561" s="68" t="e">
        <f t="shared" si="146"/>
        <v>#VALUE!</v>
      </c>
      <c r="U1561" s="69">
        <f t="shared" si="147"/>
        <v>0</v>
      </c>
      <c r="V1561" s="68" t="str">
        <f>IFERROR(VLOOKUP(A1561,已除帳印單!B:D,3,0),"")</f>
        <v/>
      </c>
      <c r="W1561" s="69" t="str">
        <f>IFERROR(VLOOKUP(A1561,已除帳印單!B:E,4,0),"")</f>
        <v/>
      </c>
      <c r="X1561" s="68" t="str">
        <f>IFERROR(INDEX(刷條碼區!A:C,MATCH(點上線資訊!S1561,刷條碼區!C:C,0),1),"")</f>
        <v/>
      </c>
      <c r="Y1561" s="69" t="str">
        <f>IFERROR(INDEX(刷條碼區!A:C,MATCH(點上線資訊!S1561,刷條碼區!C:C,0),2),"")</f>
        <v/>
      </c>
      <c r="Z1561" s="70" t="str">
        <f>IFERROR(INDEX(刷條碼區!D:G,MATCH(點上線資訊!S1561,刷條碼區!F:F,0),1),"")</f>
        <v/>
      </c>
      <c r="AA1561" s="71" t="str">
        <f>IFERROR(INDEX(刷條碼區!D:G,MATCH(點上線資訊!S1561,刷條碼區!F:F,0),2),"")</f>
        <v/>
      </c>
      <c r="AB1561" s="20">
        <f t="shared" si="148"/>
        <v>0</v>
      </c>
      <c r="AC1561" s="20" t="b">
        <f t="shared" si="149"/>
        <v>0</v>
      </c>
      <c r="AD1561" s="17" t="b">
        <f t="shared" si="150"/>
        <v>0</v>
      </c>
      <c r="AE1561" s="17" t="b">
        <f t="shared" si="151"/>
        <v>0</v>
      </c>
    </row>
    <row r="1562" spans="17:31" x14ac:dyDescent="0.2">
      <c r="Q1562" s="17">
        <f>IFERROR(VLOOKUP(A1562,已除帳印單!B:C,1,0),0)*1</f>
        <v>0</v>
      </c>
      <c r="R1562" s="67" t="str">
        <f>IFERROR(VLOOKUP(J1562,線別!A:B,2,1),"")</f>
        <v/>
      </c>
      <c r="S1562" s="17" t="str">
        <f>IFERROR(VLOOKUP(A1562,已除帳印單!B:C,2,0),"")</f>
        <v/>
      </c>
      <c r="T1562" s="68" t="e">
        <f t="shared" si="146"/>
        <v>#VALUE!</v>
      </c>
      <c r="U1562" s="69">
        <f t="shared" si="147"/>
        <v>0</v>
      </c>
      <c r="V1562" s="68" t="str">
        <f>IFERROR(VLOOKUP(A1562,已除帳印單!B:D,3,0),"")</f>
        <v/>
      </c>
      <c r="W1562" s="69" t="str">
        <f>IFERROR(VLOOKUP(A1562,已除帳印單!B:E,4,0),"")</f>
        <v/>
      </c>
      <c r="X1562" s="68" t="str">
        <f>IFERROR(INDEX(刷條碼區!A:C,MATCH(點上線資訊!S1562,刷條碼區!C:C,0),1),"")</f>
        <v/>
      </c>
      <c r="Y1562" s="69" t="str">
        <f>IFERROR(INDEX(刷條碼區!A:C,MATCH(點上線資訊!S1562,刷條碼區!C:C,0),2),"")</f>
        <v/>
      </c>
      <c r="Z1562" s="70" t="str">
        <f>IFERROR(INDEX(刷條碼區!D:G,MATCH(點上線資訊!S1562,刷條碼區!F:F,0),1),"")</f>
        <v/>
      </c>
      <c r="AA1562" s="71" t="str">
        <f>IFERROR(INDEX(刷條碼區!D:G,MATCH(點上線資訊!S1562,刷條碼區!F:F,0),2),"")</f>
        <v/>
      </c>
      <c r="AB1562" s="20">
        <f t="shared" si="148"/>
        <v>0</v>
      </c>
      <c r="AC1562" s="20" t="b">
        <f t="shared" si="149"/>
        <v>0</v>
      </c>
      <c r="AD1562" s="17" t="b">
        <f t="shared" si="150"/>
        <v>0</v>
      </c>
      <c r="AE1562" s="17" t="b">
        <f t="shared" si="151"/>
        <v>0</v>
      </c>
    </row>
    <row r="1563" spans="17:31" x14ac:dyDescent="0.2">
      <c r="Q1563" s="17">
        <f>IFERROR(VLOOKUP(A1563,已除帳印單!B:C,1,0),0)*1</f>
        <v>0</v>
      </c>
      <c r="R1563" s="67" t="str">
        <f>IFERROR(VLOOKUP(J1563,線別!A:B,2,1),"")</f>
        <v/>
      </c>
      <c r="S1563" s="17" t="str">
        <f>IFERROR(VLOOKUP(A1563,已除帳印單!B:C,2,0),"")</f>
        <v/>
      </c>
      <c r="T1563" s="68" t="e">
        <f t="shared" si="146"/>
        <v>#VALUE!</v>
      </c>
      <c r="U1563" s="69">
        <f t="shared" si="147"/>
        <v>0</v>
      </c>
      <c r="V1563" s="68" t="str">
        <f>IFERROR(VLOOKUP(A1563,已除帳印單!B:D,3,0),"")</f>
        <v/>
      </c>
      <c r="W1563" s="69" t="str">
        <f>IFERROR(VLOOKUP(A1563,已除帳印單!B:E,4,0),"")</f>
        <v/>
      </c>
      <c r="X1563" s="68" t="str">
        <f>IFERROR(INDEX(刷條碼區!A:C,MATCH(點上線資訊!S1563,刷條碼區!C:C,0),1),"")</f>
        <v/>
      </c>
      <c r="Y1563" s="69" t="str">
        <f>IFERROR(INDEX(刷條碼區!A:C,MATCH(點上線資訊!S1563,刷條碼區!C:C,0),2),"")</f>
        <v/>
      </c>
      <c r="Z1563" s="70" t="str">
        <f>IFERROR(INDEX(刷條碼區!D:G,MATCH(點上線資訊!S1563,刷條碼區!F:F,0),1),"")</f>
        <v/>
      </c>
      <c r="AA1563" s="71" t="str">
        <f>IFERROR(INDEX(刷條碼區!D:G,MATCH(點上線資訊!S1563,刷條碼區!F:F,0),2),"")</f>
        <v/>
      </c>
      <c r="AB1563" s="20">
        <f t="shared" si="148"/>
        <v>0</v>
      </c>
      <c r="AC1563" s="20" t="b">
        <f t="shared" si="149"/>
        <v>0</v>
      </c>
      <c r="AD1563" s="17" t="b">
        <f t="shared" si="150"/>
        <v>0</v>
      </c>
      <c r="AE1563" s="17" t="b">
        <f t="shared" si="151"/>
        <v>0</v>
      </c>
    </row>
    <row r="1564" spans="17:31" x14ac:dyDescent="0.2">
      <c r="Q1564" s="17">
        <f>IFERROR(VLOOKUP(A1564,已除帳印單!B:C,1,0),0)*1</f>
        <v>0</v>
      </c>
      <c r="R1564" s="67" t="str">
        <f>IFERROR(VLOOKUP(J1564,線別!A:B,2,1),"")</f>
        <v/>
      </c>
      <c r="S1564" s="17" t="str">
        <f>IFERROR(VLOOKUP(A1564,已除帳印單!B:C,2,0),"")</f>
        <v/>
      </c>
      <c r="T1564" s="68" t="e">
        <f t="shared" si="146"/>
        <v>#VALUE!</v>
      </c>
      <c r="U1564" s="69">
        <f t="shared" si="147"/>
        <v>0</v>
      </c>
      <c r="V1564" s="68" t="str">
        <f>IFERROR(VLOOKUP(A1564,已除帳印單!B:D,3,0),"")</f>
        <v/>
      </c>
      <c r="W1564" s="69" t="str">
        <f>IFERROR(VLOOKUP(A1564,已除帳印單!B:E,4,0),"")</f>
        <v/>
      </c>
      <c r="X1564" s="68" t="str">
        <f>IFERROR(INDEX(刷條碼區!A:C,MATCH(點上線資訊!S1564,刷條碼區!C:C,0),1),"")</f>
        <v/>
      </c>
      <c r="Y1564" s="69" t="str">
        <f>IFERROR(INDEX(刷條碼區!A:C,MATCH(點上線資訊!S1564,刷條碼區!C:C,0),2),"")</f>
        <v/>
      </c>
      <c r="Z1564" s="70" t="str">
        <f>IFERROR(INDEX(刷條碼區!D:G,MATCH(點上線資訊!S1564,刷條碼區!F:F,0),1),"")</f>
        <v/>
      </c>
      <c r="AA1564" s="71" t="str">
        <f>IFERROR(INDEX(刷條碼區!D:G,MATCH(點上線資訊!S1564,刷條碼區!F:F,0),2),"")</f>
        <v/>
      </c>
      <c r="AB1564" s="20">
        <f t="shared" si="148"/>
        <v>0</v>
      </c>
      <c r="AC1564" s="20" t="b">
        <f t="shared" si="149"/>
        <v>0</v>
      </c>
      <c r="AD1564" s="17" t="b">
        <f t="shared" si="150"/>
        <v>0</v>
      </c>
      <c r="AE1564" s="17" t="b">
        <f t="shared" si="151"/>
        <v>0</v>
      </c>
    </row>
    <row r="1565" spans="17:31" x14ac:dyDescent="0.2">
      <c r="Q1565" s="17">
        <f>IFERROR(VLOOKUP(A1565,已除帳印單!B:C,1,0),0)*1</f>
        <v>0</v>
      </c>
      <c r="R1565" s="67" t="str">
        <f>IFERROR(VLOOKUP(J1565,線別!A:B,2,1),"")</f>
        <v/>
      </c>
      <c r="S1565" s="17" t="str">
        <f>IFERROR(VLOOKUP(A1565,已除帳印單!B:C,2,0),"")</f>
        <v/>
      </c>
      <c r="T1565" s="68" t="e">
        <f t="shared" si="146"/>
        <v>#VALUE!</v>
      </c>
      <c r="U1565" s="69">
        <f t="shared" si="147"/>
        <v>0</v>
      </c>
      <c r="V1565" s="68" t="str">
        <f>IFERROR(VLOOKUP(A1565,已除帳印單!B:D,3,0),"")</f>
        <v/>
      </c>
      <c r="W1565" s="69" t="str">
        <f>IFERROR(VLOOKUP(A1565,已除帳印單!B:E,4,0),"")</f>
        <v/>
      </c>
      <c r="X1565" s="68" t="str">
        <f>IFERROR(INDEX(刷條碼區!A:C,MATCH(點上線資訊!S1565,刷條碼區!C:C,0),1),"")</f>
        <v/>
      </c>
      <c r="Y1565" s="69" t="str">
        <f>IFERROR(INDEX(刷條碼區!A:C,MATCH(點上線資訊!S1565,刷條碼區!C:C,0),2),"")</f>
        <v/>
      </c>
      <c r="Z1565" s="70" t="str">
        <f>IFERROR(INDEX(刷條碼區!D:G,MATCH(點上線資訊!S1565,刷條碼區!F:F,0),1),"")</f>
        <v/>
      </c>
      <c r="AA1565" s="71" t="str">
        <f>IFERROR(INDEX(刷條碼區!D:G,MATCH(點上線資訊!S1565,刷條碼區!F:F,0),2),"")</f>
        <v/>
      </c>
      <c r="AB1565" s="20">
        <f t="shared" si="148"/>
        <v>0</v>
      </c>
      <c r="AC1565" s="20" t="b">
        <f t="shared" si="149"/>
        <v>0</v>
      </c>
      <c r="AD1565" s="17" t="b">
        <f t="shared" si="150"/>
        <v>0</v>
      </c>
      <c r="AE1565" s="17" t="b">
        <f t="shared" si="151"/>
        <v>0</v>
      </c>
    </row>
    <row r="1566" spans="17:31" x14ac:dyDescent="0.2">
      <c r="Q1566" s="17">
        <f>IFERROR(VLOOKUP(A1566,已除帳印單!B:C,1,0),0)*1</f>
        <v>0</v>
      </c>
      <c r="R1566" s="67" t="str">
        <f>IFERROR(VLOOKUP(J1566,線別!A:B,2,1),"")</f>
        <v/>
      </c>
      <c r="S1566" s="17" t="str">
        <f>IFERROR(VLOOKUP(A1566,已除帳印單!B:C,2,0),"")</f>
        <v/>
      </c>
      <c r="T1566" s="68" t="e">
        <f t="shared" si="146"/>
        <v>#VALUE!</v>
      </c>
      <c r="U1566" s="69">
        <f t="shared" si="147"/>
        <v>0</v>
      </c>
      <c r="V1566" s="68" t="str">
        <f>IFERROR(VLOOKUP(A1566,已除帳印單!B:D,3,0),"")</f>
        <v/>
      </c>
      <c r="W1566" s="69" t="str">
        <f>IFERROR(VLOOKUP(A1566,已除帳印單!B:E,4,0),"")</f>
        <v/>
      </c>
      <c r="X1566" s="68" t="str">
        <f>IFERROR(INDEX(刷條碼區!A:C,MATCH(點上線資訊!S1566,刷條碼區!C:C,0),1),"")</f>
        <v/>
      </c>
      <c r="Y1566" s="69" t="str">
        <f>IFERROR(INDEX(刷條碼區!A:C,MATCH(點上線資訊!S1566,刷條碼區!C:C,0),2),"")</f>
        <v/>
      </c>
      <c r="Z1566" s="70" t="str">
        <f>IFERROR(INDEX(刷條碼區!D:G,MATCH(點上線資訊!S1566,刷條碼區!F:F,0),1),"")</f>
        <v/>
      </c>
      <c r="AA1566" s="71" t="str">
        <f>IFERROR(INDEX(刷條碼區!D:G,MATCH(點上線資訊!S1566,刷條碼區!F:F,0),2),"")</f>
        <v/>
      </c>
      <c r="AB1566" s="20">
        <f t="shared" si="148"/>
        <v>0</v>
      </c>
      <c r="AC1566" s="20" t="b">
        <f t="shared" si="149"/>
        <v>0</v>
      </c>
      <c r="AD1566" s="17" t="b">
        <f t="shared" si="150"/>
        <v>0</v>
      </c>
      <c r="AE1566" s="17" t="b">
        <f t="shared" si="151"/>
        <v>0</v>
      </c>
    </row>
    <row r="1567" spans="17:31" x14ac:dyDescent="0.2">
      <c r="Q1567" s="17">
        <f>IFERROR(VLOOKUP(A1567,已除帳印單!B:C,1,0),0)*1</f>
        <v>0</v>
      </c>
      <c r="R1567" s="67" t="str">
        <f>IFERROR(VLOOKUP(J1567,線別!A:B,2,1),"")</f>
        <v/>
      </c>
      <c r="S1567" s="17" t="str">
        <f>IFERROR(VLOOKUP(A1567,已除帳印單!B:C,2,0),"")</f>
        <v/>
      </c>
      <c r="T1567" s="68" t="e">
        <f t="shared" si="146"/>
        <v>#VALUE!</v>
      </c>
      <c r="U1567" s="69">
        <f t="shared" si="147"/>
        <v>0</v>
      </c>
      <c r="V1567" s="68" t="str">
        <f>IFERROR(VLOOKUP(A1567,已除帳印單!B:D,3,0),"")</f>
        <v/>
      </c>
      <c r="W1567" s="69" t="str">
        <f>IFERROR(VLOOKUP(A1567,已除帳印單!B:E,4,0),"")</f>
        <v/>
      </c>
      <c r="X1567" s="68" t="str">
        <f>IFERROR(INDEX(刷條碼區!A:C,MATCH(點上線資訊!S1567,刷條碼區!C:C,0),1),"")</f>
        <v/>
      </c>
      <c r="Y1567" s="69" t="str">
        <f>IFERROR(INDEX(刷條碼區!A:C,MATCH(點上線資訊!S1567,刷條碼區!C:C,0),2),"")</f>
        <v/>
      </c>
      <c r="Z1567" s="70" t="str">
        <f>IFERROR(INDEX(刷條碼區!D:G,MATCH(點上線資訊!S1567,刷條碼區!F:F,0),1),"")</f>
        <v/>
      </c>
      <c r="AA1567" s="71" t="str">
        <f>IFERROR(INDEX(刷條碼區!D:G,MATCH(點上線資訊!S1567,刷條碼區!F:F,0),2),"")</f>
        <v/>
      </c>
      <c r="AB1567" s="20">
        <f t="shared" si="148"/>
        <v>0</v>
      </c>
      <c r="AC1567" s="20" t="b">
        <f t="shared" si="149"/>
        <v>0</v>
      </c>
      <c r="AD1567" s="17" t="b">
        <f t="shared" si="150"/>
        <v>0</v>
      </c>
      <c r="AE1567" s="17" t="b">
        <f t="shared" si="151"/>
        <v>0</v>
      </c>
    </row>
    <row r="1568" spans="17:31" x14ac:dyDescent="0.2">
      <c r="Q1568" s="17">
        <f>IFERROR(VLOOKUP(A1568,已除帳印單!B:C,1,0),0)*1</f>
        <v>0</v>
      </c>
      <c r="R1568" s="67" t="str">
        <f>IFERROR(VLOOKUP(J1568,線別!A:B,2,1),"")</f>
        <v/>
      </c>
      <c r="S1568" s="17" t="str">
        <f>IFERROR(VLOOKUP(A1568,已除帳印單!B:C,2,0),"")</f>
        <v/>
      </c>
      <c r="T1568" s="68" t="e">
        <f t="shared" si="146"/>
        <v>#VALUE!</v>
      </c>
      <c r="U1568" s="69">
        <f t="shared" si="147"/>
        <v>0</v>
      </c>
      <c r="V1568" s="68" t="str">
        <f>IFERROR(VLOOKUP(A1568,已除帳印單!B:D,3,0),"")</f>
        <v/>
      </c>
      <c r="W1568" s="69" t="str">
        <f>IFERROR(VLOOKUP(A1568,已除帳印單!B:E,4,0),"")</f>
        <v/>
      </c>
      <c r="X1568" s="68" t="str">
        <f>IFERROR(INDEX(刷條碼區!A:C,MATCH(點上線資訊!S1568,刷條碼區!C:C,0),1),"")</f>
        <v/>
      </c>
      <c r="Y1568" s="69" t="str">
        <f>IFERROR(INDEX(刷條碼區!A:C,MATCH(點上線資訊!S1568,刷條碼區!C:C,0),2),"")</f>
        <v/>
      </c>
      <c r="Z1568" s="70" t="str">
        <f>IFERROR(INDEX(刷條碼區!D:G,MATCH(點上線資訊!S1568,刷條碼區!F:F,0),1),"")</f>
        <v/>
      </c>
      <c r="AA1568" s="71" t="str">
        <f>IFERROR(INDEX(刷條碼區!D:G,MATCH(點上線資訊!S1568,刷條碼區!F:F,0),2),"")</f>
        <v/>
      </c>
      <c r="AB1568" s="20">
        <f t="shared" si="148"/>
        <v>0</v>
      </c>
      <c r="AC1568" s="20" t="b">
        <f t="shared" si="149"/>
        <v>0</v>
      </c>
      <c r="AD1568" s="17" t="b">
        <f t="shared" si="150"/>
        <v>0</v>
      </c>
      <c r="AE1568" s="17" t="b">
        <f t="shared" si="151"/>
        <v>0</v>
      </c>
    </row>
    <row r="1569" spans="17:31" x14ac:dyDescent="0.2">
      <c r="Q1569" s="17">
        <f>IFERROR(VLOOKUP(A1569,已除帳印單!B:C,1,0),0)*1</f>
        <v>0</v>
      </c>
      <c r="R1569" s="67" t="str">
        <f>IFERROR(VLOOKUP(J1569,線別!A:B,2,1),"")</f>
        <v/>
      </c>
      <c r="S1569" s="17" t="str">
        <f>IFERROR(VLOOKUP(A1569,已除帳印單!B:C,2,0),"")</f>
        <v/>
      </c>
      <c r="T1569" s="68" t="e">
        <f t="shared" si="146"/>
        <v>#VALUE!</v>
      </c>
      <c r="U1569" s="69">
        <f t="shared" si="147"/>
        <v>0</v>
      </c>
      <c r="V1569" s="68" t="str">
        <f>IFERROR(VLOOKUP(A1569,已除帳印單!B:D,3,0),"")</f>
        <v/>
      </c>
      <c r="W1569" s="69" t="str">
        <f>IFERROR(VLOOKUP(A1569,已除帳印單!B:E,4,0),"")</f>
        <v/>
      </c>
      <c r="X1569" s="68" t="str">
        <f>IFERROR(INDEX(刷條碼區!A:C,MATCH(點上線資訊!S1569,刷條碼區!C:C,0),1),"")</f>
        <v/>
      </c>
      <c r="Y1569" s="69" t="str">
        <f>IFERROR(INDEX(刷條碼區!A:C,MATCH(點上線資訊!S1569,刷條碼區!C:C,0),2),"")</f>
        <v/>
      </c>
      <c r="Z1569" s="70" t="str">
        <f>IFERROR(INDEX(刷條碼區!D:G,MATCH(點上線資訊!S1569,刷條碼區!F:F,0),1),"")</f>
        <v/>
      </c>
      <c r="AA1569" s="71" t="str">
        <f>IFERROR(INDEX(刷條碼區!D:G,MATCH(點上線資訊!S1569,刷條碼區!F:F,0),2),"")</f>
        <v/>
      </c>
      <c r="AB1569" s="20">
        <f t="shared" si="148"/>
        <v>0</v>
      </c>
      <c r="AC1569" s="20" t="b">
        <f t="shared" si="149"/>
        <v>0</v>
      </c>
      <c r="AD1569" s="17" t="b">
        <f t="shared" si="150"/>
        <v>0</v>
      </c>
      <c r="AE1569" s="17" t="b">
        <f t="shared" si="151"/>
        <v>0</v>
      </c>
    </row>
    <row r="1570" spans="17:31" x14ac:dyDescent="0.2">
      <c r="Q1570" s="17">
        <f>IFERROR(VLOOKUP(A1570,已除帳印單!B:C,1,0),0)*1</f>
        <v>0</v>
      </c>
      <c r="R1570" s="67" t="str">
        <f>IFERROR(VLOOKUP(J1570,線別!A:B,2,1),"")</f>
        <v/>
      </c>
      <c r="S1570" s="17" t="str">
        <f>IFERROR(VLOOKUP(A1570,已除帳印單!B:C,2,0),"")</f>
        <v/>
      </c>
      <c r="T1570" s="68" t="e">
        <f t="shared" si="146"/>
        <v>#VALUE!</v>
      </c>
      <c r="U1570" s="69">
        <f t="shared" si="147"/>
        <v>0</v>
      </c>
      <c r="V1570" s="68" t="str">
        <f>IFERROR(VLOOKUP(A1570,已除帳印單!B:D,3,0),"")</f>
        <v/>
      </c>
      <c r="W1570" s="69" t="str">
        <f>IFERROR(VLOOKUP(A1570,已除帳印單!B:E,4,0),"")</f>
        <v/>
      </c>
      <c r="X1570" s="68" t="str">
        <f>IFERROR(INDEX(刷條碼區!A:C,MATCH(點上線資訊!S1570,刷條碼區!C:C,0),1),"")</f>
        <v/>
      </c>
      <c r="Y1570" s="69" t="str">
        <f>IFERROR(INDEX(刷條碼區!A:C,MATCH(點上線資訊!S1570,刷條碼區!C:C,0),2),"")</f>
        <v/>
      </c>
      <c r="Z1570" s="70" t="str">
        <f>IFERROR(INDEX(刷條碼區!D:G,MATCH(點上線資訊!S1570,刷條碼區!F:F,0),1),"")</f>
        <v/>
      </c>
      <c r="AA1570" s="71" t="str">
        <f>IFERROR(INDEX(刷條碼區!D:G,MATCH(點上線資訊!S1570,刷條碼區!F:F,0),2),"")</f>
        <v/>
      </c>
      <c r="AB1570" s="20">
        <f t="shared" si="148"/>
        <v>0</v>
      </c>
      <c r="AC1570" s="20" t="b">
        <f t="shared" si="149"/>
        <v>0</v>
      </c>
      <c r="AD1570" s="17" t="b">
        <f t="shared" si="150"/>
        <v>0</v>
      </c>
      <c r="AE1570" s="17" t="b">
        <f t="shared" si="151"/>
        <v>0</v>
      </c>
    </row>
    <row r="1571" spans="17:31" x14ac:dyDescent="0.2">
      <c r="Q1571" s="17">
        <f>IFERROR(VLOOKUP(A1571,已除帳印單!B:C,1,0),0)*1</f>
        <v>0</v>
      </c>
      <c r="R1571" s="67" t="str">
        <f>IFERROR(VLOOKUP(J1571,線別!A:B,2,1),"")</f>
        <v/>
      </c>
      <c r="S1571" s="17" t="str">
        <f>IFERROR(VLOOKUP(A1571,已除帳印單!B:C,2,0),"")</f>
        <v/>
      </c>
      <c r="T1571" s="68" t="e">
        <f t="shared" si="146"/>
        <v>#VALUE!</v>
      </c>
      <c r="U1571" s="69">
        <f t="shared" si="147"/>
        <v>0</v>
      </c>
      <c r="V1571" s="68" t="str">
        <f>IFERROR(VLOOKUP(A1571,已除帳印單!B:D,3,0),"")</f>
        <v/>
      </c>
      <c r="W1571" s="69" t="str">
        <f>IFERROR(VLOOKUP(A1571,已除帳印單!B:E,4,0),"")</f>
        <v/>
      </c>
      <c r="X1571" s="68" t="str">
        <f>IFERROR(INDEX(刷條碼區!A:C,MATCH(點上線資訊!S1571,刷條碼區!C:C,0),1),"")</f>
        <v/>
      </c>
      <c r="Y1571" s="69" t="str">
        <f>IFERROR(INDEX(刷條碼區!A:C,MATCH(點上線資訊!S1571,刷條碼區!C:C,0),2),"")</f>
        <v/>
      </c>
      <c r="Z1571" s="70" t="str">
        <f>IFERROR(INDEX(刷條碼區!D:G,MATCH(點上線資訊!S1571,刷條碼區!F:F,0),1),"")</f>
        <v/>
      </c>
      <c r="AA1571" s="71" t="str">
        <f>IFERROR(INDEX(刷條碼區!D:G,MATCH(點上線資訊!S1571,刷條碼區!F:F,0),2),"")</f>
        <v/>
      </c>
      <c r="AB1571" s="20">
        <f t="shared" si="148"/>
        <v>0</v>
      </c>
      <c r="AC1571" s="20" t="b">
        <f t="shared" si="149"/>
        <v>0</v>
      </c>
      <c r="AD1571" s="17" t="b">
        <f t="shared" si="150"/>
        <v>0</v>
      </c>
      <c r="AE1571" s="17" t="b">
        <f t="shared" si="151"/>
        <v>0</v>
      </c>
    </row>
    <row r="1572" spans="17:31" x14ac:dyDescent="0.2">
      <c r="Q1572" s="17">
        <f>IFERROR(VLOOKUP(A1572,已除帳印單!B:C,1,0),0)*1</f>
        <v>0</v>
      </c>
      <c r="R1572" s="67" t="str">
        <f>IFERROR(VLOOKUP(J1572,線別!A:B,2,1),"")</f>
        <v/>
      </c>
      <c r="S1572" s="17" t="str">
        <f>IFERROR(VLOOKUP(A1572,已除帳印單!B:C,2,0),"")</f>
        <v/>
      </c>
      <c r="T1572" s="68" t="e">
        <f t="shared" si="146"/>
        <v>#VALUE!</v>
      </c>
      <c r="U1572" s="69">
        <f t="shared" si="147"/>
        <v>0</v>
      </c>
      <c r="V1572" s="68" t="str">
        <f>IFERROR(VLOOKUP(A1572,已除帳印單!B:D,3,0),"")</f>
        <v/>
      </c>
      <c r="W1572" s="69" t="str">
        <f>IFERROR(VLOOKUP(A1572,已除帳印單!B:E,4,0),"")</f>
        <v/>
      </c>
      <c r="X1572" s="68" t="str">
        <f>IFERROR(INDEX(刷條碼區!A:C,MATCH(點上線資訊!S1572,刷條碼區!C:C,0),1),"")</f>
        <v/>
      </c>
      <c r="Y1572" s="69" t="str">
        <f>IFERROR(INDEX(刷條碼區!A:C,MATCH(點上線資訊!S1572,刷條碼區!C:C,0),2),"")</f>
        <v/>
      </c>
      <c r="Z1572" s="70" t="str">
        <f>IFERROR(INDEX(刷條碼區!D:G,MATCH(點上線資訊!S1572,刷條碼區!F:F,0),1),"")</f>
        <v/>
      </c>
      <c r="AA1572" s="71" t="str">
        <f>IFERROR(INDEX(刷條碼區!D:G,MATCH(點上線資訊!S1572,刷條碼區!F:F,0),2),"")</f>
        <v/>
      </c>
      <c r="AB1572" s="20">
        <f t="shared" si="148"/>
        <v>0</v>
      </c>
      <c r="AC1572" s="20" t="b">
        <f t="shared" si="149"/>
        <v>0</v>
      </c>
      <c r="AD1572" s="17" t="b">
        <f t="shared" si="150"/>
        <v>0</v>
      </c>
      <c r="AE1572" s="17" t="b">
        <f t="shared" si="151"/>
        <v>0</v>
      </c>
    </row>
    <row r="1573" spans="17:31" x14ac:dyDescent="0.2">
      <c r="Q1573" s="17">
        <f>IFERROR(VLOOKUP(A1573,已除帳印單!B:C,1,0),0)*1</f>
        <v>0</v>
      </c>
      <c r="R1573" s="67" t="str">
        <f>IFERROR(VLOOKUP(J1573,線別!A:B,2,1),"")</f>
        <v/>
      </c>
      <c r="S1573" s="17" t="str">
        <f>IFERROR(VLOOKUP(A1573,已除帳印單!B:C,2,0),"")</f>
        <v/>
      </c>
      <c r="T1573" s="68" t="e">
        <f t="shared" si="146"/>
        <v>#VALUE!</v>
      </c>
      <c r="U1573" s="69">
        <f t="shared" si="147"/>
        <v>0</v>
      </c>
      <c r="V1573" s="68" t="str">
        <f>IFERROR(VLOOKUP(A1573,已除帳印單!B:D,3,0),"")</f>
        <v/>
      </c>
      <c r="W1573" s="69" t="str">
        <f>IFERROR(VLOOKUP(A1573,已除帳印單!B:E,4,0),"")</f>
        <v/>
      </c>
      <c r="X1573" s="68" t="str">
        <f>IFERROR(INDEX(刷條碼區!A:C,MATCH(點上線資訊!S1573,刷條碼區!C:C,0),1),"")</f>
        <v/>
      </c>
      <c r="Y1573" s="69" t="str">
        <f>IFERROR(INDEX(刷條碼區!A:C,MATCH(點上線資訊!S1573,刷條碼區!C:C,0),2),"")</f>
        <v/>
      </c>
      <c r="Z1573" s="70" t="str">
        <f>IFERROR(INDEX(刷條碼區!D:G,MATCH(點上線資訊!S1573,刷條碼區!F:F,0),1),"")</f>
        <v/>
      </c>
      <c r="AA1573" s="71" t="str">
        <f>IFERROR(INDEX(刷條碼區!D:G,MATCH(點上線資訊!S1573,刷條碼區!F:F,0),2),"")</f>
        <v/>
      </c>
      <c r="AB1573" s="20">
        <f t="shared" si="148"/>
        <v>0</v>
      </c>
      <c r="AC1573" s="20" t="b">
        <f t="shared" si="149"/>
        <v>0</v>
      </c>
      <c r="AD1573" s="17" t="b">
        <f t="shared" si="150"/>
        <v>0</v>
      </c>
      <c r="AE1573" s="17" t="b">
        <f t="shared" si="151"/>
        <v>0</v>
      </c>
    </row>
    <row r="1574" spans="17:31" x14ac:dyDescent="0.2">
      <c r="Q1574" s="17">
        <f>IFERROR(VLOOKUP(A1574,已除帳印單!B:C,1,0),0)*1</f>
        <v>0</v>
      </c>
      <c r="R1574" s="67" t="str">
        <f>IFERROR(VLOOKUP(J1574,線別!A:B,2,1),"")</f>
        <v/>
      </c>
      <c r="S1574" s="17" t="str">
        <f>IFERROR(VLOOKUP(A1574,已除帳印單!B:C,2,0),"")</f>
        <v/>
      </c>
      <c r="T1574" s="68" t="e">
        <f t="shared" si="146"/>
        <v>#VALUE!</v>
      </c>
      <c r="U1574" s="69">
        <f t="shared" si="147"/>
        <v>0</v>
      </c>
      <c r="V1574" s="68" t="str">
        <f>IFERROR(VLOOKUP(A1574,已除帳印單!B:D,3,0),"")</f>
        <v/>
      </c>
      <c r="W1574" s="69" t="str">
        <f>IFERROR(VLOOKUP(A1574,已除帳印單!B:E,4,0),"")</f>
        <v/>
      </c>
      <c r="X1574" s="68" t="str">
        <f>IFERROR(INDEX(刷條碼區!A:C,MATCH(點上線資訊!S1574,刷條碼區!C:C,0),1),"")</f>
        <v/>
      </c>
      <c r="Y1574" s="69" t="str">
        <f>IFERROR(INDEX(刷條碼區!A:C,MATCH(點上線資訊!S1574,刷條碼區!C:C,0),2),"")</f>
        <v/>
      </c>
      <c r="Z1574" s="70" t="str">
        <f>IFERROR(INDEX(刷條碼區!D:G,MATCH(點上線資訊!S1574,刷條碼區!F:F,0),1),"")</f>
        <v/>
      </c>
      <c r="AA1574" s="71" t="str">
        <f>IFERROR(INDEX(刷條碼區!D:G,MATCH(點上線資訊!S1574,刷條碼區!F:F,0),2),"")</f>
        <v/>
      </c>
      <c r="AB1574" s="20">
        <f t="shared" si="148"/>
        <v>0</v>
      </c>
      <c r="AC1574" s="20" t="b">
        <f t="shared" si="149"/>
        <v>0</v>
      </c>
      <c r="AD1574" s="17" t="b">
        <f t="shared" si="150"/>
        <v>0</v>
      </c>
      <c r="AE1574" s="17" t="b">
        <f t="shared" si="151"/>
        <v>0</v>
      </c>
    </row>
    <row r="1575" spans="17:31" x14ac:dyDescent="0.2">
      <c r="Q1575" s="17">
        <f>IFERROR(VLOOKUP(A1575,已除帳印單!B:C,1,0),0)*1</f>
        <v>0</v>
      </c>
      <c r="R1575" s="67" t="str">
        <f>IFERROR(VLOOKUP(J1575,線別!A:B,2,1),"")</f>
        <v/>
      </c>
      <c r="S1575" s="17" t="str">
        <f>IFERROR(VLOOKUP(A1575,已除帳印單!B:C,2,0),"")</f>
        <v/>
      </c>
      <c r="T1575" s="68" t="e">
        <f t="shared" si="146"/>
        <v>#VALUE!</v>
      </c>
      <c r="U1575" s="69">
        <f t="shared" si="147"/>
        <v>0</v>
      </c>
      <c r="V1575" s="68" t="str">
        <f>IFERROR(VLOOKUP(A1575,已除帳印單!B:D,3,0),"")</f>
        <v/>
      </c>
      <c r="W1575" s="69" t="str">
        <f>IFERROR(VLOOKUP(A1575,已除帳印單!B:E,4,0),"")</f>
        <v/>
      </c>
      <c r="X1575" s="68" t="str">
        <f>IFERROR(INDEX(刷條碼區!A:C,MATCH(點上線資訊!S1575,刷條碼區!C:C,0),1),"")</f>
        <v/>
      </c>
      <c r="Y1575" s="69" t="str">
        <f>IFERROR(INDEX(刷條碼區!A:C,MATCH(點上線資訊!S1575,刷條碼區!C:C,0),2),"")</f>
        <v/>
      </c>
      <c r="Z1575" s="70" t="str">
        <f>IFERROR(INDEX(刷條碼區!D:G,MATCH(點上線資訊!S1575,刷條碼區!F:F,0),1),"")</f>
        <v/>
      </c>
      <c r="AA1575" s="71" t="str">
        <f>IFERROR(INDEX(刷條碼區!D:G,MATCH(點上線資訊!S1575,刷條碼區!F:F,0),2),"")</f>
        <v/>
      </c>
      <c r="AB1575" s="20">
        <f t="shared" si="148"/>
        <v>0</v>
      </c>
      <c r="AC1575" s="20" t="b">
        <f t="shared" si="149"/>
        <v>0</v>
      </c>
      <c r="AD1575" s="17" t="b">
        <f t="shared" si="150"/>
        <v>0</v>
      </c>
      <c r="AE1575" s="17" t="b">
        <f t="shared" si="151"/>
        <v>0</v>
      </c>
    </row>
    <row r="1576" spans="17:31" x14ac:dyDescent="0.2">
      <c r="Q1576" s="17">
        <f>IFERROR(VLOOKUP(A1576,已除帳印單!B:C,1,0),0)*1</f>
        <v>0</v>
      </c>
      <c r="R1576" s="67" t="str">
        <f>IFERROR(VLOOKUP(J1576,線別!A:B,2,1),"")</f>
        <v/>
      </c>
      <c r="S1576" s="17" t="str">
        <f>IFERROR(VLOOKUP(A1576,已除帳印單!B:C,2,0),"")</f>
        <v/>
      </c>
      <c r="T1576" s="68" t="e">
        <f t="shared" si="146"/>
        <v>#VALUE!</v>
      </c>
      <c r="U1576" s="69">
        <f t="shared" si="147"/>
        <v>0</v>
      </c>
      <c r="V1576" s="68" t="str">
        <f>IFERROR(VLOOKUP(A1576,已除帳印單!B:D,3,0),"")</f>
        <v/>
      </c>
      <c r="W1576" s="69" t="str">
        <f>IFERROR(VLOOKUP(A1576,已除帳印單!B:E,4,0),"")</f>
        <v/>
      </c>
      <c r="X1576" s="68" t="str">
        <f>IFERROR(INDEX(刷條碼區!A:C,MATCH(點上線資訊!S1576,刷條碼區!C:C,0),1),"")</f>
        <v/>
      </c>
      <c r="Y1576" s="69" t="str">
        <f>IFERROR(INDEX(刷條碼區!A:C,MATCH(點上線資訊!S1576,刷條碼區!C:C,0),2),"")</f>
        <v/>
      </c>
      <c r="Z1576" s="70" t="str">
        <f>IFERROR(INDEX(刷條碼區!D:G,MATCH(點上線資訊!S1576,刷條碼區!F:F,0),1),"")</f>
        <v/>
      </c>
      <c r="AA1576" s="71" t="str">
        <f>IFERROR(INDEX(刷條碼區!D:G,MATCH(點上線資訊!S1576,刷條碼區!F:F,0),2),"")</f>
        <v/>
      </c>
      <c r="AB1576" s="20">
        <f t="shared" si="148"/>
        <v>0</v>
      </c>
      <c r="AC1576" s="20" t="b">
        <f t="shared" si="149"/>
        <v>0</v>
      </c>
      <c r="AD1576" s="17" t="b">
        <f t="shared" si="150"/>
        <v>0</v>
      </c>
      <c r="AE1576" s="17" t="b">
        <f t="shared" si="151"/>
        <v>0</v>
      </c>
    </row>
    <row r="1577" spans="17:31" x14ac:dyDescent="0.2">
      <c r="Q1577" s="17">
        <f>IFERROR(VLOOKUP(A1577,已除帳印單!B:C,1,0),0)*1</f>
        <v>0</v>
      </c>
      <c r="R1577" s="67" t="str">
        <f>IFERROR(VLOOKUP(J1577,線別!A:B,2,1),"")</f>
        <v/>
      </c>
      <c r="S1577" s="17" t="str">
        <f>IFERROR(VLOOKUP(A1577,已除帳印單!B:C,2,0),"")</f>
        <v/>
      </c>
      <c r="T1577" s="68" t="e">
        <f t="shared" si="146"/>
        <v>#VALUE!</v>
      </c>
      <c r="U1577" s="69">
        <f t="shared" si="147"/>
        <v>0</v>
      </c>
      <c r="V1577" s="68" t="str">
        <f>IFERROR(VLOOKUP(A1577,已除帳印單!B:D,3,0),"")</f>
        <v/>
      </c>
      <c r="W1577" s="69" t="str">
        <f>IFERROR(VLOOKUP(A1577,已除帳印單!B:E,4,0),"")</f>
        <v/>
      </c>
      <c r="X1577" s="68" t="str">
        <f>IFERROR(INDEX(刷條碼區!A:C,MATCH(點上線資訊!S1577,刷條碼區!C:C,0),1),"")</f>
        <v/>
      </c>
      <c r="Y1577" s="69" t="str">
        <f>IFERROR(INDEX(刷條碼區!A:C,MATCH(點上線資訊!S1577,刷條碼區!C:C,0),2),"")</f>
        <v/>
      </c>
      <c r="Z1577" s="70" t="str">
        <f>IFERROR(INDEX(刷條碼區!D:G,MATCH(點上線資訊!S1577,刷條碼區!F:F,0),1),"")</f>
        <v/>
      </c>
      <c r="AA1577" s="71" t="str">
        <f>IFERROR(INDEX(刷條碼區!D:G,MATCH(點上線資訊!S1577,刷條碼區!F:F,0),2),"")</f>
        <v/>
      </c>
      <c r="AB1577" s="20">
        <f t="shared" si="148"/>
        <v>0</v>
      </c>
      <c r="AC1577" s="20" t="b">
        <f t="shared" si="149"/>
        <v>0</v>
      </c>
      <c r="AD1577" s="17" t="b">
        <f t="shared" si="150"/>
        <v>0</v>
      </c>
      <c r="AE1577" s="17" t="b">
        <f t="shared" si="151"/>
        <v>0</v>
      </c>
    </row>
    <row r="1578" spans="17:31" x14ac:dyDescent="0.2">
      <c r="Q1578" s="17">
        <f>IFERROR(VLOOKUP(A1578,已除帳印單!B:C,1,0),0)*1</f>
        <v>0</v>
      </c>
      <c r="R1578" s="67" t="str">
        <f>IFERROR(VLOOKUP(J1578,線別!A:B,2,1),"")</f>
        <v/>
      </c>
      <c r="S1578" s="17" t="str">
        <f>IFERROR(VLOOKUP(A1578,已除帳印單!B:C,2,0),"")</f>
        <v/>
      </c>
      <c r="T1578" s="68" t="e">
        <f t="shared" si="146"/>
        <v>#VALUE!</v>
      </c>
      <c r="U1578" s="69">
        <f t="shared" si="147"/>
        <v>0</v>
      </c>
      <c r="V1578" s="68" t="str">
        <f>IFERROR(VLOOKUP(A1578,已除帳印單!B:D,3,0),"")</f>
        <v/>
      </c>
      <c r="W1578" s="69" t="str">
        <f>IFERROR(VLOOKUP(A1578,已除帳印單!B:E,4,0),"")</f>
        <v/>
      </c>
      <c r="X1578" s="68" t="str">
        <f>IFERROR(INDEX(刷條碼區!A:C,MATCH(點上線資訊!S1578,刷條碼區!C:C,0),1),"")</f>
        <v/>
      </c>
      <c r="Y1578" s="69" t="str">
        <f>IFERROR(INDEX(刷條碼區!A:C,MATCH(點上線資訊!S1578,刷條碼區!C:C,0),2),"")</f>
        <v/>
      </c>
      <c r="Z1578" s="70" t="str">
        <f>IFERROR(INDEX(刷條碼區!D:G,MATCH(點上線資訊!S1578,刷條碼區!F:F,0),1),"")</f>
        <v/>
      </c>
      <c r="AA1578" s="71" t="str">
        <f>IFERROR(INDEX(刷條碼區!D:G,MATCH(點上線資訊!S1578,刷條碼區!F:F,0),2),"")</f>
        <v/>
      </c>
      <c r="AB1578" s="20">
        <f t="shared" si="148"/>
        <v>0</v>
      </c>
      <c r="AC1578" s="20" t="b">
        <f t="shared" si="149"/>
        <v>0</v>
      </c>
      <c r="AD1578" s="17" t="b">
        <f t="shared" si="150"/>
        <v>0</v>
      </c>
      <c r="AE1578" s="17" t="b">
        <f t="shared" si="151"/>
        <v>0</v>
      </c>
    </row>
    <row r="1579" spans="17:31" x14ac:dyDescent="0.2">
      <c r="Q1579" s="17">
        <f>IFERROR(VLOOKUP(A1579,已除帳印單!B:C,1,0),0)*1</f>
        <v>0</v>
      </c>
      <c r="R1579" s="67" t="str">
        <f>IFERROR(VLOOKUP(J1579,線別!A:B,2,1),"")</f>
        <v/>
      </c>
      <c r="S1579" s="17" t="str">
        <f>IFERROR(VLOOKUP(A1579,已除帳印單!B:C,2,0),"")</f>
        <v/>
      </c>
      <c r="T1579" s="68" t="e">
        <f t="shared" si="146"/>
        <v>#VALUE!</v>
      </c>
      <c r="U1579" s="69">
        <f t="shared" si="147"/>
        <v>0</v>
      </c>
      <c r="V1579" s="68" t="str">
        <f>IFERROR(VLOOKUP(A1579,已除帳印單!B:D,3,0),"")</f>
        <v/>
      </c>
      <c r="W1579" s="69" t="str">
        <f>IFERROR(VLOOKUP(A1579,已除帳印單!B:E,4,0),"")</f>
        <v/>
      </c>
      <c r="X1579" s="68" t="str">
        <f>IFERROR(INDEX(刷條碼區!A:C,MATCH(點上線資訊!S1579,刷條碼區!C:C,0),1),"")</f>
        <v/>
      </c>
      <c r="Y1579" s="69" t="str">
        <f>IFERROR(INDEX(刷條碼區!A:C,MATCH(點上線資訊!S1579,刷條碼區!C:C,0),2),"")</f>
        <v/>
      </c>
      <c r="Z1579" s="70" t="str">
        <f>IFERROR(INDEX(刷條碼區!D:G,MATCH(點上線資訊!S1579,刷條碼區!F:F,0),1),"")</f>
        <v/>
      </c>
      <c r="AA1579" s="71" t="str">
        <f>IFERROR(INDEX(刷條碼區!D:G,MATCH(點上線資訊!S1579,刷條碼區!F:F,0),2),"")</f>
        <v/>
      </c>
      <c r="AB1579" s="20">
        <f t="shared" si="148"/>
        <v>0</v>
      </c>
      <c r="AC1579" s="20" t="b">
        <f t="shared" si="149"/>
        <v>0</v>
      </c>
      <c r="AD1579" s="17" t="b">
        <f t="shared" si="150"/>
        <v>0</v>
      </c>
      <c r="AE1579" s="17" t="b">
        <f t="shared" si="151"/>
        <v>0</v>
      </c>
    </row>
    <row r="1580" spans="17:31" x14ac:dyDescent="0.2">
      <c r="Q1580" s="17">
        <f>IFERROR(VLOOKUP(A1580,已除帳印單!B:C,1,0),0)*1</f>
        <v>0</v>
      </c>
      <c r="R1580" s="67" t="str">
        <f>IFERROR(VLOOKUP(J1580,線別!A:B,2,1),"")</f>
        <v/>
      </c>
      <c r="S1580" s="17" t="str">
        <f>IFERROR(VLOOKUP(A1580,已除帳印單!B:C,2,0),"")</f>
        <v/>
      </c>
      <c r="T1580" s="68" t="e">
        <f t="shared" si="146"/>
        <v>#VALUE!</v>
      </c>
      <c r="U1580" s="69">
        <f t="shared" si="147"/>
        <v>0</v>
      </c>
      <c r="V1580" s="68" t="str">
        <f>IFERROR(VLOOKUP(A1580,已除帳印單!B:D,3,0),"")</f>
        <v/>
      </c>
      <c r="W1580" s="69" t="str">
        <f>IFERROR(VLOOKUP(A1580,已除帳印單!B:E,4,0),"")</f>
        <v/>
      </c>
      <c r="X1580" s="68" t="str">
        <f>IFERROR(INDEX(刷條碼區!A:C,MATCH(點上線資訊!S1580,刷條碼區!C:C,0),1),"")</f>
        <v/>
      </c>
      <c r="Y1580" s="69" t="str">
        <f>IFERROR(INDEX(刷條碼區!A:C,MATCH(點上線資訊!S1580,刷條碼區!C:C,0),2),"")</f>
        <v/>
      </c>
      <c r="Z1580" s="70" t="str">
        <f>IFERROR(INDEX(刷條碼區!D:G,MATCH(點上線資訊!S1580,刷條碼區!F:F,0),1),"")</f>
        <v/>
      </c>
      <c r="AA1580" s="71" t="str">
        <f>IFERROR(INDEX(刷條碼區!D:G,MATCH(點上線資訊!S1580,刷條碼區!F:F,0),2),"")</f>
        <v/>
      </c>
      <c r="AB1580" s="20">
        <f t="shared" si="148"/>
        <v>0</v>
      </c>
      <c r="AC1580" s="20" t="b">
        <f t="shared" si="149"/>
        <v>0</v>
      </c>
      <c r="AD1580" s="17" t="b">
        <f t="shared" si="150"/>
        <v>0</v>
      </c>
      <c r="AE1580" s="17" t="b">
        <f t="shared" si="151"/>
        <v>0</v>
      </c>
    </row>
    <row r="1581" spans="17:31" x14ac:dyDescent="0.2">
      <c r="Q1581" s="17">
        <f>IFERROR(VLOOKUP(A1581,已除帳印單!B:C,1,0),0)*1</f>
        <v>0</v>
      </c>
      <c r="R1581" s="67" t="str">
        <f>IFERROR(VLOOKUP(J1581,線別!A:B,2,1),"")</f>
        <v/>
      </c>
      <c r="S1581" s="17" t="str">
        <f>IFERROR(VLOOKUP(A1581,已除帳印單!B:C,2,0),"")</f>
        <v/>
      </c>
      <c r="T1581" s="68" t="e">
        <f t="shared" si="146"/>
        <v>#VALUE!</v>
      </c>
      <c r="U1581" s="69">
        <f t="shared" si="147"/>
        <v>0</v>
      </c>
      <c r="V1581" s="68" t="str">
        <f>IFERROR(VLOOKUP(A1581,已除帳印單!B:D,3,0),"")</f>
        <v/>
      </c>
      <c r="W1581" s="69" t="str">
        <f>IFERROR(VLOOKUP(A1581,已除帳印單!B:E,4,0),"")</f>
        <v/>
      </c>
      <c r="X1581" s="68" t="str">
        <f>IFERROR(INDEX(刷條碼區!A:C,MATCH(點上線資訊!S1581,刷條碼區!C:C,0),1),"")</f>
        <v/>
      </c>
      <c r="Y1581" s="69" t="str">
        <f>IFERROR(INDEX(刷條碼區!A:C,MATCH(點上線資訊!S1581,刷條碼區!C:C,0),2),"")</f>
        <v/>
      </c>
      <c r="Z1581" s="70" t="str">
        <f>IFERROR(INDEX(刷條碼區!D:G,MATCH(點上線資訊!S1581,刷條碼區!F:F,0),1),"")</f>
        <v/>
      </c>
      <c r="AA1581" s="71" t="str">
        <f>IFERROR(INDEX(刷條碼區!D:G,MATCH(點上線資訊!S1581,刷條碼區!F:F,0),2),"")</f>
        <v/>
      </c>
      <c r="AB1581" s="20">
        <f t="shared" si="148"/>
        <v>0</v>
      </c>
      <c r="AC1581" s="20" t="b">
        <f t="shared" si="149"/>
        <v>0</v>
      </c>
      <c r="AD1581" s="17" t="b">
        <f t="shared" si="150"/>
        <v>0</v>
      </c>
      <c r="AE1581" s="17" t="b">
        <f t="shared" si="151"/>
        <v>0</v>
      </c>
    </row>
    <row r="1582" spans="17:31" x14ac:dyDescent="0.2">
      <c r="Q1582" s="17">
        <f>IFERROR(VLOOKUP(A1582,已除帳印單!B:C,1,0),0)*1</f>
        <v>0</v>
      </c>
      <c r="R1582" s="67" t="str">
        <f>IFERROR(VLOOKUP(J1582,線別!A:B,2,1),"")</f>
        <v/>
      </c>
      <c r="S1582" s="17" t="str">
        <f>IFERROR(VLOOKUP(A1582,已除帳印單!B:C,2,0),"")</f>
        <v/>
      </c>
      <c r="T1582" s="68" t="e">
        <f t="shared" si="146"/>
        <v>#VALUE!</v>
      </c>
      <c r="U1582" s="69">
        <f t="shared" si="147"/>
        <v>0</v>
      </c>
      <c r="V1582" s="68" t="str">
        <f>IFERROR(VLOOKUP(A1582,已除帳印單!B:D,3,0),"")</f>
        <v/>
      </c>
      <c r="W1582" s="69" t="str">
        <f>IFERROR(VLOOKUP(A1582,已除帳印單!B:E,4,0),"")</f>
        <v/>
      </c>
      <c r="X1582" s="68" t="str">
        <f>IFERROR(INDEX(刷條碼區!A:C,MATCH(點上線資訊!S1582,刷條碼區!C:C,0),1),"")</f>
        <v/>
      </c>
      <c r="Y1582" s="69" t="str">
        <f>IFERROR(INDEX(刷條碼區!A:C,MATCH(點上線資訊!S1582,刷條碼區!C:C,0),2),"")</f>
        <v/>
      </c>
      <c r="Z1582" s="70" t="str">
        <f>IFERROR(INDEX(刷條碼區!D:G,MATCH(點上線資訊!S1582,刷條碼區!F:F,0),1),"")</f>
        <v/>
      </c>
      <c r="AA1582" s="71" t="str">
        <f>IFERROR(INDEX(刷條碼區!D:G,MATCH(點上線資訊!S1582,刷條碼區!F:F,0),2),"")</f>
        <v/>
      </c>
      <c r="AB1582" s="20">
        <f t="shared" si="148"/>
        <v>0</v>
      </c>
      <c r="AC1582" s="20" t="b">
        <f t="shared" si="149"/>
        <v>0</v>
      </c>
      <c r="AD1582" s="17" t="b">
        <f t="shared" si="150"/>
        <v>0</v>
      </c>
      <c r="AE1582" s="17" t="b">
        <f t="shared" si="151"/>
        <v>0</v>
      </c>
    </row>
    <row r="1583" spans="17:31" x14ac:dyDescent="0.2">
      <c r="Q1583" s="17">
        <f>IFERROR(VLOOKUP(A1583,已除帳印單!B:C,1,0),0)*1</f>
        <v>0</v>
      </c>
      <c r="R1583" s="67" t="str">
        <f>IFERROR(VLOOKUP(J1583,線別!A:B,2,1),"")</f>
        <v/>
      </c>
      <c r="S1583" s="17" t="str">
        <f>IFERROR(VLOOKUP(A1583,已除帳印單!B:C,2,0),"")</f>
        <v/>
      </c>
      <c r="T1583" s="68" t="e">
        <f t="shared" si="146"/>
        <v>#VALUE!</v>
      </c>
      <c r="U1583" s="69">
        <f t="shared" si="147"/>
        <v>0</v>
      </c>
      <c r="V1583" s="68" t="str">
        <f>IFERROR(VLOOKUP(A1583,已除帳印單!B:D,3,0),"")</f>
        <v/>
      </c>
      <c r="W1583" s="69" t="str">
        <f>IFERROR(VLOOKUP(A1583,已除帳印單!B:E,4,0),"")</f>
        <v/>
      </c>
      <c r="X1583" s="68" t="str">
        <f>IFERROR(INDEX(刷條碼區!A:C,MATCH(點上線資訊!S1583,刷條碼區!C:C,0),1),"")</f>
        <v/>
      </c>
      <c r="Y1583" s="69" t="str">
        <f>IFERROR(INDEX(刷條碼區!A:C,MATCH(點上線資訊!S1583,刷條碼區!C:C,0),2),"")</f>
        <v/>
      </c>
      <c r="Z1583" s="70" t="str">
        <f>IFERROR(INDEX(刷條碼區!D:G,MATCH(點上線資訊!S1583,刷條碼區!F:F,0),1),"")</f>
        <v/>
      </c>
      <c r="AA1583" s="71" t="str">
        <f>IFERROR(INDEX(刷條碼區!D:G,MATCH(點上線資訊!S1583,刷條碼區!F:F,0),2),"")</f>
        <v/>
      </c>
      <c r="AB1583" s="20">
        <f t="shared" si="148"/>
        <v>0</v>
      </c>
      <c r="AC1583" s="20" t="b">
        <f t="shared" si="149"/>
        <v>0</v>
      </c>
      <c r="AD1583" s="17" t="b">
        <f t="shared" si="150"/>
        <v>0</v>
      </c>
      <c r="AE1583" s="17" t="b">
        <f t="shared" si="151"/>
        <v>0</v>
      </c>
    </row>
    <row r="1584" spans="17:31" x14ac:dyDescent="0.2">
      <c r="Q1584" s="17">
        <f>IFERROR(VLOOKUP(A1584,已除帳印單!B:C,1,0),0)*1</f>
        <v>0</v>
      </c>
      <c r="R1584" s="67" t="str">
        <f>IFERROR(VLOOKUP(J1584,線別!A:B,2,1),"")</f>
        <v/>
      </c>
      <c r="S1584" s="17" t="str">
        <f>IFERROR(VLOOKUP(A1584,已除帳印單!B:C,2,0),"")</f>
        <v/>
      </c>
      <c r="T1584" s="68" t="e">
        <f t="shared" si="146"/>
        <v>#VALUE!</v>
      </c>
      <c r="U1584" s="69">
        <f t="shared" si="147"/>
        <v>0</v>
      </c>
      <c r="V1584" s="68" t="str">
        <f>IFERROR(VLOOKUP(A1584,已除帳印單!B:D,3,0),"")</f>
        <v/>
      </c>
      <c r="W1584" s="69" t="str">
        <f>IFERROR(VLOOKUP(A1584,已除帳印單!B:E,4,0),"")</f>
        <v/>
      </c>
      <c r="X1584" s="68" t="str">
        <f>IFERROR(INDEX(刷條碼區!A:C,MATCH(點上線資訊!S1584,刷條碼區!C:C,0),1),"")</f>
        <v/>
      </c>
      <c r="Y1584" s="69" t="str">
        <f>IFERROR(INDEX(刷條碼區!A:C,MATCH(點上線資訊!S1584,刷條碼區!C:C,0),2),"")</f>
        <v/>
      </c>
      <c r="Z1584" s="70" t="str">
        <f>IFERROR(INDEX(刷條碼區!D:G,MATCH(點上線資訊!S1584,刷條碼區!F:F,0),1),"")</f>
        <v/>
      </c>
      <c r="AA1584" s="71" t="str">
        <f>IFERROR(INDEX(刷條碼區!D:G,MATCH(點上線資訊!S1584,刷條碼區!F:F,0),2),"")</f>
        <v/>
      </c>
      <c r="AB1584" s="20">
        <f t="shared" si="148"/>
        <v>0</v>
      </c>
      <c r="AC1584" s="20" t="b">
        <f t="shared" si="149"/>
        <v>0</v>
      </c>
      <c r="AD1584" s="17" t="b">
        <f t="shared" si="150"/>
        <v>0</v>
      </c>
      <c r="AE1584" s="17" t="b">
        <f t="shared" si="151"/>
        <v>0</v>
      </c>
    </row>
    <row r="1585" spans="17:31" x14ac:dyDescent="0.2">
      <c r="Q1585" s="17">
        <f>IFERROR(VLOOKUP(A1585,已除帳印單!B:C,1,0),0)*1</f>
        <v>0</v>
      </c>
      <c r="R1585" s="67" t="str">
        <f>IFERROR(VLOOKUP(J1585,線別!A:B,2,1),"")</f>
        <v/>
      </c>
      <c r="S1585" s="17" t="str">
        <f>IFERROR(VLOOKUP(A1585,已除帳印單!B:C,2,0),"")</f>
        <v/>
      </c>
      <c r="T1585" s="68" t="e">
        <f t="shared" si="146"/>
        <v>#VALUE!</v>
      </c>
      <c r="U1585" s="69">
        <f t="shared" si="147"/>
        <v>0</v>
      </c>
      <c r="V1585" s="68" t="str">
        <f>IFERROR(VLOOKUP(A1585,已除帳印單!B:D,3,0),"")</f>
        <v/>
      </c>
      <c r="W1585" s="69" t="str">
        <f>IFERROR(VLOOKUP(A1585,已除帳印單!B:E,4,0),"")</f>
        <v/>
      </c>
      <c r="X1585" s="68" t="str">
        <f>IFERROR(INDEX(刷條碼區!A:C,MATCH(點上線資訊!S1585,刷條碼區!C:C,0),1),"")</f>
        <v/>
      </c>
      <c r="Y1585" s="69" t="str">
        <f>IFERROR(INDEX(刷條碼區!A:C,MATCH(點上線資訊!S1585,刷條碼區!C:C,0),2),"")</f>
        <v/>
      </c>
      <c r="Z1585" s="70" t="str">
        <f>IFERROR(INDEX(刷條碼區!D:G,MATCH(點上線資訊!S1585,刷條碼區!F:F,0),1),"")</f>
        <v/>
      </c>
      <c r="AA1585" s="71" t="str">
        <f>IFERROR(INDEX(刷條碼區!D:G,MATCH(點上線資訊!S1585,刷條碼區!F:F,0),2),"")</f>
        <v/>
      </c>
      <c r="AB1585" s="20">
        <f t="shared" si="148"/>
        <v>0</v>
      </c>
      <c r="AC1585" s="20" t="b">
        <f t="shared" si="149"/>
        <v>0</v>
      </c>
      <c r="AD1585" s="17" t="b">
        <f t="shared" si="150"/>
        <v>0</v>
      </c>
      <c r="AE1585" s="17" t="b">
        <f t="shared" si="151"/>
        <v>0</v>
      </c>
    </row>
    <row r="1586" spans="17:31" x14ac:dyDescent="0.2">
      <c r="Q1586" s="17">
        <f>IFERROR(VLOOKUP(A1586,已除帳印單!B:C,1,0),0)*1</f>
        <v>0</v>
      </c>
      <c r="R1586" s="67" t="str">
        <f>IFERROR(VLOOKUP(J1586,線別!A:B,2,1),"")</f>
        <v/>
      </c>
      <c r="S1586" s="17" t="str">
        <f>IFERROR(VLOOKUP(A1586,已除帳印單!B:C,2,0),"")</f>
        <v/>
      </c>
      <c r="T1586" s="68" t="e">
        <f t="shared" si="146"/>
        <v>#VALUE!</v>
      </c>
      <c r="U1586" s="69">
        <f t="shared" si="147"/>
        <v>0</v>
      </c>
      <c r="V1586" s="68" t="str">
        <f>IFERROR(VLOOKUP(A1586,已除帳印單!B:D,3,0),"")</f>
        <v/>
      </c>
      <c r="W1586" s="69" t="str">
        <f>IFERROR(VLOOKUP(A1586,已除帳印單!B:E,4,0),"")</f>
        <v/>
      </c>
      <c r="X1586" s="68" t="str">
        <f>IFERROR(INDEX(刷條碼區!A:C,MATCH(點上線資訊!S1586,刷條碼區!C:C,0),1),"")</f>
        <v/>
      </c>
      <c r="Y1586" s="69" t="str">
        <f>IFERROR(INDEX(刷條碼區!A:C,MATCH(點上線資訊!S1586,刷條碼區!C:C,0),2),"")</f>
        <v/>
      </c>
      <c r="Z1586" s="70" t="str">
        <f>IFERROR(INDEX(刷條碼區!D:G,MATCH(點上線資訊!S1586,刷條碼區!F:F,0),1),"")</f>
        <v/>
      </c>
      <c r="AA1586" s="71" t="str">
        <f>IFERROR(INDEX(刷條碼區!D:G,MATCH(點上線資訊!S1586,刷條碼區!F:F,0),2),"")</f>
        <v/>
      </c>
      <c r="AB1586" s="20">
        <f t="shared" si="148"/>
        <v>0</v>
      </c>
      <c r="AC1586" s="20" t="b">
        <f t="shared" si="149"/>
        <v>0</v>
      </c>
      <c r="AD1586" s="17" t="b">
        <f t="shared" si="150"/>
        <v>0</v>
      </c>
      <c r="AE1586" s="17" t="b">
        <f t="shared" si="151"/>
        <v>0</v>
      </c>
    </row>
    <row r="1587" spans="17:31" x14ac:dyDescent="0.2">
      <c r="Q1587" s="17">
        <f>IFERROR(VLOOKUP(A1587,已除帳印單!B:C,1,0),0)*1</f>
        <v>0</v>
      </c>
      <c r="R1587" s="67" t="str">
        <f>IFERROR(VLOOKUP(J1587,線別!A:B,2,1),"")</f>
        <v/>
      </c>
      <c r="S1587" s="17" t="str">
        <f>IFERROR(VLOOKUP(A1587,已除帳印單!B:C,2,0),"")</f>
        <v/>
      </c>
      <c r="T1587" s="68" t="e">
        <f t="shared" si="146"/>
        <v>#VALUE!</v>
      </c>
      <c r="U1587" s="69">
        <f t="shared" si="147"/>
        <v>0</v>
      </c>
      <c r="V1587" s="68" t="str">
        <f>IFERROR(VLOOKUP(A1587,已除帳印單!B:D,3,0),"")</f>
        <v/>
      </c>
      <c r="W1587" s="69" t="str">
        <f>IFERROR(VLOOKUP(A1587,已除帳印單!B:E,4,0),"")</f>
        <v/>
      </c>
      <c r="X1587" s="68" t="str">
        <f>IFERROR(INDEX(刷條碼區!A:C,MATCH(點上線資訊!S1587,刷條碼區!C:C,0),1),"")</f>
        <v/>
      </c>
      <c r="Y1587" s="69" t="str">
        <f>IFERROR(INDEX(刷條碼區!A:C,MATCH(點上線資訊!S1587,刷條碼區!C:C,0),2),"")</f>
        <v/>
      </c>
      <c r="Z1587" s="70" t="str">
        <f>IFERROR(INDEX(刷條碼區!D:G,MATCH(點上線資訊!S1587,刷條碼區!F:F,0),1),"")</f>
        <v/>
      </c>
      <c r="AA1587" s="71" t="str">
        <f>IFERROR(INDEX(刷條碼區!D:G,MATCH(點上線資訊!S1587,刷條碼區!F:F,0),2),"")</f>
        <v/>
      </c>
      <c r="AB1587" s="20">
        <f t="shared" si="148"/>
        <v>0</v>
      </c>
      <c r="AC1587" s="20" t="b">
        <f t="shared" si="149"/>
        <v>0</v>
      </c>
      <c r="AD1587" s="17" t="b">
        <f t="shared" si="150"/>
        <v>0</v>
      </c>
      <c r="AE1587" s="17" t="b">
        <f t="shared" si="151"/>
        <v>0</v>
      </c>
    </row>
    <row r="1588" spans="17:31" x14ac:dyDescent="0.2">
      <c r="Q1588" s="17">
        <f>IFERROR(VLOOKUP(A1588,已除帳印單!B:C,1,0),0)*1</f>
        <v>0</v>
      </c>
      <c r="R1588" s="67" t="str">
        <f>IFERROR(VLOOKUP(J1588,線別!A:B,2,1),"")</f>
        <v/>
      </c>
      <c r="S1588" s="17" t="str">
        <f>IFERROR(VLOOKUP(A1588,已除帳印單!B:C,2,0),"")</f>
        <v/>
      </c>
      <c r="T1588" s="68" t="e">
        <f t="shared" si="146"/>
        <v>#VALUE!</v>
      </c>
      <c r="U1588" s="69">
        <f t="shared" si="147"/>
        <v>0</v>
      </c>
      <c r="V1588" s="68" t="str">
        <f>IFERROR(VLOOKUP(A1588,已除帳印單!B:D,3,0),"")</f>
        <v/>
      </c>
      <c r="W1588" s="69" t="str">
        <f>IFERROR(VLOOKUP(A1588,已除帳印單!B:E,4,0),"")</f>
        <v/>
      </c>
      <c r="X1588" s="68" t="str">
        <f>IFERROR(INDEX(刷條碼區!A:C,MATCH(點上線資訊!S1588,刷條碼區!C:C,0),1),"")</f>
        <v/>
      </c>
      <c r="Y1588" s="69" t="str">
        <f>IFERROR(INDEX(刷條碼區!A:C,MATCH(點上線資訊!S1588,刷條碼區!C:C,0),2),"")</f>
        <v/>
      </c>
      <c r="Z1588" s="70" t="str">
        <f>IFERROR(INDEX(刷條碼區!D:G,MATCH(點上線資訊!S1588,刷條碼區!F:F,0),1),"")</f>
        <v/>
      </c>
      <c r="AA1588" s="71" t="str">
        <f>IFERROR(INDEX(刷條碼區!D:G,MATCH(點上線資訊!S1588,刷條碼區!F:F,0),2),"")</f>
        <v/>
      </c>
      <c r="AB1588" s="20">
        <f t="shared" si="148"/>
        <v>0</v>
      </c>
      <c r="AC1588" s="20" t="b">
        <f t="shared" si="149"/>
        <v>0</v>
      </c>
      <c r="AD1588" s="17" t="b">
        <f t="shared" si="150"/>
        <v>0</v>
      </c>
      <c r="AE1588" s="17" t="b">
        <f t="shared" si="151"/>
        <v>0</v>
      </c>
    </row>
    <row r="1589" spans="17:31" x14ac:dyDescent="0.2">
      <c r="Q1589" s="17">
        <f>IFERROR(VLOOKUP(A1589,已除帳印單!B:C,1,0),0)*1</f>
        <v>0</v>
      </c>
      <c r="R1589" s="67" t="str">
        <f>IFERROR(VLOOKUP(J1589,線別!A:B,2,1),"")</f>
        <v/>
      </c>
      <c r="S1589" s="17" t="str">
        <f>IFERROR(VLOOKUP(A1589,已除帳印單!B:C,2,0),"")</f>
        <v/>
      </c>
      <c r="T1589" s="68" t="e">
        <f t="shared" ref="T1589:T1652" si="152">--TEXT(B1589,"0000-00-00")</f>
        <v>#VALUE!</v>
      </c>
      <c r="U1589" s="69">
        <f t="shared" ref="U1589:U1652" si="153">--TEXT(C1589,"00\:00\:00")</f>
        <v>0</v>
      </c>
      <c r="V1589" s="68" t="str">
        <f>IFERROR(VLOOKUP(A1589,已除帳印單!B:D,3,0),"")</f>
        <v/>
      </c>
      <c r="W1589" s="69" t="str">
        <f>IFERROR(VLOOKUP(A1589,已除帳印單!B:E,4,0),"")</f>
        <v/>
      </c>
      <c r="X1589" s="68" t="str">
        <f>IFERROR(INDEX(刷條碼區!A:C,MATCH(點上線資訊!S1589,刷條碼區!C:C,0),1),"")</f>
        <v/>
      </c>
      <c r="Y1589" s="69" t="str">
        <f>IFERROR(INDEX(刷條碼區!A:C,MATCH(點上線資訊!S1589,刷條碼區!C:C,0),2),"")</f>
        <v/>
      </c>
      <c r="Z1589" s="70" t="str">
        <f>IFERROR(INDEX(刷條碼區!D:G,MATCH(點上線資訊!S1589,刷條碼區!F:F,0),1),"")</f>
        <v/>
      </c>
      <c r="AA1589" s="71" t="str">
        <f>IFERROR(INDEX(刷條碼區!D:G,MATCH(點上線資訊!S1589,刷條碼區!F:F,0),2),"")</f>
        <v/>
      </c>
      <c r="AB1589" s="20">
        <f t="shared" ref="AB1589:AB1652" si="154">IF(K1589&amp;N1589="",G1589)</f>
        <v>0</v>
      </c>
      <c r="AC1589" s="20" t="b">
        <f t="shared" ref="AC1589:AC1652" si="155">IF(S1589&lt;&gt;"",G1589)</f>
        <v>0</v>
      </c>
      <c r="AD1589" s="17" t="b">
        <f t="shared" ref="AD1589:AD1652" si="156">IF(X1589&lt;&gt;"",G1589)</f>
        <v>0</v>
      </c>
      <c r="AE1589" s="17" t="b">
        <f t="shared" ref="AE1589:AE1652" si="157">IF(Z1589&lt;&gt;"",G1589)</f>
        <v>0</v>
      </c>
    </row>
    <row r="1590" spans="17:31" x14ac:dyDescent="0.2">
      <c r="Q1590" s="17">
        <f>IFERROR(VLOOKUP(A1590,已除帳印單!B:C,1,0),0)*1</f>
        <v>0</v>
      </c>
      <c r="R1590" s="67" t="str">
        <f>IFERROR(VLOOKUP(J1590,線別!A:B,2,1),"")</f>
        <v/>
      </c>
      <c r="S1590" s="17" t="str">
        <f>IFERROR(VLOOKUP(A1590,已除帳印單!B:C,2,0),"")</f>
        <v/>
      </c>
      <c r="T1590" s="68" t="e">
        <f t="shared" si="152"/>
        <v>#VALUE!</v>
      </c>
      <c r="U1590" s="69">
        <f t="shared" si="153"/>
        <v>0</v>
      </c>
      <c r="V1590" s="68" t="str">
        <f>IFERROR(VLOOKUP(A1590,已除帳印單!B:D,3,0),"")</f>
        <v/>
      </c>
      <c r="W1590" s="69" t="str">
        <f>IFERROR(VLOOKUP(A1590,已除帳印單!B:E,4,0),"")</f>
        <v/>
      </c>
      <c r="X1590" s="68" t="str">
        <f>IFERROR(INDEX(刷條碼區!A:C,MATCH(點上線資訊!S1590,刷條碼區!C:C,0),1),"")</f>
        <v/>
      </c>
      <c r="Y1590" s="69" t="str">
        <f>IFERROR(INDEX(刷條碼區!A:C,MATCH(點上線資訊!S1590,刷條碼區!C:C,0),2),"")</f>
        <v/>
      </c>
      <c r="Z1590" s="70" t="str">
        <f>IFERROR(INDEX(刷條碼區!D:G,MATCH(點上線資訊!S1590,刷條碼區!F:F,0),1),"")</f>
        <v/>
      </c>
      <c r="AA1590" s="71" t="str">
        <f>IFERROR(INDEX(刷條碼區!D:G,MATCH(點上線資訊!S1590,刷條碼區!F:F,0),2),"")</f>
        <v/>
      </c>
      <c r="AB1590" s="20">
        <f t="shared" si="154"/>
        <v>0</v>
      </c>
      <c r="AC1590" s="20" t="b">
        <f t="shared" si="155"/>
        <v>0</v>
      </c>
      <c r="AD1590" s="17" t="b">
        <f t="shared" si="156"/>
        <v>0</v>
      </c>
      <c r="AE1590" s="17" t="b">
        <f t="shared" si="157"/>
        <v>0</v>
      </c>
    </row>
    <row r="1591" spans="17:31" x14ac:dyDescent="0.2">
      <c r="Q1591" s="17">
        <f>IFERROR(VLOOKUP(A1591,已除帳印單!B:C,1,0),0)*1</f>
        <v>0</v>
      </c>
      <c r="R1591" s="67" t="str">
        <f>IFERROR(VLOOKUP(J1591,線別!A:B,2,1),"")</f>
        <v/>
      </c>
      <c r="S1591" s="17" t="str">
        <f>IFERROR(VLOOKUP(A1591,已除帳印單!B:C,2,0),"")</f>
        <v/>
      </c>
      <c r="T1591" s="68" t="e">
        <f t="shared" si="152"/>
        <v>#VALUE!</v>
      </c>
      <c r="U1591" s="69">
        <f t="shared" si="153"/>
        <v>0</v>
      </c>
      <c r="V1591" s="68" t="str">
        <f>IFERROR(VLOOKUP(A1591,已除帳印單!B:D,3,0),"")</f>
        <v/>
      </c>
      <c r="W1591" s="69" t="str">
        <f>IFERROR(VLOOKUP(A1591,已除帳印單!B:E,4,0),"")</f>
        <v/>
      </c>
      <c r="X1591" s="68" t="str">
        <f>IFERROR(INDEX(刷條碼區!A:C,MATCH(點上線資訊!S1591,刷條碼區!C:C,0),1),"")</f>
        <v/>
      </c>
      <c r="Y1591" s="69" t="str">
        <f>IFERROR(INDEX(刷條碼區!A:C,MATCH(點上線資訊!S1591,刷條碼區!C:C,0),2),"")</f>
        <v/>
      </c>
      <c r="Z1591" s="70" t="str">
        <f>IFERROR(INDEX(刷條碼區!D:G,MATCH(點上線資訊!S1591,刷條碼區!F:F,0),1),"")</f>
        <v/>
      </c>
      <c r="AA1591" s="71" t="str">
        <f>IFERROR(INDEX(刷條碼區!D:G,MATCH(點上線資訊!S1591,刷條碼區!F:F,0),2),"")</f>
        <v/>
      </c>
      <c r="AB1591" s="20">
        <f t="shared" si="154"/>
        <v>0</v>
      </c>
      <c r="AC1591" s="20" t="b">
        <f t="shared" si="155"/>
        <v>0</v>
      </c>
      <c r="AD1591" s="17" t="b">
        <f t="shared" si="156"/>
        <v>0</v>
      </c>
      <c r="AE1591" s="17" t="b">
        <f t="shared" si="157"/>
        <v>0</v>
      </c>
    </row>
    <row r="1592" spans="17:31" x14ac:dyDescent="0.2">
      <c r="Q1592" s="17">
        <f>IFERROR(VLOOKUP(A1592,已除帳印單!B:C,1,0),0)*1</f>
        <v>0</v>
      </c>
      <c r="R1592" s="67" t="str">
        <f>IFERROR(VLOOKUP(J1592,線別!A:B,2,1),"")</f>
        <v/>
      </c>
      <c r="S1592" s="17" t="str">
        <f>IFERROR(VLOOKUP(A1592,已除帳印單!B:C,2,0),"")</f>
        <v/>
      </c>
      <c r="T1592" s="68" t="e">
        <f t="shared" si="152"/>
        <v>#VALUE!</v>
      </c>
      <c r="U1592" s="69">
        <f t="shared" si="153"/>
        <v>0</v>
      </c>
      <c r="V1592" s="68" t="str">
        <f>IFERROR(VLOOKUP(A1592,已除帳印單!B:D,3,0),"")</f>
        <v/>
      </c>
      <c r="W1592" s="69" t="str">
        <f>IFERROR(VLOOKUP(A1592,已除帳印單!B:E,4,0),"")</f>
        <v/>
      </c>
      <c r="X1592" s="68" t="str">
        <f>IFERROR(INDEX(刷條碼區!A:C,MATCH(點上線資訊!S1592,刷條碼區!C:C,0),1),"")</f>
        <v/>
      </c>
      <c r="Y1592" s="69" t="str">
        <f>IFERROR(INDEX(刷條碼區!A:C,MATCH(點上線資訊!S1592,刷條碼區!C:C,0),2),"")</f>
        <v/>
      </c>
      <c r="Z1592" s="70" t="str">
        <f>IFERROR(INDEX(刷條碼區!D:G,MATCH(點上線資訊!S1592,刷條碼區!F:F,0),1),"")</f>
        <v/>
      </c>
      <c r="AA1592" s="71" t="str">
        <f>IFERROR(INDEX(刷條碼區!D:G,MATCH(點上線資訊!S1592,刷條碼區!F:F,0),2),"")</f>
        <v/>
      </c>
      <c r="AB1592" s="20">
        <f t="shared" si="154"/>
        <v>0</v>
      </c>
      <c r="AC1592" s="20" t="b">
        <f t="shared" si="155"/>
        <v>0</v>
      </c>
      <c r="AD1592" s="17" t="b">
        <f t="shared" si="156"/>
        <v>0</v>
      </c>
      <c r="AE1592" s="17" t="b">
        <f t="shared" si="157"/>
        <v>0</v>
      </c>
    </row>
    <row r="1593" spans="17:31" x14ac:dyDescent="0.2">
      <c r="Q1593" s="17">
        <f>IFERROR(VLOOKUP(A1593,已除帳印單!B:C,1,0),0)*1</f>
        <v>0</v>
      </c>
      <c r="R1593" s="67" t="str">
        <f>IFERROR(VLOOKUP(J1593,線別!A:B,2,1),"")</f>
        <v/>
      </c>
      <c r="S1593" s="17" t="str">
        <f>IFERROR(VLOOKUP(A1593,已除帳印單!B:C,2,0),"")</f>
        <v/>
      </c>
      <c r="T1593" s="68" t="e">
        <f t="shared" si="152"/>
        <v>#VALUE!</v>
      </c>
      <c r="U1593" s="69">
        <f t="shared" si="153"/>
        <v>0</v>
      </c>
      <c r="V1593" s="68" t="str">
        <f>IFERROR(VLOOKUP(A1593,已除帳印單!B:D,3,0),"")</f>
        <v/>
      </c>
      <c r="W1593" s="69" t="str">
        <f>IFERROR(VLOOKUP(A1593,已除帳印單!B:E,4,0),"")</f>
        <v/>
      </c>
      <c r="X1593" s="68" t="str">
        <f>IFERROR(INDEX(刷條碼區!A:C,MATCH(點上線資訊!S1593,刷條碼區!C:C,0),1),"")</f>
        <v/>
      </c>
      <c r="Y1593" s="69" t="str">
        <f>IFERROR(INDEX(刷條碼區!A:C,MATCH(點上線資訊!S1593,刷條碼區!C:C,0),2),"")</f>
        <v/>
      </c>
      <c r="Z1593" s="70" t="str">
        <f>IFERROR(INDEX(刷條碼區!D:G,MATCH(點上線資訊!S1593,刷條碼區!F:F,0),1),"")</f>
        <v/>
      </c>
      <c r="AA1593" s="71" t="str">
        <f>IFERROR(INDEX(刷條碼區!D:G,MATCH(點上線資訊!S1593,刷條碼區!F:F,0),2),"")</f>
        <v/>
      </c>
      <c r="AB1593" s="20">
        <f t="shared" si="154"/>
        <v>0</v>
      </c>
      <c r="AC1593" s="20" t="b">
        <f t="shared" si="155"/>
        <v>0</v>
      </c>
      <c r="AD1593" s="17" t="b">
        <f t="shared" si="156"/>
        <v>0</v>
      </c>
      <c r="AE1593" s="17" t="b">
        <f t="shared" si="157"/>
        <v>0</v>
      </c>
    </row>
    <row r="1594" spans="17:31" x14ac:dyDescent="0.2">
      <c r="Q1594" s="17">
        <f>IFERROR(VLOOKUP(A1594,已除帳印單!B:C,1,0),0)*1</f>
        <v>0</v>
      </c>
      <c r="R1594" s="67" t="str">
        <f>IFERROR(VLOOKUP(J1594,線別!A:B,2,1),"")</f>
        <v/>
      </c>
      <c r="S1594" s="17" t="str">
        <f>IFERROR(VLOOKUP(A1594,已除帳印單!B:C,2,0),"")</f>
        <v/>
      </c>
      <c r="T1594" s="68" t="e">
        <f t="shared" si="152"/>
        <v>#VALUE!</v>
      </c>
      <c r="U1594" s="69">
        <f t="shared" si="153"/>
        <v>0</v>
      </c>
      <c r="V1594" s="68" t="str">
        <f>IFERROR(VLOOKUP(A1594,已除帳印單!B:D,3,0),"")</f>
        <v/>
      </c>
      <c r="W1594" s="69" t="str">
        <f>IFERROR(VLOOKUP(A1594,已除帳印單!B:E,4,0),"")</f>
        <v/>
      </c>
      <c r="X1594" s="68" t="str">
        <f>IFERROR(INDEX(刷條碼區!A:C,MATCH(點上線資訊!S1594,刷條碼區!C:C,0),1),"")</f>
        <v/>
      </c>
      <c r="Y1594" s="69" t="str">
        <f>IFERROR(INDEX(刷條碼區!A:C,MATCH(點上線資訊!S1594,刷條碼區!C:C,0),2),"")</f>
        <v/>
      </c>
      <c r="Z1594" s="70" t="str">
        <f>IFERROR(INDEX(刷條碼區!D:G,MATCH(點上線資訊!S1594,刷條碼區!F:F,0),1),"")</f>
        <v/>
      </c>
      <c r="AA1594" s="71" t="str">
        <f>IFERROR(INDEX(刷條碼區!D:G,MATCH(點上線資訊!S1594,刷條碼區!F:F,0),2),"")</f>
        <v/>
      </c>
      <c r="AB1594" s="20">
        <f t="shared" si="154"/>
        <v>0</v>
      </c>
      <c r="AC1594" s="20" t="b">
        <f t="shared" si="155"/>
        <v>0</v>
      </c>
      <c r="AD1594" s="17" t="b">
        <f t="shared" si="156"/>
        <v>0</v>
      </c>
      <c r="AE1594" s="17" t="b">
        <f t="shared" si="157"/>
        <v>0</v>
      </c>
    </row>
    <row r="1595" spans="17:31" x14ac:dyDescent="0.2">
      <c r="Q1595" s="17">
        <f>IFERROR(VLOOKUP(A1595,已除帳印單!B:C,1,0),0)*1</f>
        <v>0</v>
      </c>
      <c r="R1595" s="67" t="str">
        <f>IFERROR(VLOOKUP(J1595,線別!A:B,2,1),"")</f>
        <v/>
      </c>
      <c r="S1595" s="17" t="str">
        <f>IFERROR(VLOOKUP(A1595,已除帳印單!B:C,2,0),"")</f>
        <v/>
      </c>
      <c r="T1595" s="68" t="e">
        <f t="shared" si="152"/>
        <v>#VALUE!</v>
      </c>
      <c r="U1595" s="69">
        <f t="shared" si="153"/>
        <v>0</v>
      </c>
      <c r="V1595" s="68" t="str">
        <f>IFERROR(VLOOKUP(A1595,已除帳印單!B:D,3,0),"")</f>
        <v/>
      </c>
      <c r="W1595" s="69" t="str">
        <f>IFERROR(VLOOKUP(A1595,已除帳印單!B:E,4,0),"")</f>
        <v/>
      </c>
      <c r="X1595" s="68" t="str">
        <f>IFERROR(INDEX(刷條碼區!A:C,MATCH(點上線資訊!S1595,刷條碼區!C:C,0),1),"")</f>
        <v/>
      </c>
      <c r="Y1595" s="69" t="str">
        <f>IFERROR(INDEX(刷條碼區!A:C,MATCH(點上線資訊!S1595,刷條碼區!C:C,0),2),"")</f>
        <v/>
      </c>
      <c r="Z1595" s="70" t="str">
        <f>IFERROR(INDEX(刷條碼區!D:G,MATCH(點上線資訊!S1595,刷條碼區!F:F,0),1),"")</f>
        <v/>
      </c>
      <c r="AA1595" s="71" t="str">
        <f>IFERROR(INDEX(刷條碼區!D:G,MATCH(點上線資訊!S1595,刷條碼區!F:F,0),2),"")</f>
        <v/>
      </c>
      <c r="AB1595" s="20">
        <f t="shared" si="154"/>
        <v>0</v>
      </c>
      <c r="AC1595" s="20" t="b">
        <f t="shared" si="155"/>
        <v>0</v>
      </c>
      <c r="AD1595" s="17" t="b">
        <f t="shared" si="156"/>
        <v>0</v>
      </c>
      <c r="AE1595" s="17" t="b">
        <f t="shared" si="157"/>
        <v>0</v>
      </c>
    </row>
    <row r="1596" spans="17:31" x14ac:dyDescent="0.2">
      <c r="Q1596" s="17">
        <f>IFERROR(VLOOKUP(A1596,已除帳印單!B:C,1,0),0)*1</f>
        <v>0</v>
      </c>
      <c r="R1596" s="67" t="str">
        <f>IFERROR(VLOOKUP(J1596,線別!A:B,2,1),"")</f>
        <v/>
      </c>
      <c r="S1596" s="17" t="str">
        <f>IFERROR(VLOOKUP(A1596,已除帳印單!B:C,2,0),"")</f>
        <v/>
      </c>
      <c r="T1596" s="68" t="e">
        <f t="shared" si="152"/>
        <v>#VALUE!</v>
      </c>
      <c r="U1596" s="69">
        <f t="shared" si="153"/>
        <v>0</v>
      </c>
      <c r="V1596" s="68" t="str">
        <f>IFERROR(VLOOKUP(A1596,已除帳印單!B:D,3,0),"")</f>
        <v/>
      </c>
      <c r="W1596" s="69" t="str">
        <f>IFERROR(VLOOKUP(A1596,已除帳印單!B:E,4,0),"")</f>
        <v/>
      </c>
      <c r="X1596" s="68" t="str">
        <f>IFERROR(INDEX(刷條碼區!A:C,MATCH(點上線資訊!S1596,刷條碼區!C:C,0),1),"")</f>
        <v/>
      </c>
      <c r="Y1596" s="69" t="str">
        <f>IFERROR(INDEX(刷條碼區!A:C,MATCH(點上線資訊!S1596,刷條碼區!C:C,0),2),"")</f>
        <v/>
      </c>
      <c r="Z1596" s="70" t="str">
        <f>IFERROR(INDEX(刷條碼區!D:G,MATCH(點上線資訊!S1596,刷條碼區!F:F,0),1),"")</f>
        <v/>
      </c>
      <c r="AA1596" s="71" t="str">
        <f>IFERROR(INDEX(刷條碼區!D:G,MATCH(點上線資訊!S1596,刷條碼區!F:F,0),2),"")</f>
        <v/>
      </c>
      <c r="AB1596" s="20">
        <f t="shared" si="154"/>
        <v>0</v>
      </c>
      <c r="AC1596" s="20" t="b">
        <f t="shared" si="155"/>
        <v>0</v>
      </c>
      <c r="AD1596" s="17" t="b">
        <f t="shared" si="156"/>
        <v>0</v>
      </c>
      <c r="AE1596" s="17" t="b">
        <f t="shared" si="157"/>
        <v>0</v>
      </c>
    </row>
    <row r="1597" spans="17:31" x14ac:dyDescent="0.2">
      <c r="Q1597" s="17">
        <f>IFERROR(VLOOKUP(A1597,已除帳印單!B:C,1,0),0)*1</f>
        <v>0</v>
      </c>
      <c r="R1597" s="67" t="str">
        <f>IFERROR(VLOOKUP(J1597,線別!A:B,2,1),"")</f>
        <v/>
      </c>
      <c r="S1597" s="17" t="str">
        <f>IFERROR(VLOOKUP(A1597,已除帳印單!B:C,2,0),"")</f>
        <v/>
      </c>
      <c r="T1597" s="68" t="e">
        <f t="shared" si="152"/>
        <v>#VALUE!</v>
      </c>
      <c r="U1597" s="69">
        <f t="shared" si="153"/>
        <v>0</v>
      </c>
      <c r="V1597" s="68" t="str">
        <f>IFERROR(VLOOKUP(A1597,已除帳印單!B:D,3,0),"")</f>
        <v/>
      </c>
      <c r="W1597" s="69" t="str">
        <f>IFERROR(VLOOKUP(A1597,已除帳印單!B:E,4,0),"")</f>
        <v/>
      </c>
      <c r="X1597" s="68" t="str">
        <f>IFERROR(INDEX(刷條碼區!A:C,MATCH(點上線資訊!S1597,刷條碼區!C:C,0),1),"")</f>
        <v/>
      </c>
      <c r="Y1597" s="69" t="str">
        <f>IFERROR(INDEX(刷條碼區!A:C,MATCH(點上線資訊!S1597,刷條碼區!C:C,0),2),"")</f>
        <v/>
      </c>
      <c r="Z1597" s="70" t="str">
        <f>IFERROR(INDEX(刷條碼區!D:G,MATCH(點上線資訊!S1597,刷條碼區!F:F,0),1),"")</f>
        <v/>
      </c>
      <c r="AA1597" s="71" t="str">
        <f>IFERROR(INDEX(刷條碼區!D:G,MATCH(點上線資訊!S1597,刷條碼區!F:F,0),2),"")</f>
        <v/>
      </c>
      <c r="AB1597" s="20">
        <f t="shared" si="154"/>
        <v>0</v>
      </c>
      <c r="AC1597" s="20" t="b">
        <f t="shared" si="155"/>
        <v>0</v>
      </c>
      <c r="AD1597" s="17" t="b">
        <f t="shared" si="156"/>
        <v>0</v>
      </c>
      <c r="AE1597" s="17" t="b">
        <f t="shared" si="157"/>
        <v>0</v>
      </c>
    </row>
    <row r="1598" spans="17:31" x14ac:dyDescent="0.2">
      <c r="Q1598" s="17">
        <f>IFERROR(VLOOKUP(A1598,已除帳印單!B:C,1,0),0)*1</f>
        <v>0</v>
      </c>
      <c r="R1598" s="67" t="str">
        <f>IFERROR(VLOOKUP(J1598,線別!A:B,2,1),"")</f>
        <v/>
      </c>
      <c r="S1598" s="17" t="str">
        <f>IFERROR(VLOOKUP(A1598,已除帳印單!B:C,2,0),"")</f>
        <v/>
      </c>
      <c r="T1598" s="68" t="e">
        <f t="shared" si="152"/>
        <v>#VALUE!</v>
      </c>
      <c r="U1598" s="69">
        <f t="shared" si="153"/>
        <v>0</v>
      </c>
      <c r="V1598" s="68" t="str">
        <f>IFERROR(VLOOKUP(A1598,已除帳印單!B:D,3,0),"")</f>
        <v/>
      </c>
      <c r="W1598" s="69" t="str">
        <f>IFERROR(VLOOKUP(A1598,已除帳印單!B:E,4,0),"")</f>
        <v/>
      </c>
      <c r="X1598" s="68" t="str">
        <f>IFERROR(INDEX(刷條碼區!A:C,MATCH(點上線資訊!S1598,刷條碼區!C:C,0),1),"")</f>
        <v/>
      </c>
      <c r="Y1598" s="69" t="str">
        <f>IFERROR(INDEX(刷條碼區!A:C,MATCH(點上線資訊!S1598,刷條碼區!C:C,0),2),"")</f>
        <v/>
      </c>
      <c r="Z1598" s="70" t="str">
        <f>IFERROR(INDEX(刷條碼區!D:G,MATCH(點上線資訊!S1598,刷條碼區!F:F,0),1),"")</f>
        <v/>
      </c>
      <c r="AA1598" s="71" t="str">
        <f>IFERROR(INDEX(刷條碼區!D:G,MATCH(點上線資訊!S1598,刷條碼區!F:F,0),2),"")</f>
        <v/>
      </c>
      <c r="AB1598" s="20">
        <f t="shared" si="154"/>
        <v>0</v>
      </c>
      <c r="AC1598" s="20" t="b">
        <f t="shared" si="155"/>
        <v>0</v>
      </c>
      <c r="AD1598" s="17" t="b">
        <f t="shared" si="156"/>
        <v>0</v>
      </c>
      <c r="AE1598" s="17" t="b">
        <f t="shared" si="157"/>
        <v>0</v>
      </c>
    </row>
    <row r="1599" spans="17:31" x14ac:dyDescent="0.2">
      <c r="Q1599" s="17">
        <f>IFERROR(VLOOKUP(A1599,已除帳印單!B:C,1,0),0)*1</f>
        <v>0</v>
      </c>
      <c r="R1599" s="67" t="str">
        <f>IFERROR(VLOOKUP(J1599,線別!A:B,2,1),"")</f>
        <v/>
      </c>
      <c r="S1599" s="17" t="str">
        <f>IFERROR(VLOOKUP(A1599,已除帳印單!B:C,2,0),"")</f>
        <v/>
      </c>
      <c r="T1599" s="68" t="e">
        <f t="shared" si="152"/>
        <v>#VALUE!</v>
      </c>
      <c r="U1599" s="69">
        <f t="shared" si="153"/>
        <v>0</v>
      </c>
      <c r="V1599" s="68" t="str">
        <f>IFERROR(VLOOKUP(A1599,已除帳印單!B:D,3,0),"")</f>
        <v/>
      </c>
      <c r="W1599" s="69" t="str">
        <f>IFERROR(VLOOKUP(A1599,已除帳印單!B:E,4,0),"")</f>
        <v/>
      </c>
      <c r="X1599" s="68" t="str">
        <f>IFERROR(INDEX(刷條碼區!A:C,MATCH(點上線資訊!S1599,刷條碼區!C:C,0),1),"")</f>
        <v/>
      </c>
      <c r="Y1599" s="69" t="str">
        <f>IFERROR(INDEX(刷條碼區!A:C,MATCH(點上線資訊!S1599,刷條碼區!C:C,0),2),"")</f>
        <v/>
      </c>
      <c r="Z1599" s="70" t="str">
        <f>IFERROR(INDEX(刷條碼區!D:G,MATCH(點上線資訊!S1599,刷條碼區!F:F,0),1),"")</f>
        <v/>
      </c>
      <c r="AA1599" s="71" t="str">
        <f>IFERROR(INDEX(刷條碼區!D:G,MATCH(點上線資訊!S1599,刷條碼區!F:F,0),2),"")</f>
        <v/>
      </c>
      <c r="AB1599" s="20">
        <f t="shared" si="154"/>
        <v>0</v>
      </c>
      <c r="AC1599" s="20" t="b">
        <f t="shared" si="155"/>
        <v>0</v>
      </c>
      <c r="AD1599" s="17" t="b">
        <f t="shared" si="156"/>
        <v>0</v>
      </c>
      <c r="AE1599" s="17" t="b">
        <f t="shared" si="157"/>
        <v>0</v>
      </c>
    </row>
    <row r="1600" spans="17:31" x14ac:dyDescent="0.2">
      <c r="Q1600" s="17">
        <f>IFERROR(VLOOKUP(A1600,已除帳印單!B:C,1,0),0)*1</f>
        <v>0</v>
      </c>
      <c r="R1600" s="67" t="str">
        <f>IFERROR(VLOOKUP(J1600,線別!A:B,2,1),"")</f>
        <v/>
      </c>
      <c r="S1600" s="17" t="str">
        <f>IFERROR(VLOOKUP(A1600,已除帳印單!B:C,2,0),"")</f>
        <v/>
      </c>
      <c r="T1600" s="68" t="e">
        <f t="shared" si="152"/>
        <v>#VALUE!</v>
      </c>
      <c r="U1600" s="69">
        <f t="shared" si="153"/>
        <v>0</v>
      </c>
      <c r="V1600" s="68" t="str">
        <f>IFERROR(VLOOKUP(A1600,已除帳印單!B:D,3,0),"")</f>
        <v/>
      </c>
      <c r="W1600" s="69" t="str">
        <f>IFERROR(VLOOKUP(A1600,已除帳印單!B:E,4,0),"")</f>
        <v/>
      </c>
      <c r="X1600" s="68" t="str">
        <f>IFERROR(INDEX(刷條碼區!A:C,MATCH(點上線資訊!S1600,刷條碼區!C:C,0),1),"")</f>
        <v/>
      </c>
      <c r="Y1600" s="69" t="str">
        <f>IFERROR(INDEX(刷條碼區!A:C,MATCH(點上線資訊!S1600,刷條碼區!C:C,0),2),"")</f>
        <v/>
      </c>
      <c r="Z1600" s="70" t="str">
        <f>IFERROR(INDEX(刷條碼區!D:G,MATCH(點上線資訊!S1600,刷條碼區!F:F,0),1),"")</f>
        <v/>
      </c>
      <c r="AA1600" s="71" t="str">
        <f>IFERROR(INDEX(刷條碼區!D:G,MATCH(點上線資訊!S1600,刷條碼區!F:F,0),2),"")</f>
        <v/>
      </c>
      <c r="AB1600" s="20">
        <f t="shared" si="154"/>
        <v>0</v>
      </c>
      <c r="AC1600" s="20" t="b">
        <f t="shared" si="155"/>
        <v>0</v>
      </c>
      <c r="AD1600" s="17" t="b">
        <f t="shared" si="156"/>
        <v>0</v>
      </c>
      <c r="AE1600" s="17" t="b">
        <f t="shared" si="157"/>
        <v>0</v>
      </c>
    </row>
    <row r="1601" spans="17:31" x14ac:dyDescent="0.2">
      <c r="Q1601" s="17">
        <f>IFERROR(VLOOKUP(A1601,已除帳印單!B:C,1,0),0)*1</f>
        <v>0</v>
      </c>
      <c r="R1601" s="67" t="str">
        <f>IFERROR(VLOOKUP(J1601,線別!A:B,2,1),"")</f>
        <v/>
      </c>
      <c r="S1601" s="17" t="str">
        <f>IFERROR(VLOOKUP(A1601,已除帳印單!B:C,2,0),"")</f>
        <v/>
      </c>
      <c r="T1601" s="68" t="e">
        <f t="shared" si="152"/>
        <v>#VALUE!</v>
      </c>
      <c r="U1601" s="69">
        <f t="shared" si="153"/>
        <v>0</v>
      </c>
      <c r="V1601" s="68" t="str">
        <f>IFERROR(VLOOKUP(A1601,已除帳印單!B:D,3,0),"")</f>
        <v/>
      </c>
      <c r="W1601" s="69" t="str">
        <f>IFERROR(VLOOKUP(A1601,已除帳印單!B:E,4,0),"")</f>
        <v/>
      </c>
      <c r="X1601" s="68" t="str">
        <f>IFERROR(INDEX(刷條碼區!A:C,MATCH(點上線資訊!S1601,刷條碼區!C:C,0),1),"")</f>
        <v/>
      </c>
      <c r="Y1601" s="69" t="str">
        <f>IFERROR(INDEX(刷條碼區!A:C,MATCH(點上線資訊!S1601,刷條碼區!C:C,0),2),"")</f>
        <v/>
      </c>
      <c r="Z1601" s="70" t="str">
        <f>IFERROR(INDEX(刷條碼區!D:G,MATCH(點上線資訊!S1601,刷條碼區!F:F,0),1),"")</f>
        <v/>
      </c>
      <c r="AA1601" s="71" t="str">
        <f>IFERROR(INDEX(刷條碼區!D:G,MATCH(點上線資訊!S1601,刷條碼區!F:F,0),2),"")</f>
        <v/>
      </c>
      <c r="AB1601" s="20">
        <f t="shared" si="154"/>
        <v>0</v>
      </c>
      <c r="AC1601" s="20" t="b">
        <f t="shared" si="155"/>
        <v>0</v>
      </c>
      <c r="AD1601" s="17" t="b">
        <f t="shared" si="156"/>
        <v>0</v>
      </c>
      <c r="AE1601" s="17" t="b">
        <f t="shared" si="157"/>
        <v>0</v>
      </c>
    </row>
    <row r="1602" spans="17:31" x14ac:dyDescent="0.2">
      <c r="Q1602" s="17">
        <f>IFERROR(VLOOKUP(A1602,已除帳印單!B:C,1,0),0)*1</f>
        <v>0</v>
      </c>
      <c r="R1602" s="67" t="str">
        <f>IFERROR(VLOOKUP(J1602,線別!A:B,2,1),"")</f>
        <v/>
      </c>
      <c r="S1602" s="17" t="str">
        <f>IFERROR(VLOOKUP(A1602,已除帳印單!B:C,2,0),"")</f>
        <v/>
      </c>
      <c r="T1602" s="68" t="e">
        <f t="shared" si="152"/>
        <v>#VALUE!</v>
      </c>
      <c r="U1602" s="69">
        <f t="shared" si="153"/>
        <v>0</v>
      </c>
      <c r="V1602" s="68" t="str">
        <f>IFERROR(VLOOKUP(A1602,已除帳印單!B:D,3,0),"")</f>
        <v/>
      </c>
      <c r="W1602" s="69" t="str">
        <f>IFERROR(VLOOKUP(A1602,已除帳印單!B:E,4,0),"")</f>
        <v/>
      </c>
      <c r="X1602" s="68" t="str">
        <f>IFERROR(INDEX(刷條碼區!A:C,MATCH(點上線資訊!S1602,刷條碼區!C:C,0),1),"")</f>
        <v/>
      </c>
      <c r="Y1602" s="69" t="str">
        <f>IFERROR(INDEX(刷條碼區!A:C,MATCH(點上線資訊!S1602,刷條碼區!C:C,0),2),"")</f>
        <v/>
      </c>
      <c r="Z1602" s="70" t="str">
        <f>IFERROR(INDEX(刷條碼區!D:G,MATCH(點上線資訊!S1602,刷條碼區!F:F,0),1),"")</f>
        <v/>
      </c>
      <c r="AA1602" s="71" t="str">
        <f>IFERROR(INDEX(刷條碼區!D:G,MATCH(點上線資訊!S1602,刷條碼區!F:F,0),2),"")</f>
        <v/>
      </c>
      <c r="AB1602" s="20">
        <f t="shared" si="154"/>
        <v>0</v>
      </c>
      <c r="AC1602" s="20" t="b">
        <f t="shared" si="155"/>
        <v>0</v>
      </c>
      <c r="AD1602" s="17" t="b">
        <f t="shared" si="156"/>
        <v>0</v>
      </c>
      <c r="AE1602" s="17" t="b">
        <f t="shared" si="157"/>
        <v>0</v>
      </c>
    </row>
    <row r="1603" spans="17:31" x14ac:dyDescent="0.2">
      <c r="Q1603" s="17">
        <f>IFERROR(VLOOKUP(A1603,已除帳印單!B:C,1,0),0)*1</f>
        <v>0</v>
      </c>
      <c r="R1603" s="67" t="str">
        <f>IFERROR(VLOOKUP(J1603,線別!A:B,2,1),"")</f>
        <v/>
      </c>
      <c r="S1603" s="17" t="str">
        <f>IFERROR(VLOOKUP(A1603,已除帳印單!B:C,2,0),"")</f>
        <v/>
      </c>
      <c r="T1603" s="68" t="e">
        <f t="shared" si="152"/>
        <v>#VALUE!</v>
      </c>
      <c r="U1603" s="69">
        <f t="shared" si="153"/>
        <v>0</v>
      </c>
      <c r="V1603" s="68" t="str">
        <f>IFERROR(VLOOKUP(A1603,已除帳印單!B:D,3,0),"")</f>
        <v/>
      </c>
      <c r="W1603" s="69" t="str">
        <f>IFERROR(VLOOKUP(A1603,已除帳印單!B:E,4,0),"")</f>
        <v/>
      </c>
      <c r="X1603" s="68" t="str">
        <f>IFERROR(INDEX(刷條碼區!A:C,MATCH(點上線資訊!S1603,刷條碼區!C:C,0),1),"")</f>
        <v/>
      </c>
      <c r="Y1603" s="69" t="str">
        <f>IFERROR(INDEX(刷條碼區!A:C,MATCH(點上線資訊!S1603,刷條碼區!C:C,0),2),"")</f>
        <v/>
      </c>
      <c r="Z1603" s="70" t="str">
        <f>IFERROR(INDEX(刷條碼區!D:G,MATCH(點上線資訊!S1603,刷條碼區!F:F,0),1),"")</f>
        <v/>
      </c>
      <c r="AA1603" s="71" t="str">
        <f>IFERROR(INDEX(刷條碼區!D:G,MATCH(點上線資訊!S1603,刷條碼區!F:F,0),2),"")</f>
        <v/>
      </c>
      <c r="AB1603" s="20">
        <f t="shared" si="154"/>
        <v>0</v>
      </c>
      <c r="AC1603" s="20" t="b">
        <f t="shared" si="155"/>
        <v>0</v>
      </c>
      <c r="AD1603" s="17" t="b">
        <f t="shared" si="156"/>
        <v>0</v>
      </c>
      <c r="AE1603" s="17" t="b">
        <f t="shared" si="157"/>
        <v>0</v>
      </c>
    </row>
    <row r="1604" spans="17:31" x14ac:dyDescent="0.2">
      <c r="Q1604" s="17">
        <f>IFERROR(VLOOKUP(A1604,已除帳印單!B:C,1,0),0)*1</f>
        <v>0</v>
      </c>
      <c r="R1604" s="67" t="str">
        <f>IFERROR(VLOOKUP(J1604,線別!A:B,2,1),"")</f>
        <v/>
      </c>
      <c r="S1604" s="17" t="str">
        <f>IFERROR(VLOOKUP(A1604,已除帳印單!B:C,2,0),"")</f>
        <v/>
      </c>
      <c r="T1604" s="68" t="e">
        <f t="shared" si="152"/>
        <v>#VALUE!</v>
      </c>
      <c r="U1604" s="69">
        <f t="shared" si="153"/>
        <v>0</v>
      </c>
      <c r="V1604" s="68" t="str">
        <f>IFERROR(VLOOKUP(A1604,已除帳印單!B:D,3,0),"")</f>
        <v/>
      </c>
      <c r="W1604" s="69" t="str">
        <f>IFERROR(VLOOKUP(A1604,已除帳印單!B:E,4,0),"")</f>
        <v/>
      </c>
      <c r="X1604" s="68" t="str">
        <f>IFERROR(INDEX(刷條碼區!A:C,MATCH(點上線資訊!S1604,刷條碼區!C:C,0),1),"")</f>
        <v/>
      </c>
      <c r="Y1604" s="69" t="str">
        <f>IFERROR(INDEX(刷條碼區!A:C,MATCH(點上線資訊!S1604,刷條碼區!C:C,0),2),"")</f>
        <v/>
      </c>
      <c r="Z1604" s="70" t="str">
        <f>IFERROR(INDEX(刷條碼區!D:G,MATCH(點上線資訊!S1604,刷條碼區!F:F,0),1),"")</f>
        <v/>
      </c>
      <c r="AA1604" s="71" t="str">
        <f>IFERROR(INDEX(刷條碼區!D:G,MATCH(點上線資訊!S1604,刷條碼區!F:F,0),2),"")</f>
        <v/>
      </c>
      <c r="AB1604" s="20">
        <f t="shared" si="154"/>
        <v>0</v>
      </c>
      <c r="AC1604" s="20" t="b">
        <f t="shared" si="155"/>
        <v>0</v>
      </c>
      <c r="AD1604" s="17" t="b">
        <f t="shared" si="156"/>
        <v>0</v>
      </c>
      <c r="AE1604" s="17" t="b">
        <f t="shared" si="157"/>
        <v>0</v>
      </c>
    </row>
    <row r="1605" spans="17:31" x14ac:dyDescent="0.2">
      <c r="Q1605" s="17">
        <f>IFERROR(VLOOKUP(A1605,已除帳印單!B:C,1,0),0)*1</f>
        <v>0</v>
      </c>
      <c r="R1605" s="67" t="str">
        <f>IFERROR(VLOOKUP(J1605,線別!A:B,2,1),"")</f>
        <v/>
      </c>
      <c r="S1605" s="17" t="str">
        <f>IFERROR(VLOOKUP(A1605,已除帳印單!B:C,2,0),"")</f>
        <v/>
      </c>
      <c r="T1605" s="68" t="e">
        <f t="shared" si="152"/>
        <v>#VALUE!</v>
      </c>
      <c r="U1605" s="69">
        <f t="shared" si="153"/>
        <v>0</v>
      </c>
      <c r="V1605" s="68" t="str">
        <f>IFERROR(VLOOKUP(A1605,已除帳印單!B:D,3,0),"")</f>
        <v/>
      </c>
      <c r="W1605" s="69" t="str">
        <f>IFERROR(VLOOKUP(A1605,已除帳印單!B:E,4,0),"")</f>
        <v/>
      </c>
      <c r="X1605" s="68" t="str">
        <f>IFERROR(INDEX(刷條碼區!A:C,MATCH(點上線資訊!S1605,刷條碼區!C:C,0),1),"")</f>
        <v/>
      </c>
      <c r="Y1605" s="69" t="str">
        <f>IFERROR(INDEX(刷條碼區!A:C,MATCH(點上線資訊!S1605,刷條碼區!C:C,0),2),"")</f>
        <v/>
      </c>
      <c r="Z1605" s="70" t="str">
        <f>IFERROR(INDEX(刷條碼區!D:G,MATCH(點上線資訊!S1605,刷條碼區!F:F,0),1),"")</f>
        <v/>
      </c>
      <c r="AA1605" s="71" t="str">
        <f>IFERROR(INDEX(刷條碼區!D:G,MATCH(點上線資訊!S1605,刷條碼區!F:F,0),2),"")</f>
        <v/>
      </c>
      <c r="AB1605" s="20">
        <f t="shared" si="154"/>
        <v>0</v>
      </c>
      <c r="AC1605" s="20" t="b">
        <f t="shared" si="155"/>
        <v>0</v>
      </c>
      <c r="AD1605" s="17" t="b">
        <f t="shared" si="156"/>
        <v>0</v>
      </c>
      <c r="AE1605" s="17" t="b">
        <f t="shared" si="157"/>
        <v>0</v>
      </c>
    </row>
    <row r="1606" spans="17:31" x14ac:dyDescent="0.2">
      <c r="Q1606" s="17">
        <f>IFERROR(VLOOKUP(A1606,已除帳印單!B:C,1,0),0)*1</f>
        <v>0</v>
      </c>
      <c r="R1606" s="67" t="str">
        <f>IFERROR(VLOOKUP(J1606,線別!A:B,2,1),"")</f>
        <v/>
      </c>
      <c r="S1606" s="17" t="str">
        <f>IFERROR(VLOOKUP(A1606,已除帳印單!B:C,2,0),"")</f>
        <v/>
      </c>
      <c r="T1606" s="68" t="e">
        <f t="shared" si="152"/>
        <v>#VALUE!</v>
      </c>
      <c r="U1606" s="69">
        <f t="shared" si="153"/>
        <v>0</v>
      </c>
      <c r="V1606" s="68" t="str">
        <f>IFERROR(VLOOKUP(A1606,已除帳印單!B:D,3,0),"")</f>
        <v/>
      </c>
      <c r="W1606" s="69" t="str">
        <f>IFERROR(VLOOKUP(A1606,已除帳印單!B:E,4,0),"")</f>
        <v/>
      </c>
      <c r="X1606" s="68" t="str">
        <f>IFERROR(INDEX(刷條碼區!A:C,MATCH(點上線資訊!S1606,刷條碼區!C:C,0),1),"")</f>
        <v/>
      </c>
      <c r="Y1606" s="69" t="str">
        <f>IFERROR(INDEX(刷條碼區!A:C,MATCH(點上線資訊!S1606,刷條碼區!C:C,0),2),"")</f>
        <v/>
      </c>
      <c r="Z1606" s="70" t="str">
        <f>IFERROR(INDEX(刷條碼區!D:G,MATCH(點上線資訊!S1606,刷條碼區!F:F,0),1),"")</f>
        <v/>
      </c>
      <c r="AA1606" s="71" t="str">
        <f>IFERROR(INDEX(刷條碼區!D:G,MATCH(點上線資訊!S1606,刷條碼區!F:F,0),2),"")</f>
        <v/>
      </c>
      <c r="AB1606" s="20">
        <f t="shared" si="154"/>
        <v>0</v>
      </c>
      <c r="AC1606" s="20" t="b">
        <f t="shared" si="155"/>
        <v>0</v>
      </c>
      <c r="AD1606" s="17" t="b">
        <f t="shared" si="156"/>
        <v>0</v>
      </c>
      <c r="AE1606" s="17" t="b">
        <f t="shared" si="157"/>
        <v>0</v>
      </c>
    </row>
    <row r="1607" spans="17:31" x14ac:dyDescent="0.2">
      <c r="Q1607" s="17">
        <f>IFERROR(VLOOKUP(A1607,已除帳印單!B:C,1,0),0)*1</f>
        <v>0</v>
      </c>
      <c r="R1607" s="67" t="str">
        <f>IFERROR(VLOOKUP(J1607,線別!A:B,2,1),"")</f>
        <v/>
      </c>
      <c r="S1607" s="17" t="str">
        <f>IFERROR(VLOOKUP(A1607,已除帳印單!B:C,2,0),"")</f>
        <v/>
      </c>
      <c r="T1607" s="68" t="e">
        <f t="shared" si="152"/>
        <v>#VALUE!</v>
      </c>
      <c r="U1607" s="69">
        <f t="shared" si="153"/>
        <v>0</v>
      </c>
      <c r="V1607" s="68" t="str">
        <f>IFERROR(VLOOKUP(A1607,已除帳印單!B:D,3,0),"")</f>
        <v/>
      </c>
      <c r="W1607" s="69" t="str">
        <f>IFERROR(VLOOKUP(A1607,已除帳印單!B:E,4,0),"")</f>
        <v/>
      </c>
      <c r="X1607" s="68" t="str">
        <f>IFERROR(INDEX(刷條碼區!A:C,MATCH(點上線資訊!S1607,刷條碼區!C:C,0),1),"")</f>
        <v/>
      </c>
      <c r="Y1607" s="69" t="str">
        <f>IFERROR(INDEX(刷條碼區!A:C,MATCH(點上線資訊!S1607,刷條碼區!C:C,0),2),"")</f>
        <v/>
      </c>
      <c r="Z1607" s="70" t="str">
        <f>IFERROR(INDEX(刷條碼區!D:G,MATCH(點上線資訊!S1607,刷條碼區!F:F,0),1),"")</f>
        <v/>
      </c>
      <c r="AA1607" s="71" t="str">
        <f>IFERROR(INDEX(刷條碼區!D:G,MATCH(點上線資訊!S1607,刷條碼區!F:F,0),2),"")</f>
        <v/>
      </c>
      <c r="AB1607" s="20">
        <f t="shared" si="154"/>
        <v>0</v>
      </c>
      <c r="AC1607" s="20" t="b">
        <f t="shared" si="155"/>
        <v>0</v>
      </c>
      <c r="AD1607" s="17" t="b">
        <f t="shared" si="156"/>
        <v>0</v>
      </c>
      <c r="AE1607" s="17" t="b">
        <f t="shared" si="157"/>
        <v>0</v>
      </c>
    </row>
    <row r="1608" spans="17:31" x14ac:dyDescent="0.2">
      <c r="Q1608" s="17">
        <f>IFERROR(VLOOKUP(A1608,已除帳印單!B:C,1,0),0)*1</f>
        <v>0</v>
      </c>
      <c r="R1608" s="67" t="str">
        <f>IFERROR(VLOOKUP(J1608,線別!A:B,2,1),"")</f>
        <v/>
      </c>
      <c r="S1608" s="17" t="str">
        <f>IFERROR(VLOOKUP(A1608,已除帳印單!B:C,2,0),"")</f>
        <v/>
      </c>
      <c r="T1608" s="68" t="e">
        <f t="shared" si="152"/>
        <v>#VALUE!</v>
      </c>
      <c r="U1608" s="69">
        <f t="shared" si="153"/>
        <v>0</v>
      </c>
      <c r="V1608" s="68" t="str">
        <f>IFERROR(VLOOKUP(A1608,已除帳印單!B:D,3,0),"")</f>
        <v/>
      </c>
      <c r="W1608" s="69" t="str">
        <f>IFERROR(VLOOKUP(A1608,已除帳印單!B:E,4,0),"")</f>
        <v/>
      </c>
      <c r="X1608" s="68" t="str">
        <f>IFERROR(INDEX(刷條碼區!A:C,MATCH(點上線資訊!S1608,刷條碼區!C:C,0),1),"")</f>
        <v/>
      </c>
      <c r="Y1608" s="69" t="str">
        <f>IFERROR(INDEX(刷條碼區!A:C,MATCH(點上線資訊!S1608,刷條碼區!C:C,0),2),"")</f>
        <v/>
      </c>
      <c r="Z1608" s="70" t="str">
        <f>IFERROR(INDEX(刷條碼區!D:G,MATCH(點上線資訊!S1608,刷條碼區!F:F,0),1),"")</f>
        <v/>
      </c>
      <c r="AA1608" s="71" t="str">
        <f>IFERROR(INDEX(刷條碼區!D:G,MATCH(點上線資訊!S1608,刷條碼區!F:F,0),2),"")</f>
        <v/>
      </c>
      <c r="AB1608" s="20">
        <f t="shared" si="154"/>
        <v>0</v>
      </c>
      <c r="AC1608" s="20" t="b">
        <f t="shared" si="155"/>
        <v>0</v>
      </c>
      <c r="AD1608" s="17" t="b">
        <f t="shared" si="156"/>
        <v>0</v>
      </c>
      <c r="AE1608" s="17" t="b">
        <f t="shared" si="157"/>
        <v>0</v>
      </c>
    </row>
    <row r="1609" spans="17:31" x14ac:dyDescent="0.2">
      <c r="Q1609" s="17">
        <f>IFERROR(VLOOKUP(A1609,已除帳印單!B:C,1,0),0)*1</f>
        <v>0</v>
      </c>
      <c r="R1609" s="67" t="str">
        <f>IFERROR(VLOOKUP(J1609,線別!A:B,2,1),"")</f>
        <v/>
      </c>
      <c r="S1609" s="17" t="str">
        <f>IFERROR(VLOOKUP(A1609,已除帳印單!B:C,2,0),"")</f>
        <v/>
      </c>
      <c r="T1609" s="68" t="e">
        <f t="shared" si="152"/>
        <v>#VALUE!</v>
      </c>
      <c r="U1609" s="69">
        <f t="shared" si="153"/>
        <v>0</v>
      </c>
      <c r="V1609" s="68" t="str">
        <f>IFERROR(VLOOKUP(A1609,已除帳印單!B:D,3,0),"")</f>
        <v/>
      </c>
      <c r="W1609" s="69" t="str">
        <f>IFERROR(VLOOKUP(A1609,已除帳印單!B:E,4,0),"")</f>
        <v/>
      </c>
      <c r="X1609" s="68" t="str">
        <f>IFERROR(INDEX(刷條碼區!A:C,MATCH(點上線資訊!S1609,刷條碼區!C:C,0),1),"")</f>
        <v/>
      </c>
      <c r="Y1609" s="69" t="str">
        <f>IFERROR(INDEX(刷條碼區!A:C,MATCH(點上線資訊!S1609,刷條碼區!C:C,0),2),"")</f>
        <v/>
      </c>
      <c r="Z1609" s="70" t="str">
        <f>IFERROR(INDEX(刷條碼區!D:G,MATCH(點上線資訊!S1609,刷條碼區!F:F,0),1),"")</f>
        <v/>
      </c>
      <c r="AA1609" s="71" t="str">
        <f>IFERROR(INDEX(刷條碼區!D:G,MATCH(點上線資訊!S1609,刷條碼區!F:F,0),2),"")</f>
        <v/>
      </c>
      <c r="AB1609" s="20">
        <f t="shared" si="154"/>
        <v>0</v>
      </c>
      <c r="AC1609" s="20" t="b">
        <f t="shared" si="155"/>
        <v>0</v>
      </c>
      <c r="AD1609" s="17" t="b">
        <f t="shared" si="156"/>
        <v>0</v>
      </c>
      <c r="AE1609" s="17" t="b">
        <f t="shared" si="157"/>
        <v>0</v>
      </c>
    </row>
    <row r="1610" spans="17:31" x14ac:dyDescent="0.2">
      <c r="Q1610" s="17">
        <f>IFERROR(VLOOKUP(A1610,已除帳印單!B:C,1,0),0)*1</f>
        <v>0</v>
      </c>
      <c r="R1610" s="67" t="str">
        <f>IFERROR(VLOOKUP(J1610,線別!A:B,2,1),"")</f>
        <v/>
      </c>
      <c r="S1610" s="17" t="str">
        <f>IFERROR(VLOOKUP(A1610,已除帳印單!B:C,2,0),"")</f>
        <v/>
      </c>
      <c r="T1610" s="68" t="e">
        <f t="shared" si="152"/>
        <v>#VALUE!</v>
      </c>
      <c r="U1610" s="69">
        <f t="shared" si="153"/>
        <v>0</v>
      </c>
      <c r="V1610" s="68" t="str">
        <f>IFERROR(VLOOKUP(A1610,已除帳印單!B:D,3,0),"")</f>
        <v/>
      </c>
      <c r="W1610" s="69" t="str">
        <f>IFERROR(VLOOKUP(A1610,已除帳印單!B:E,4,0),"")</f>
        <v/>
      </c>
      <c r="X1610" s="68" t="str">
        <f>IFERROR(INDEX(刷條碼區!A:C,MATCH(點上線資訊!S1610,刷條碼區!C:C,0),1),"")</f>
        <v/>
      </c>
      <c r="Y1610" s="69" t="str">
        <f>IFERROR(INDEX(刷條碼區!A:C,MATCH(點上線資訊!S1610,刷條碼區!C:C,0),2),"")</f>
        <v/>
      </c>
      <c r="Z1610" s="70" t="str">
        <f>IFERROR(INDEX(刷條碼區!D:G,MATCH(點上線資訊!S1610,刷條碼區!F:F,0),1),"")</f>
        <v/>
      </c>
      <c r="AA1610" s="71" t="str">
        <f>IFERROR(INDEX(刷條碼區!D:G,MATCH(點上線資訊!S1610,刷條碼區!F:F,0),2),"")</f>
        <v/>
      </c>
      <c r="AB1610" s="20">
        <f t="shared" si="154"/>
        <v>0</v>
      </c>
      <c r="AC1610" s="20" t="b">
        <f t="shared" si="155"/>
        <v>0</v>
      </c>
      <c r="AD1610" s="17" t="b">
        <f t="shared" si="156"/>
        <v>0</v>
      </c>
      <c r="AE1610" s="17" t="b">
        <f t="shared" si="157"/>
        <v>0</v>
      </c>
    </row>
    <row r="1611" spans="17:31" x14ac:dyDescent="0.2">
      <c r="Q1611" s="17">
        <f>IFERROR(VLOOKUP(A1611,已除帳印單!B:C,1,0),0)*1</f>
        <v>0</v>
      </c>
      <c r="R1611" s="67" t="str">
        <f>IFERROR(VLOOKUP(J1611,線別!A:B,2,1),"")</f>
        <v/>
      </c>
      <c r="S1611" s="17" t="str">
        <f>IFERROR(VLOOKUP(A1611,已除帳印單!B:C,2,0),"")</f>
        <v/>
      </c>
      <c r="T1611" s="68" t="e">
        <f t="shared" si="152"/>
        <v>#VALUE!</v>
      </c>
      <c r="U1611" s="69">
        <f t="shared" si="153"/>
        <v>0</v>
      </c>
      <c r="V1611" s="68" t="str">
        <f>IFERROR(VLOOKUP(A1611,已除帳印單!B:D,3,0),"")</f>
        <v/>
      </c>
      <c r="W1611" s="69" t="str">
        <f>IFERROR(VLOOKUP(A1611,已除帳印單!B:E,4,0),"")</f>
        <v/>
      </c>
      <c r="X1611" s="68" t="str">
        <f>IFERROR(INDEX(刷條碼區!A:C,MATCH(點上線資訊!S1611,刷條碼區!C:C,0),1),"")</f>
        <v/>
      </c>
      <c r="Y1611" s="69" t="str">
        <f>IFERROR(INDEX(刷條碼區!A:C,MATCH(點上線資訊!S1611,刷條碼區!C:C,0),2),"")</f>
        <v/>
      </c>
      <c r="Z1611" s="70" t="str">
        <f>IFERROR(INDEX(刷條碼區!D:G,MATCH(點上線資訊!S1611,刷條碼區!F:F,0),1),"")</f>
        <v/>
      </c>
      <c r="AA1611" s="71" t="str">
        <f>IFERROR(INDEX(刷條碼區!D:G,MATCH(點上線資訊!S1611,刷條碼區!F:F,0),2),"")</f>
        <v/>
      </c>
      <c r="AB1611" s="20">
        <f t="shared" si="154"/>
        <v>0</v>
      </c>
      <c r="AC1611" s="20" t="b">
        <f t="shared" si="155"/>
        <v>0</v>
      </c>
      <c r="AD1611" s="17" t="b">
        <f t="shared" si="156"/>
        <v>0</v>
      </c>
      <c r="AE1611" s="17" t="b">
        <f t="shared" si="157"/>
        <v>0</v>
      </c>
    </row>
    <row r="1612" spans="17:31" x14ac:dyDescent="0.2">
      <c r="Q1612" s="17">
        <f>IFERROR(VLOOKUP(A1612,已除帳印單!B:C,1,0),0)*1</f>
        <v>0</v>
      </c>
      <c r="R1612" s="67" t="str">
        <f>IFERROR(VLOOKUP(J1612,線別!A:B,2,1),"")</f>
        <v/>
      </c>
      <c r="S1612" s="17" t="str">
        <f>IFERROR(VLOOKUP(A1612,已除帳印單!B:C,2,0),"")</f>
        <v/>
      </c>
      <c r="T1612" s="68" t="e">
        <f t="shared" si="152"/>
        <v>#VALUE!</v>
      </c>
      <c r="U1612" s="69">
        <f t="shared" si="153"/>
        <v>0</v>
      </c>
      <c r="V1612" s="68" t="str">
        <f>IFERROR(VLOOKUP(A1612,已除帳印單!B:D,3,0),"")</f>
        <v/>
      </c>
      <c r="W1612" s="69" t="str">
        <f>IFERROR(VLOOKUP(A1612,已除帳印單!B:E,4,0),"")</f>
        <v/>
      </c>
      <c r="X1612" s="68" t="str">
        <f>IFERROR(INDEX(刷條碼區!A:C,MATCH(點上線資訊!S1612,刷條碼區!C:C,0),1),"")</f>
        <v/>
      </c>
      <c r="Y1612" s="69" t="str">
        <f>IFERROR(INDEX(刷條碼區!A:C,MATCH(點上線資訊!S1612,刷條碼區!C:C,0),2),"")</f>
        <v/>
      </c>
      <c r="Z1612" s="70" t="str">
        <f>IFERROR(INDEX(刷條碼區!D:G,MATCH(點上線資訊!S1612,刷條碼區!F:F,0),1),"")</f>
        <v/>
      </c>
      <c r="AA1612" s="71" t="str">
        <f>IFERROR(INDEX(刷條碼區!D:G,MATCH(點上線資訊!S1612,刷條碼區!F:F,0),2),"")</f>
        <v/>
      </c>
      <c r="AB1612" s="20">
        <f t="shared" si="154"/>
        <v>0</v>
      </c>
      <c r="AC1612" s="20" t="b">
        <f t="shared" si="155"/>
        <v>0</v>
      </c>
      <c r="AD1612" s="17" t="b">
        <f t="shared" si="156"/>
        <v>0</v>
      </c>
      <c r="AE1612" s="17" t="b">
        <f t="shared" si="157"/>
        <v>0</v>
      </c>
    </row>
    <row r="1613" spans="17:31" x14ac:dyDescent="0.2">
      <c r="Q1613" s="17">
        <f>IFERROR(VLOOKUP(A1613,已除帳印單!B:C,1,0),0)*1</f>
        <v>0</v>
      </c>
      <c r="R1613" s="67" t="str">
        <f>IFERROR(VLOOKUP(J1613,線別!A:B,2,1),"")</f>
        <v/>
      </c>
      <c r="S1613" s="17" t="str">
        <f>IFERROR(VLOOKUP(A1613,已除帳印單!B:C,2,0),"")</f>
        <v/>
      </c>
      <c r="T1613" s="68" t="e">
        <f t="shared" si="152"/>
        <v>#VALUE!</v>
      </c>
      <c r="U1613" s="69">
        <f t="shared" si="153"/>
        <v>0</v>
      </c>
      <c r="V1613" s="68" t="str">
        <f>IFERROR(VLOOKUP(A1613,已除帳印單!B:D,3,0),"")</f>
        <v/>
      </c>
      <c r="W1613" s="69" t="str">
        <f>IFERROR(VLOOKUP(A1613,已除帳印單!B:E,4,0),"")</f>
        <v/>
      </c>
      <c r="X1613" s="68" t="str">
        <f>IFERROR(INDEX(刷條碼區!A:C,MATCH(點上線資訊!S1613,刷條碼區!C:C,0),1),"")</f>
        <v/>
      </c>
      <c r="Y1613" s="69" t="str">
        <f>IFERROR(INDEX(刷條碼區!A:C,MATCH(點上線資訊!S1613,刷條碼區!C:C,0),2),"")</f>
        <v/>
      </c>
      <c r="Z1613" s="70" t="str">
        <f>IFERROR(INDEX(刷條碼區!D:G,MATCH(點上線資訊!S1613,刷條碼區!F:F,0),1),"")</f>
        <v/>
      </c>
      <c r="AA1613" s="71" t="str">
        <f>IFERROR(INDEX(刷條碼區!D:G,MATCH(點上線資訊!S1613,刷條碼區!F:F,0),2),"")</f>
        <v/>
      </c>
      <c r="AB1613" s="20">
        <f t="shared" si="154"/>
        <v>0</v>
      </c>
      <c r="AC1613" s="20" t="b">
        <f t="shared" si="155"/>
        <v>0</v>
      </c>
      <c r="AD1613" s="17" t="b">
        <f t="shared" si="156"/>
        <v>0</v>
      </c>
      <c r="AE1613" s="17" t="b">
        <f t="shared" si="157"/>
        <v>0</v>
      </c>
    </row>
    <row r="1614" spans="17:31" x14ac:dyDescent="0.2">
      <c r="Q1614" s="17">
        <f>IFERROR(VLOOKUP(A1614,已除帳印單!B:C,1,0),0)*1</f>
        <v>0</v>
      </c>
      <c r="R1614" s="67" t="str">
        <f>IFERROR(VLOOKUP(J1614,線別!A:B,2,1),"")</f>
        <v/>
      </c>
      <c r="S1614" s="17" t="str">
        <f>IFERROR(VLOOKUP(A1614,已除帳印單!B:C,2,0),"")</f>
        <v/>
      </c>
      <c r="T1614" s="68" t="e">
        <f t="shared" si="152"/>
        <v>#VALUE!</v>
      </c>
      <c r="U1614" s="69">
        <f t="shared" si="153"/>
        <v>0</v>
      </c>
      <c r="V1614" s="68" t="str">
        <f>IFERROR(VLOOKUP(A1614,已除帳印單!B:D,3,0),"")</f>
        <v/>
      </c>
      <c r="W1614" s="69" t="str">
        <f>IFERROR(VLOOKUP(A1614,已除帳印單!B:E,4,0),"")</f>
        <v/>
      </c>
      <c r="X1614" s="68" t="str">
        <f>IFERROR(INDEX(刷條碼區!A:C,MATCH(點上線資訊!S1614,刷條碼區!C:C,0),1),"")</f>
        <v/>
      </c>
      <c r="Y1614" s="69" t="str">
        <f>IFERROR(INDEX(刷條碼區!A:C,MATCH(點上線資訊!S1614,刷條碼區!C:C,0),2),"")</f>
        <v/>
      </c>
      <c r="Z1614" s="70" t="str">
        <f>IFERROR(INDEX(刷條碼區!D:G,MATCH(點上線資訊!S1614,刷條碼區!F:F,0),1),"")</f>
        <v/>
      </c>
      <c r="AA1614" s="71" t="str">
        <f>IFERROR(INDEX(刷條碼區!D:G,MATCH(點上線資訊!S1614,刷條碼區!F:F,0),2),"")</f>
        <v/>
      </c>
      <c r="AB1614" s="20">
        <f t="shared" si="154"/>
        <v>0</v>
      </c>
      <c r="AC1614" s="20" t="b">
        <f t="shared" si="155"/>
        <v>0</v>
      </c>
      <c r="AD1614" s="17" t="b">
        <f t="shared" si="156"/>
        <v>0</v>
      </c>
      <c r="AE1614" s="17" t="b">
        <f t="shared" si="157"/>
        <v>0</v>
      </c>
    </row>
    <row r="1615" spans="17:31" x14ac:dyDescent="0.2">
      <c r="Q1615" s="17">
        <f>IFERROR(VLOOKUP(A1615,已除帳印單!B:C,1,0),0)*1</f>
        <v>0</v>
      </c>
      <c r="R1615" s="67" t="str">
        <f>IFERROR(VLOOKUP(J1615,線別!A:B,2,1),"")</f>
        <v/>
      </c>
      <c r="S1615" s="17" t="str">
        <f>IFERROR(VLOOKUP(A1615,已除帳印單!B:C,2,0),"")</f>
        <v/>
      </c>
      <c r="T1615" s="68" t="e">
        <f t="shared" si="152"/>
        <v>#VALUE!</v>
      </c>
      <c r="U1615" s="69">
        <f t="shared" si="153"/>
        <v>0</v>
      </c>
      <c r="V1615" s="68" t="str">
        <f>IFERROR(VLOOKUP(A1615,已除帳印單!B:D,3,0),"")</f>
        <v/>
      </c>
      <c r="W1615" s="69" t="str">
        <f>IFERROR(VLOOKUP(A1615,已除帳印單!B:E,4,0),"")</f>
        <v/>
      </c>
      <c r="X1615" s="68" t="str">
        <f>IFERROR(INDEX(刷條碼區!A:C,MATCH(點上線資訊!S1615,刷條碼區!C:C,0),1),"")</f>
        <v/>
      </c>
      <c r="Y1615" s="69" t="str">
        <f>IFERROR(INDEX(刷條碼區!A:C,MATCH(點上線資訊!S1615,刷條碼區!C:C,0),2),"")</f>
        <v/>
      </c>
      <c r="Z1615" s="70" t="str">
        <f>IFERROR(INDEX(刷條碼區!D:G,MATCH(點上線資訊!S1615,刷條碼區!F:F,0),1),"")</f>
        <v/>
      </c>
      <c r="AA1615" s="71" t="str">
        <f>IFERROR(INDEX(刷條碼區!D:G,MATCH(點上線資訊!S1615,刷條碼區!F:F,0),2),"")</f>
        <v/>
      </c>
      <c r="AB1615" s="20">
        <f t="shared" si="154"/>
        <v>0</v>
      </c>
      <c r="AC1615" s="20" t="b">
        <f t="shared" si="155"/>
        <v>0</v>
      </c>
      <c r="AD1615" s="17" t="b">
        <f t="shared" si="156"/>
        <v>0</v>
      </c>
      <c r="AE1615" s="17" t="b">
        <f t="shared" si="157"/>
        <v>0</v>
      </c>
    </row>
    <row r="1616" spans="17:31" x14ac:dyDescent="0.2">
      <c r="Q1616" s="17">
        <f>IFERROR(VLOOKUP(A1616,已除帳印單!B:C,1,0),0)*1</f>
        <v>0</v>
      </c>
      <c r="R1616" s="67" t="str">
        <f>IFERROR(VLOOKUP(J1616,線別!A:B,2,1),"")</f>
        <v/>
      </c>
      <c r="S1616" s="17" t="str">
        <f>IFERROR(VLOOKUP(A1616,已除帳印單!B:C,2,0),"")</f>
        <v/>
      </c>
      <c r="T1616" s="68" t="e">
        <f t="shared" si="152"/>
        <v>#VALUE!</v>
      </c>
      <c r="U1616" s="69">
        <f t="shared" si="153"/>
        <v>0</v>
      </c>
      <c r="V1616" s="68" t="str">
        <f>IFERROR(VLOOKUP(A1616,已除帳印單!B:D,3,0),"")</f>
        <v/>
      </c>
      <c r="W1616" s="69" t="str">
        <f>IFERROR(VLOOKUP(A1616,已除帳印單!B:E,4,0),"")</f>
        <v/>
      </c>
      <c r="X1616" s="68" t="str">
        <f>IFERROR(INDEX(刷條碼區!A:C,MATCH(點上線資訊!S1616,刷條碼區!C:C,0),1),"")</f>
        <v/>
      </c>
      <c r="Y1616" s="69" t="str">
        <f>IFERROR(INDEX(刷條碼區!A:C,MATCH(點上線資訊!S1616,刷條碼區!C:C,0),2),"")</f>
        <v/>
      </c>
      <c r="Z1616" s="70" t="str">
        <f>IFERROR(INDEX(刷條碼區!D:G,MATCH(點上線資訊!S1616,刷條碼區!F:F,0),1),"")</f>
        <v/>
      </c>
      <c r="AA1616" s="71" t="str">
        <f>IFERROR(INDEX(刷條碼區!D:G,MATCH(點上線資訊!S1616,刷條碼區!F:F,0),2),"")</f>
        <v/>
      </c>
      <c r="AB1616" s="20">
        <f t="shared" si="154"/>
        <v>0</v>
      </c>
      <c r="AC1616" s="20" t="b">
        <f t="shared" si="155"/>
        <v>0</v>
      </c>
      <c r="AD1616" s="17" t="b">
        <f t="shared" si="156"/>
        <v>0</v>
      </c>
      <c r="AE1616" s="17" t="b">
        <f t="shared" si="157"/>
        <v>0</v>
      </c>
    </row>
    <row r="1617" spans="17:31" x14ac:dyDescent="0.2">
      <c r="Q1617" s="17">
        <f>IFERROR(VLOOKUP(A1617,已除帳印單!B:C,1,0),0)*1</f>
        <v>0</v>
      </c>
      <c r="R1617" s="67" t="str">
        <f>IFERROR(VLOOKUP(J1617,線別!A:B,2,1),"")</f>
        <v/>
      </c>
      <c r="S1617" s="17" t="str">
        <f>IFERROR(VLOOKUP(A1617,已除帳印單!B:C,2,0),"")</f>
        <v/>
      </c>
      <c r="T1617" s="68" t="e">
        <f t="shared" si="152"/>
        <v>#VALUE!</v>
      </c>
      <c r="U1617" s="69">
        <f t="shared" si="153"/>
        <v>0</v>
      </c>
      <c r="V1617" s="68" t="str">
        <f>IFERROR(VLOOKUP(A1617,已除帳印單!B:D,3,0),"")</f>
        <v/>
      </c>
      <c r="W1617" s="69" t="str">
        <f>IFERROR(VLOOKUP(A1617,已除帳印單!B:E,4,0),"")</f>
        <v/>
      </c>
      <c r="X1617" s="68" t="str">
        <f>IFERROR(INDEX(刷條碼區!A:C,MATCH(點上線資訊!S1617,刷條碼區!C:C,0),1),"")</f>
        <v/>
      </c>
      <c r="Y1617" s="69" t="str">
        <f>IFERROR(INDEX(刷條碼區!A:C,MATCH(點上線資訊!S1617,刷條碼區!C:C,0),2),"")</f>
        <v/>
      </c>
      <c r="Z1617" s="70" t="str">
        <f>IFERROR(INDEX(刷條碼區!D:G,MATCH(點上線資訊!S1617,刷條碼區!F:F,0),1),"")</f>
        <v/>
      </c>
      <c r="AA1617" s="71" t="str">
        <f>IFERROR(INDEX(刷條碼區!D:G,MATCH(點上線資訊!S1617,刷條碼區!F:F,0),2),"")</f>
        <v/>
      </c>
      <c r="AB1617" s="20">
        <f t="shared" si="154"/>
        <v>0</v>
      </c>
      <c r="AC1617" s="20" t="b">
        <f t="shared" si="155"/>
        <v>0</v>
      </c>
      <c r="AD1617" s="17" t="b">
        <f t="shared" si="156"/>
        <v>0</v>
      </c>
      <c r="AE1617" s="17" t="b">
        <f t="shared" si="157"/>
        <v>0</v>
      </c>
    </row>
    <row r="1618" spans="17:31" x14ac:dyDescent="0.2">
      <c r="Q1618" s="17">
        <f>IFERROR(VLOOKUP(A1618,已除帳印單!B:C,1,0),0)*1</f>
        <v>0</v>
      </c>
      <c r="R1618" s="67" t="str">
        <f>IFERROR(VLOOKUP(J1618,線別!A:B,2,1),"")</f>
        <v/>
      </c>
      <c r="S1618" s="17" t="str">
        <f>IFERROR(VLOOKUP(A1618,已除帳印單!B:C,2,0),"")</f>
        <v/>
      </c>
      <c r="T1618" s="68" t="e">
        <f t="shared" si="152"/>
        <v>#VALUE!</v>
      </c>
      <c r="U1618" s="69">
        <f t="shared" si="153"/>
        <v>0</v>
      </c>
      <c r="V1618" s="68" t="str">
        <f>IFERROR(VLOOKUP(A1618,已除帳印單!B:D,3,0),"")</f>
        <v/>
      </c>
      <c r="W1618" s="69" t="str">
        <f>IFERROR(VLOOKUP(A1618,已除帳印單!B:E,4,0),"")</f>
        <v/>
      </c>
      <c r="X1618" s="68" t="str">
        <f>IFERROR(INDEX(刷條碼區!A:C,MATCH(點上線資訊!S1618,刷條碼區!C:C,0),1),"")</f>
        <v/>
      </c>
      <c r="Y1618" s="69" t="str">
        <f>IFERROR(INDEX(刷條碼區!A:C,MATCH(點上線資訊!S1618,刷條碼區!C:C,0),2),"")</f>
        <v/>
      </c>
      <c r="Z1618" s="70" t="str">
        <f>IFERROR(INDEX(刷條碼區!D:G,MATCH(點上線資訊!S1618,刷條碼區!F:F,0),1),"")</f>
        <v/>
      </c>
      <c r="AA1618" s="71" t="str">
        <f>IFERROR(INDEX(刷條碼區!D:G,MATCH(點上線資訊!S1618,刷條碼區!F:F,0),2),"")</f>
        <v/>
      </c>
      <c r="AB1618" s="20">
        <f t="shared" si="154"/>
        <v>0</v>
      </c>
      <c r="AC1618" s="20" t="b">
        <f t="shared" si="155"/>
        <v>0</v>
      </c>
      <c r="AD1618" s="17" t="b">
        <f t="shared" si="156"/>
        <v>0</v>
      </c>
      <c r="AE1618" s="17" t="b">
        <f t="shared" si="157"/>
        <v>0</v>
      </c>
    </row>
    <row r="1619" spans="17:31" x14ac:dyDescent="0.2">
      <c r="Q1619" s="17">
        <f>IFERROR(VLOOKUP(A1619,已除帳印單!B:C,1,0),0)*1</f>
        <v>0</v>
      </c>
      <c r="R1619" s="67" t="str">
        <f>IFERROR(VLOOKUP(J1619,線別!A:B,2,1),"")</f>
        <v/>
      </c>
      <c r="S1619" s="17" t="str">
        <f>IFERROR(VLOOKUP(A1619,已除帳印單!B:C,2,0),"")</f>
        <v/>
      </c>
      <c r="T1619" s="68" t="e">
        <f t="shared" si="152"/>
        <v>#VALUE!</v>
      </c>
      <c r="U1619" s="69">
        <f t="shared" si="153"/>
        <v>0</v>
      </c>
      <c r="V1619" s="68" t="str">
        <f>IFERROR(VLOOKUP(A1619,已除帳印單!B:D,3,0),"")</f>
        <v/>
      </c>
      <c r="W1619" s="69" t="str">
        <f>IFERROR(VLOOKUP(A1619,已除帳印單!B:E,4,0),"")</f>
        <v/>
      </c>
      <c r="X1619" s="68" t="str">
        <f>IFERROR(INDEX(刷條碼區!A:C,MATCH(點上線資訊!S1619,刷條碼區!C:C,0),1),"")</f>
        <v/>
      </c>
      <c r="Y1619" s="69" t="str">
        <f>IFERROR(INDEX(刷條碼區!A:C,MATCH(點上線資訊!S1619,刷條碼區!C:C,0),2),"")</f>
        <v/>
      </c>
      <c r="Z1619" s="70" t="str">
        <f>IFERROR(INDEX(刷條碼區!D:G,MATCH(點上線資訊!S1619,刷條碼區!F:F,0),1),"")</f>
        <v/>
      </c>
      <c r="AA1619" s="71" t="str">
        <f>IFERROR(INDEX(刷條碼區!D:G,MATCH(點上線資訊!S1619,刷條碼區!F:F,0),2),"")</f>
        <v/>
      </c>
      <c r="AB1619" s="20">
        <f t="shared" si="154"/>
        <v>0</v>
      </c>
      <c r="AC1619" s="20" t="b">
        <f t="shared" si="155"/>
        <v>0</v>
      </c>
      <c r="AD1619" s="17" t="b">
        <f t="shared" si="156"/>
        <v>0</v>
      </c>
      <c r="AE1619" s="17" t="b">
        <f t="shared" si="157"/>
        <v>0</v>
      </c>
    </row>
    <row r="1620" spans="17:31" x14ac:dyDescent="0.2">
      <c r="Q1620" s="17">
        <f>IFERROR(VLOOKUP(A1620,已除帳印單!B:C,1,0),0)*1</f>
        <v>0</v>
      </c>
      <c r="R1620" s="67" t="str">
        <f>IFERROR(VLOOKUP(J1620,線別!A:B,2,1),"")</f>
        <v/>
      </c>
      <c r="S1620" s="17" t="str">
        <f>IFERROR(VLOOKUP(A1620,已除帳印單!B:C,2,0),"")</f>
        <v/>
      </c>
      <c r="T1620" s="68" t="e">
        <f t="shared" si="152"/>
        <v>#VALUE!</v>
      </c>
      <c r="U1620" s="69">
        <f t="shared" si="153"/>
        <v>0</v>
      </c>
      <c r="V1620" s="68" t="str">
        <f>IFERROR(VLOOKUP(A1620,已除帳印單!B:D,3,0),"")</f>
        <v/>
      </c>
      <c r="W1620" s="69" t="str">
        <f>IFERROR(VLOOKUP(A1620,已除帳印單!B:E,4,0),"")</f>
        <v/>
      </c>
      <c r="X1620" s="68" t="str">
        <f>IFERROR(INDEX(刷條碼區!A:C,MATCH(點上線資訊!S1620,刷條碼區!C:C,0),1),"")</f>
        <v/>
      </c>
      <c r="Y1620" s="69" t="str">
        <f>IFERROR(INDEX(刷條碼區!A:C,MATCH(點上線資訊!S1620,刷條碼區!C:C,0),2),"")</f>
        <v/>
      </c>
      <c r="Z1620" s="70" t="str">
        <f>IFERROR(INDEX(刷條碼區!D:G,MATCH(點上線資訊!S1620,刷條碼區!F:F,0),1),"")</f>
        <v/>
      </c>
      <c r="AA1620" s="71" t="str">
        <f>IFERROR(INDEX(刷條碼區!D:G,MATCH(點上線資訊!S1620,刷條碼區!F:F,0),2),"")</f>
        <v/>
      </c>
      <c r="AB1620" s="20">
        <f t="shared" si="154"/>
        <v>0</v>
      </c>
      <c r="AC1620" s="20" t="b">
        <f t="shared" si="155"/>
        <v>0</v>
      </c>
      <c r="AD1620" s="17" t="b">
        <f t="shared" si="156"/>
        <v>0</v>
      </c>
      <c r="AE1620" s="17" t="b">
        <f t="shared" si="157"/>
        <v>0</v>
      </c>
    </row>
    <row r="1621" spans="17:31" x14ac:dyDescent="0.2">
      <c r="Q1621" s="17">
        <f>IFERROR(VLOOKUP(A1621,已除帳印單!B:C,1,0),0)*1</f>
        <v>0</v>
      </c>
      <c r="R1621" s="67" t="str">
        <f>IFERROR(VLOOKUP(J1621,線別!A:B,2,1),"")</f>
        <v/>
      </c>
      <c r="S1621" s="17" t="str">
        <f>IFERROR(VLOOKUP(A1621,已除帳印單!B:C,2,0),"")</f>
        <v/>
      </c>
      <c r="T1621" s="68" t="e">
        <f t="shared" si="152"/>
        <v>#VALUE!</v>
      </c>
      <c r="U1621" s="69">
        <f t="shared" si="153"/>
        <v>0</v>
      </c>
      <c r="V1621" s="68" t="str">
        <f>IFERROR(VLOOKUP(A1621,已除帳印單!B:D,3,0),"")</f>
        <v/>
      </c>
      <c r="W1621" s="69" t="str">
        <f>IFERROR(VLOOKUP(A1621,已除帳印單!B:E,4,0),"")</f>
        <v/>
      </c>
      <c r="X1621" s="68" t="str">
        <f>IFERROR(INDEX(刷條碼區!A:C,MATCH(點上線資訊!S1621,刷條碼區!C:C,0),1),"")</f>
        <v/>
      </c>
      <c r="Y1621" s="69" t="str">
        <f>IFERROR(INDEX(刷條碼區!A:C,MATCH(點上線資訊!S1621,刷條碼區!C:C,0),2),"")</f>
        <v/>
      </c>
      <c r="Z1621" s="70" t="str">
        <f>IFERROR(INDEX(刷條碼區!D:G,MATCH(點上線資訊!S1621,刷條碼區!F:F,0),1),"")</f>
        <v/>
      </c>
      <c r="AA1621" s="71" t="str">
        <f>IFERROR(INDEX(刷條碼區!D:G,MATCH(點上線資訊!S1621,刷條碼區!F:F,0),2),"")</f>
        <v/>
      </c>
      <c r="AB1621" s="20">
        <f t="shared" si="154"/>
        <v>0</v>
      </c>
      <c r="AC1621" s="20" t="b">
        <f t="shared" si="155"/>
        <v>0</v>
      </c>
      <c r="AD1621" s="17" t="b">
        <f t="shared" si="156"/>
        <v>0</v>
      </c>
      <c r="AE1621" s="17" t="b">
        <f t="shared" si="157"/>
        <v>0</v>
      </c>
    </row>
    <row r="1622" spans="17:31" x14ac:dyDescent="0.2">
      <c r="Q1622" s="17">
        <f>IFERROR(VLOOKUP(A1622,已除帳印單!B:C,1,0),0)*1</f>
        <v>0</v>
      </c>
      <c r="R1622" s="67" t="str">
        <f>IFERROR(VLOOKUP(J1622,線別!A:B,2,1),"")</f>
        <v/>
      </c>
      <c r="S1622" s="17" t="str">
        <f>IFERROR(VLOOKUP(A1622,已除帳印單!B:C,2,0),"")</f>
        <v/>
      </c>
      <c r="T1622" s="68" t="e">
        <f t="shared" si="152"/>
        <v>#VALUE!</v>
      </c>
      <c r="U1622" s="69">
        <f t="shared" si="153"/>
        <v>0</v>
      </c>
      <c r="V1622" s="68" t="str">
        <f>IFERROR(VLOOKUP(A1622,已除帳印單!B:D,3,0),"")</f>
        <v/>
      </c>
      <c r="W1622" s="69" t="str">
        <f>IFERROR(VLOOKUP(A1622,已除帳印單!B:E,4,0),"")</f>
        <v/>
      </c>
      <c r="X1622" s="68" t="str">
        <f>IFERROR(INDEX(刷條碼區!A:C,MATCH(點上線資訊!S1622,刷條碼區!C:C,0),1),"")</f>
        <v/>
      </c>
      <c r="Y1622" s="69" t="str">
        <f>IFERROR(INDEX(刷條碼區!A:C,MATCH(點上線資訊!S1622,刷條碼區!C:C,0),2),"")</f>
        <v/>
      </c>
      <c r="Z1622" s="70" t="str">
        <f>IFERROR(INDEX(刷條碼區!D:G,MATCH(點上線資訊!S1622,刷條碼區!F:F,0),1),"")</f>
        <v/>
      </c>
      <c r="AA1622" s="71" t="str">
        <f>IFERROR(INDEX(刷條碼區!D:G,MATCH(點上線資訊!S1622,刷條碼區!F:F,0),2),"")</f>
        <v/>
      </c>
      <c r="AB1622" s="20">
        <f t="shared" si="154"/>
        <v>0</v>
      </c>
      <c r="AC1622" s="20" t="b">
        <f t="shared" si="155"/>
        <v>0</v>
      </c>
      <c r="AD1622" s="17" t="b">
        <f t="shared" si="156"/>
        <v>0</v>
      </c>
      <c r="AE1622" s="17" t="b">
        <f t="shared" si="157"/>
        <v>0</v>
      </c>
    </row>
    <row r="1623" spans="17:31" x14ac:dyDescent="0.2">
      <c r="Q1623" s="17">
        <f>IFERROR(VLOOKUP(A1623,已除帳印單!B:C,1,0),0)*1</f>
        <v>0</v>
      </c>
      <c r="R1623" s="67" t="str">
        <f>IFERROR(VLOOKUP(J1623,線別!A:B,2,1),"")</f>
        <v/>
      </c>
      <c r="S1623" s="17" t="str">
        <f>IFERROR(VLOOKUP(A1623,已除帳印單!B:C,2,0),"")</f>
        <v/>
      </c>
      <c r="T1623" s="68" t="e">
        <f t="shared" si="152"/>
        <v>#VALUE!</v>
      </c>
      <c r="U1623" s="69">
        <f t="shared" si="153"/>
        <v>0</v>
      </c>
      <c r="V1623" s="68" t="str">
        <f>IFERROR(VLOOKUP(A1623,已除帳印單!B:D,3,0),"")</f>
        <v/>
      </c>
      <c r="W1623" s="69" t="str">
        <f>IFERROR(VLOOKUP(A1623,已除帳印單!B:E,4,0),"")</f>
        <v/>
      </c>
      <c r="X1623" s="68" t="str">
        <f>IFERROR(INDEX(刷條碼區!A:C,MATCH(點上線資訊!S1623,刷條碼區!C:C,0),1),"")</f>
        <v/>
      </c>
      <c r="Y1623" s="69" t="str">
        <f>IFERROR(INDEX(刷條碼區!A:C,MATCH(點上線資訊!S1623,刷條碼區!C:C,0),2),"")</f>
        <v/>
      </c>
      <c r="Z1623" s="70" t="str">
        <f>IFERROR(INDEX(刷條碼區!D:G,MATCH(點上線資訊!S1623,刷條碼區!F:F,0),1),"")</f>
        <v/>
      </c>
      <c r="AA1623" s="71" t="str">
        <f>IFERROR(INDEX(刷條碼區!D:G,MATCH(點上線資訊!S1623,刷條碼區!F:F,0),2),"")</f>
        <v/>
      </c>
      <c r="AB1623" s="20">
        <f t="shared" si="154"/>
        <v>0</v>
      </c>
      <c r="AC1623" s="20" t="b">
        <f t="shared" si="155"/>
        <v>0</v>
      </c>
      <c r="AD1623" s="17" t="b">
        <f t="shared" si="156"/>
        <v>0</v>
      </c>
      <c r="AE1623" s="17" t="b">
        <f t="shared" si="157"/>
        <v>0</v>
      </c>
    </row>
    <row r="1624" spans="17:31" x14ac:dyDescent="0.2">
      <c r="Q1624" s="17">
        <f>IFERROR(VLOOKUP(A1624,已除帳印單!B:C,1,0),0)*1</f>
        <v>0</v>
      </c>
      <c r="R1624" s="67" t="str">
        <f>IFERROR(VLOOKUP(J1624,線別!A:B,2,1),"")</f>
        <v/>
      </c>
      <c r="S1624" s="17" t="str">
        <f>IFERROR(VLOOKUP(A1624,已除帳印單!B:C,2,0),"")</f>
        <v/>
      </c>
      <c r="T1624" s="68" t="e">
        <f t="shared" si="152"/>
        <v>#VALUE!</v>
      </c>
      <c r="U1624" s="69">
        <f t="shared" si="153"/>
        <v>0</v>
      </c>
      <c r="V1624" s="68" t="str">
        <f>IFERROR(VLOOKUP(A1624,已除帳印單!B:D,3,0),"")</f>
        <v/>
      </c>
      <c r="W1624" s="69" t="str">
        <f>IFERROR(VLOOKUP(A1624,已除帳印單!B:E,4,0),"")</f>
        <v/>
      </c>
      <c r="X1624" s="68" t="str">
        <f>IFERROR(INDEX(刷條碼區!A:C,MATCH(點上線資訊!S1624,刷條碼區!C:C,0),1),"")</f>
        <v/>
      </c>
      <c r="Y1624" s="69" t="str">
        <f>IFERROR(INDEX(刷條碼區!A:C,MATCH(點上線資訊!S1624,刷條碼區!C:C,0),2),"")</f>
        <v/>
      </c>
      <c r="Z1624" s="70" t="str">
        <f>IFERROR(INDEX(刷條碼區!D:G,MATCH(點上線資訊!S1624,刷條碼區!F:F,0),1),"")</f>
        <v/>
      </c>
      <c r="AA1624" s="71" t="str">
        <f>IFERROR(INDEX(刷條碼區!D:G,MATCH(點上線資訊!S1624,刷條碼區!F:F,0),2),"")</f>
        <v/>
      </c>
      <c r="AB1624" s="20">
        <f t="shared" si="154"/>
        <v>0</v>
      </c>
      <c r="AC1624" s="20" t="b">
        <f t="shared" si="155"/>
        <v>0</v>
      </c>
      <c r="AD1624" s="17" t="b">
        <f t="shared" si="156"/>
        <v>0</v>
      </c>
      <c r="AE1624" s="17" t="b">
        <f t="shared" si="157"/>
        <v>0</v>
      </c>
    </row>
    <row r="1625" spans="17:31" x14ac:dyDescent="0.2">
      <c r="Q1625" s="17">
        <f>IFERROR(VLOOKUP(A1625,已除帳印單!B:C,1,0),0)*1</f>
        <v>0</v>
      </c>
      <c r="R1625" s="67" t="str">
        <f>IFERROR(VLOOKUP(J1625,線別!A:B,2,1),"")</f>
        <v/>
      </c>
      <c r="S1625" s="17" t="str">
        <f>IFERROR(VLOOKUP(A1625,已除帳印單!B:C,2,0),"")</f>
        <v/>
      </c>
      <c r="T1625" s="68" t="e">
        <f t="shared" si="152"/>
        <v>#VALUE!</v>
      </c>
      <c r="U1625" s="69">
        <f t="shared" si="153"/>
        <v>0</v>
      </c>
      <c r="V1625" s="68" t="str">
        <f>IFERROR(VLOOKUP(A1625,已除帳印單!B:D,3,0),"")</f>
        <v/>
      </c>
      <c r="W1625" s="69" t="str">
        <f>IFERROR(VLOOKUP(A1625,已除帳印單!B:E,4,0),"")</f>
        <v/>
      </c>
      <c r="X1625" s="68" t="str">
        <f>IFERROR(INDEX(刷條碼區!A:C,MATCH(點上線資訊!S1625,刷條碼區!C:C,0),1),"")</f>
        <v/>
      </c>
      <c r="Y1625" s="69" t="str">
        <f>IFERROR(INDEX(刷條碼區!A:C,MATCH(點上線資訊!S1625,刷條碼區!C:C,0),2),"")</f>
        <v/>
      </c>
      <c r="Z1625" s="70" t="str">
        <f>IFERROR(INDEX(刷條碼區!D:G,MATCH(點上線資訊!S1625,刷條碼區!F:F,0),1),"")</f>
        <v/>
      </c>
      <c r="AA1625" s="71" t="str">
        <f>IFERROR(INDEX(刷條碼區!D:G,MATCH(點上線資訊!S1625,刷條碼區!F:F,0),2),"")</f>
        <v/>
      </c>
      <c r="AB1625" s="20">
        <f t="shared" si="154"/>
        <v>0</v>
      </c>
      <c r="AC1625" s="20" t="b">
        <f t="shared" si="155"/>
        <v>0</v>
      </c>
      <c r="AD1625" s="17" t="b">
        <f t="shared" si="156"/>
        <v>0</v>
      </c>
      <c r="AE1625" s="17" t="b">
        <f t="shared" si="157"/>
        <v>0</v>
      </c>
    </row>
    <row r="1626" spans="17:31" x14ac:dyDescent="0.2">
      <c r="Q1626" s="17">
        <f>IFERROR(VLOOKUP(A1626,已除帳印單!B:C,1,0),0)*1</f>
        <v>0</v>
      </c>
      <c r="R1626" s="67" t="str">
        <f>IFERROR(VLOOKUP(J1626,線別!A:B,2,1),"")</f>
        <v/>
      </c>
      <c r="S1626" s="17" t="str">
        <f>IFERROR(VLOOKUP(A1626,已除帳印單!B:C,2,0),"")</f>
        <v/>
      </c>
      <c r="T1626" s="68" t="e">
        <f t="shared" si="152"/>
        <v>#VALUE!</v>
      </c>
      <c r="U1626" s="69">
        <f t="shared" si="153"/>
        <v>0</v>
      </c>
      <c r="V1626" s="68" t="str">
        <f>IFERROR(VLOOKUP(A1626,已除帳印單!B:D,3,0),"")</f>
        <v/>
      </c>
      <c r="W1626" s="69" t="str">
        <f>IFERROR(VLOOKUP(A1626,已除帳印單!B:E,4,0),"")</f>
        <v/>
      </c>
      <c r="X1626" s="68" t="str">
        <f>IFERROR(INDEX(刷條碼區!A:C,MATCH(點上線資訊!S1626,刷條碼區!C:C,0),1),"")</f>
        <v/>
      </c>
      <c r="Y1626" s="69" t="str">
        <f>IFERROR(INDEX(刷條碼區!A:C,MATCH(點上線資訊!S1626,刷條碼區!C:C,0),2),"")</f>
        <v/>
      </c>
      <c r="Z1626" s="70" t="str">
        <f>IFERROR(INDEX(刷條碼區!D:G,MATCH(點上線資訊!S1626,刷條碼區!F:F,0),1),"")</f>
        <v/>
      </c>
      <c r="AA1626" s="71" t="str">
        <f>IFERROR(INDEX(刷條碼區!D:G,MATCH(點上線資訊!S1626,刷條碼區!F:F,0),2),"")</f>
        <v/>
      </c>
      <c r="AB1626" s="20">
        <f t="shared" si="154"/>
        <v>0</v>
      </c>
      <c r="AC1626" s="20" t="b">
        <f t="shared" si="155"/>
        <v>0</v>
      </c>
      <c r="AD1626" s="17" t="b">
        <f t="shared" si="156"/>
        <v>0</v>
      </c>
      <c r="AE1626" s="17" t="b">
        <f t="shared" si="157"/>
        <v>0</v>
      </c>
    </row>
    <row r="1627" spans="17:31" x14ac:dyDescent="0.2">
      <c r="Q1627" s="17">
        <f>IFERROR(VLOOKUP(A1627,已除帳印單!B:C,1,0),0)*1</f>
        <v>0</v>
      </c>
      <c r="R1627" s="67" t="str">
        <f>IFERROR(VLOOKUP(J1627,線別!A:B,2,1),"")</f>
        <v/>
      </c>
      <c r="S1627" s="17" t="str">
        <f>IFERROR(VLOOKUP(A1627,已除帳印單!B:C,2,0),"")</f>
        <v/>
      </c>
      <c r="T1627" s="68" t="e">
        <f t="shared" si="152"/>
        <v>#VALUE!</v>
      </c>
      <c r="U1627" s="69">
        <f t="shared" si="153"/>
        <v>0</v>
      </c>
      <c r="V1627" s="68" t="str">
        <f>IFERROR(VLOOKUP(A1627,已除帳印單!B:D,3,0),"")</f>
        <v/>
      </c>
      <c r="W1627" s="69" t="str">
        <f>IFERROR(VLOOKUP(A1627,已除帳印單!B:E,4,0),"")</f>
        <v/>
      </c>
      <c r="X1627" s="68" t="str">
        <f>IFERROR(INDEX(刷條碼區!A:C,MATCH(點上線資訊!S1627,刷條碼區!C:C,0),1),"")</f>
        <v/>
      </c>
      <c r="Y1627" s="69" t="str">
        <f>IFERROR(INDEX(刷條碼區!A:C,MATCH(點上線資訊!S1627,刷條碼區!C:C,0),2),"")</f>
        <v/>
      </c>
      <c r="Z1627" s="70" t="str">
        <f>IFERROR(INDEX(刷條碼區!D:G,MATCH(點上線資訊!S1627,刷條碼區!F:F,0),1),"")</f>
        <v/>
      </c>
      <c r="AA1627" s="71" t="str">
        <f>IFERROR(INDEX(刷條碼區!D:G,MATCH(點上線資訊!S1627,刷條碼區!F:F,0),2),"")</f>
        <v/>
      </c>
      <c r="AB1627" s="20">
        <f t="shared" si="154"/>
        <v>0</v>
      </c>
      <c r="AC1627" s="20" t="b">
        <f t="shared" si="155"/>
        <v>0</v>
      </c>
      <c r="AD1627" s="17" t="b">
        <f t="shared" si="156"/>
        <v>0</v>
      </c>
      <c r="AE1627" s="17" t="b">
        <f t="shared" si="157"/>
        <v>0</v>
      </c>
    </row>
    <row r="1628" spans="17:31" x14ac:dyDescent="0.2">
      <c r="Q1628" s="17">
        <f>IFERROR(VLOOKUP(A1628,已除帳印單!B:C,1,0),0)*1</f>
        <v>0</v>
      </c>
      <c r="R1628" s="67" t="str">
        <f>IFERROR(VLOOKUP(J1628,線別!A:B,2,1),"")</f>
        <v/>
      </c>
      <c r="S1628" s="17" t="str">
        <f>IFERROR(VLOOKUP(A1628,已除帳印單!B:C,2,0),"")</f>
        <v/>
      </c>
      <c r="T1628" s="68" t="e">
        <f t="shared" si="152"/>
        <v>#VALUE!</v>
      </c>
      <c r="U1628" s="69">
        <f t="shared" si="153"/>
        <v>0</v>
      </c>
      <c r="V1628" s="68" t="str">
        <f>IFERROR(VLOOKUP(A1628,已除帳印單!B:D,3,0),"")</f>
        <v/>
      </c>
      <c r="W1628" s="69" t="str">
        <f>IFERROR(VLOOKUP(A1628,已除帳印單!B:E,4,0),"")</f>
        <v/>
      </c>
      <c r="X1628" s="68" t="str">
        <f>IFERROR(INDEX(刷條碼區!A:C,MATCH(點上線資訊!S1628,刷條碼區!C:C,0),1),"")</f>
        <v/>
      </c>
      <c r="Y1628" s="69" t="str">
        <f>IFERROR(INDEX(刷條碼區!A:C,MATCH(點上線資訊!S1628,刷條碼區!C:C,0),2),"")</f>
        <v/>
      </c>
      <c r="Z1628" s="70" t="str">
        <f>IFERROR(INDEX(刷條碼區!D:G,MATCH(點上線資訊!S1628,刷條碼區!F:F,0),1),"")</f>
        <v/>
      </c>
      <c r="AA1628" s="71" t="str">
        <f>IFERROR(INDEX(刷條碼區!D:G,MATCH(點上線資訊!S1628,刷條碼區!F:F,0),2),"")</f>
        <v/>
      </c>
      <c r="AB1628" s="20">
        <f t="shared" si="154"/>
        <v>0</v>
      </c>
      <c r="AC1628" s="20" t="b">
        <f t="shared" si="155"/>
        <v>0</v>
      </c>
      <c r="AD1628" s="17" t="b">
        <f t="shared" si="156"/>
        <v>0</v>
      </c>
      <c r="AE1628" s="17" t="b">
        <f t="shared" si="157"/>
        <v>0</v>
      </c>
    </row>
    <row r="1629" spans="17:31" x14ac:dyDescent="0.2">
      <c r="Q1629" s="17">
        <f>IFERROR(VLOOKUP(A1629,已除帳印單!B:C,1,0),0)*1</f>
        <v>0</v>
      </c>
      <c r="R1629" s="67" t="str">
        <f>IFERROR(VLOOKUP(J1629,線別!A:B,2,1),"")</f>
        <v/>
      </c>
      <c r="S1629" s="17" t="str">
        <f>IFERROR(VLOOKUP(A1629,已除帳印單!B:C,2,0),"")</f>
        <v/>
      </c>
      <c r="T1629" s="68" t="e">
        <f t="shared" si="152"/>
        <v>#VALUE!</v>
      </c>
      <c r="U1629" s="69">
        <f t="shared" si="153"/>
        <v>0</v>
      </c>
      <c r="V1629" s="68" t="str">
        <f>IFERROR(VLOOKUP(A1629,已除帳印單!B:D,3,0),"")</f>
        <v/>
      </c>
      <c r="W1629" s="69" t="str">
        <f>IFERROR(VLOOKUP(A1629,已除帳印單!B:E,4,0),"")</f>
        <v/>
      </c>
      <c r="X1629" s="68" t="str">
        <f>IFERROR(INDEX(刷條碼區!A:C,MATCH(點上線資訊!S1629,刷條碼區!C:C,0),1),"")</f>
        <v/>
      </c>
      <c r="Y1629" s="69" t="str">
        <f>IFERROR(INDEX(刷條碼區!A:C,MATCH(點上線資訊!S1629,刷條碼區!C:C,0),2),"")</f>
        <v/>
      </c>
      <c r="Z1629" s="70" t="str">
        <f>IFERROR(INDEX(刷條碼區!D:G,MATCH(點上線資訊!S1629,刷條碼區!F:F,0),1),"")</f>
        <v/>
      </c>
      <c r="AA1629" s="71" t="str">
        <f>IFERROR(INDEX(刷條碼區!D:G,MATCH(點上線資訊!S1629,刷條碼區!F:F,0),2),"")</f>
        <v/>
      </c>
      <c r="AB1629" s="20">
        <f t="shared" si="154"/>
        <v>0</v>
      </c>
      <c r="AC1629" s="20" t="b">
        <f t="shared" si="155"/>
        <v>0</v>
      </c>
      <c r="AD1629" s="17" t="b">
        <f t="shared" si="156"/>
        <v>0</v>
      </c>
      <c r="AE1629" s="17" t="b">
        <f t="shared" si="157"/>
        <v>0</v>
      </c>
    </row>
    <row r="1630" spans="17:31" x14ac:dyDescent="0.2">
      <c r="Q1630" s="17">
        <f>IFERROR(VLOOKUP(A1630,已除帳印單!B:C,1,0),0)*1</f>
        <v>0</v>
      </c>
      <c r="R1630" s="67" t="str">
        <f>IFERROR(VLOOKUP(J1630,線別!A:B,2,1),"")</f>
        <v/>
      </c>
      <c r="S1630" s="17" t="str">
        <f>IFERROR(VLOOKUP(A1630,已除帳印單!B:C,2,0),"")</f>
        <v/>
      </c>
      <c r="T1630" s="68" t="e">
        <f t="shared" si="152"/>
        <v>#VALUE!</v>
      </c>
      <c r="U1630" s="69">
        <f t="shared" si="153"/>
        <v>0</v>
      </c>
      <c r="V1630" s="68" t="str">
        <f>IFERROR(VLOOKUP(A1630,已除帳印單!B:D,3,0),"")</f>
        <v/>
      </c>
      <c r="W1630" s="69" t="str">
        <f>IFERROR(VLOOKUP(A1630,已除帳印單!B:E,4,0),"")</f>
        <v/>
      </c>
      <c r="X1630" s="68" t="str">
        <f>IFERROR(INDEX(刷條碼區!A:C,MATCH(點上線資訊!S1630,刷條碼區!C:C,0),1),"")</f>
        <v/>
      </c>
      <c r="Y1630" s="69" t="str">
        <f>IFERROR(INDEX(刷條碼區!A:C,MATCH(點上線資訊!S1630,刷條碼區!C:C,0),2),"")</f>
        <v/>
      </c>
      <c r="Z1630" s="70" t="str">
        <f>IFERROR(INDEX(刷條碼區!D:G,MATCH(點上線資訊!S1630,刷條碼區!F:F,0),1),"")</f>
        <v/>
      </c>
      <c r="AA1630" s="71" t="str">
        <f>IFERROR(INDEX(刷條碼區!D:G,MATCH(點上線資訊!S1630,刷條碼區!F:F,0),2),"")</f>
        <v/>
      </c>
      <c r="AB1630" s="20">
        <f t="shared" si="154"/>
        <v>0</v>
      </c>
      <c r="AC1630" s="20" t="b">
        <f t="shared" si="155"/>
        <v>0</v>
      </c>
      <c r="AD1630" s="17" t="b">
        <f t="shared" si="156"/>
        <v>0</v>
      </c>
      <c r="AE1630" s="17" t="b">
        <f t="shared" si="157"/>
        <v>0</v>
      </c>
    </row>
    <row r="1631" spans="17:31" x14ac:dyDescent="0.2">
      <c r="Q1631" s="17">
        <f>IFERROR(VLOOKUP(A1631,已除帳印單!B:C,1,0),0)*1</f>
        <v>0</v>
      </c>
      <c r="R1631" s="67" t="str">
        <f>IFERROR(VLOOKUP(J1631,線別!A:B,2,1),"")</f>
        <v/>
      </c>
      <c r="S1631" s="17" t="str">
        <f>IFERROR(VLOOKUP(A1631,已除帳印單!B:C,2,0),"")</f>
        <v/>
      </c>
      <c r="T1631" s="68" t="e">
        <f t="shared" si="152"/>
        <v>#VALUE!</v>
      </c>
      <c r="U1631" s="69">
        <f t="shared" si="153"/>
        <v>0</v>
      </c>
      <c r="V1631" s="68" t="str">
        <f>IFERROR(VLOOKUP(A1631,已除帳印單!B:D,3,0),"")</f>
        <v/>
      </c>
      <c r="W1631" s="69" t="str">
        <f>IFERROR(VLOOKUP(A1631,已除帳印單!B:E,4,0),"")</f>
        <v/>
      </c>
      <c r="X1631" s="68" t="str">
        <f>IFERROR(INDEX(刷條碼區!A:C,MATCH(點上線資訊!S1631,刷條碼區!C:C,0),1),"")</f>
        <v/>
      </c>
      <c r="Y1631" s="69" t="str">
        <f>IFERROR(INDEX(刷條碼區!A:C,MATCH(點上線資訊!S1631,刷條碼區!C:C,0),2),"")</f>
        <v/>
      </c>
      <c r="Z1631" s="70" t="str">
        <f>IFERROR(INDEX(刷條碼區!D:G,MATCH(點上線資訊!S1631,刷條碼區!F:F,0),1),"")</f>
        <v/>
      </c>
      <c r="AA1631" s="71" t="str">
        <f>IFERROR(INDEX(刷條碼區!D:G,MATCH(點上線資訊!S1631,刷條碼區!F:F,0),2),"")</f>
        <v/>
      </c>
      <c r="AB1631" s="20">
        <f t="shared" si="154"/>
        <v>0</v>
      </c>
      <c r="AC1631" s="20" t="b">
        <f t="shared" si="155"/>
        <v>0</v>
      </c>
      <c r="AD1631" s="17" t="b">
        <f t="shared" si="156"/>
        <v>0</v>
      </c>
      <c r="AE1631" s="17" t="b">
        <f t="shared" si="157"/>
        <v>0</v>
      </c>
    </row>
    <row r="1632" spans="17:31" x14ac:dyDescent="0.2">
      <c r="Q1632" s="17">
        <f>IFERROR(VLOOKUP(A1632,已除帳印單!B:C,1,0),0)*1</f>
        <v>0</v>
      </c>
      <c r="R1632" s="67" t="str">
        <f>IFERROR(VLOOKUP(J1632,線別!A:B,2,1),"")</f>
        <v/>
      </c>
      <c r="S1632" s="17" t="str">
        <f>IFERROR(VLOOKUP(A1632,已除帳印單!B:C,2,0),"")</f>
        <v/>
      </c>
      <c r="T1632" s="68" t="e">
        <f t="shared" si="152"/>
        <v>#VALUE!</v>
      </c>
      <c r="U1632" s="69">
        <f t="shared" si="153"/>
        <v>0</v>
      </c>
      <c r="V1632" s="68" t="str">
        <f>IFERROR(VLOOKUP(A1632,已除帳印單!B:D,3,0),"")</f>
        <v/>
      </c>
      <c r="W1632" s="69" t="str">
        <f>IFERROR(VLOOKUP(A1632,已除帳印單!B:E,4,0),"")</f>
        <v/>
      </c>
      <c r="X1632" s="68" t="str">
        <f>IFERROR(INDEX(刷條碼區!A:C,MATCH(點上線資訊!S1632,刷條碼區!C:C,0),1),"")</f>
        <v/>
      </c>
      <c r="Y1632" s="69" t="str">
        <f>IFERROR(INDEX(刷條碼區!A:C,MATCH(點上線資訊!S1632,刷條碼區!C:C,0),2),"")</f>
        <v/>
      </c>
      <c r="Z1632" s="70" t="str">
        <f>IFERROR(INDEX(刷條碼區!D:G,MATCH(點上線資訊!S1632,刷條碼區!F:F,0),1),"")</f>
        <v/>
      </c>
      <c r="AA1632" s="71" t="str">
        <f>IFERROR(INDEX(刷條碼區!D:G,MATCH(點上線資訊!S1632,刷條碼區!F:F,0),2),"")</f>
        <v/>
      </c>
      <c r="AB1632" s="20">
        <f t="shared" si="154"/>
        <v>0</v>
      </c>
      <c r="AC1632" s="20" t="b">
        <f t="shared" si="155"/>
        <v>0</v>
      </c>
      <c r="AD1632" s="17" t="b">
        <f t="shared" si="156"/>
        <v>0</v>
      </c>
      <c r="AE1632" s="17" t="b">
        <f t="shared" si="157"/>
        <v>0</v>
      </c>
    </row>
    <row r="1633" spans="17:31" x14ac:dyDescent="0.2">
      <c r="Q1633" s="17">
        <f>IFERROR(VLOOKUP(A1633,已除帳印單!B:C,1,0),0)*1</f>
        <v>0</v>
      </c>
      <c r="R1633" s="67" t="str">
        <f>IFERROR(VLOOKUP(J1633,線別!A:B,2,1),"")</f>
        <v/>
      </c>
      <c r="S1633" s="17" t="str">
        <f>IFERROR(VLOOKUP(A1633,已除帳印單!B:C,2,0),"")</f>
        <v/>
      </c>
      <c r="T1633" s="68" t="e">
        <f t="shared" si="152"/>
        <v>#VALUE!</v>
      </c>
      <c r="U1633" s="69">
        <f t="shared" si="153"/>
        <v>0</v>
      </c>
      <c r="V1633" s="68" t="str">
        <f>IFERROR(VLOOKUP(A1633,已除帳印單!B:D,3,0),"")</f>
        <v/>
      </c>
      <c r="W1633" s="69" t="str">
        <f>IFERROR(VLOOKUP(A1633,已除帳印單!B:E,4,0),"")</f>
        <v/>
      </c>
      <c r="X1633" s="68" t="str">
        <f>IFERROR(INDEX(刷條碼區!A:C,MATCH(點上線資訊!S1633,刷條碼區!C:C,0),1),"")</f>
        <v/>
      </c>
      <c r="Y1633" s="69" t="str">
        <f>IFERROR(INDEX(刷條碼區!A:C,MATCH(點上線資訊!S1633,刷條碼區!C:C,0),2),"")</f>
        <v/>
      </c>
      <c r="Z1633" s="70" t="str">
        <f>IFERROR(INDEX(刷條碼區!D:G,MATCH(點上線資訊!S1633,刷條碼區!F:F,0),1),"")</f>
        <v/>
      </c>
      <c r="AA1633" s="71" t="str">
        <f>IFERROR(INDEX(刷條碼區!D:G,MATCH(點上線資訊!S1633,刷條碼區!F:F,0),2),"")</f>
        <v/>
      </c>
      <c r="AB1633" s="20">
        <f t="shared" si="154"/>
        <v>0</v>
      </c>
      <c r="AC1633" s="20" t="b">
        <f t="shared" si="155"/>
        <v>0</v>
      </c>
      <c r="AD1633" s="17" t="b">
        <f t="shared" si="156"/>
        <v>0</v>
      </c>
      <c r="AE1633" s="17" t="b">
        <f t="shared" si="157"/>
        <v>0</v>
      </c>
    </row>
    <row r="1634" spans="17:31" x14ac:dyDescent="0.2">
      <c r="Q1634" s="17">
        <f>IFERROR(VLOOKUP(A1634,已除帳印單!B:C,1,0),0)*1</f>
        <v>0</v>
      </c>
      <c r="R1634" s="67" t="str">
        <f>IFERROR(VLOOKUP(J1634,線別!A:B,2,1),"")</f>
        <v/>
      </c>
      <c r="S1634" s="17" t="str">
        <f>IFERROR(VLOOKUP(A1634,已除帳印單!B:C,2,0),"")</f>
        <v/>
      </c>
      <c r="T1634" s="68" t="e">
        <f t="shared" si="152"/>
        <v>#VALUE!</v>
      </c>
      <c r="U1634" s="69">
        <f t="shared" si="153"/>
        <v>0</v>
      </c>
      <c r="V1634" s="68" t="str">
        <f>IFERROR(VLOOKUP(A1634,已除帳印單!B:D,3,0),"")</f>
        <v/>
      </c>
      <c r="W1634" s="69" t="str">
        <f>IFERROR(VLOOKUP(A1634,已除帳印單!B:E,4,0),"")</f>
        <v/>
      </c>
      <c r="X1634" s="68" t="str">
        <f>IFERROR(INDEX(刷條碼區!A:C,MATCH(點上線資訊!S1634,刷條碼區!C:C,0),1),"")</f>
        <v/>
      </c>
      <c r="Y1634" s="69" t="str">
        <f>IFERROR(INDEX(刷條碼區!A:C,MATCH(點上線資訊!S1634,刷條碼區!C:C,0),2),"")</f>
        <v/>
      </c>
      <c r="Z1634" s="70" t="str">
        <f>IFERROR(INDEX(刷條碼區!D:G,MATCH(點上線資訊!S1634,刷條碼區!F:F,0),1),"")</f>
        <v/>
      </c>
      <c r="AA1634" s="71" t="str">
        <f>IFERROR(INDEX(刷條碼區!D:G,MATCH(點上線資訊!S1634,刷條碼區!F:F,0),2),"")</f>
        <v/>
      </c>
      <c r="AB1634" s="20">
        <f t="shared" si="154"/>
        <v>0</v>
      </c>
      <c r="AC1634" s="20" t="b">
        <f t="shared" si="155"/>
        <v>0</v>
      </c>
      <c r="AD1634" s="17" t="b">
        <f t="shared" si="156"/>
        <v>0</v>
      </c>
      <c r="AE1634" s="17" t="b">
        <f t="shared" si="157"/>
        <v>0</v>
      </c>
    </row>
    <row r="1635" spans="17:31" x14ac:dyDescent="0.2">
      <c r="Q1635" s="17">
        <f>IFERROR(VLOOKUP(A1635,已除帳印單!B:C,1,0),0)*1</f>
        <v>0</v>
      </c>
      <c r="R1635" s="67" t="str">
        <f>IFERROR(VLOOKUP(J1635,線別!A:B,2,1),"")</f>
        <v/>
      </c>
      <c r="S1635" s="17" t="str">
        <f>IFERROR(VLOOKUP(A1635,已除帳印單!B:C,2,0),"")</f>
        <v/>
      </c>
      <c r="T1635" s="68" t="e">
        <f t="shared" si="152"/>
        <v>#VALUE!</v>
      </c>
      <c r="U1635" s="69">
        <f t="shared" si="153"/>
        <v>0</v>
      </c>
      <c r="V1635" s="68" t="str">
        <f>IFERROR(VLOOKUP(A1635,已除帳印單!B:D,3,0),"")</f>
        <v/>
      </c>
      <c r="W1635" s="69" t="str">
        <f>IFERROR(VLOOKUP(A1635,已除帳印單!B:E,4,0),"")</f>
        <v/>
      </c>
      <c r="X1635" s="68" t="str">
        <f>IFERROR(INDEX(刷條碼區!A:C,MATCH(點上線資訊!S1635,刷條碼區!C:C,0),1),"")</f>
        <v/>
      </c>
      <c r="Y1635" s="69" t="str">
        <f>IFERROR(INDEX(刷條碼區!A:C,MATCH(點上線資訊!S1635,刷條碼區!C:C,0),2),"")</f>
        <v/>
      </c>
      <c r="Z1635" s="70" t="str">
        <f>IFERROR(INDEX(刷條碼區!D:G,MATCH(點上線資訊!S1635,刷條碼區!F:F,0),1),"")</f>
        <v/>
      </c>
      <c r="AA1635" s="71" t="str">
        <f>IFERROR(INDEX(刷條碼區!D:G,MATCH(點上線資訊!S1635,刷條碼區!F:F,0),2),"")</f>
        <v/>
      </c>
      <c r="AB1635" s="20">
        <f t="shared" si="154"/>
        <v>0</v>
      </c>
      <c r="AC1635" s="20" t="b">
        <f t="shared" si="155"/>
        <v>0</v>
      </c>
      <c r="AD1635" s="17" t="b">
        <f t="shared" si="156"/>
        <v>0</v>
      </c>
      <c r="AE1635" s="17" t="b">
        <f t="shared" si="157"/>
        <v>0</v>
      </c>
    </row>
    <row r="1636" spans="17:31" x14ac:dyDescent="0.2">
      <c r="Q1636" s="17">
        <f>IFERROR(VLOOKUP(A1636,已除帳印單!B:C,1,0),0)*1</f>
        <v>0</v>
      </c>
      <c r="R1636" s="67" t="str">
        <f>IFERROR(VLOOKUP(J1636,線別!A:B,2,1),"")</f>
        <v/>
      </c>
      <c r="S1636" s="17" t="str">
        <f>IFERROR(VLOOKUP(A1636,已除帳印單!B:C,2,0),"")</f>
        <v/>
      </c>
      <c r="T1636" s="68" t="e">
        <f t="shared" si="152"/>
        <v>#VALUE!</v>
      </c>
      <c r="U1636" s="69">
        <f t="shared" si="153"/>
        <v>0</v>
      </c>
      <c r="V1636" s="68" t="str">
        <f>IFERROR(VLOOKUP(A1636,已除帳印單!B:D,3,0),"")</f>
        <v/>
      </c>
      <c r="W1636" s="69" t="str">
        <f>IFERROR(VLOOKUP(A1636,已除帳印單!B:E,4,0),"")</f>
        <v/>
      </c>
      <c r="X1636" s="68" t="str">
        <f>IFERROR(INDEX(刷條碼區!A:C,MATCH(點上線資訊!S1636,刷條碼區!C:C,0),1),"")</f>
        <v/>
      </c>
      <c r="Y1636" s="69" t="str">
        <f>IFERROR(INDEX(刷條碼區!A:C,MATCH(點上線資訊!S1636,刷條碼區!C:C,0),2),"")</f>
        <v/>
      </c>
      <c r="Z1636" s="70" t="str">
        <f>IFERROR(INDEX(刷條碼區!D:G,MATCH(點上線資訊!S1636,刷條碼區!F:F,0),1),"")</f>
        <v/>
      </c>
      <c r="AA1636" s="71" t="str">
        <f>IFERROR(INDEX(刷條碼區!D:G,MATCH(點上線資訊!S1636,刷條碼區!F:F,0),2),"")</f>
        <v/>
      </c>
      <c r="AB1636" s="20">
        <f t="shared" si="154"/>
        <v>0</v>
      </c>
      <c r="AC1636" s="20" t="b">
        <f t="shared" si="155"/>
        <v>0</v>
      </c>
      <c r="AD1636" s="17" t="b">
        <f t="shared" si="156"/>
        <v>0</v>
      </c>
      <c r="AE1636" s="17" t="b">
        <f t="shared" si="157"/>
        <v>0</v>
      </c>
    </row>
    <row r="1637" spans="17:31" x14ac:dyDescent="0.2">
      <c r="Q1637" s="17">
        <f>IFERROR(VLOOKUP(A1637,已除帳印單!B:C,1,0),0)*1</f>
        <v>0</v>
      </c>
      <c r="R1637" s="67" t="str">
        <f>IFERROR(VLOOKUP(J1637,線別!A:B,2,1),"")</f>
        <v/>
      </c>
      <c r="S1637" s="17" t="str">
        <f>IFERROR(VLOOKUP(A1637,已除帳印單!B:C,2,0),"")</f>
        <v/>
      </c>
      <c r="T1637" s="68" t="e">
        <f t="shared" si="152"/>
        <v>#VALUE!</v>
      </c>
      <c r="U1637" s="69">
        <f t="shared" si="153"/>
        <v>0</v>
      </c>
      <c r="V1637" s="68" t="str">
        <f>IFERROR(VLOOKUP(A1637,已除帳印單!B:D,3,0),"")</f>
        <v/>
      </c>
      <c r="W1637" s="69" t="str">
        <f>IFERROR(VLOOKUP(A1637,已除帳印單!B:E,4,0),"")</f>
        <v/>
      </c>
      <c r="X1637" s="68" t="str">
        <f>IFERROR(INDEX(刷條碼區!A:C,MATCH(點上線資訊!S1637,刷條碼區!C:C,0),1),"")</f>
        <v/>
      </c>
      <c r="Y1637" s="69" t="str">
        <f>IFERROR(INDEX(刷條碼區!A:C,MATCH(點上線資訊!S1637,刷條碼區!C:C,0),2),"")</f>
        <v/>
      </c>
      <c r="Z1637" s="70" t="str">
        <f>IFERROR(INDEX(刷條碼區!D:G,MATCH(點上線資訊!S1637,刷條碼區!F:F,0),1),"")</f>
        <v/>
      </c>
      <c r="AA1637" s="71" t="str">
        <f>IFERROR(INDEX(刷條碼區!D:G,MATCH(點上線資訊!S1637,刷條碼區!F:F,0),2),"")</f>
        <v/>
      </c>
      <c r="AB1637" s="20">
        <f t="shared" si="154"/>
        <v>0</v>
      </c>
      <c r="AC1637" s="20" t="b">
        <f t="shared" si="155"/>
        <v>0</v>
      </c>
      <c r="AD1637" s="17" t="b">
        <f t="shared" si="156"/>
        <v>0</v>
      </c>
      <c r="AE1637" s="17" t="b">
        <f t="shared" si="157"/>
        <v>0</v>
      </c>
    </row>
    <row r="1638" spans="17:31" x14ac:dyDescent="0.2">
      <c r="Q1638" s="17">
        <f>IFERROR(VLOOKUP(A1638,已除帳印單!B:C,1,0),0)*1</f>
        <v>0</v>
      </c>
      <c r="R1638" s="67" t="str">
        <f>IFERROR(VLOOKUP(J1638,線別!A:B,2,1),"")</f>
        <v/>
      </c>
      <c r="S1638" s="17" t="str">
        <f>IFERROR(VLOOKUP(A1638,已除帳印單!B:C,2,0),"")</f>
        <v/>
      </c>
      <c r="T1638" s="68" t="e">
        <f t="shared" si="152"/>
        <v>#VALUE!</v>
      </c>
      <c r="U1638" s="69">
        <f t="shared" si="153"/>
        <v>0</v>
      </c>
      <c r="V1638" s="68" t="str">
        <f>IFERROR(VLOOKUP(A1638,已除帳印單!B:D,3,0),"")</f>
        <v/>
      </c>
      <c r="W1638" s="69" t="str">
        <f>IFERROR(VLOOKUP(A1638,已除帳印單!B:E,4,0),"")</f>
        <v/>
      </c>
      <c r="X1638" s="68" t="str">
        <f>IFERROR(INDEX(刷條碼區!A:C,MATCH(點上線資訊!S1638,刷條碼區!C:C,0),1),"")</f>
        <v/>
      </c>
      <c r="Y1638" s="69" t="str">
        <f>IFERROR(INDEX(刷條碼區!A:C,MATCH(點上線資訊!S1638,刷條碼區!C:C,0),2),"")</f>
        <v/>
      </c>
      <c r="Z1638" s="70" t="str">
        <f>IFERROR(INDEX(刷條碼區!D:G,MATCH(點上線資訊!S1638,刷條碼區!F:F,0),1),"")</f>
        <v/>
      </c>
      <c r="AA1638" s="71" t="str">
        <f>IFERROR(INDEX(刷條碼區!D:G,MATCH(點上線資訊!S1638,刷條碼區!F:F,0),2),"")</f>
        <v/>
      </c>
      <c r="AB1638" s="20">
        <f t="shared" si="154"/>
        <v>0</v>
      </c>
      <c r="AC1638" s="20" t="b">
        <f t="shared" si="155"/>
        <v>0</v>
      </c>
      <c r="AD1638" s="17" t="b">
        <f t="shared" si="156"/>
        <v>0</v>
      </c>
      <c r="AE1638" s="17" t="b">
        <f t="shared" si="157"/>
        <v>0</v>
      </c>
    </row>
    <row r="1639" spans="17:31" x14ac:dyDescent="0.2">
      <c r="Q1639" s="17">
        <f>IFERROR(VLOOKUP(A1639,已除帳印單!B:C,1,0),0)*1</f>
        <v>0</v>
      </c>
      <c r="R1639" s="67" t="str">
        <f>IFERROR(VLOOKUP(J1639,線別!A:B,2,1),"")</f>
        <v/>
      </c>
      <c r="S1639" s="17" t="str">
        <f>IFERROR(VLOOKUP(A1639,已除帳印單!B:C,2,0),"")</f>
        <v/>
      </c>
      <c r="T1639" s="68" t="e">
        <f t="shared" si="152"/>
        <v>#VALUE!</v>
      </c>
      <c r="U1639" s="69">
        <f t="shared" si="153"/>
        <v>0</v>
      </c>
      <c r="V1639" s="68" t="str">
        <f>IFERROR(VLOOKUP(A1639,已除帳印單!B:D,3,0),"")</f>
        <v/>
      </c>
      <c r="W1639" s="69" t="str">
        <f>IFERROR(VLOOKUP(A1639,已除帳印單!B:E,4,0),"")</f>
        <v/>
      </c>
      <c r="X1639" s="68" t="str">
        <f>IFERROR(INDEX(刷條碼區!A:C,MATCH(點上線資訊!S1639,刷條碼區!C:C,0),1),"")</f>
        <v/>
      </c>
      <c r="Y1639" s="69" t="str">
        <f>IFERROR(INDEX(刷條碼區!A:C,MATCH(點上線資訊!S1639,刷條碼區!C:C,0),2),"")</f>
        <v/>
      </c>
      <c r="Z1639" s="70" t="str">
        <f>IFERROR(INDEX(刷條碼區!D:G,MATCH(點上線資訊!S1639,刷條碼區!F:F,0),1),"")</f>
        <v/>
      </c>
      <c r="AA1639" s="71" t="str">
        <f>IFERROR(INDEX(刷條碼區!D:G,MATCH(點上線資訊!S1639,刷條碼區!F:F,0),2),"")</f>
        <v/>
      </c>
      <c r="AB1639" s="20">
        <f t="shared" si="154"/>
        <v>0</v>
      </c>
      <c r="AC1639" s="20" t="b">
        <f t="shared" si="155"/>
        <v>0</v>
      </c>
      <c r="AD1639" s="17" t="b">
        <f t="shared" si="156"/>
        <v>0</v>
      </c>
      <c r="AE1639" s="17" t="b">
        <f t="shared" si="157"/>
        <v>0</v>
      </c>
    </row>
    <row r="1640" spans="17:31" x14ac:dyDescent="0.2">
      <c r="Q1640" s="17">
        <f>IFERROR(VLOOKUP(A1640,已除帳印單!B:C,1,0),0)*1</f>
        <v>0</v>
      </c>
      <c r="R1640" s="67" t="str">
        <f>IFERROR(VLOOKUP(J1640,線別!A:B,2,1),"")</f>
        <v/>
      </c>
      <c r="S1640" s="17" t="str">
        <f>IFERROR(VLOOKUP(A1640,已除帳印單!B:C,2,0),"")</f>
        <v/>
      </c>
      <c r="T1640" s="68" t="e">
        <f t="shared" si="152"/>
        <v>#VALUE!</v>
      </c>
      <c r="U1640" s="69">
        <f t="shared" si="153"/>
        <v>0</v>
      </c>
      <c r="V1640" s="68" t="str">
        <f>IFERROR(VLOOKUP(A1640,已除帳印單!B:D,3,0),"")</f>
        <v/>
      </c>
      <c r="W1640" s="69" t="str">
        <f>IFERROR(VLOOKUP(A1640,已除帳印單!B:E,4,0),"")</f>
        <v/>
      </c>
      <c r="X1640" s="68" t="str">
        <f>IFERROR(INDEX(刷條碼區!A:C,MATCH(點上線資訊!S1640,刷條碼區!C:C,0),1),"")</f>
        <v/>
      </c>
      <c r="Y1640" s="69" t="str">
        <f>IFERROR(INDEX(刷條碼區!A:C,MATCH(點上線資訊!S1640,刷條碼區!C:C,0),2),"")</f>
        <v/>
      </c>
      <c r="Z1640" s="70" t="str">
        <f>IFERROR(INDEX(刷條碼區!D:G,MATCH(點上線資訊!S1640,刷條碼區!F:F,0),1),"")</f>
        <v/>
      </c>
      <c r="AA1640" s="71" t="str">
        <f>IFERROR(INDEX(刷條碼區!D:G,MATCH(點上線資訊!S1640,刷條碼區!F:F,0),2),"")</f>
        <v/>
      </c>
      <c r="AB1640" s="20">
        <f t="shared" si="154"/>
        <v>0</v>
      </c>
      <c r="AC1640" s="20" t="b">
        <f t="shared" si="155"/>
        <v>0</v>
      </c>
      <c r="AD1640" s="17" t="b">
        <f t="shared" si="156"/>
        <v>0</v>
      </c>
      <c r="AE1640" s="17" t="b">
        <f t="shared" si="157"/>
        <v>0</v>
      </c>
    </row>
    <row r="1641" spans="17:31" x14ac:dyDescent="0.2">
      <c r="Q1641" s="17">
        <f>IFERROR(VLOOKUP(A1641,已除帳印單!B:C,1,0),0)*1</f>
        <v>0</v>
      </c>
      <c r="R1641" s="67" t="str">
        <f>IFERROR(VLOOKUP(J1641,線別!A:B,2,1),"")</f>
        <v/>
      </c>
      <c r="S1641" s="17" t="str">
        <f>IFERROR(VLOOKUP(A1641,已除帳印單!B:C,2,0),"")</f>
        <v/>
      </c>
      <c r="T1641" s="68" t="e">
        <f t="shared" si="152"/>
        <v>#VALUE!</v>
      </c>
      <c r="U1641" s="69">
        <f t="shared" si="153"/>
        <v>0</v>
      </c>
      <c r="V1641" s="68" t="str">
        <f>IFERROR(VLOOKUP(A1641,已除帳印單!B:D,3,0),"")</f>
        <v/>
      </c>
      <c r="W1641" s="69" t="str">
        <f>IFERROR(VLOOKUP(A1641,已除帳印單!B:E,4,0),"")</f>
        <v/>
      </c>
      <c r="X1641" s="68" t="str">
        <f>IFERROR(INDEX(刷條碼區!A:C,MATCH(點上線資訊!S1641,刷條碼區!C:C,0),1),"")</f>
        <v/>
      </c>
      <c r="Y1641" s="69" t="str">
        <f>IFERROR(INDEX(刷條碼區!A:C,MATCH(點上線資訊!S1641,刷條碼區!C:C,0),2),"")</f>
        <v/>
      </c>
      <c r="Z1641" s="70" t="str">
        <f>IFERROR(INDEX(刷條碼區!D:G,MATCH(點上線資訊!S1641,刷條碼區!F:F,0),1),"")</f>
        <v/>
      </c>
      <c r="AA1641" s="71" t="str">
        <f>IFERROR(INDEX(刷條碼區!D:G,MATCH(點上線資訊!S1641,刷條碼區!F:F,0),2),"")</f>
        <v/>
      </c>
      <c r="AB1641" s="20">
        <f t="shared" si="154"/>
        <v>0</v>
      </c>
      <c r="AC1641" s="20" t="b">
        <f t="shared" si="155"/>
        <v>0</v>
      </c>
      <c r="AD1641" s="17" t="b">
        <f t="shared" si="156"/>
        <v>0</v>
      </c>
      <c r="AE1641" s="17" t="b">
        <f t="shared" si="157"/>
        <v>0</v>
      </c>
    </row>
    <row r="1642" spans="17:31" x14ac:dyDescent="0.2">
      <c r="Q1642" s="17">
        <f>IFERROR(VLOOKUP(A1642,已除帳印單!B:C,1,0),0)*1</f>
        <v>0</v>
      </c>
      <c r="R1642" s="67" t="str">
        <f>IFERROR(VLOOKUP(J1642,線別!A:B,2,1),"")</f>
        <v/>
      </c>
      <c r="S1642" s="17" t="str">
        <f>IFERROR(VLOOKUP(A1642,已除帳印單!B:C,2,0),"")</f>
        <v/>
      </c>
      <c r="T1642" s="68" t="e">
        <f t="shared" si="152"/>
        <v>#VALUE!</v>
      </c>
      <c r="U1642" s="69">
        <f t="shared" si="153"/>
        <v>0</v>
      </c>
      <c r="V1642" s="68" t="str">
        <f>IFERROR(VLOOKUP(A1642,已除帳印單!B:D,3,0),"")</f>
        <v/>
      </c>
      <c r="W1642" s="69" t="str">
        <f>IFERROR(VLOOKUP(A1642,已除帳印單!B:E,4,0),"")</f>
        <v/>
      </c>
      <c r="X1642" s="68" t="str">
        <f>IFERROR(INDEX(刷條碼區!A:C,MATCH(點上線資訊!S1642,刷條碼區!C:C,0),1),"")</f>
        <v/>
      </c>
      <c r="Y1642" s="69" t="str">
        <f>IFERROR(INDEX(刷條碼區!A:C,MATCH(點上線資訊!S1642,刷條碼區!C:C,0),2),"")</f>
        <v/>
      </c>
      <c r="Z1642" s="70" t="str">
        <f>IFERROR(INDEX(刷條碼區!D:G,MATCH(點上線資訊!S1642,刷條碼區!F:F,0),1),"")</f>
        <v/>
      </c>
      <c r="AA1642" s="71" t="str">
        <f>IFERROR(INDEX(刷條碼區!D:G,MATCH(點上線資訊!S1642,刷條碼區!F:F,0),2),"")</f>
        <v/>
      </c>
      <c r="AB1642" s="20">
        <f t="shared" si="154"/>
        <v>0</v>
      </c>
      <c r="AC1642" s="20" t="b">
        <f t="shared" si="155"/>
        <v>0</v>
      </c>
      <c r="AD1642" s="17" t="b">
        <f t="shared" si="156"/>
        <v>0</v>
      </c>
      <c r="AE1642" s="17" t="b">
        <f t="shared" si="157"/>
        <v>0</v>
      </c>
    </row>
    <row r="1643" spans="17:31" x14ac:dyDescent="0.2">
      <c r="Q1643" s="17">
        <f>IFERROR(VLOOKUP(A1643,已除帳印單!B:C,1,0),0)*1</f>
        <v>0</v>
      </c>
      <c r="R1643" s="67" t="str">
        <f>IFERROR(VLOOKUP(J1643,線別!A:B,2,1),"")</f>
        <v/>
      </c>
      <c r="S1643" s="17" t="str">
        <f>IFERROR(VLOOKUP(A1643,已除帳印單!B:C,2,0),"")</f>
        <v/>
      </c>
      <c r="T1643" s="68" t="e">
        <f t="shared" si="152"/>
        <v>#VALUE!</v>
      </c>
      <c r="U1643" s="69">
        <f t="shared" si="153"/>
        <v>0</v>
      </c>
      <c r="V1643" s="68" t="str">
        <f>IFERROR(VLOOKUP(A1643,已除帳印單!B:D,3,0),"")</f>
        <v/>
      </c>
      <c r="W1643" s="69" t="str">
        <f>IFERROR(VLOOKUP(A1643,已除帳印單!B:E,4,0),"")</f>
        <v/>
      </c>
      <c r="X1643" s="68" t="str">
        <f>IFERROR(INDEX(刷條碼區!A:C,MATCH(點上線資訊!S1643,刷條碼區!C:C,0),1),"")</f>
        <v/>
      </c>
      <c r="Y1643" s="69" t="str">
        <f>IFERROR(INDEX(刷條碼區!A:C,MATCH(點上線資訊!S1643,刷條碼區!C:C,0),2),"")</f>
        <v/>
      </c>
      <c r="Z1643" s="70" t="str">
        <f>IFERROR(INDEX(刷條碼區!D:G,MATCH(點上線資訊!S1643,刷條碼區!F:F,0),1),"")</f>
        <v/>
      </c>
      <c r="AA1643" s="71" t="str">
        <f>IFERROR(INDEX(刷條碼區!D:G,MATCH(點上線資訊!S1643,刷條碼區!F:F,0),2),"")</f>
        <v/>
      </c>
      <c r="AB1643" s="20">
        <f t="shared" si="154"/>
        <v>0</v>
      </c>
      <c r="AC1643" s="20" t="b">
        <f t="shared" si="155"/>
        <v>0</v>
      </c>
      <c r="AD1643" s="17" t="b">
        <f t="shared" si="156"/>
        <v>0</v>
      </c>
      <c r="AE1643" s="17" t="b">
        <f t="shared" si="157"/>
        <v>0</v>
      </c>
    </row>
    <row r="1644" spans="17:31" x14ac:dyDescent="0.2">
      <c r="Q1644" s="17">
        <f>IFERROR(VLOOKUP(A1644,已除帳印單!B:C,1,0),0)*1</f>
        <v>0</v>
      </c>
      <c r="R1644" s="67" t="str">
        <f>IFERROR(VLOOKUP(J1644,線別!A:B,2,1),"")</f>
        <v/>
      </c>
      <c r="S1644" s="17" t="str">
        <f>IFERROR(VLOOKUP(A1644,已除帳印單!B:C,2,0),"")</f>
        <v/>
      </c>
      <c r="T1644" s="68" t="e">
        <f t="shared" si="152"/>
        <v>#VALUE!</v>
      </c>
      <c r="U1644" s="69">
        <f t="shared" si="153"/>
        <v>0</v>
      </c>
      <c r="V1644" s="68" t="str">
        <f>IFERROR(VLOOKUP(A1644,已除帳印單!B:D,3,0),"")</f>
        <v/>
      </c>
      <c r="W1644" s="69" t="str">
        <f>IFERROR(VLOOKUP(A1644,已除帳印單!B:E,4,0),"")</f>
        <v/>
      </c>
      <c r="X1644" s="68" t="str">
        <f>IFERROR(INDEX(刷條碼區!A:C,MATCH(點上線資訊!S1644,刷條碼區!C:C,0),1),"")</f>
        <v/>
      </c>
      <c r="Y1644" s="69" t="str">
        <f>IFERROR(INDEX(刷條碼區!A:C,MATCH(點上線資訊!S1644,刷條碼區!C:C,0),2),"")</f>
        <v/>
      </c>
      <c r="Z1644" s="70" t="str">
        <f>IFERROR(INDEX(刷條碼區!D:G,MATCH(點上線資訊!S1644,刷條碼區!F:F,0),1),"")</f>
        <v/>
      </c>
      <c r="AA1644" s="71" t="str">
        <f>IFERROR(INDEX(刷條碼區!D:G,MATCH(點上線資訊!S1644,刷條碼區!F:F,0),2),"")</f>
        <v/>
      </c>
      <c r="AB1644" s="20">
        <f t="shared" si="154"/>
        <v>0</v>
      </c>
      <c r="AC1644" s="20" t="b">
        <f t="shared" si="155"/>
        <v>0</v>
      </c>
      <c r="AD1644" s="17" t="b">
        <f t="shared" si="156"/>
        <v>0</v>
      </c>
      <c r="AE1644" s="17" t="b">
        <f t="shared" si="157"/>
        <v>0</v>
      </c>
    </row>
    <row r="1645" spans="17:31" x14ac:dyDescent="0.2">
      <c r="Q1645" s="17">
        <f>IFERROR(VLOOKUP(A1645,已除帳印單!B:C,1,0),0)*1</f>
        <v>0</v>
      </c>
      <c r="R1645" s="67" t="str">
        <f>IFERROR(VLOOKUP(J1645,線別!A:B,2,1),"")</f>
        <v/>
      </c>
      <c r="S1645" s="17" t="str">
        <f>IFERROR(VLOOKUP(A1645,已除帳印單!B:C,2,0),"")</f>
        <v/>
      </c>
      <c r="T1645" s="68" t="e">
        <f t="shared" si="152"/>
        <v>#VALUE!</v>
      </c>
      <c r="U1645" s="69">
        <f t="shared" si="153"/>
        <v>0</v>
      </c>
      <c r="V1645" s="68" t="str">
        <f>IFERROR(VLOOKUP(A1645,已除帳印單!B:D,3,0),"")</f>
        <v/>
      </c>
      <c r="W1645" s="69" t="str">
        <f>IFERROR(VLOOKUP(A1645,已除帳印單!B:E,4,0),"")</f>
        <v/>
      </c>
      <c r="X1645" s="68" t="str">
        <f>IFERROR(INDEX(刷條碼區!A:C,MATCH(點上線資訊!S1645,刷條碼區!C:C,0),1),"")</f>
        <v/>
      </c>
      <c r="Y1645" s="69" t="str">
        <f>IFERROR(INDEX(刷條碼區!A:C,MATCH(點上線資訊!S1645,刷條碼區!C:C,0),2),"")</f>
        <v/>
      </c>
      <c r="Z1645" s="70" t="str">
        <f>IFERROR(INDEX(刷條碼區!D:G,MATCH(點上線資訊!S1645,刷條碼區!F:F,0),1),"")</f>
        <v/>
      </c>
      <c r="AA1645" s="71" t="str">
        <f>IFERROR(INDEX(刷條碼區!D:G,MATCH(點上線資訊!S1645,刷條碼區!F:F,0),2),"")</f>
        <v/>
      </c>
      <c r="AB1645" s="20">
        <f t="shared" si="154"/>
        <v>0</v>
      </c>
      <c r="AC1645" s="20" t="b">
        <f t="shared" si="155"/>
        <v>0</v>
      </c>
      <c r="AD1645" s="17" t="b">
        <f t="shared" si="156"/>
        <v>0</v>
      </c>
      <c r="AE1645" s="17" t="b">
        <f t="shared" si="157"/>
        <v>0</v>
      </c>
    </row>
    <row r="1646" spans="17:31" x14ac:dyDescent="0.2">
      <c r="Q1646" s="17">
        <f>IFERROR(VLOOKUP(A1646,已除帳印單!B:C,1,0),0)*1</f>
        <v>0</v>
      </c>
      <c r="R1646" s="67" t="str">
        <f>IFERROR(VLOOKUP(J1646,線別!A:B,2,1),"")</f>
        <v/>
      </c>
      <c r="S1646" s="17" t="str">
        <f>IFERROR(VLOOKUP(A1646,已除帳印單!B:C,2,0),"")</f>
        <v/>
      </c>
      <c r="T1646" s="68" t="e">
        <f t="shared" si="152"/>
        <v>#VALUE!</v>
      </c>
      <c r="U1646" s="69">
        <f t="shared" si="153"/>
        <v>0</v>
      </c>
      <c r="V1646" s="68" t="str">
        <f>IFERROR(VLOOKUP(A1646,已除帳印單!B:D,3,0),"")</f>
        <v/>
      </c>
      <c r="W1646" s="69" t="str">
        <f>IFERROR(VLOOKUP(A1646,已除帳印單!B:E,4,0),"")</f>
        <v/>
      </c>
      <c r="X1646" s="68" t="str">
        <f>IFERROR(INDEX(刷條碼區!A:C,MATCH(點上線資訊!S1646,刷條碼區!C:C,0),1),"")</f>
        <v/>
      </c>
      <c r="Y1646" s="69" t="str">
        <f>IFERROR(INDEX(刷條碼區!A:C,MATCH(點上線資訊!S1646,刷條碼區!C:C,0),2),"")</f>
        <v/>
      </c>
      <c r="Z1646" s="70" t="str">
        <f>IFERROR(INDEX(刷條碼區!D:G,MATCH(點上線資訊!S1646,刷條碼區!F:F,0),1),"")</f>
        <v/>
      </c>
      <c r="AA1646" s="71" t="str">
        <f>IFERROR(INDEX(刷條碼區!D:G,MATCH(點上線資訊!S1646,刷條碼區!F:F,0),2),"")</f>
        <v/>
      </c>
      <c r="AB1646" s="20">
        <f t="shared" si="154"/>
        <v>0</v>
      </c>
      <c r="AC1646" s="20" t="b">
        <f t="shared" si="155"/>
        <v>0</v>
      </c>
      <c r="AD1646" s="17" t="b">
        <f t="shared" si="156"/>
        <v>0</v>
      </c>
      <c r="AE1646" s="17" t="b">
        <f t="shared" si="157"/>
        <v>0</v>
      </c>
    </row>
    <row r="1647" spans="17:31" x14ac:dyDescent="0.2">
      <c r="Q1647" s="17">
        <f>IFERROR(VLOOKUP(A1647,已除帳印單!B:C,1,0),0)*1</f>
        <v>0</v>
      </c>
      <c r="R1647" s="67" t="str">
        <f>IFERROR(VLOOKUP(J1647,線別!A:B,2,1),"")</f>
        <v/>
      </c>
      <c r="S1647" s="17" t="str">
        <f>IFERROR(VLOOKUP(A1647,已除帳印單!B:C,2,0),"")</f>
        <v/>
      </c>
      <c r="T1647" s="68" t="e">
        <f t="shared" si="152"/>
        <v>#VALUE!</v>
      </c>
      <c r="U1647" s="69">
        <f t="shared" si="153"/>
        <v>0</v>
      </c>
      <c r="V1647" s="68" t="str">
        <f>IFERROR(VLOOKUP(A1647,已除帳印單!B:D,3,0),"")</f>
        <v/>
      </c>
      <c r="W1647" s="69" t="str">
        <f>IFERROR(VLOOKUP(A1647,已除帳印單!B:E,4,0),"")</f>
        <v/>
      </c>
      <c r="X1647" s="68" t="str">
        <f>IFERROR(INDEX(刷條碼區!A:C,MATCH(點上線資訊!S1647,刷條碼區!C:C,0),1),"")</f>
        <v/>
      </c>
      <c r="Y1647" s="69" t="str">
        <f>IFERROR(INDEX(刷條碼區!A:C,MATCH(點上線資訊!S1647,刷條碼區!C:C,0),2),"")</f>
        <v/>
      </c>
      <c r="Z1647" s="70" t="str">
        <f>IFERROR(INDEX(刷條碼區!D:G,MATCH(點上線資訊!S1647,刷條碼區!F:F,0),1),"")</f>
        <v/>
      </c>
      <c r="AA1647" s="71" t="str">
        <f>IFERROR(INDEX(刷條碼區!D:G,MATCH(點上線資訊!S1647,刷條碼區!F:F,0),2),"")</f>
        <v/>
      </c>
      <c r="AB1647" s="20">
        <f t="shared" si="154"/>
        <v>0</v>
      </c>
      <c r="AC1647" s="20" t="b">
        <f t="shared" si="155"/>
        <v>0</v>
      </c>
      <c r="AD1647" s="17" t="b">
        <f t="shared" si="156"/>
        <v>0</v>
      </c>
      <c r="AE1647" s="17" t="b">
        <f t="shared" si="157"/>
        <v>0</v>
      </c>
    </row>
    <row r="1648" spans="17:31" x14ac:dyDescent="0.2">
      <c r="Q1648" s="17">
        <f>IFERROR(VLOOKUP(A1648,已除帳印單!B:C,1,0),0)*1</f>
        <v>0</v>
      </c>
      <c r="R1648" s="67" t="str">
        <f>IFERROR(VLOOKUP(J1648,線別!A:B,2,1),"")</f>
        <v/>
      </c>
      <c r="S1648" s="17" t="str">
        <f>IFERROR(VLOOKUP(A1648,已除帳印單!B:C,2,0),"")</f>
        <v/>
      </c>
      <c r="T1648" s="68" t="e">
        <f t="shared" si="152"/>
        <v>#VALUE!</v>
      </c>
      <c r="U1648" s="69">
        <f t="shared" si="153"/>
        <v>0</v>
      </c>
      <c r="V1648" s="68" t="str">
        <f>IFERROR(VLOOKUP(A1648,已除帳印單!B:D,3,0),"")</f>
        <v/>
      </c>
      <c r="W1648" s="69" t="str">
        <f>IFERROR(VLOOKUP(A1648,已除帳印單!B:E,4,0),"")</f>
        <v/>
      </c>
      <c r="X1648" s="68" t="str">
        <f>IFERROR(INDEX(刷條碼區!A:C,MATCH(點上線資訊!S1648,刷條碼區!C:C,0),1),"")</f>
        <v/>
      </c>
      <c r="Y1648" s="69" t="str">
        <f>IFERROR(INDEX(刷條碼區!A:C,MATCH(點上線資訊!S1648,刷條碼區!C:C,0),2),"")</f>
        <v/>
      </c>
      <c r="Z1648" s="70" t="str">
        <f>IFERROR(INDEX(刷條碼區!D:G,MATCH(點上線資訊!S1648,刷條碼區!F:F,0),1),"")</f>
        <v/>
      </c>
      <c r="AA1648" s="71" t="str">
        <f>IFERROR(INDEX(刷條碼區!D:G,MATCH(點上線資訊!S1648,刷條碼區!F:F,0),2),"")</f>
        <v/>
      </c>
      <c r="AB1648" s="20">
        <f t="shared" si="154"/>
        <v>0</v>
      </c>
      <c r="AC1648" s="20" t="b">
        <f t="shared" si="155"/>
        <v>0</v>
      </c>
      <c r="AD1648" s="17" t="b">
        <f t="shared" si="156"/>
        <v>0</v>
      </c>
      <c r="AE1648" s="17" t="b">
        <f t="shared" si="157"/>
        <v>0</v>
      </c>
    </row>
    <row r="1649" spans="17:31" x14ac:dyDescent="0.2">
      <c r="Q1649" s="17">
        <f>IFERROR(VLOOKUP(A1649,已除帳印單!B:C,1,0),0)*1</f>
        <v>0</v>
      </c>
      <c r="R1649" s="67" t="str">
        <f>IFERROR(VLOOKUP(J1649,線別!A:B,2,1),"")</f>
        <v/>
      </c>
      <c r="S1649" s="17" t="str">
        <f>IFERROR(VLOOKUP(A1649,已除帳印單!B:C,2,0),"")</f>
        <v/>
      </c>
      <c r="T1649" s="68" t="e">
        <f t="shared" si="152"/>
        <v>#VALUE!</v>
      </c>
      <c r="U1649" s="69">
        <f t="shared" si="153"/>
        <v>0</v>
      </c>
      <c r="V1649" s="68" t="str">
        <f>IFERROR(VLOOKUP(A1649,已除帳印單!B:D,3,0),"")</f>
        <v/>
      </c>
      <c r="W1649" s="69" t="str">
        <f>IFERROR(VLOOKUP(A1649,已除帳印單!B:E,4,0),"")</f>
        <v/>
      </c>
      <c r="X1649" s="68" t="str">
        <f>IFERROR(INDEX(刷條碼區!A:C,MATCH(點上線資訊!S1649,刷條碼區!C:C,0),1),"")</f>
        <v/>
      </c>
      <c r="Y1649" s="69" t="str">
        <f>IFERROR(INDEX(刷條碼區!A:C,MATCH(點上線資訊!S1649,刷條碼區!C:C,0),2),"")</f>
        <v/>
      </c>
      <c r="Z1649" s="70" t="str">
        <f>IFERROR(INDEX(刷條碼區!D:G,MATCH(點上線資訊!S1649,刷條碼區!F:F,0),1),"")</f>
        <v/>
      </c>
      <c r="AA1649" s="71" t="str">
        <f>IFERROR(INDEX(刷條碼區!D:G,MATCH(點上線資訊!S1649,刷條碼區!F:F,0),2),"")</f>
        <v/>
      </c>
      <c r="AB1649" s="20">
        <f t="shared" si="154"/>
        <v>0</v>
      </c>
      <c r="AC1649" s="20" t="b">
        <f t="shared" si="155"/>
        <v>0</v>
      </c>
      <c r="AD1649" s="17" t="b">
        <f t="shared" si="156"/>
        <v>0</v>
      </c>
      <c r="AE1649" s="17" t="b">
        <f t="shared" si="157"/>
        <v>0</v>
      </c>
    </row>
    <row r="1650" spans="17:31" x14ac:dyDescent="0.2">
      <c r="Q1650" s="17">
        <f>IFERROR(VLOOKUP(A1650,已除帳印單!B:C,1,0),0)*1</f>
        <v>0</v>
      </c>
      <c r="R1650" s="67" t="str">
        <f>IFERROR(VLOOKUP(J1650,線別!A:B,2,1),"")</f>
        <v/>
      </c>
      <c r="S1650" s="17" t="str">
        <f>IFERROR(VLOOKUP(A1650,已除帳印單!B:C,2,0),"")</f>
        <v/>
      </c>
      <c r="T1650" s="68" t="e">
        <f t="shared" si="152"/>
        <v>#VALUE!</v>
      </c>
      <c r="U1650" s="69">
        <f t="shared" si="153"/>
        <v>0</v>
      </c>
      <c r="V1650" s="68" t="str">
        <f>IFERROR(VLOOKUP(A1650,已除帳印單!B:D,3,0),"")</f>
        <v/>
      </c>
      <c r="W1650" s="69" t="str">
        <f>IFERROR(VLOOKUP(A1650,已除帳印單!B:E,4,0),"")</f>
        <v/>
      </c>
      <c r="X1650" s="68" t="str">
        <f>IFERROR(INDEX(刷條碼區!A:C,MATCH(點上線資訊!S1650,刷條碼區!C:C,0),1),"")</f>
        <v/>
      </c>
      <c r="Y1650" s="69" t="str">
        <f>IFERROR(INDEX(刷條碼區!A:C,MATCH(點上線資訊!S1650,刷條碼區!C:C,0),2),"")</f>
        <v/>
      </c>
      <c r="Z1650" s="70" t="str">
        <f>IFERROR(INDEX(刷條碼區!D:G,MATCH(點上線資訊!S1650,刷條碼區!F:F,0),1),"")</f>
        <v/>
      </c>
      <c r="AA1650" s="71" t="str">
        <f>IFERROR(INDEX(刷條碼區!D:G,MATCH(點上線資訊!S1650,刷條碼區!F:F,0),2),"")</f>
        <v/>
      </c>
      <c r="AB1650" s="20">
        <f t="shared" si="154"/>
        <v>0</v>
      </c>
      <c r="AC1650" s="20" t="b">
        <f t="shared" si="155"/>
        <v>0</v>
      </c>
      <c r="AD1650" s="17" t="b">
        <f t="shared" si="156"/>
        <v>0</v>
      </c>
      <c r="AE1650" s="17" t="b">
        <f t="shared" si="157"/>
        <v>0</v>
      </c>
    </row>
    <row r="1651" spans="17:31" x14ac:dyDescent="0.2">
      <c r="Q1651" s="17">
        <f>IFERROR(VLOOKUP(A1651,已除帳印單!B:C,1,0),0)*1</f>
        <v>0</v>
      </c>
      <c r="R1651" s="67" t="str">
        <f>IFERROR(VLOOKUP(J1651,線別!A:B,2,1),"")</f>
        <v/>
      </c>
      <c r="S1651" s="17" t="str">
        <f>IFERROR(VLOOKUP(A1651,已除帳印單!B:C,2,0),"")</f>
        <v/>
      </c>
      <c r="T1651" s="68" t="e">
        <f t="shared" si="152"/>
        <v>#VALUE!</v>
      </c>
      <c r="U1651" s="69">
        <f t="shared" si="153"/>
        <v>0</v>
      </c>
      <c r="V1651" s="68" t="str">
        <f>IFERROR(VLOOKUP(A1651,已除帳印單!B:D,3,0),"")</f>
        <v/>
      </c>
      <c r="W1651" s="69" t="str">
        <f>IFERROR(VLOOKUP(A1651,已除帳印單!B:E,4,0),"")</f>
        <v/>
      </c>
      <c r="X1651" s="68" t="str">
        <f>IFERROR(INDEX(刷條碼區!A:C,MATCH(點上線資訊!S1651,刷條碼區!C:C,0),1),"")</f>
        <v/>
      </c>
      <c r="Y1651" s="69" t="str">
        <f>IFERROR(INDEX(刷條碼區!A:C,MATCH(點上線資訊!S1651,刷條碼區!C:C,0),2),"")</f>
        <v/>
      </c>
      <c r="Z1651" s="70" t="str">
        <f>IFERROR(INDEX(刷條碼區!D:G,MATCH(點上線資訊!S1651,刷條碼區!F:F,0),1),"")</f>
        <v/>
      </c>
      <c r="AA1651" s="71" t="str">
        <f>IFERROR(INDEX(刷條碼區!D:G,MATCH(點上線資訊!S1651,刷條碼區!F:F,0),2),"")</f>
        <v/>
      </c>
      <c r="AB1651" s="20">
        <f t="shared" si="154"/>
        <v>0</v>
      </c>
      <c r="AC1651" s="20" t="b">
        <f t="shared" si="155"/>
        <v>0</v>
      </c>
      <c r="AD1651" s="17" t="b">
        <f t="shared" si="156"/>
        <v>0</v>
      </c>
      <c r="AE1651" s="17" t="b">
        <f t="shared" si="157"/>
        <v>0</v>
      </c>
    </row>
    <row r="1652" spans="17:31" x14ac:dyDescent="0.2">
      <c r="Q1652" s="17">
        <f>IFERROR(VLOOKUP(A1652,已除帳印單!B:C,1,0),0)*1</f>
        <v>0</v>
      </c>
      <c r="R1652" s="67" t="str">
        <f>IFERROR(VLOOKUP(J1652,線別!A:B,2,1),"")</f>
        <v/>
      </c>
      <c r="S1652" s="17" t="str">
        <f>IFERROR(VLOOKUP(A1652,已除帳印單!B:C,2,0),"")</f>
        <v/>
      </c>
      <c r="T1652" s="68" t="e">
        <f t="shared" si="152"/>
        <v>#VALUE!</v>
      </c>
      <c r="U1652" s="69">
        <f t="shared" si="153"/>
        <v>0</v>
      </c>
      <c r="V1652" s="68" t="str">
        <f>IFERROR(VLOOKUP(A1652,已除帳印單!B:D,3,0),"")</f>
        <v/>
      </c>
      <c r="W1652" s="69" t="str">
        <f>IFERROR(VLOOKUP(A1652,已除帳印單!B:E,4,0),"")</f>
        <v/>
      </c>
      <c r="X1652" s="68" t="str">
        <f>IFERROR(INDEX(刷條碼區!A:C,MATCH(點上線資訊!S1652,刷條碼區!C:C,0),1),"")</f>
        <v/>
      </c>
      <c r="Y1652" s="69" t="str">
        <f>IFERROR(INDEX(刷條碼區!A:C,MATCH(點上線資訊!S1652,刷條碼區!C:C,0),2),"")</f>
        <v/>
      </c>
      <c r="Z1652" s="70" t="str">
        <f>IFERROR(INDEX(刷條碼區!D:G,MATCH(點上線資訊!S1652,刷條碼區!F:F,0),1),"")</f>
        <v/>
      </c>
      <c r="AA1652" s="71" t="str">
        <f>IFERROR(INDEX(刷條碼區!D:G,MATCH(點上線資訊!S1652,刷條碼區!F:F,0),2),"")</f>
        <v/>
      </c>
      <c r="AB1652" s="20">
        <f t="shared" si="154"/>
        <v>0</v>
      </c>
      <c r="AC1652" s="20" t="b">
        <f t="shared" si="155"/>
        <v>0</v>
      </c>
      <c r="AD1652" s="17" t="b">
        <f t="shared" si="156"/>
        <v>0</v>
      </c>
      <c r="AE1652" s="17" t="b">
        <f t="shared" si="157"/>
        <v>0</v>
      </c>
    </row>
    <row r="1653" spans="17:31" x14ac:dyDescent="0.2">
      <c r="Q1653" s="17">
        <f>IFERROR(VLOOKUP(A1653,已除帳印單!B:C,1,0),0)*1</f>
        <v>0</v>
      </c>
      <c r="R1653" s="67" t="str">
        <f>IFERROR(VLOOKUP(J1653,線別!A:B,2,1),"")</f>
        <v/>
      </c>
      <c r="S1653" s="17" t="str">
        <f>IFERROR(VLOOKUP(A1653,已除帳印單!B:C,2,0),"")</f>
        <v/>
      </c>
      <c r="T1653" s="68" t="e">
        <f t="shared" ref="T1653:T1716" si="158">--TEXT(B1653,"0000-00-00")</f>
        <v>#VALUE!</v>
      </c>
      <c r="U1653" s="69">
        <f t="shared" ref="U1653:U1716" si="159">--TEXT(C1653,"00\:00\:00")</f>
        <v>0</v>
      </c>
      <c r="V1653" s="68" t="str">
        <f>IFERROR(VLOOKUP(A1653,已除帳印單!B:D,3,0),"")</f>
        <v/>
      </c>
      <c r="W1653" s="69" t="str">
        <f>IFERROR(VLOOKUP(A1653,已除帳印單!B:E,4,0),"")</f>
        <v/>
      </c>
      <c r="X1653" s="68" t="str">
        <f>IFERROR(INDEX(刷條碼區!A:C,MATCH(點上線資訊!S1653,刷條碼區!C:C,0),1),"")</f>
        <v/>
      </c>
      <c r="Y1653" s="69" t="str">
        <f>IFERROR(INDEX(刷條碼區!A:C,MATCH(點上線資訊!S1653,刷條碼區!C:C,0),2),"")</f>
        <v/>
      </c>
      <c r="Z1653" s="70" t="str">
        <f>IFERROR(INDEX(刷條碼區!D:G,MATCH(點上線資訊!S1653,刷條碼區!F:F,0),1),"")</f>
        <v/>
      </c>
      <c r="AA1653" s="71" t="str">
        <f>IFERROR(INDEX(刷條碼區!D:G,MATCH(點上線資訊!S1653,刷條碼區!F:F,0),2),"")</f>
        <v/>
      </c>
      <c r="AB1653" s="20">
        <f t="shared" ref="AB1653:AB1716" si="160">IF(K1653&amp;N1653="",G1653)</f>
        <v>0</v>
      </c>
      <c r="AC1653" s="20" t="b">
        <f t="shared" ref="AC1653:AC1716" si="161">IF(S1653&lt;&gt;"",G1653)</f>
        <v>0</v>
      </c>
      <c r="AD1653" s="17" t="b">
        <f t="shared" ref="AD1653:AD1716" si="162">IF(X1653&lt;&gt;"",G1653)</f>
        <v>0</v>
      </c>
      <c r="AE1653" s="17" t="b">
        <f t="shared" ref="AE1653:AE1716" si="163">IF(Z1653&lt;&gt;"",G1653)</f>
        <v>0</v>
      </c>
    </row>
    <row r="1654" spans="17:31" x14ac:dyDescent="0.2">
      <c r="Q1654" s="17">
        <f>IFERROR(VLOOKUP(A1654,已除帳印單!B:C,1,0),0)*1</f>
        <v>0</v>
      </c>
      <c r="R1654" s="67" t="str">
        <f>IFERROR(VLOOKUP(J1654,線別!A:B,2,1),"")</f>
        <v/>
      </c>
      <c r="S1654" s="17" t="str">
        <f>IFERROR(VLOOKUP(A1654,已除帳印單!B:C,2,0),"")</f>
        <v/>
      </c>
      <c r="T1654" s="68" t="e">
        <f t="shared" si="158"/>
        <v>#VALUE!</v>
      </c>
      <c r="U1654" s="69">
        <f t="shared" si="159"/>
        <v>0</v>
      </c>
      <c r="V1654" s="68" t="str">
        <f>IFERROR(VLOOKUP(A1654,已除帳印單!B:D,3,0),"")</f>
        <v/>
      </c>
      <c r="W1654" s="69" t="str">
        <f>IFERROR(VLOOKUP(A1654,已除帳印單!B:E,4,0),"")</f>
        <v/>
      </c>
      <c r="X1654" s="68" t="str">
        <f>IFERROR(INDEX(刷條碼區!A:C,MATCH(點上線資訊!S1654,刷條碼區!C:C,0),1),"")</f>
        <v/>
      </c>
      <c r="Y1654" s="69" t="str">
        <f>IFERROR(INDEX(刷條碼區!A:C,MATCH(點上線資訊!S1654,刷條碼區!C:C,0),2),"")</f>
        <v/>
      </c>
      <c r="Z1654" s="70" t="str">
        <f>IFERROR(INDEX(刷條碼區!D:G,MATCH(點上線資訊!S1654,刷條碼區!F:F,0),1),"")</f>
        <v/>
      </c>
      <c r="AA1654" s="71" t="str">
        <f>IFERROR(INDEX(刷條碼區!D:G,MATCH(點上線資訊!S1654,刷條碼區!F:F,0),2),"")</f>
        <v/>
      </c>
      <c r="AB1654" s="20">
        <f t="shared" si="160"/>
        <v>0</v>
      </c>
      <c r="AC1654" s="20" t="b">
        <f t="shared" si="161"/>
        <v>0</v>
      </c>
      <c r="AD1654" s="17" t="b">
        <f t="shared" si="162"/>
        <v>0</v>
      </c>
      <c r="AE1654" s="17" t="b">
        <f t="shared" si="163"/>
        <v>0</v>
      </c>
    </row>
    <row r="1655" spans="17:31" x14ac:dyDescent="0.2">
      <c r="Q1655" s="17">
        <f>IFERROR(VLOOKUP(A1655,已除帳印單!B:C,1,0),0)*1</f>
        <v>0</v>
      </c>
      <c r="R1655" s="67" t="str">
        <f>IFERROR(VLOOKUP(J1655,線別!A:B,2,1),"")</f>
        <v/>
      </c>
      <c r="S1655" s="17" t="str">
        <f>IFERROR(VLOOKUP(A1655,已除帳印單!B:C,2,0),"")</f>
        <v/>
      </c>
      <c r="T1655" s="68" t="e">
        <f t="shared" si="158"/>
        <v>#VALUE!</v>
      </c>
      <c r="U1655" s="69">
        <f t="shared" si="159"/>
        <v>0</v>
      </c>
      <c r="V1655" s="68" t="str">
        <f>IFERROR(VLOOKUP(A1655,已除帳印單!B:D,3,0),"")</f>
        <v/>
      </c>
      <c r="W1655" s="69" t="str">
        <f>IFERROR(VLOOKUP(A1655,已除帳印單!B:E,4,0),"")</f>
        <v/>
      </c>
      <c r="X1655" s="68" t="str">
        <f>IFERROR(INDEX(刷條碼區!A:C,MATCH(點上線資訊!S1655,刷條碼區!C:C,0),1),"")</f>
        <v/>
      </c>
      <c r="Y1655" s="69" t="str">
        <f>IFERROR(INDEX(刷條碼區!A:C,MATCH(點上線資訊!S1655,刷條碼區!C:C,0),2),"")</f>
        <v/>
      </c>
      <c r="Z1655" s="70" t="str">
        <f>IFERROR(INDEX(刷條碼區!D:G,MATCH(點上線資訊!S1655,刷條碼區!F:F,0),1),"")</f>
        <v/>
      </c>
      <c r="AA1655" s="71" t="str">
        <f>IFERROR(INDEX(刷條碼區!D:G,MATCH(點上線資訊!S1655,刷條碼區!F:F,0),2),"")</f>
        <v/>
      </c>
      <c r="AB1655" s="20">
        <f t="shared" si="160"/>
        <v>0</v>
      </c>
      <c r="AC1655" s="20" t="b">
        <f t="shared" si="161"/>
        <v>0</v>
      </c>
      <c r="AD1655" s="17" t="b">
        <f t="shared" si="162"/>
        <v>0</v>
      </c>
      <c r="AE1655" s="17" t="b">
        <f t="shared" si="163"/>
        <v>0</v>
      </c>
    </row>
    <row r="1656" spans="17:31" x14ac:dyDescent="0.2">
      <c r="Q1656" s="17">
        <f>IFERROR(VLOOKUP(A1656,已除帳印單!B:C,1,0),0)*1</f>
        <v>0</v>
      </c>
      <c r="R1656" s="67" t="str">
        <f>IFERROR(VLOOKUP(J1656,線別!A:B,2,1),"")</f>
        <v/>
      </c>
      <c r="S1656" s="17" t="str">
        <f>IFERROR(VLOOKUP(A1656,已除帳印單!B:C,2,0),"")</f>
        <v/>
      </c>
      <c r="T1656" s="68" t="e">
        <f t="shared" si="158"/>
        <v>#VALUE!</v>
      </c>
      <c r="U1656" s="69">
        <f t="shared" si="159"/>
        <v>0</v>
      </c>
      <c r="V1656" s="68" t="str">
        <f>IFERROR(VLOOKUP(A1656,已除帳印單!B:D,3,0),"")</f>
        <v/>
      </c>
      <c r="W1656" s="69" t="str">
        <f>IFERROR(VLOOKUP(A1656,已除帳印單!B:E,4,0),"")</f>
        <v/>
      </c>
      <c r="X1656" s="68" t="str">
        <f>IFERROR(INDEX(刷條碼區!A:C,MATCH(點上線資訊!S1656,刷條碼區!C:C,0),1),"")</f>
        <v/>
      </c>
      <c r="Y1656" s="69" t="str">
        <f>IFERROR(INDEX(刷條碼區!A:C,MATCH(點上線資訊!S1656,刷條碼區!C:C,0),2),"")</f>
        <v/>
      </c>
      <c r="Z1656" s="70" t="str">
        <f>IFERROR(INDEX(刷條碼區!D:G,MATCH(點上線資訊!S1656,刷條碼區!F:F,0),1),"")</f>
        <v/>
      </c>
      <c r="AA1656" s="71" t="str">
        <f>IFERROR(INDEX(刷條碼區!D:G,MATCH(點上線資訊!S1656,刷條碼區!F:F,0),2),"")</f>
        <v/>
      </c>
      <c r="AB1656" s="20">
        <f t="shared" si="160"/>
        <v>0</v>
      </c>
      <c r="AC1656" s="20" t="b">
        <f t="shared" si="161"/>
        <v>0</v>
      </c>
      <c r="AD1656" s="17" t="b">
        <f t="shared" si="162"/>
        <v>0</v>
      </c>
      <c r="AE1656" s="17" t="b">
        <f t="shared" si="163"/>
        <v>0</v>
      </c>
    </row>
    <row r="1657" spans="17:31" x14ac:dyDescent="0.2">
      <c r="Q1657" s="17">
        <f>IFERROR(VLOOKUP(A1657,已除帳印單!B:C,1,0),0)*1</f>
        <v>0</v>
      </c>
      <c r="R1657" s="67" t="str">
        <f>IFERROR(VLOOKUP(J1657,線別!A:B,2,1),"")</f>
        <v/>
      </c>
      <c r="S1657" s="17" t="str">
        <f>IFERROR(VLOOKUP(A1657,已除帳印單!B:C,2,0),"")</f>
        <v/>
      </c>
      <c r="T1657" s="68" t="e">
        <f t="shared" si="158"/>
        <v>#VALUE!</v>
      </c>
      <c r="U1657" s="69">
        <f t="shared" si="159"/>
        <v>0</v>
      </c>
      <c r="V1657" s="68" t="str">
        <f>IFERROR(VLOOKUP(A1657,已除帳印單!B:D,3,0),"")</f>
        <v/>
      </c>
      <c r="W1657" s="69" t="str">
        <f>IFERROR(VLOOKUP(A1657,已除帳印單!B:E,4,0),"")</f>
        <v/>
      </c>
      <c r="X1657" s="68" t="str">
        <f>IFERROR(INDEX(刷條碼區!A:C,MATCH(點上線資訊!S1657,刷條碼區!C:C,0),1),"")</f>
        <v/>
      </c>
      <c r="Y1657" s="69" t="str">
        <f>IFERROR(INDEX(刷條碼區!A:C,MATCH(點上線資訊!S1657,刷條碼區!C:C,0),2),"")</f>
        <v/>
      </c>
      <c r="Z1657" s="70" t="str">
        <f>IFERROR(INDEX(刷條碼區!D:G,MATCH(點上線資訊!S1657,刷條碼區!F:F,0),1),"")</f>
        <v/>
      </c>
      <c r="AA1657" s="71" t="str">
        <f>IFERROR(INDEX(刷條碼區!D:G,MATCH(點上線資訊!S1657,刷條碼區!F:F,0),2),"")</f>
        <v/>
      </c>
      <c r="AB1657" s="20">
        <f t="shared" si="160"/>
        <v>0</v>
      </c>
      <c r="AC1657" s="20" t="b">
        <f t="shared" si="161"/>
        <v>0</v>
      </c>
      <c r="AD1657" s="17" t="b">
        <f t="shared" si="162"/>
        <v>0</v>
      </c>
      <c r="AE1657" s="17" t="b">
        <f t="shared" si="163"/>
        <v>0</v>
      </c>
    </row>
    <row r="1658" spans="17:31" x14ac:dyDescent="0.2">
      <c r="Q1658" s="17">
        <f>IFERROR(VLOOKUP(A1658,已除帳印單!B:C,1,0),0)*1</f>
        <v>0</v>
      </c>
      <c r="R1658" s="67" t="str">
        <f>IFERROR(VLOOKUP(J1658,線別!A:B,2,1),"")</f>
        <v/>
      </c>
      <c r="S1658" s="17" t="str">
        <f>IFERROR(VLOOKUP(A1658,已除帳印單!B:C,2,0),"")</f>
        <v/>
      </c>
      <c r="T1658" s="68" t="e">
        <f t="shared" si="158"/>
        <v>#VALUE!</v>
      </c>
      <c r="U1658" s="69">
        <f t="shared" si="159"/>
        <v>0</v>
      </c>
      <c r="V1658" s="68" t="str">
        <f>IFERROR(VLOOKUP(A1658,已除帳印單!B:D,3,0),"")</f>
        <v/>
      </c>
      <c r="W1658" s="69" t="str">
        <f>IFERROR(VLOOKUP(A1658,已除帳印單!B:E,4,0),"")</f>
        <v/>
      </c>
      <c r="X1658" s="68" t="str">
        <f>IFERROR(INDEX(刷條碼區!A:C,MATCH(點上線資訊!S1658,刷條碼區!C:C,0),1),"")</f>
        <v/>
      </c>
      <c r="Y1658" s="69" t="str">
        <f>IFERROR(INDEX(刷條碼區!A:C,MATCH(點上線資訊!S1658,刷條碼區!C:C,0),2),"")</f>
        <v/>
      </c>
      <c r="Z1658" s="70" t="str">
        <f>IFERROR(INDEX(刷條碼區!D:G,MATCH(點上線資訊!S1658,刷條碼區!F:F,0),1),"")</f>
        <v/>
      </c>
      <c r="AA1658" s="71" t="str">
        <f>IFERROR(INDEX(刷條碼區!D:G,MATCH(點上線資訊!S1658,刷條碼區!F:F,0),2),"")</f>
        <v/>
      </c>
      <c r="AB1658" s="20">
        <f t="shared" si="160"/>
        <v>0</v>
      </c>
      <c r="AC1658" s="20" t="b">
        <f t="shared" si="161"/>
        <v>0</v>
      </c>
      <c r="AD1658" s="17" t="b">
        <f t="shared" si="162"/>
        <v>0</v>
      </c>
      <c r="AE1658" s="17" t="b">
        <f t="shared" si="163"/>
        <v>0</v>
      </c>
    </row>
    <row r="1659" spans="17:31" x14ac:dyDescent="0.2">
      <c r="Q1659" s="17">
        <f>IFERROR(VLOOKUP(A1659,已除帳印單!B:C,1,0),0)*1</f>
        <v>0</v>
      </c>
      <c r="R1659" s="67" t="str">
        <f>IFERROR(VLOOKUP(J1659,線別!A:B,2,1),"")</f>
        <v/>
      </c>
      <c r="S1659" s="17" t="str">
        <f>IFERROR(VLOOKUP(A1659,已除帳印單!B:C,2,0),"")</f>
        <v/>
      </c>
      <c r="T1659" s="68" t="e">
        <f t="shared" si="158"/>
        <v>#VALUE!</v>
      </c>
      <c r="U1659" s="69">
        <f t="shared" si="159"/>
        <v>0</v>
      </c>
      <c r="V1659" s="68" t="str">
        <f>IFERROR(VLOOKUP(A1659,已除帳印單!B:D,3,0),"")</f>
        <v/>
      </c>
      <c r="W1659" s="69" t="str">
        <f>IFERROR(VLOOKUP(A1659,已除帳印單!B:E,4,0),"")</f>
        <v/>
      </c>
      <c r="X1659" s="68" t="str">
        <f>IFERROR(INDEX(刷條碼區!A:C,MATCH(點上線資訊!S1659,刷條碼區!C:C,0),1),"")</f>
        <v/>
      </c>
      <c r="Y1659" s="69" t="str">
        <f>IFERROR(INDEX(刷條碼區!A:C,MATCH(點上線資訊!S1659,刷條碼區!C:C,0),2),"")</f>
        <v/>
      </c>
      <c r="Z1659" s="70" t="str">
        <f>IFERROR(INDEX(刷條碼區!D:G,MATCH(點上線資訊!S1659,刷條碼區!F:F,0),1),"")</f>
        <v/>
      </c>
      <c r="AA1659" s="71" t="str">
        <f>IFERROR(INDEX(刷條碼區!D:G,MATCH(點上線資訊!S1659,刷條碼區!F:F,0),2),"")</f>
        <v/>
      </c>
      <c r="AB1659" s="20">
        <f t="shared" si="160"/>
        <v>0</v>
      </c>
      <c r="AC1659" s="20" t="b">
        <f t="shared" si="161"/>
        <v>0</v>
      </c>
      <c r="AD1659" s="17" t="b">
        <f t="shared" si="162"/>
        <v>0</v>
      </c>
      <c r="AE1659" s="17" t="b">
        <f t="shared" si="163"/>
        <v>0</v>
      </c>
    </row>
    <row r="1660" spans="17:31" x14ac:dyDescent="0.2">
      <c r="Q1660" s="17">
        <f>IFERROR(VLOOKUP(A1660,已除帳印單!B:C,1,0),0)*1</f>
        <v>0</v>
      </c>
      <c r="R1660" s="67" t="str">
        <f>IFERROR(VLOOKUP(J1660,線別!A:B,2,1),"")</f>
        <v/>
      </c>
      <c r="S1660" s="17" t="str">
        <f>IFERROR(VLOOKUP(A1660,已除帳印單!B:C,2,0),"")</f>
        <v/>
      </c>
      <c r="T1660" s="68" t="e">
        <f t="shared" si="158"/>
        <v>#VALUE!</v>
      </c>
      <c r="U1660" s="69">
        <f t="shared" si="159"/>
        <v>0</v>
      </c>
      <c r="V1660" s="68" t="str">
        <f>IFERROR(VLOOKUP(A1660,已除帳印單!B:D,3,0),"")</f>
        <v/>
      </c>
      <c r="W1660" s="69" t="str">
        <f>IFERROR(VLOOKUP(A1660,已除帳印單!B:E,4,0),"")</f>
        <v/>
      </c>
      <c r="X1660" s="68" t="str">
        <f>IFERROR(INDEX(刷條碼區!A:C,MATCH(點上線資訊!S1660,刷條碼區!C:C,0),1),"")</f>
        <v/>
      </c>
      <c r="Y1660" s="69" t="str">
        <f>IFERROR(INDEX(刷條碼區!A:C,MATCH(點上線資訊!S1660,刷條碼區!C:C,0),2),"")</f>
        <v/>
      </c>
      <c r="Z1660" s="70" t="str">
        <f>IFERROR(INDEX(刷條碼區!D:G,MATCH(點上線資訊!S1660,刷條碼區!F:F,0),1),"")</f>
        <v/>
      </c>
      <c r="AA1660" s="71" t="str">
        <f>IFERROR(INDEX(刷條碼區!D:G,MATCH(點上線資訊!S1660,刷條碼區!F:F,0),2),"")</f>
        <v/>
      </c>
      <c r="AB1660" s="20">
        <f t="shared" si="160"/>
        <v>0</v>
      </c>
      <c r="AC1660" s="20" t="b">
        <f t="shared" si="161"/>
        <v>0</v>
      </c>
      <c r="AD1660" s="17" t="b">
        <f t="shared" si="162"/>
        <v>0</v>
      </c>
      <c r="AE1660" s="17" t="b">
        <f t="shared" si="163"/>
        <v>0</v>
      </c>
    </row>
    <row r="1661" spans="17:31" x14ac:dyDescent="0.2">
      <c r="Q1661" s="17">
        <f>IFERROR(VLOOKUP(A1661,已除帳印單!B:C,1,0),0)*1</f>
        <v>0</v>
      </c>
      <c r="R1661" s="67" t="str">
        <f>IFERROR(VLOOKUP(J1661,線別!A:B,2,1),"")</f>
        <v/>
      </c>
      <c r="S1661" s="17" t="str">
        <f>IFERROR(VLOOKUP(A1661,已除帳印單!B:C,2,0),"")</f>
        <v/>
      </c>
      <c r="T1661" s="68" t="e">
        <f t="shared" si="158"/>
        <v>#VALUE!</v>
      </c>
      <c r="U1661" s="69">
        <f t="shared" si="159"/>
        <v>0</v>
      </c>
      <c r="V1661" s="68" t="str">
        <f>IFERROR(VLOOKUP(A1661,已除帳印單!B:D,3,0),"")</f>
        <v/>
      </c>
      <c r="W1661" s="69" t="str">
        <f>IFERROR(VLOOKUP(A1661,已除帳印單!B:E,4,0),"")</f>
        <v/>
      </c>
      <c r="X1661" s="68" t="str">
        <f>IFERROR(INDEX(刷條碼區!A:C,MATCH(點上線資訊!S1661,刷條碼區!C:C,0),1),"")</f>
        <v/>
      </c>
      <c r="Y1661" s="69" t="str">
        <f>IFERROR(INDEX(刷條碼區!A:C,MATCH(點上線資訊!S1661,刷條碼區!C:C,0),2),"")</f>
        <v/>
      </c>
      <c r="Z1661" s="70" t="str">
        <f>IFERROR(INDEX(刷條碼區!D:G,MATCH(點上線資訊!S1661,刷條碼區!F:F,0),1),"")</f>
        <v/>
      </c>
      <c r="AA1661" s="71" t="str">
        <f>IFERROR(INDEX(刷條碼區!D:G,MATCH(點上線資訊!S1661,刷條碼區!F:F,0),2),"")</f>
        <v/>
      </c>
      <c r="AB1661" s="20">
        <f t="shared" si="160"/>
        <v>0</v>
      </c>
      <c r="AC1661" s="20" t="b">
        <f t="shared" si="161"/>
        <v>0</v>
      </c>
      <c r="AD1661" s="17" t="b">
        <f t="shared" si="162"/>
        <v>0</v>
      </c>
      <c r="AE1661" s="17" t="b">
        <f t="shared" si="163"/>
        <v>0</v>
      </c>
    </row>
    <row r="1662" spans="17:31" x14ac:dyDescent="0.2">
      <c r="Q1662" s="17">
        <f>IFERROR(VLOOKUP(A1662,已除帳印單!B:C,1,0),0)*1</f>
        <v>0</v>
      </c>
      <c r="R1662" s="67" t="str">
        <f>IFERROR(VLOOKUP(J1662,線別!A:B,2,1),"")</f>
        <v/>
      </c>
      <c r="S1662" s="17" t="str">
        <f>IFERROR(VLOOKUP(A1662,已除帳印單!B:C,2,0),"")</f>
        <v/>
      </c>
      <c r="T1662" s="68" t="e">
        <f t="shared" si="158"/>
        <v>#VALUE!</v>
      </c>
      <c r="U1662" s="69">
        <f t="shared" si="159"/>
        <v>0</v>
      </c>
      <c r="V1662" s="68" t="str">
        <f>IFERROR(VLOOKUP(A1662,已除帳印單!B:D,3,0),"")</f>
        <v/>
      </c>
      <c r="W1662" s="69" t="str">
        <f>IFERROR(VLOOKUP(A1662,已除帳印單!B:E,4,0),"")</f>
        <v/>
      </c>
      <c r="X1662" s="68" t="str">
        <f>IFERROR(INDEX(刷條碼區!A:C,MATCH(點上線資訊!S1662,刷條碼區!C:C,0),1),"")</f>
        <v/>
      </c>
      <c r="Y1662" s="69" t="str">
        <f>IFERROR(INDEX(刷條碼區!A:C,MATCH(點上線資訊!S1662,刷條碼區!C:C,0),2),"")</f>
        <v/>
      </c>
      <c r="Z1662" s="70" t="str">
        <f>IFERROR(INDEX(刷條碼區!D:G,MATCH(點上線資訊!S1662,刷條碼區!F:F,0),1),"")</f>
        <v/>
      </c>
      <c r="AA1662" s="71" t="str">
        <f>IFERROR(INDEX(刷條碼區!D:G,MATCH(點上線資訊!S1662,刷條碼區!F:F,0),2),"")</f>
        <v/>
      </c>
      <c r="AB1662" s="20">
        <f t="shared" si="160"/>
        <v>0</v>
      </c>
      <c r="AC1662" s="20" t="b">
        <f t="shared" si="161"/>
        <v>0</v>
      </c>
      <c r="AD1662" s="17" t="b">
        <f t="shared" si="162"/>
        <v>0</v>
      </c>
      <c r="AE1662" s="17" t="b">
        <f t="shared" si="163"/>
        <v>0</v>
      </c>
    </row>
    <row r="1663" spans="17:31" x14ac:dyDescent="0.2">
      <c r="Q1663" s="17">
        <f>IFERROR(VLOOKUP(A1663,已除帳印單!B:C,1,0),0)*1</f>
        <v>0</v>
      </c>
      <c r="R1663" s="67" t="str">
        <f>IFERROR(VLOOKUP(J1663,線別!A:B,2,1),"")</f>
        <v/>
      </c>
      <c r="S1663" s="17" t="str">
        <f>IFERROR(VLOOKUP(A1663,已除帳印單!B:C,2,0),"")</f>
        <v/>
      </c>
      <c r="T1663" s="68" t="e">
        <f t="shared" si="158"/>
        <v>#VALUE!</v>
      </c>
      <c r="U1663" s="69">
        <f t="shared" si="159"/>
        <v>0</v>
      </c>
      <c r="V1663" s="68" t="str">
        <f>IFERROR(VLOOKUP(A1663,已除帳印單!B:D,3,0),"")</f>
        <v/>
      </c>
      <c r="W1663" s="69" t="str">
        <f>IFERROR(VLOOKUP(A1663,已除帳印單!B:E,4,0),"")</f>
        <v/>
      </c>
      <c r="X1663" s="68" t="str">
        <f>IFERROR(INDEX(刷條碼區!A:C,MATCH(點上線資訊!S1663,刷條碼區!C:C,0),1),"")</f>
        <v/>
      </c>
      <c r="Y1663" s="69" t="str">
        <f>IFERROR(INDEX(刷條碼區!A:C,MATCH(點上線資訊!S1663,刷條碼區!C:C,0),2),"")</f>
        <v/>
      </c>
      <c r="Z1663" s="70" t="str">
        <f>IFERROR(INDEX(刷條碼區!D:G,MATCH(點上線資訊!S1663,刷條碼區!F:F,0),1),"")</f>
        <v/>
      </c>
      <c r="AA1663" s="71" t="str">
        <f>IFERROR(INDEX(刷條碼區!D:G,MATCH(點上線資訊!S1663,刷條碼區!F:F,0),2),"")</f>
        <v/>
      </c>
      <c r="AB1663" s="20">
        <f t="shared" si="160"/>
        <v>0</v>
      </c>
      <c r="AC1663" s="20" t="b">
        <f t="shared" si="161"/>
        <v>0</v>
      </c>
      <c r="AD1663" s="17" t="b">
        <f t="shared" si="162"/>
        <v>0</v>
      </c>
      <c r="AE1663" s="17" t="b">
        <f t="shared" si="163"/>
        <v>0</v>
      </c>
    </row>
    <row r="1664" spans="17:31" x14ac:dyDescent="0.2">
      <c r="Q1664" s="17">
        <f>IFERROR(VLOOKUP(A1664,已除帳印單!B:C,1,0),0)*1</f>
        <v>0</v>
      </c>
      <c r="R1664" s="67" t="str">
        <f>IFERROR(VLOOKUP(J1664,線別!A:B,2,1),"")</f>
        <v/>
      </c>
      <c r="S1664" s="17" t="str">
        <f>IFERROR(VLOOKUP(A1664,已除帳印單!B:C,2,0),"")</f>
        <v/>
      </c>
      <c r="T1664" s="68" t="e">
        <f t="shared" si="158"/>
        <v>#VALUE!</v>
      </c>
      <c r="U1664" s="69">
        <f t="shared" si="159"/>
        <v>0</v>
      </c>
      <c r="V1664" s="68" t="str">
        <f>IFERROR(VLOOKUP(A1664,已除帳印單!B:D,3,0),"")</f>
        <v/>
      </c>
      <c r="W1664" s="69" t="str">
        <f>IFERROR(VLOOKUP(A1664,已除帳印單!B:E,4,0),"")</f>
        <v/>
      </c>
      <c r="X1664" s="68" t="str">
        <f>IFERROR(INDEX(刷條碼區!A:C,MATCH(點上線資訊!S1664,刷條碼區!C:C,0),1),"")</f>
        <v/>
      </c>
      <c r="Y1664" s="69" t="str">
        <f>IFERROR(INDEX(刷條碼區!A:C,MATCH(點上線資訊!S1664,刷條碼區!C:C,0),2),"")</f>
        <v/>
      </c>
      <c r="Z1664" s="70" t="str">
        <f>IFERROR(INDEX(刷條碼區!D:G,MATCH(點上線資訊!S1664,刷條碼區!F:F,0),1),"")</f>
        <v/>
      </c>
      <c r="AA1664" s="71" t="str">
        <f>IFERROR(INDEX(刷條碼區!D:G,MATCH(點上線資訊!S1664,刷條碼區!F:F,0),2),"")</f>
        <v/>
      </c>
      <c r="AB1664" s="20">
        <f t="shared" si="160"/>
        <v>0</v>
      </c>
      <c r="AC1664" s="20" t="b">
        <f t="shared" si="161"/>
        <v>0</v>
      </c>
      <c r="AD1664" s="17" t="b">
        <f t="shared" si="162"/>
        <v>0</v>
      </c>
      <c r="AE1664" s="17" t="b">
        <f t="shared" si="163"/>
        <v>0</v>
      </c>
    </row>
    <row r="1665" spans="17:31" x14ac:dyDescent="0.2">
      <c r="Q1665" s="17">
        <f>IFERROR(VLOOKUP(A1665,已除帳印單!B:C,1,0),0)*1</f>
        <v>0</v>
      </c>
      <c r="R1665" s="67" t="str">
        <f>IFERROR(VLOOKUP(J1665,線別!A:B,2,1),"")</f>
        <v/>
      </c>
      <c r="S1665" s="17" t="str">
        <f>IFERROR(VLOOKUP(A1665,已除帳印單!B:C,2,0),"")</f>
        <v/>
      </c>
      <c r="T1665" s="68" t="e">
        <f t="shared" si="158"/>
        <v>#VALUE!</v>
      </c>
      <c r="U1665" s="69">
        <f t="shared" si="159"/>
        <v>0</v>
      </c>
      <c r="V1665" s="68" t="str">
        <f>IFERROR(VLOOKUP(A1665,已除帳印單!B:D,3,0),"")</f>
        <v/>
      </c>
      <c r="W1665" s="69" t="str">
        <f>IFERROR(VLOOKUP(A1665,已除帳印單!B:E,4,0),"")</f>
        <v/>
      </c>
      <c r="X1665" s="68" t="str">
        <f>IFERROR(INDEX(刷條碼區!A:C,MATCH(點上線資訊!S1665,刷條碼區!C:C,0),1),"")</f>
        <v/>
      </c>
      <c r="Y1665" s="69" t="str">
        <f>IFERROR(INDEX(刷條碼區!A:C,MATCH(點上線資訊!S1665,刷條碼區!C:C,0),2),"")</f>
        <v/>
      </c>
      <c r="Z1665" s="70" t="str">
        <f>IFERROR(INDEX(刷條碼區!D:G,MATCH(點上線資訊!S1665,刷條碼區!F:F,0),1),"")</f>
        <v/>
      </c>
      <c r="AA1665" s="71" t="str">
        <f>IFERROR(INDEX(刷條碼區!D:G,MATCH(點上線資訊!S1665,刷條碼區!F:F,0),2),"")</f>
        <v/>
      </c>
      <c r="AB1665" s="20">
        <f t="shared" si="160"/>
        <v>0</v>
      </c>
      <c r="AC1665" s="20" t="b">
        <f t="shared" si="161"/>
        <v>0</v>
      </c>
      <c r="AD1665" s="17" t="b">
        <f t="shared" si="162"/>
        <v>0</v>
      </c>
      <c r="AE1665" s="17" t="b">
        <f t="shared" si="163"/>
        <v>0</v>
      </c>
    </row>
    <row r="1666" spans="17:31" x14ac:dyDescent="0.2">
      <c r="Q1666" s="17">
        <f>IFERROR(VLOOKUP(A1666,已除帳印單!B:C,1,0),0)*1</f>
        <v>0</v>
      </c>
      <c r="R1666" s="67" t="str">
        <f>IFERROR(VLOOKUP(J1666,線別!A:B,2,1),"")</f>
        <v/>
      </c>
      <c r="S1666" s="17" t="str">
        <f>IFERROR(VLOOKUP(A1666,已除帳印單!B:C,2,0),"")</f>
        <v/>
      </c>
      <c r="T1666" s="68" t="e">
        <f t="shared" si="158"/>
        <v>#VALUE!</v>
      </c>
      <c r="U1666" s="69">
        <f t="shared" si="159"/>
        <v>0</v>
      </c>
      <c r="V1666" s="68" t="str">
        <f>IFERROR(VLOOKUP(A1666,已除帳印單!B:D,3,0),"")</f>
        <v/>
      </c>
      <c r="W1666" s="69" t="str">
        <f>IFERROR(VLOOKUP(A1666,已除帳印單!B:E,4,0),"")</f>
        <v/>
      </c>
      <c r="X1666" s="68" t="str">
        <f>IFERROR(INDEX(刷條碼區!A:C,MATCH(點上線資訊!S1666,刷條碼區!C:C,0),1),"")</f>
        <v/>
      </c>
      <c r="Y1666" s="69" t="str">
        <f>IFERROR(INDEX(刷條碼區!A:C,MATCH(點上線資訊!S1666,刷條碼區!C:C,0),2),"")</f>
        <v/>
      </c>
      <c r="Z1666" s="70" t="str">
        <f>IFERROR(INDEX(刷條碼區!D:G,MATCH(點上線資訊!S1666,刷條碼區!F:F,0),1),"")</f>
        <v/>
      </c>
      <c r="AA1666" s="71" t="str">
        <f>IFERROR(INDEX(刷條碼區!D:G,MATCH(點上線資訊!S1666,刷條碼區!F:F,0),2),"")</f>
        <v/>
      </c>
      <c r="AB1666" s="20">
        <f t="shared" si="160"/>
        <v>0</v>
      </c>
      <c r="AC1666" s="20" t="b">
        <f t="shared" si="161"/>
        <v>0</v>
      </c>
      <c r="AD1666" s="17" t="b">
        <f t="shared" si="162"/>
        <v>0</v>
      </c>
      <c r="AE1666" s="17" t="b">
        <f t="shared" si="163"/>
        <v>0</v>
      </c>
    </row>
    <row r="1667" spans="17:31" x14ac:dyDescent="0.2">
      <c r="Q1667" s="17">
        <f>IFERROR(VLOOKUP(A1667,已除帳印單!B:C,1,0),0)*1</f>
        <v>0</v>
      </c>
      <c r="R1667" s="67" t="str">
        <f>IFERROR(VLOOKUP(J1667,線別!A:B,2,1),"")</f>
        <v/>
      </c>
      <c r="S1667" s="17" t="str">
        <f>IFERROR(VLOOKUP(A1667,已除帳印單!B:C,2,0),"")</f>
        <v/>
      </c>
      <c r="T1667" s="68" t="e">
        <f t="shared" si="158"/>
        <v>#VALUE!</v>
      </c>
      <c r="U1667" s="69">
        <f t="shared" si="159"/>
        <v>0</v>
      </c>
      <c r="V1667" s="68" t="str">
        <f>IFERROR(VLOOKUP(A1667,已除帳印單!B:D,3,0),"")</f>
        <v/>
      </c>
      <c r="W1667" s="69" t="str">
        <f>IFERROR(VLOOKUP(A1667,已除帳印單!B:E,4,0),"")</f>
        <v/>
      </c>
      <c r="X1667" s="68" t="str">
        <f>IFERROR(INDEX(刷條碼區!A:C,MATCH(點上線資訊!S1667,刷條碼區!C:C,0),1),"")</f>
        <v/>
      </c>
      <c r="Y1667" s="69" t="str">
        <f>IFERROR(INDEX(刷條碼區!A:C,MATCH(點上線資訊!S1667,刷條碼區!C:C,0),2),"")</f>
        <v/>
      </c>
      <c r="Z1667" s="70" t="str">
        <f>IFERROR(INDEX(刷條碼區!D:G,MATCH(點上線資訊!S1667,刷條碼區!F:F,0),1),"")</f>
        <v/>
      </c>
      <c r="AA1667" s="71" t="str">
        <f>IFERROR(INDEX(刷條碼區!D:G,MATCH(點上線資訊!S1667,刷條碼區!F:F,0),2),"")</f>
        <v/>
      </c>
      <c r="AB1667" s="20">
        <f t="shared" si="160"/>
        <v>0</v>
      </c>
      <c r="AC1667" s="20" t="b">
        <f t="shared" si="161"/>
        <v>0</v>
      </c>
      <c r="AD1667" s="17" t="b">
        <f t="shared" si="162"/>
        <v>0</v>
      </c>
      <c r="AE1667" s="17" t="b">
        <f t="shared" si="163"/>
        <v>0</v>
      </c>
    </row>
    <row r="1668" spans="17:31" x14ac:dyDescent="0.2">
      <c r="Q1668" s="17">
        <f>IFERROR(VLOOKUP(A1668,已除帳印單!B:C,1,0),0)*1</f>
        <v>0</v>
      </c>
      <c r="R1668" s="67" t="str">
        <f>IFERROR(VLOOKUP(J1668,線別!A:B,2,1),"")</f>
        <v/>
      </c>
      <c r="S1668" s="17" t="str">
        <f>IFERROR(VLOOKUP(A1668,已除帳印單!B:C,2,0),"")</f>
        <v/>
      </c>
      <c r="T1668" s="68" t="e">
        <f t="shared" si="158"/>
        <v>#VALUE!</v>
      </c>
      <c r="U1668" s="69">
        <f t="shared" si="159"/>
        <v>0</v>
      </c>
      <c r="V1668" s="68" t="str">
        <f>IFERROR(VLOOKUP(A1668,已除帳印單!B:D,3,0),"")</f>
        <v/>
      </c>
      <c r="W1668" s="69" t="str">
        <f>IFERROR(VLOOKUP(A1668,已除帳印單!B:E,4,0),"")</f>
        <v/>
      </c>
      <c r="X1668" s="68" t="str">
        <f>IFERROR(INDEX(刷條碼區!A:C,MATCH(點上線資訊!S1668,刷條碼區!C:C,0),1),"")</f>
        <v/>
      </c>
      <c r="Y1668" s="69" t="str">
        <f>IFERROR(INDEX(刷條碼區!A:C,MATCH(點上線資訊!S1668,刷條碼區!C:C,0),2),"")</f>
        <v/>
      </c>
      <c r="Z1668" s="70" t="str">
        <f>IFERROR(INDEX(刷條碼區!D:G,MATCH(點上線資訊!S1668,刷條碼區!F:F,0),1),"")</f>
        <v/>
      </c>
      <c r="AA1668" s="71" t="str">
        <f>IFERROR(INDEX(刷條碼區!D:G,MATCH(點上線資訊!S1668,刷條碼區!F:F,0),2),"")</f>
        <v/>
      </c>
      <c r="AB1668" s="20">
        <f t="shared" si="160"/>
        <v>0</v>
      </c>
      <c r="AC1668" s="20" t="b">
        <f t="shared" si="161"/>
        <v>0</v>
      </c>
      <c r="AD1668" s="17" t="b">
        <f t="shared" si="162"/>
        <v>0</v>
      </c>
      <c r="AE1668" s="17" t="b">
        <f t="shared" si="163"/>
        <v>0</v>
      </c>
    </row>
    <row r="1669" spans="17:31" x14ac:dyDescent="0.2">
      <c r="Q1669" s="17">
        <f>IFERROR(VLOOKUP(A1669,已除帳印單!B:C,1,0),0)*1</f>
        <v>0</v>
      </c>
      <c r="R1669" s="67" t="str">
        <f>IFERROR(VLOOKUP(J1669,線別!A:B,2,1),"")</f>
        <v/>
      </c>
      <c r="S1669" s="17" t="str">
        <f>IFERROR(VLOOKUP(A1669,已除帳印單!B:C,2,0),"")</f>
        <v/>
      </c>
      <c r="T1669" s="68" t="e">
        <f t="shared" si="158"/>
        <v>#VALUE!</v>
      </c>
      <c r="U1669" s="69">
        <f t="shared" si="159"/>
        <v>0</v>
      </c>
      <c r="V1669" s="68" t="str">
        <f>IFERROR(VLOOKUP(A1669,已除帳印單!B:D,3,0),"")</f>
        <v/>
      </c>
      <c r="W1669" s="69" t="str">
        <f>IFERROR(VLOOKUP(A1669,已除帳印單!B:E,4,0),"")</f>
        <v/>
      </c>
      <c r="X1669" s="68" t="str">
        <f>IFERROR(INDEX(刷條碼區!A:C,MATCH(點上線資訊!S1669,刷條碼區!C:C,0),1),"")</f>
        <v/>
      </c>
      <c r="Y1669" s="69" t="str">
        <f>IFERROR(INDEX(刷條碼區!A:C,MATCH(點上線資訊!S1669,刷條碼區!C:C,0),2),"")</f>
        <v/>
      </c>
      <c r="Z1669" s="70" t="str">
        <f>IFERROR(INDEX(刷條碼區!D:G,MATCH(點上線資訊!S1669,刷條碼區!F:F,0),1),"")</f>
        <v/>
      </c>
      <c r="AA1669" s="71" t="str">
        <f>IFERROR(INDEX(刷條碼區!D:G,MATCH(點上線資訊!S1669,刷條碼區!F:F,0),2),"")</f>
        <v/>
      </c>
      <c r="AB1669" s="20">
        <f t="shared" si="160"/>
        <v>0</v>
      </c>
      <c r="AC1669" s="20" t="b">
        <f t="shared" si="161"/>
        <v>0</v>
      </c>
      <c r="AD1669" s="17" t="b">
        <f t="shared" si="162"/>
        <v>0</v>
      </c>
      <c r="AE1669" s="17" t="b">
        <f t="shared" si="163"/>
        <v>0</v>
      </c>
    </row>
    <row r="1670" spans="17:31" x14ac:dyDescent="0.2">
      <c r="Q1670" s="17">
        <f>IFERROR(VLOOKUP(A1670,已除帳印單!B:C,1,0),0)*1</f>
        <v>0</v>
      </c>
      <c r="R1670" s="67" t="str">
        <f>IFERROR(VLOOKUP(J1670,線別!A:B,2,1),"")</f>
        <v/>
      </c>
      <c r="S1670" s="17" t="str">
        <f>IFERROR(VLOOKUP(A1670,已除帳印單!B:C,2,0),"")</f>
        <v/>
      </c>
      <c r="T1670" s="68" t="e">
        <f t="shared" si="158"/>
        <v>#VALUE!</v>
      </c>
      <c r="U1670" s="69">
        <f t="shared" si="159"/>
        <v>0</v>
      </c>
      <c r="V1670" s="68" t="str">
        <f>IFERROR(VLOOKUP(A1670,已除帳印單!B:D,3,0),"")</f>
        <v/>
      </c>
      <c r="W1670" s="69" t="str">
        <f>IFERROR(VLOOKUP(A1670,已除帳印單!B:E,4,0),"")</f>
        <v/>
      </c>
      <c r="X1670" s="68" t="str">
        <f>IFERROR(INDEX(刷條碼區!A:C,MATCH(點上線資訊!S1670,刷條碼區!C:C,0),1),"")</f>
        <v/>
      </c>
      <c r="Y1670" s="69" t="str">
        <f>IFERROR(INDEX(刷條碼區!A:C,MATCH(點上線資訊!S1670,刷條碼區!C:C,0),2),"")</f>
        <v/>
      </c>
      <c r="Z1670" s="70" t="str">
        <f>IFERROR(INDEX(刷條碼區!D:G,MATCH(點上線資訊!S1670,刷條碼區!F:F,0),1),"")</f>
        <v/>
      </c>
      <c r="AA1670" s="71" t="str">
        <f>IFERROR(INDEX(刷條碼區!D:G,MATCH(點上線資訊!S1670,刷條碼區!F:F,0),2),"")</f>
        <v/>
      </c>
      <c r="AB1670" s="20">
        <f t="shared" si="160"/>
        <v>0</v>
      </c>
      <c r="AC1670" s="20" t="b">
        <f t="shared" si="161"/>
        <v>0</v>
      </c>
      <c r="AD1670" s="17" t="b">
        <f t="shared" si="162"/>
        <v>0</v>
      </c>
      <c r="AE1670" s="17" t="b">
        <f t="shared" si="163"/>
        <v>0</v>
      </c>
    </row>
    <row r="1671" spans="17:31" x14ac:dyDescent="0.2">
      <c r="Q1671" s="17">
        <f>IFERROR(VLOOKUP(A1671,已除帳印單!B:C,1,0),0)*1</f>
        <v>0</v>
      </c>
      <c r="R1671" s="67" t="str">
        <f>IFERROR(VLOOKUP(J1671,線別!A:B,2,1),"")</f>
        <v/>
      </c>
      <c r="S1671" s="17" t="str">
        <f>IFERROR(VLOOKUP(A1671,已除帳印單!B:C,2,0),"")</f>
        <v/>
      </c>
      <c r="T1671" s="68" t="e">
        <f t="shared" si="158"/>
        <v>#VALUE!</v>
      </c>
      <c r="U1671" s="69">
        <f t="shared" si="159"/>
        <v>0</v>
      </c>
      <c r="V1671" s="68" t="str">
        <f>IFERROR(VLOOKUP(A1671,已除帳印單!B:D,3,0),"")</f>
        <v/>
      </c>
      <c r="W1671" s="69" t="str">
        <f>IFERROR(VLOOKUP(A1671,已除帳印單!B:E,4,0),"")</f>
        <v/>
      </c>
      <c r="X1671" s="68" t="str">
        <f>IFERROR(INDEX(刷條碼區!A:C,MATCH(點上線資訊!S1671,刷條碼區!C:C,0),1),"")</f>
        <v/>
      </c>
      <c r="Y1671" s="69" t="str">
        <f>IFERROR(INDEX(刷條碼區!A:C,MATCH(點上線資訊!S1671,刷條碼區!C:C,0),2),"")</f>
        <v/>
      </c>
      <c r="Z1671" s="70" t="str">
        <f>IFERROR(INDEX(刷條碼區!D:G,MATCH(點上線資訊!S1671,刷條碼區!F:F,0),1),"")</f>
        <v/>
      </c>
      <c r="AA1671" s="71" t="str">
        <f>IFERROR(INDEX(刷條碼區!D:G,MATCH(點上線資訊!S1671,刷條碼區!F:F,0),2),"")</f>
        <v/>
      </c>
      <c r="AB1671" s="20">
        <f t="shared" si="160"/>
        <v>0</v>
      </c>
      <c r="AC1671" s="20" t="b">
        <f t="shared" si="161"/>
        <v>0</v>
      </c>
      <c r="AD1671" s="17" t="b">
        <f t="shared" si="162"/>
        <v>0</v>
      </c>
      <c r="AE1671" s="17" t="b">
        <f t="shared" si="163"/>
        <v>0</v>
      </c>
    </row>
    <row r="1672" spans="17:31" x14ac:dyDescent="0.2">
      <c r="Q1672" s="17">
        <f>IFERROR(VLOOKUP(A1672,已除帳印單!B:C,1,0),0)*1</f>
        <v>0</v>
      </c>
      <c r="R1672" s="67" t="str">
        <f>IFERROR(VLOOKUP(J1672,線別!A:B,2,1),"")</f>
        <v/>
      </c>
      <c r="S1672" s="17" t="str">
        <f>IFERROR(VLOOKUP(A1672,已除帳印單!B:C,2,0),"")</f>
        <v/>
      </c>
      <c r="T1672" s="68" t="e">
        <f t="shared" si="158"/>
        <v>#VALUE!</v>
      </c>
      <c r="U1672" s="69">
        <f t="shared" si="159"/>
        <v>0</v>
      </c>
      <c r="V1672" s="68" t="str">
        <f>IFERROR(VLOOKUP(A1672,已除帳印單!B:D,3,0),"")</f>
        <v/>
      </c>
      <c r="W1672" s="69" t="str">
        <f>IFERROR(VLOOKUP(A1672,已除帳印單!B:E,4,0),"")</f>
        <v/>
      </c>
      <c r="X1672" s="68" t="str">
        <f>IFERROR(INDEX(刷條碼區!A:C,MATCH(點上線資訊!S1672,刷條碼區!C:C,0),1),"")</f>
        <v/>
      </c>
      <c r="Y1672" s="69" t="str">
        <f>IFERROR(INDEX(刷條碼區!A:C,MATCH(點上線資訊!S1672,刷條碼區!C:C,0),2),"")</f>
        <v/>
      </c>
      <c r="Z1672" s="70" t="str">
        <f>IFERROR(INDEX(刷條碼區!D:G,MATCH(點上線資訊!S1672,刷條碼區!F:F,0),1),"")</f>
        <v/>
      </c>
      <c r="AA1672" s="71" t="str">
        <f>IFERROR(INDEX(刷條碼區!D:G,MATCH(點上線資訊!S1672,刷條碼區!F:F,0),2),"")</f>
        <v/>
      </c>
      <c r="AB1672" s="20">
        <f t="shared" si="160"/>
        <v>0</v>
      </c>
      <c r="AC1672" s="20" t="b">
        <f t="shared" si="161"/>
        <v>0</v>
      </c>
      <c r="AD1672" s="17" t="b">
        <f t="shared" si="162"/>
        <v>0</v>
      </c>
      <c r="AE1672" s="17" t="b">
        <f t="shared" si="163"/>
        <v>0</v>
      </c>
    </row>
    <row r="1673" spans="17:31" x14ac:dyDescent="0.2">
      <c r="Q1673" s="17">
        <f>IFERROR(VLOOKUP(A1673,已除帳印單!B:C,1,0),0)*1</f>
        <v>0</v>
      </c>
      <c r="R1673" s="67" t="str">
        <f>IFERROR(VLOOKUP(J1673,線別!A:B,2,1),"")</f>
        <v/>
      </c>
      <c r="S1673" s="17" t="str">
        <f>IFERROR(VLOOKUP(A1673,已除帳印單!B:C,2,0),"")</f>
        <v/>
      </c>
      <c r="T1673" s="68" t="e">
        <f t="shared" si="158"/>
        <v>#VALUE!</v>
      </c>
      <c r="U1673" s="69">
        <f t="shared" si="159"/>
        <v>0</v>
      </c>
      <c r="V1673" s="68" t="str">
        <f>IFERROR(VLOOKUP(A1673,已除帳印單!B:D,3,0),"")</f>
        <v/>
      </c>
      <c r="W1673" s="69" t="str">
        <f>IFERROR(VLOOKUP(A1673,已除帳印單!B:E,4,0),"")</f>
        <v/>
      </c>
      <c r="X1673" s="68" t="str">
        <f>IFERROR(INDEX(刷條碼區!A:C,MATCH(點上線資訊!S1673,刷條碼區!C:C,0),1),"")</f>
        <v/>
      </c>
      <c r="Y1673" s="69" t="str">
        <f>IFERROR(INDEX(刷條碼區!A:C,MATCH(點上線資訊!S1673,刷條碼區!C:C,0),2),"")</f>
        <v/>
      </c>
      <c r="Z1673" s="70" t="str">
        <f>IFERROR(INDEX(刷條碼區!D:G,MATCH(點上線資訊!S1673,刷條碼區!F:F,0),1),"")</f>
        <v/>
      </c>
      <c r="AA1673" s="71" t="str">
        <f>IFERROR(INDEX(刷條碼區!D:G,MATCH(點上線資訊!S1673,刷條碼區!F:F,0),2),"")</f>
        <v/>
      </c>
      <c r="AB1673" s="20">
        <f t="shared" si="160"/>
        <v>0</v>
      </c>
      <c r="AC1673" s="20" t="b">
        <f t="shared" si="161"/>
        <v>0</v>
      </c>
      <c r="AD1673" s="17" t="b">
        <f t="shared" si="162"/>
        <v>0</v>
      </c>
      <c r="AE1673" s="17" t="b">
        <f t="shared" si="163"/>
        <v>0</v>
      </c>
    </row>
    <row r="1674" spans="17:31" x14ac:dyDescent="0.2">
      <c r="Q1674" s="17">
        <f>IFERROR(VLOOKUP(A1674,已除帳印單!B:C,1,0),0)*1</f>
        <v>0</v>
      </c>
      <c r="R1674" s="67" t="str">
        <f>IFERROR(VLOOKUP(J1674,線別!A:B,2,1),"")</f>
        <v/>
      </c>
      <c r="S1674" s="17" t="str">
        <f>IFERROR(VLOOKUP(A1674,已除帳印單!B:C,2,0),"")</f>
        <v/>
      </c>
      <c r="T1674" s="68" t="e">
        <f t="shared" si="158"/>
        <v>#VALUE!</v>
      </c>
      <c r="U1674" s="69">
        <f t="shared" si="159"/>
        <v>0</v>
      </c>
      <c r="V1674" s="68" t="str">
        <f>IFERROR(VLOOKUP(A1674,已除帳印單!B:D,3,0),"")</f>
        <v/>
      </c>
      <c r="W1674" s="69" t="str">
        <f>IFERROR(VLOOKUP(A1674,已除帳印單!B:E,4,0),"")</f>
        <v/>
      </c>
      <c r="X1674" s="68" t="str">
        <f>IFERROR(INDEX(刷條碼區!A:C,MATCH(點上線資訊!S1674,刷條碼區!C:C,0),1),"")</f>
        <v/>
      </c>
      <c r="Y1674" s="69" t="str">
        <f>IFERROR(INDEX(刷條碼區!A:C,MATCH(點上線資訊!S1674,刷條碼區!C:C,0),2),"")</f>
        <v/>
      </c>
      <c r="Z1674" s="70" t="str">
        <f>IFERROR(INDEX(刷條碼區!D:G,MATCH(點上線資訊!S1674,刷條碼區!F:F,0),1),"")</f>
        <v/>
      </c>
      <c r="AA1674" s="71" t="str">
        <f>IFERROR(INDEX(刷條碼區!D:G,MATCH(點上線資訊!S1674,刷條碼區!F:F,0),2),"")</f>
        <v/>
      </c>
      <c r="AB1674" s="20">
        <f t="shared" si="160"/>
        <v>0</v>
      </c>
      <c r="AC1674" s="20" t="b">
        <f t="shared" si="161"/>
        <v>0</v>
      </c>
      <c r="AD1674" s="17" t="b">
        <f t="shared" si="162"/>
        <v>0</v>
      </c>
      <c r="AE1674" s="17" t="b">
        <f t="shared" si="163"/>
        <v>0</v>
      </c>
    </row>
    <row r="1675" spans="17:31" x14ac:dyDescent="0.2">
      <c r="Q1675" s="17">
        <f>IFERROR(VLOOKUP(A1675,已除帳印單!B:C,1,0),0)*1</f>
        <v>0</v>
      </c>
      <c r="R1675" s="67" t="str">
        <f>IFERROR(VLOOKUP(J1675,線別!A:B,2,1),"")</f>
        <v/>
      </c>
      <c r="S1675" s="17" t="str">
        <f>IFERROR(VLOOKUP(A1675,已除帳印單!B:C,2,0),"")</f>
        <v/>
      </c>
      <c r="T1675" s="68" t="e">
        <f t="shared" si="158"/>
        <v>#VALUE!</v>
      </c>
      <c r="U1675" s="69">
        <f t="shared" si="159"/>
        <v>0</v>
      </c>
      <c r="V1675" s="68" t="str">
        <f>IFERROR(VLOOKUP(A1675,已除帳印單!B:D,3,0),"")</f>
        <v/>
      </c>
      <c r="W1675" s="69" t="str">
        <f>IFERROR(VLOOKUP(A1675,已除帳印單!B:E,4,0),"")</f>
        <v/>
      </c>
      <c r="X1675" s="68" t="str">
        <f>IFERROR(INDEX(刷條碼區!A:C,MATCH(點上線資訊!S1675,刷條碼區!C:C,0),1),"")</f>
        <v/>
      </c>
      <c r="Y1675" s="69" t="str">
        <f>IFERROR(INDEX(刷條碼區!A:C,MATCH(點上線資訊!S1675,刷條碼區!C:C,0),2),"")</f>
        <v/>
      </c>
      <c r="Z1675" s="70" t="str">
        <f>IFERROR(INDEX(刷條碼區!D:G,MATCH(點上線資訊!S1675,刷條碼區!F:F,0),1),"")</f>
        <v/>
      </c>
      <c r="AA1675" s="71" t="str">
        <f>IFERROR(INDEX(刷條碼區!D:G,MATCH(點上線資訊!S1675,刷條碼區!F:F,0),2),"")</f>
        <v/>
      </c>
      <c r="AB1675" s="20">
        <f t="shared" si="160"/>
        <v>0</v>
      </c>
      <c r="AC1675" s="20" t="b">
        <f t="shared" si="161"/>
        <v>0</v>
      </c>
      <c r="AD1675" s="17" t="b">
        <f t="shared" si="162"/>
        <v>0</v>
      </c>
      <c r="AE1675" s="17" t="b">
        <f t="shared" si="163"/>
        <v>0</v>
      </c>
    </row>
    <row r="1676" spans="17:31" x14ac:dyDescent="0.2">
      <c r="Q1676" s="17">
        <f>IFERROR(VLOOKUP(A1676,已除帳印單!B:C,1,0),0)*1</f>
        <v>0</v>
      </c>
      <c r="R1676" s="67" t="str">
        <f>IFERROR(VLOOKUP(J1676,線別!A:B,2,1),"")</f>
        <v/>
      </c>
      <c r="S1676" s="17" t="str">
        <f>IFERROR(VLOOKUP(A1676,已除帳印單!B:C,2,0),"")</f>
        <v/>
      </c>
      <c r="T1676" s="68" t="e">
        <f t="shared" si="158"/>
        <v>#VALUE!</v>
      </c>
      <c r="U1676" s="69">
        <f t="shared" si="159"/>
        <v>0</v>
      </c>
      <c r="V1676" s="68" t="str">
        <f>IFERROR(VLOOKUP(A1676,已除帳印單!B:D,3,0),"")</f>
        <v/>
      </c>
      <c r="W1676" s="69" t="str">
        <f>IFERROR(VLOOKUP(A1676,已除帳印單!B:E,4,0),"")</f>
        <v/>
      </c>
      <c r="X1676" s="68" t="str">
        <f>IFERROR(INDEX(刷條碼區!A:C,MATCH(點上線資訊!S1676,刷條碼區!C:C,0),1),"")</f>
        <v/>
      </c>
      <c r="Y1676" s="69" t="str">
        <f>IFERROR(INDEX(刷條碼區!A:C,MATCH(點上線資訊!S1676,刷條碼區!C:C,0),2),"")</f>
        <v/>
      </c>
      <c r="Z1676" s="70" t="str">
        <f>IFERROR(INDEX(刷條碼區!D:G,MATCH(點上線資訊!S1676,刷條碼區!F:F,0),1),"")</f>
        <v/>
      </c>
      <c r="AA1676" s="71" t="str">
        <f>IFERROR(INDEX(刷條碼區!D:G,MATCH(點上線資訊!S1676,刷條碼區!F:F,0),2),"")</f>
        <v/>
      </c>
      <c r="AB1676" s="20">
        <f t="shared" si="160"/>
        <v>0</v>
      </c>
      <c r="AC1676" s="20" t="b">
        <f t="shared" si="161"/>
        <v>0</v>
      </c>
      <c r="AD1676" s="17" t="b">
        <f t="shared" si="162"/>
        <v>0</v>
      </c>
      <c r="AE1676" s="17" t="b">
        <f t="shared" si="163"/>
        <v>0</v>
      </c>
    </row>
    <row r="1677" spans="17:31" x14ac:dyDescent="0.2">
      <c r="Q1677" s="17">
        <f>IFERROR(VLOOKUP(A1677,已除帳印單!B:C,1,0),0)*1</f>
        <v>0</v>
      </c>
      <c r="R1677" s="67" t="str">
        <f>IFERROR(VLOOKUP(J1677,線別!A:B,2,1),"")</f>
        <v/>
      </c>
      <c r="S1677" s="17" t="str">
        <f>IFERROR(VLOOKUP(A1677,已除帳印單!B:C,2,0),"")</f>
        <v/>
      </c>
      <c r="T1677" s="68" t="e">
        <f t="shared" si="158"/>
        <v>#VALUE!</v>
      </c>
      <c r="U1677" s="69">
        <f t="shared" si="159"/>
        <v>0</v>
      </c>
      <c r="V1677" s="68" t="str">
        <f>IFERROR(VLOOKUP(A1677,已除帳印單!B:D,3,0),"")</f>
        <v/>
      </c>
      <c r="W1677" s="69" t="str">
        <f>IFERROR(VLOOKUP(A1677,已除帳印單!B:E,4,0),"")</f>
        <v/>
      </c>
      <c r="X1677" s="68" t="str">
        <f>IFERROR(INDEX(刷條碼區!A:C,MATCH(點上線資訊!S1677,刷條碼區!C:C,0),1),"")</f>
        <v/>
      </c>
      <c r="Y1677" s="69" t="str">
        <f>IFERROR(INDEX(刷條碼區!A:C,MATCH(點上線資訊!S1677,刷條碼區!C:C,0),2),"")</f>
        <v/>
      </c>
      <c r="Z1677" s="70" t="str">
        <f>IFERROR(INDEX(刷條碼區!D:G,MATCH(點上線資訊!S1677,刷條碼區!F:F,0),1),"")</f>
        <v/>
      </c>
      <c r="AA1677" s="71" t="str">
        <f>IFERROR(INDEX(刷條碼區!D:G,MATCH(點上線資訊!S1677,刷條碼區!F:F,0),2),"")</f>
        <v/>
      </c>
      <c r="AB1677" s="20">
        <f t="shared" si="160"/>
        <v>0</v>
      </c>
      <c r="AC1677" s="20" t="b">
        <f t="shared" si="161"/>
        <v>0</v>
      </c>
      <c r="AD1677" s="17" t="b">
        <f t="shared" si="162"/>
        <v>0</v>
      </c>
      <c r="AE1677" s="17" t="b">
        <f t="shared" si="163"/>
        <v>0</v>
      </c>
    </row>
    <row r="1678" spans="17:31" x14ac:dyDescent="0.2">
      <c r="Q1678" s="17">
        <f>IFERROR(VLOOKUP(A1678,已除帳印單!B:C,1,0),0)*1</f>
        <v>0</v>
      </c>
      <c r="R1678" s="67" t="str">
        <f>IFERROR(VLOOKUP(J1678,線別!A:B,2,1),"")</f>
        <v/>
      </c>
      <c r="S1678" s="17" t="str">
        <f>IFERROR(VLOOKUP(A1678,已除帳印單!B:C,2,0),"")</f>
        <v/>
      </c>
      <c r="T1678" s="68" t="e">
        <f t="shared" si="158"/>
        <v>#VALUE!</v>
      </c>
      <c r="U1678" s="69">
        <f t="shared" si="159"/>
        <v>0</v>
      </c>
      <c r="V1678" s="68" t="str">
        <f>IFERROR(VLOOKUP(A1678,已除帳印單!B:D,3,0),"")</f>
        <v/>
      </c>
      <c r="W1678" s="69" t="str">
        <f>IFERROR(VLOOKUP(A1678,已除帳印單!B:E,4,0),"")</f>
        <v/>
      </c>
      <c r="X1678" s="68" t="str">
        <f>IFERROR(INDEX(刷條碼區!A:C,MATCH(點上線資訊!S1678,刷條碼區!C:C,0),1),"")</f>
        <v/>
      </c>
      <c r="Y1678" s="69" t="str">
        <f>IFERROR(INDEX(刷條碼區!A:C,MATCH(點上線資訊!S1678,刷條碼區!C:C,0),2),"")</f>
        <v/>
      </c>
      <c r="Z1678" s="70" t="str">
        <f>IFERROR(INDEX(刷條碼區!D:G,MATCH(點上線資訊!S1678,刷條碼區!F:F,0),1),"")</f>
        <v/>
      </c>
      <c r="AA1678" s="71" t="str">
        <f>IFERROR(INDEX(刷條碼區!D:G,MATCH(點上線資訊!S1678,刷條碼區!F:F,0),2),"")</f>
        <v/>
      </c>
      <c r="AB1678" s="20">
        <f t="shared" si="160"/>
        <v>0</v>
      </c>
      <c r="AC1678" s="20" t="b">
        <f t="shared" si="161"/>
        <v>0</v>
      </c>
      <c r="AD1678" s="17" t="b">
        <f t="shared" si="162"/>
        <v>0</v>
      </c>
      <c r="AE1678" s="17" t="b">
        <f t="shared" si="163"/>
        <v>0</v>
      </c>
    </row>
    <row r="1679" spans="17:31" x14ac:dyDescent="0.2">
      <c r="Q1679" s="17">
        <f>IFERROR(VLOOKUP(A1679,已除帳印單!B:C,1,0),0)*1</f>
        <v>0</v>
      </c>
      <c r="R1679" s="67" t="str">
        <f>IFERROR(VLOOKUP(J1679,線別!A:B,2,1),"")</f>
        <v/>
      </c>
      <c r="S1679" s="17" t="str">
        <f>IFERROR(VLOOKUP(A1679,已除帳印單!B:C,2,0),"")</f>
        <v/>
      </c>
      <c r="T1679" s="68" t="e">
        <f t="shared" si="158"/>
        <v>#VALUE!</v>
      </c>
      <c r="U1679" s="69">
        <f t="shared" si="159"/>
        <v>0</v>
      </c>
      <c r="V1679" s="68" t="str">
        <f>IFERROR(VLOOKUP(A1679,已除帳印單!B:D,3,0),"")</f>
        <v/>
      </c>
      <c r="W1679" s="69" t="str">
        <f>IFERROR(VLOOKUP(A1679,已除帳印單!B:E,4,0),"")</f>
        <v/>
      </c>
      <c r="X1679" s="68" t="str">
        <f>IFERROR(INDEX(刷條碼區!A:C,MATCH(點上線資訊!S1679,刷條碼區!C:C,0),1),"")</f>
        <v/>
      </c>
      <c r="Y1679" s="69" t="str">
        <f>IFERROR(INDEX(刷條碼區!A:C,MATCH(點上線資訊!S1679,刷條碼區!C:C,0),2),"")</f>
        <v/>
      </c>
      <c r="Z1679" s="70" t="str">
        <f>IFERROR(INDEX(刷條碼區!D:G,MATCH(點上線資訊!S1679,刷條碼區!F:F,0),1),"")</f>
        <v/>
      </c>
      <c r="AA1679" s="71" t="str">
        <f>IFERROR(INDEX(刷條碼區!D:G,MATCH(點上線資訊!S1679,刷條碼區!F:F,0),2),"")</f>
        <v/>
      </c>
      <c r="AB1679" s="20">
        <f t="shared" si="160"/>
        <v>0</v>
      </c>
      <c r="AC1679" s="20" t="b">
        <f t="shared" si="161"/>
        <v>0</v>
      </c>
      <c r="AD1679" s="17" t="b">
        <f t="shared" si="162"/>
        <v>0</v>
      </c>
      <c r="AE1679" s="17" t="b">
        <f t="shared" si="163"/>
        <v>0</v>
      </c>
    </row>
    <row r="1680" spans="17:31" x14ac:dyDescent="0.2">
      <c r="Q1680" s="17">
        <f>IFERROR(VLOOKUP(A1680,已除帳印單!B:C,1,0),0)*1</f>
        <v>0</v>
      </c>
      <c r="R1680" s="67" t="str">
        <f>IFERROR(VLOOKUP(J1680,線別!A:B,2,1),"")</f>
        <v/>
      </c>
      <c r="S1680" s="17" t="str">
        <f>IFERROR(VLOOKUP(A1680,已除帳印單!B:C,2,0),"")</f>
        <v/>
      </c>
      <c r="T1680" s="68" t="e">
        <f t="shared" si="158"/>
        <v>#VALUE!</v>
      </c>
      <c r="U1680" s="69">
        <f t="shared" si="159"/>
        <v>0</v>
      </c>
      <c r="V1680" s="68" t="str">
        <f>IFERROR(VLOOKUP(A1680,已除帳印單!B:D,3,0),"")</f>
        <v/>
      </c>
      <c r="W1680" s="69" t="str">
        <f>IFERROR(VLOOKUP(A1680,已除帳印單!B:E,4,0),"")</f>
        <v/>
      </c>
      <c r="X1680" s="68" t="str">
        <f>IFERROR(INDEX(刷條碼區!A:C,MATCH(點上線資訊!S1680,刷條碼區!C:C,0),1),"")</f>
        <v/>
      </c>
      <c r="Y1680" s="69" t="str">
        <f>IFERROR(INDEX(刷條碼區!A:C,MATCH(點上線資訊!S1680,刷條碼區!C:C,0),2),"")</f>
        <v/>
      </c>
      <c r="Z1680" s="70" t="str">
        <f>IFERROR(INDEX(刷條碼區!D:G,MATCH(點上線資訊!S1680,刷條碼區!F:F,0),1),"")</f>
        <v/>
      </c>
      <c r="AA1680" s="71" t="str">
        <f>IFERROR(INDEX(刷條碼區!D:G,MATCH(點上線資訊!S1680,刷條碼區!F:F,0),2),"")</f>
        <v/>
      </c>
      <c r="AB1680" s="20">
        <f t="shared" si="160"/>
        <v>0</v>
      </c>
      <c r="AC1680" s="20" t="b">
        <f t="shared" si="161"/>
        <v>0</v>
      </c>
      <c r="AD1680" s="17" t="b">
        <f t="shared" si="162"/>
        <v>0</v>
      </c>
      <c r="AE1680" s="17" t="b">
        <f t="shared" si="163"/>
        <v>0</v>
      </c>
    </row>
    <row r="1681" spans="17:31" x14ac:dyDescent="0.2">
      <c r="Q1681" s="17">
        <f>IFERROR(VLOOKUP(A1681,已除帳印單!B:C,1,0),0)*1</f>
        <v>0</v>
      </c>
      <c r="R1681" s="67" t="str">
        <f>IFERROR(VLOOKUP(J1681,線別!A:B,2,1),"")</f>
        <v/>
      </c>
      <c r="S1681" s="17" t="str">
        <f>IFERROR(VLOOKUP(A1681,已除帳印單!B:C,2,0),"")</f>
        <v/>
      </c>
      <c r="T1681" s="68" t="e">
        <f t="shared" si="158"/>
        <v>#VALUE!</v>
      </c>
      <c r="U1681" s="69">
        <f t="shared" si="159"/>
        <v>0</v>
      </c>
      <c r="V1681" s="68" t="str">
        <f>IFERROR(VLOOKUP(A1681,已除帳印單!B:D,3,0),"")</f>
        <v/>
      </c>
      <c r="W1681" s="69" t="str">
        <f>IFERROR(VLOOKUP(A1681,已除帳印單!B:E,4,0),"")</f>
        <v/>
      </c>
      <c r="X1681" s="68" t="str">
        <f>IFERROR(INDEX(刷條碼區!A:C,MATCH(點上線資訊!S1681,刷條碼區!C:C,0),1),"")</f>
        <v/>
      </c>
      <c r="Y1681" s="69" t="str">
        <f>IFERROR(INDEX(刷條碼區!A:C,MATCH(點上線資訊!S1681,刷條碼區!C:C,0),2),"")</f>
        <v/>
      </c>
      <c r="Z1681" s="70" t="str">
        <f>IFERROR(INDEX(刷條碼區!D:G,MATCH(點上線資訊!S1681,刷條碼區!F:F,0),1),"")</f>
        <v/>
      </c>
      <c r="AA1681" s="71" t="str">
        <f>IFERROR(INDEX(刷條碼區!D:G,MATCH(點上線資訊!S1681,刷條碼區!F:F,0),2),"")</f>
        <v/>
      </c>
      <c r="AB1681" s="20">
        <f t="shared" si="160"/>
        <v>0</v>
      </c>
      <c r="AC1681" s="20" t="b">
        <f t="shared" si="161"/>
        <v>0</v>
      </c>
      <c r="AD1681" s="17" t="b">
        <f t="shared" si="162"/>
        <v>0</v>
      </c>
      <c r="AE1681" s="17" t="b">
        <f t="shared" si="163"/>
        <v>0</v>
      </c>
    </row>
    <row r="1682" spans="17:31" x14ac:dyDescent="0.2">
      <c r="Q1682" s="17">
        <f>IFERROR(VLOOKUP(A1682,已除帳印單!B:C,1,0),0)*1</f>
        <v>0</v>
      </c>
      <c r="R1682" s="67" t="str">
        <f>IFERROR(VLOOKUP(J1682,線別!A:B,2,1),"")</f>
        <v/>
      </c>
      <c r="S1682" s="17" t="str">
        <f>IFERROR(VLOOKUP(A1682,已除帳印單!B:C,2,0),"")</f>
        <v/>
      </c>
      <c r="T1682" s="68" t="e">
        <f t="shared" si="158"/>
        <v>#VALUE!</v>
      </c>
      <c r="U1682" s="69">
        <f t="shared" si="159"/>
        <v>0</v>
      </c>
      <c r="V1682" s="68" t="str">
        <f>IFERROR(VLOOKUP(A1682,已除帳印單!B:D,3,0),"")</f>
        <v/>
      </c>
      <c r="W1682" s="69" t="str">
        <f>IFERROR(VLOOKUP(A1682,已除帳印單!B:E,4,0),"")</f>
        <v/>
      </c>
      <c r="X1682" s="68" t="str">
        <f>IFERROR(INDEX(刷條碼區!A:C,MATCH(點上線資訊!S1682,刷條碼區!C:C,0),1),"")</f>
        <v/>
      </c>
      <c r="Y1682" s="69" t="str">
        <f>IFERROR(INDEX(刷條碼區!A:C,MATCH(點上線資訊!S1682,刷條碼區!C:C,0),2),"")</f>
        <v/>
      </c>
      <c r="Z1682" s="70" t="str">
        <f>IFERROR(INDEX(刷條碼區!D:G,MATCH(點上線資訊!S1682,刷條碼區!F:F,0),1),"")</f>
        <v/>
      </c>
      <c r="AA1682" s="71" t="str">
        <f>IFERROR(INDEX(刷條碼區!D:G,MATCH(點上線資訊!S1682,刷條碼區!F:F,0),2),"")</f>
        <v/>
      </c>
      <c r="AB1682" s="20">
        <f t="shared" si="160"/>
        <v>0</v>
      </c>
      <c r="AC1682" s="20" t="b">
        <f t="shared" si="161"/>
        <v>0</v>
      </c>
      <c r="AD1682" s="17" t="b">
        <f t="shared" si="162"/>
        <v>0</v>
      </c>
      <c r="AE1682" s="17" t="b">
        <f t="shared" si="163"/>
        <v>0</v>
      </c>
    </row>
    <row r="1683" spans="17:31" x14ac:dyDescent="0.2">
      <c r="Q1683" s="17">
        <f>IFERROR(VLOOKUP(A1683,已除帳印單!B:C,1,0),0)*1</f>
        <v>0</v>
      </c>
      <c r="R1683" s="67" t="str">
        <f>IFERROR(VLOOKUP(J1683,線別!A:B,2,1),"")</f>
        <v/>
      </c>
      <c r="S1683" s="17" t="str">
        <f>IFERROR(VLOOKUP(A1683,已除帳印單!B:C,2,0),"")</f>
        <v/>
      </c>
      <c r="T1683" s="68" t="e">
        <f t="shared" si="158"/>
        <v>#VALUE!</v>
      </c>
      <c r="U1683" s="69">
        <f t="shared" si="159"/>
        <v>0</v>
      </c>
      <c r="V1683" s="68" t="str">
        <f>IFERROR(VLOOKUP(A1683,已除帳印單!B:D,3,0),"")</f>
        <v/>
      </c>
      <c r="W1683" s="69" t="str">
        <f>IFERROR(VLOOKUP(A1683,已除帳印單!B:E,4,0),"")</f>
        <v/>
      </c>
      <c r="X1683" s="68" t="str">
        <f>IFERROR(INDEX(刷條碼區!A:C,MATCH(點上線資訊!S1683,刷條碼區!C:C,0),1),"")</f>
        <v/>
      </c>
      <c r="Y1683" s="69" t="str">
        <f>IFERROR(INDEX(刷條碼區!A:C,MATCH(點上線資訊!S1683,刷條碼區!C:C,0),2),"")</f>
        <v/>
      </c>
      <c r="Z1683" s="70" t="str">
        <f>IFERROR(INDEX(刷條碼區!D:G,MATCH(點上線資訊!S1683,刷條碼區!F:F,0),1),"")</f>
        <v/>
      </c>
      <c r="AA1683" s="71" t="str">
        <f>IFERROR(INDEX(刷條碼區!D:G,MATCH(點上線資訊!S1683,刷條碼區!F:F,0),2),"")</f>
        <v/>
      </c>
      <c r="AB1683" s="20">
        <f t="shared" si="160"/>
        <v>0</v>
      </c>
      <c r="AC1683" s="20" t="b">
        <f t="shared" si="161"/>
        <v>0</v>
      </c>
      <c r="AD1683" s="17" t="b">
        <f t="shared" si="162"/>
        <v>0</v>
      </c>
      <c r="AE1683" s="17" t="b">
        <f t="shared" si="163"/>
        <v>0</v>
      </c>
    </row>
    <row r="1684" spans="17:31" x14ac:dyDescent="0.2">
      <c r="Q1684" s="17">
        <f>IFERROR(VLOOKUP(A1684,已除帳印單!B:C,1,0),0)*1</f>
        <v>0</v>
      </c>
      <c r="R1684" s="67" t="str">
        <f>IFERROR(VLOOKUP(J1684,線別!A:B,2,1),"")</f>
        <v/>
      </c>
      <c r="S1684" s="17" t="str">
        <f>IFERROR(VLOOKUP(A1684,已除帳印單!B:C,2,0),"")</f>
        <v/>
      </c>
      <c r="T1684" s="68" t="e">
        <f t="shared" si="158"/>
        <v>#VALUE!</v>
      </c>
      <c r="U1684" s="69">
        <f t="shared" si="159"/>
        <v>0</v>
      </c>
      <c r="V1684" s="68" t="str">
        <f>IFERROR(VLOOKUP(A1684,已除帳印單!B:D,3,0),"")</f>
        <v/>
      </c>
      <c r="W1684" s="69" t="str">
        <f>IFERROR(VLOOKUP(A1684,已除帳印單!B:E,4,0),"")</f>
        <v/>
      </c>
      <c r="X1684" s="68" t="str">
        <f>IFERROR(INDEX(刷條碼區!A:C,MATCH(點上線資訊!S1684,刷條碼區!C:C,0),1),"")</f>
        <v/>
      </c>
      <c r="Y1684" s="69" t="str">
        <f>IFERROR(INDEX(刷條碼區!A:C,MATCH(點上線資訊!S1684,刷條碼區!C:C,0),2),"")</f>
        <v/>
      </c>
      <c r="Z1684" s="70" t="str">
        <f>IFERROR(INDEX(刷條碼區!D:G,MATCH(點上線資訊!S1684,刷條碼區!F:F,0),1),"")</f>
        <v/>
      </c>
      <c r="AA1684" s="71" t="str">
        <f>IFERROR(INDEX(刷條碼區!D:G,MATCH(點上線資訊!S1684,刷條碼區!F:F,0),2),"")</f>
        <v/>
      </c>
      <c r="AB1684" s="20">
        <f t="shared" si="160"/>
        <v>0</v>
      </c>
      <c r="AC1684" s="20" t="b">
        <f t="shared" si="161"/>
        <v>0</v>
      </c>
      <c r="AD1684" s="17" t="b">
        <f t="shared" si="162"/>
        <v>0</v>
      </c>
      <c r="AE1684" s="17" t="b">
        <f t="shared" si="163"/>
        <v>0</v>
      </c>
    </row>
    <row r="1685" spans="17:31" x14ac:dyDescent="0.2">
      <c r="Q1685" s="17">
        <f>IFERROR(VLOOKUP(A1685,已除帳印單!B:C,1,0),0)*1</f>
        <v>0</v>
      </c>
      <c r="R1685" s="67" t="str">
        <f>IFERROR(VLOOKUP(J1685,線別!A:B,2,1),"")</f>
        <v/>
      </c>
      <c r="S1685" s="17" t="str">
        <f>IFERROR(VLOOKUP(A1685,已除帳印單!B:C,2,0),"")</f>
        <v/>
      </c>
      <c r="T1685" s="68" t="e">
        <f t="shared" si="158"/>
        <v>#VALUE!</v>
      </c>
      <c r="U1685" s="69">
        <f t="shared" si="159"/>
        <v>0</v>
      </c>
      <c r="V1685" s="68" t="str">
        <f>IFERROR(VLOOKUP(A1685,已除帳印單!B:D,3,0),"")</f>
        <v/>
      </c>
      <c r="W1685" s="69" t="str">
        <f>IFERROR(VLOOKUP(A1685,已除帳印單!B:E,4,0),"")</f>
        <v/>
      </c>
      <c r="X1685" s="68" t="str">
        <f>IFERROR(INDEX(刷條碼區!A:C,MATCH(點上線資訊!S1685,刷條碼區!C:C,0),1),"")</f>
        <v/>
      </c>
      <c r="Y1685" s="69" t="str">
        <f>IFERROR(INDEX(刷條碼區!A:C,MATCH(點上線資訊!S1685,刷條碼區!C:C,0),2),"")</f>
        <v/>
      </c>
      <c r="Z1685" s="70" t="str">
        <f>IFERROR(INDEX(刷條碼區!D:G,MATCH(點上線資訊!S1685,刷條碼區!F:F,0),1),"")</f>
        <v/>
      </c>
      <c r="AA1685" s="71" t="str">
        <f>IFERROR(INDEX(刷條碼區!D:G,MATCH(點上線資訊!S1685,刷條碼區!F:F,0),2),"")</f>
        <v/>
      </c>
      <c r="AB1685" s="20">
        <f t="shared" si="160"/>
        <v>0</v>
      </c>
      <c r="AC1685" s="20" t="b">
        <f t="shared" si="161"/>
        <v>0</v>
      </c>
      <c r="AD1685" s="17" t="b">
        <f t="shared" si="162"/>
        <v>0</v>
      </c>
      <c r="AE1685" s="17" t="b">
        <f t="shared" si="163"/>
        <v>0</v>
      </c>
    </row>
    <row r="1686" spans="17:31" x14ac:dyDescent="0.2">
      <c r="Q1686" s="17">
        <f>IFERROR(VLOOKUP(A1686,已除帳印單!B:C,1,0),0)*1</f>
        <v>0</v>
      </c>
      <c r="R1686" s="67" t="str">
        <f>IFERROR(VLOOKUP(J1686,線別!A:B,2,1),"")</f>
        <v/>
      </c>
      <c r="S1686" s="17" t="str">
        <f>IFERROR(VLOOKUP(A1686,已除帳印單!B:C,2,0),"")</f>
        <v/>
      </c>
      <c r="T1686" s="68" t="e">
        <f t="shared" si="158"/>
        <v>#VALUE!</v>
      </c>
      <c r="U1686" s="69">
        <f t="shared" si="159"/>
        <v>0</v>
      </c>
      <c r="V1686" s="68" t="str">
        <f>IFERROR(VLOOKUP(A1686,已除帳印單!B:D,3,0),"")</f>
        <v/>
      </c>
      <c r="W1686" s="69" t="str">
        <f>IFERROR(VLOOKUP(A1686,已除帳印單!B:E,4,0),"")</f>
        <v/>
      </c>
      <c r="X1686" s="68" t="str">
        <f>IFERROR(INDEX(刷條碼區!A:C,MATCH(點上線資訊!S1686,刷條碼區!C:C,0),1),"")</f>
        <v/>
      </c>
      <c r="Y1686" s="69" t="str">
        <f>IFERROR(INDEX(刷條碼區!A:C,MATCH(點上線資訊!S1686,刷條碼區!C:C,0),2),"")</f>
        <v/>
      </c>
      <c r="Z1686" s="70" t="str">
        <f>IFERROR(INDEX(刷條碼區!D:G,MATCH(點上線資訊!S1686,刷條碼區!F:F,0),1),"")</f>
        <v/>
      </c>
      <c r="AA1686" s="71" t="str">
        <f>IFERROR(INDEX(刷條碼區!D:G,MATCH(點上線資訊!S1686,刷條碼區!F:F,0),2),"")</f>
        <v/>
      </c>
      <c r="AB1686" s="20">
        <f t="shared" si="160"/>
        <v>0</v>
      </c>
      <c r="AC1686" s="20" t="b">
        <f t="shared" si="161"/>
        <v>0</v>
      </c>
      <c r="AD1686" s="17" t="b">
        <f t="shared" si="162"/>
        <v>0</v>
      </c>
      <c r="AE1686" s="17" t="b">
        <f t="shared" si="163"/>
        <v>0</v>
      </c>
    </row>
    <row r="1687" spans="17:31" x14ac:dyDescent="0.2">
      <c r="Q1687" s="17">
        <f>IFERROR(VLOOKUP(A1687,已除帳印單!B:C,1,0),0)*1</f>
        <v>0</v>
      </c>
      <c r="R1687" s="67" t="str">
        <f>IFERROR(VLOOKUP(J1687,線別!A:B,2,1),"")</f>
        <v/>
      </c>
      <c r="S1687" s="17" t="str">
        <f>IFERROR(VLOOKUP(A1687,已除帳印單!B:C,2,0),"")</f>
        <v/>
      </c>
      <c r="T1687" s="68" t="e">
        <f t="shared" si="158"/>
        <v>#VALUE!</v>
      </c>
      <c r="U1687" s="69">
        <f t="shared" si="159"/>
        <v>0</v>
      </c>
      <c r="V1687" s="68" t="str">
        <f>IFERROR(VLOOKUP(A1687,已除帳印單!B:D,3,0),"")</f>
        <v/>
      </c>
      <c r="W1687" s="69" t="str">
        <f>IFERROR(VLOOKUP(A1687,已除帳印單!B:E,4,0),"")</f>
        <v/>
      </c>
      <c r="X1687" s="68" t="str">
        <f>IFERROR(INDEX(刷條碼區!A:C,MATCH(點上線資訊!S1687,刷條碼區!C:C,0),1),"")</f>
        <v/>
      </c>
      <c r="Y1687" s="69" t="str">
        <f>IFERROR(INDEX(刷條碼區!A:C,MATCH(點上線資訊!S1687,刷條碼區!C:C,0),2),"")</f>
        <v/>
      </c>
      <c r="Z1687" s="70" t="str">
        <f>IFERROR(INDEX(刷條碼區!D:G,MATCH(點上線資訊!S1687,刷條碼區!F:F,0),1),"")</f>
        <v/>
      </c>
      <c r="AA1687" s="71" t="str">
        <f>IFERROR(INDEX(刷條碼區!D:G,MATCH(點上線資訊!S1687,刷條碼區!F:F,0),2),"")</f>
        <v/>
      </c>
      <c r="AB1687" s="20">
        <f t="shared" si="160"/>
        <v>0</v>
      </c>
      <c r="AC1687" s="20" t="b">
        <f t="shared" si="161"/>
        <v>0</v>
      </c>
      <c r="AD1687" s="17" t="b">
        <f t="shared" si="162"/>
        <v>0</v>
      </c>
      <c r="AE1687" s="17" t="b">
        <f t="shared" si="163"/>
        <v>0</v>
      </c>
    </row>
    <row r="1688" spans="17:31" x14ac:dyDescent="0.2">
      <c r="Q1688" s="17">
        <f>IFERROR(VLOOKUP(A1688,已除帳印單!B:C,1,0),0)*1</f>
        <v>0</v>
      </c>
      <c r="R1688" s="67" t="str">
        <f>IFERROR(VLOOKUP(J1688,線別!A:B,2,1),"")</f>
        <v/>
      </c>
      <c r="S1688" s="17" t="str">
        <f>IFERROR(VLOOKUP(A1688,已除帳印單!B:C,2,0),"")</f>
        <v/>
      </c>
      <c r="T1688" s="68" t="e">
        <f t="shared" si="158"/>
        <v>#VALUE!</v>
      </c>
      <c r="U1688" s="69">
        <f t="shared" si="159"/>
        <v>0</v>
      </c>
      <c r="V1688" s="68" t="str">
        <f>IFERROR(VLOOKUP(A1688,已除帳印單!B:D,3,0),"")</f>
        <v/>
      </c>
      <c r="W1688" s="69" t="str">
        <f>IFERROR(VLOOKUP(A1688,已除帳印單!B:E,4,0),"")</f>
        <v/>
      </c>
      <c r="X1688" s="68" t="str">
        <f>IFERROR(INDEX(刷條碼區!A:C,MATCH(點上線資訊!S1688,刷條碼區!C:C,0),1),"")</f>
        <v/>
      </c>
      <c r="Y1688" s="69" t="str">
        <f>IFERROR(INDEX(刷條碼區!A:C,MATCH(點上線資訊!S1688,刷條碼區!C:C,0),2),"")</f>
        <v/>
      </c>
      <c r="Z1688" s="70" t="str">
        <f>IFERROR(INDEX(刷條碼區!D:G,MATCH(點上線資訊!S1688,刷條碼區!F:F,0),1),"")</f>
        <v/>
      </c>
      <c r="AA1688" s="71" t="str">
        <f>IFERROR(INDEX(刷條碼區!D:G,MATCH(點上線資訊!S1688,刷條碼區!F:F,0),2),"")</f>
        <v/>
      </c>
      <c r="AB1688" s="20">
        <f t="shared" si="160"/>
        <v>0</v>
      </c>
      <c r="AC1688" s="20" t="b">
        <f t="shared" si="161"/>
        <v>0</v>
      </c>
      <c r="AD1688" s="17" t="b">
        <f t="shared" si="162"/>
        <v>0</v>
      </c>
      <c r="AE1688" s="17" t="b">
        <f t="shared" si="163"/>
        <v>0</v>
      </c>
    </row>
    <row r="1689" spans="17:31" x14ac:dyDescent="0.2">
      <c r="Q1689" s="17">
        <f>IFERROR(VLOOKUP(A1689,已除帳印單!B:C,1,0),0)*1</f>
        <v>0</v>
      </c>
      <c r="R1689" s="67" t="str">
        <f>IFERROR(VLOOKUP(J1689,線別!A:B,2,1),"")</f>
        <v/>
      </c>
      <c r="S1689" s="17" t="str">
        <f>IFERROR(VLOOKUP(A1689,已除帳印單!B:C,2,0),"")</f>
        <v/>
      </c>
      <c r="T1689" s="68" t="e">
        <f t="shared" si="158"/>
        <v>#VALUE!</v>
      </c>
      <c r="U1689" s="69">
        <f t="shared" si="159"/>
        <v>0</v>
      </c>
      <c r="V1689" s="68" t="str">
        <f>IFERROR(VLOOKUP(A1689,已除帳印單!B:D,3,0),"")</f>
        <v/>
      </c>
      <c r="W1689" s="69" t="str">
        <f>IFERROR(VLOOKUP(A1689,已除帳印單!B:E,4,0),"")</f>
        <v/>
      </c>
      <c r="X1689" s="68" t="str">
        <f>IFERROR(INDEX(刷條碼區!A:C,MATCH(點上線資訊!S1689,刷條碼區!C:C,0),1),"")</f>
        <v/>
      </c>
      <c r="Y1689" s="69" t="str">
        <f>IFERROR(INDEX(刷條碼區!A:C,MATCH(點上線資訊!S1689,刷條碼區!C:C,0),2),"")</f>
        <v/>
      </c>
      <c r="Z1689" s="70" t="str">
        <f>IFERROR(INDEX(刷條碼區!D:G,MATCH(點上線資訊!S1689,刷條碼區!F:F,0),1),"")</f>
        <v/>
      </c>
      <c r="AA1689" s="71" t="str">
        <f>IFERROR(INDEX(刷條碼區!D:G,MATCH(點上線資訊!S1689,刷條碼區!F:F,0),2),"")</f>
        <v/>
      </c>
      <c r="AB1689" s="20">
        <f t="shared" si="160"/>
        <v>0</v>
      </c>
      <c r="AC1689" s="20" t="b">
        <f t="shared" si="161"/>
        <v>0</v>
      </c>
      <c r="AD1689" s="17" t="b">
        <f t="shared" si="162"/>
        <v>0</v>
      </c>
      <c r="AE1689" s="17" t="b">
        <f t="shared" si="163"/>
        <v>0</v>
      </c>
    </row>
    <row r="1690" spans="17:31" x14ac:dyDescent="0.2">
      <c r="Q1690" s="17">
        <f>IFERROR(VLOOKUP(A1690,已除帳印單!B:C,1,0),0)*1</f>
        <v>0</v>
      </c>
      <c r="R1690" s="67" t="str">
        <f>IFERROR(VLOOKUP(J1690,線別!A:B,2,1),"")</f>
        <v/>
      </c>
      <c r="S1690" s="17" t="str">
        <f>IFERROR(VLOOKUP(A1690,已除帳印單!B:C,2,0),"")</f>
        <v/>
      </c>
      <c r="T1690" s="68" t="e">
        <f t="shared" si="158"/>
        <v>#VALUE!</v>
      </c>
      <c r="U1690" s="69">
        <f t="shared" si="159"/>
        <v>0</v>
      </c>
      <c r="V1690" s="68" t="str">
        <f>IFERROR(VLOOKUP(A1690,已除帳印單!B:D,3,0),"")</f>
        <v/>
      </c>
      <c r="W1690" s="69" t="str">
        <f>IFERROR(VLOOKUP(A1690,已除帳印單!B:E,4,0),"")</f>
        <v/>
      </c>
      <c r="X1690" s="68" t="str">
        <f>IFERROR(INDEX(刷條碼區!A:C,MATCH(點上線資訊!S1690,刷條碼區!C:C,0),1),"")</f>
        <v/>
      </c>
      <c r="Y1690" s="69" t="str">
        <f>IFERROR(INDEX(刷條碼區!A:C,MATCH(點上線資訊!S1690,刷條碼區!C:C,0),2),"")</f>
        <v/>
      </c>
      <c r="Z1690" s="70" t="str">
        <f>IFERROR(INDEX(刷條碼區!D:G,MATCH(點上線資訊!S1690,刷條碼區!F:F,0),1),"")</f>
        <v/>
      </c>
      <c r="AA1690" s="71" t="str">
        <f>IFERROR(INDEX(刷條碼區!D:G,MATCH(點上線資訊!S1690,刷條碼區!F:F,0),2),"")</f>
        <v/>
      </c>
      <c r="AB1690" s="20">
        <f t="shared" si="160"/>
        <v>0</v>
      </c>
      <c r="AC1690" s="20" t="b">
        <f t="shared" si="161"/>
        <v>0</v>
      </c>
      <c r="AD1690" s="17" t="b">
        <f t="shared" si="162"/>
        <v>0</v>
      </c>
      <c r="AE1690" s="17" t="b">
        <f t="shared" si="163"/>
        <v>0</v>
      </c>
    </row>
    <row r="1691" spans="17:31" x14ac:dyDescent="0.2">
      <c r="Q1691" s="17">
        <f>IFERROR(VLOOKUP(A1691,已除帳印單!B:C,1,0),0)*1</f>
        <v>0</v>
      </c>
      <c r="R1691" s="67" t="str">
        <f>IFERROR(VLOOKUP(J1691,線別!A:B,2,1),"")</f>
        <v/>
      </c>
      <c r="S1691" s="17" t="str">
        <f>IFERROR(VLOOKUP(A1691,已除帳印單!B:C,2,0),"")</f>
        <v/>
      </c>
      <c r="T1691" s="68" t="e">
        <f t="shared" si="158"/>
        <v>#VALUE!</v>
      </c>
      <c r="U1691" s="69">
        <f t="shared" si="159"/>
        <v>0</v>
      </c>
      <c r="V1691" s="68" t="str">
        <f>IFERROR(VLOOKUP(A1691,已除帳印單!B:D,3,0),"")</f>
        <v/>
      </c>
      <c r="W1691" s="69" t="str">
        <f>IFERROR(VLOOKUP(A1691,已除帳印單!B:E,4,0),"")</f>
        <v/>
      </c>
      <c r="X1691" s="68" t="str">
        <f>IFERROR(INDEX(刷條碼區!A:C,MATCH(點上線資訊!S1691,刷條碼區!C:C,0),1),"")</f>
        <v/>
      </c>
      <c r="Y1691" s="69" t="str">
        <f>IFERROR(INDEX(刷條碼區!A:C,MATCH(點上線資訊!S1691,刷條碼區!C:C,0),2),"")</f>
        <v/>
      </c>
      <c r="Z1691" s="70" t="str">
        <f>IFERROR(INDEX(刷條碼區!D:G,MATCH(點上線資訊!S1691,刷條碼區!F:F,0),1),"")</f>
        <v/>
      </c>
      <c r="AA1691" s="71" t="str">
        <f>IFERROR(INDEX(刷條碼區!D:G,MATCH(點上線資訊!S1691,刷條碼區!F:F,0),2),"")</f>
        <v/>
      </c>
      <c r="AB1691" s="20">
        <f t="shared" si="160"/>
        <v>0</v>
      </c>
      <c r="AC1691" s="20" t="b">
        <f t="shared" si="161"/>
        <v>0</v>
      </c>
      <c r="AD1691" s="17" t="b">
        <f t="shared" si="162"/>
        <v>0</v>
      </c>
      <c r="AE1691" s="17" t="b">
        <f t="shared" si="163"/>
        <v>0</v>
      </c>
    </row>
    <row r="1692" spans="17:31" x14ac:dyDescent="0.2">
      <c r="Q1692" s="17">
        <f>IFERROR(VLOOKUP(A1692,已除帳印單!B:C,1,0),0)*1</f>
        <v>0</v>
      </c>
      <c r="R1692" s="67" t="str">
        <f>IFERROR(VLOOKUP(J1692,線別!A:B,2,1),"")</f>
        <v/>
      </c>
      <c r="S1692" s="17" t="str">
        <f>IFERROR(VLOOKUP(A1692,已除帳印單!B:C,2,0),"")</f>
        <v/>
      </c>
      <c r="T1692" s="68" t="e">
        <f t="shared" si="158"/>
        <v>#VALUE!</v>
      </c>
      <c r="U1692" s="69">
        <f t="shared" si="159"/>
        <v>0</v>
      </c>
      <c r="V1692" s="68" t="str">
        <f>IFERROR(VLOOKUP(A1692,已除帳印單!B:D,3,0),"")</f>
        <v/>
      </c>
      <c r="W1692" s="69" t="str">
        <f>IFERROR(VLOOKUP(A1692,已除帳印單!B:E,4,0),"")</f>
        <v/>
      </c>
      <c r="X1692" s="68" t="str">
        <f>IFERROR(INDEX(刷條碼區!A:C,MATCH(點上線資訊!S1692,刷條碼區!C:C,0),1),"")</f>
        <v/>
      </c>
      <c r="Y1692" s="69" t="str">
        <f>IFERROR(INDEX(刷條碼區!A:C,MATCH(點上線資訊!S1692,刷條碼區!C:C,0),2),"")</f>
        <v/>
      </c>
      <c r="Z1692" s="70" t="str">
        <f>IFERROR(INDEX(刷條碼區!D:G,MATCH(點上線資訊!S1692,刷條碼區!F:F,0),1),"")</f>
        <v/>
      </c>
      <c r="AA1692" s="71" t="str">
        <f>IFERROR(INDEX(刷條碼區!D:G,MATCH(點上線資訊!S1692,刷條碼區!F:F,0),2),"")</f>
        <v/>
      </c>
      <c r="AB1692" s="20">
        <f t="shared" si="160"/>
        <v>0</v>
      </c>
      <c r="AC1692" s="20" t="b">
        <f t="shared" si="161"/>
        <v>0</v>
      </c>
      <c r="AD1692" s="17" t="b">
        <f t="shared" si="162"/>
        <v>0</v>
      </c>
      <c r="AE1692" s="17" t="b">
        <f t="shared" si="163"/>
        <v>0</v>
      </c>
    </row>
    <row r="1693" spans="17:31" x14ac:dyDescent="0.2">
      <c r="Q1693" s="17">
        <f>IFERROR(VLOOKUP(A1693,已除帳印單!B:C,1,0),0)*1</f>
        <v>0</v>
      </c>
      <c r="R1693" s="67" t="str">
        <f>IFERROR(VLOOKUP(J1693,線別!A:B,2,1),"")</f>
        <v/>
      </c>
      <c r="S1693" s="17" t="str">
        <f>IFERROR(VLOOKUP(A1693,已除帳印單!B:C,2,0),"")</f>
        <v/>
      </c>
      <c r="T1693" s="68" t="e">
        <f t="shared" si="158"/>
        <v>#VALUE!</v>
      </c>
      <c r="U1693" s="69">
        <f t="shared" si="159"/>
        <v>0</v>
      </c>
      <c r="V1693" s="68" t="str">
        <f>IFERROR(VLOOKUP(A1693,已除帳印單!B:D,3,0),"")</f>
        <v/>
      </c>
      <c r="W1693" s="69" t="str">
        <f>IFERROR(VLOOKUP(A1693,已除帳印單!B:E,4,0),"")</f>
        <v/>
      </c>
      <c r="X1693" s="68" t="str">
        <f>IFERROR(INDEX(刷條碼區!A:C,MATCH(點上線資訊!S1693,刷條碼區!C:C,0),1),"")</f>
        <v/>
      </c>
      <c r="Y1693" s="69" t="str">
        <f>IFERROR(INDEX(刷條碼區!A:C,MATCH(點上線資訊!S1693,刷條碼區!C:C,0),2),"")</f>
        <v/>
      </c>
      <c r="Z1693" s="70" t="str">
        <f>IFERROR(INDEX(刷條碼區!D:G,MATCH(點上線資訊!S1693,刷條碼區!F:F,0),1),"")</f>
        <v/>
      </c>
      <c r="AA1693" s="71" t="str">
        <f>IFERROR(INDEX(刷條碼區!D:G,MATCH(點上線資訊!S1693,刷條碼區!F:F,0),2),"")</f>
        <v/>
      </c>
      <c r="AB1693" s="20">
        <f t="shared" si="160"/>
        <v>0</v>
      </c>
      <c r="AC1693" s="20" t="b">
        <f t="shared" si="161"/>
        <v>0</v>
      </c>
      <c r="AD1693" s="17" t="b">
        <f t="shared" si="162"/>
        <v>0</v>
      </c>
      <c r="AE1693" s="17" t="b">
        <f t="shared" si="163"/>
        <v>0</v>
      </c>
    </row>
    <row r="1694" spans="17:31" x14ac:dyDescent="0.2">
      <c r="Q1694" s="17">
        <f>IFERROR(VLOOKUP(A1694,已除帳印單!B:C,1,0),0)*1</f>
        <v>0</v>
      </c>
      <c r="R1694" s="67" t="str">
        <f>IFERROR(VLOOKUP(J1694,線別!A:B,2,1),"")</f>
        <v/>
      </c>
      <c r="S1694" s="17" t="str">
        <f>IFERROR(VLOOKUP(A1694,已除帳印單!B:C,2,0),"")</f>
        <v/>
      </c>
      <c r="T1694" s="68" t="e">
        <f t="shared" si="158"/>
        <v>#VALUE!</v>
      </c>
      <c r="U1694" s="69">
        <f t="shared" si="159"/>
        <v>0</v>
      </c>
      <c r="V1694" s="68" t="str">
        <f>IFERROR(VLOOKUP(A1694,已除帳印單!B:D,3,0),"")</f>
        <v/>
      </c>
      <c r="W1694" s="69" t="str">
        <f>IFERROR(VLOOKUP(A1694,已除帳印單!B:E,4,0),"")</f>
        <v/>
      </c>
      <c r="X1694" s="68" t="str">
        <f>IFERROR(INDEX(刷條碼區!A:C,MATCH(點上線資訊!S1694,刷條碼區!C:C,0),1),"")</f>
        <v/>
      </c>
      <c r="Y1694" s="69" t="str">
        <f>IFERROR(INDEX(刷條碼區!A:C,MATCH(點上線資訊!S1694,刷條碼區!C:C,0),2),"")</f>
        <v/>
      </c>
      <c r="Z1694" s="70" t="str">
        <f>IFERROR(INDEX(刷條碼區!D:G,MATCH(點上線資訊!S1694,刷條碼區!F:F,0),1),"")</f>
        <v/>
      </c>
      <c r="AA1694" s="71" t="str">
        <f>IFERROR(INDEX(刷條碼區!D:G,MATCH(點上線資訊!S1694,刷條碼區!F:F,0),2),"")</f>
        <v/>
      </c>
      <c r="AB1694" s="20">
        <f t="shared" si="160"/>
        <v>0</v>
      </c>
      <c r="AC1694" s="20" t="b">
        <f t="shared" si="161"/>
        <v>0</v>
      </c>
      <c r="AD1694" s="17" t="b">
        <f t="shared" si="162"/>
        <v>0</v>
      </c>
      <c r="AE1694" s="17" t="b">
        <f t="shared" si="163"/>
        <v>0</v>
      </c>
    </row>
    <row r="1695" spans="17:31" x14ac:dyDescent="0.2">
      <c r="Q1695" s="17">
        <f>IFERROR(VLOOKUP(A1695,已除帳印單!B:C,1,0),0)*1</f>
        <v>0</v>
      </c>
      <c r="R1695" s="67" t="str">
        <f>IFERROR(VLOOKUP(J1695,線別!A:B,2,1),"")</f>
        <v/>
      </c>
      <c r="S1695" s="17" t="str">
        <f>IFERROR(VLOOKUP(A1695,已除帳印單!B:C,2,0),"")</f>
        <v/>
      </c>
      <c r="T1695" s="68" t="e">
        <f t="shared" si="158"/>
        <v>#VALUE!</v>
      </c>
      <c r="U1695" s="69">
        <f t="shared" si="159"/>
        <v>0</v>
      </c>
      <c r="V1695" s="68" t="str">
        <f>IFERROR(VLOOKUP(A1695,已除帳印單!B:D,3,0),"")</f>
        <v/>
      </c>
      <c r="W1695" s="69" t="str">
        <f>IFERROR(VLOOKUP(A1695,已除帳印單!B:E,4,0),"")</f>
        <v/>
      </c>
      <c r="X1695" s="68" t="str">
        <f>IFERROR(INDEX(刷條碼區!A:C,MATCH(點上線資訊!S1695,刷條碼區!C:C,0),1),"")</f>
        <v/>
      </c>
      <c r="Y1695" s="69" t="str">
        <f>IFERROR(INDEX(刷條碼區!A:C,MATCH(點上線資訊!S1695,刷條碼區!C:C,0),2),"")</f>
        <v/>
      </c>
      <c r="Z1695" s="70" t="str">
        <f>IFERROR(INDEX(刷條碼區!D:G,MATCH(點上線資訊!S1695,刷條碼區!F:F,0),1),"")</f>
        <v/>
      </c>
      <c r="AA1695" s="71" t="str">
        <f>IFERROR(INDEX(刷條碼區!D:G,MATCH(點上線資訊!S1695,刷條碼區!F:F,0),2),"")</f>
        <v/>
      </c>
      <c r="AB1695" s="20">
        <f t="shared" si="160"/>
        <v>0</v>
      </c>
      <c r="AC1695" s="20" t="b">
        <f t="shared" si="161"/>
        <v>0</v>
      </c>
      <c r="AD1695" s="17" t="b">
        <f t="shared" si="162"/>
        <v>0</v>
      </c>
      <c r="AE1695" s="17" t="b">
        <f t="shared" si="163"/>
        <v>0</v>
      </c>
    </row>
    <row r="1696" spans="17:31" x14ac:dyDescent="0.2">
      <c r="Q1696" s="17">
        <f>IFERROR(VLOOKUP(A1696,已除帳印單!B:C,1,0),0)*1</f>
        <v>0</v>
      </c>
      <c r="R1696" s="67" t="str">
        <f>IFERROR(VLOOKUP(J1696,線別!A:B,2,1),"")</f>
        <v/>
      </c>
      <c r="S1696" s="17" t="str">
        <f>IFERROR(VLOOKUP(A1696,已除帳印單!B:C,2,0),"")</f>
        <v/>
      </c>
      <c r="T1696" s="68" t="e">
        <f t="shared" si="158"/>
        <v>#VALUE!</v>
      </c>
      <c r="U1696" s="69">
        <f t="shared" si="159"/>
        <v>0</v>
      </c>
      <c r="V1696" s="68" t="str">
        <f>IFERROR(VLOOKUP(A1696,已除帳印單!B:D,3,0),"")</f>
        <v/>
      </c>
      <c r="W1696" s="69" t="str">
        <f>IFERROR(VLOOKUP(A1696,已除帳印單!B:E,4,0),"")</f>
        <v/>
      </c>
      <c r="X1696" s="68" t="str">
        <f>IFERROR(INDEX(刷條碼區!A:C,MATCH(點上線資訊!S1696,刷條碼區!C:C,0),1),"")</f>
        <v/>
      </c>
      <c r="Y1696" s="69" t="str">
        <f>IFERROR(INDEX(刷條碼區!A:C,MATCH(點上線資訊!S1696,刷條碼區!C:C,0),2),"")</f>
        <v/>
      </c>
      <c r="Z1696" s="70" t="str">
        <f>IFERROR(INDEX(刷條碼區!D:G,MATCH(點上線資訊!S1696,刷條碼區!F:F,0),1),"")</f>
        <v/>
      </c>
      <c r="AA1696" s="71" t="str">
        <f>IFERROR(INDEX(刷條碼區!D:G,MATCH(點上線資訊!S1696,刷條碼區!F:F,0),2),"")</f>
        <v/>
      </c>
      <c r="AB1696" s="20">
        <f t="shared" si="160"/>
        <v>0</v>
      </c>
      <c r="AC1696" s="20" t="b">
        <f t="shared" si="161"/>
        <v>0</v>
      </c>
      <c r="AD1696" s="17" t="b">
        <f t="shared" si="162"/>
        <v>0</v>
      </c>
      <c r="AE1696" s="17" t="b">
        <f t="shared" si="163"/>
        <v>0</v>
      </c>
    </row>
    <row r="1697" spans="17:31" x14ac:dyDescent="0.2">
      <c r="Q1697" s="17">
        <f>IFERROR(VLOOKUP(A1697,已除帳印單!B:C,1,0),0)*1</f>
        <v>0</v>
      </c>
      <c r="R1697" s="67" t="str">
        <f>IFERROR(VLOOKUP(J1697,線別!A:B,2,1),"")</f>
        <v/>
      </c>
      <c r="S1697" s="17" t="str">
        <f>IFERROR(VLOOKUP(A1697,已除帳印單!B:C,2,0),"")</f>
        <v/>
      </c>
      <c r="T1697" s="68" t="e">
        <f t="shared" si="158"/>
        <v>#VALUE!</v>
      </c>
      <c r="U1697" s="69">
        <f t="shared" si="159"/>
        <v>0</v>
      </c>
      <c r="V1697" s="68" t="str">
        <f>IFERROR(VLOOKUP(A1697,已除帳印單!B:D,3,0),"")</f>
        <v/>
      </c>
      <c r="W1697" s="69" t="str">
        <f>IFERROR(VLOOKUP(A1697,已除帳印單!B:E,4,0),"")</f>
        <v/>
      </c>
      <c r="X1697" s="68" t="str">
        <f>IFERROR(INDEX(刷條碼區!A:C,MATCH(點上線資訊!S1697,刷條碼區!C:C,0),1),"")</f>
        <v/>
      </c>
      <c r="Y1697" s="69" t="str">
        <f>IFERROR(INDEX(刷條碼區!A:C,MATCH(點上線資訊!S1697,刷條碼區!C:C,0),2),"")</f>
        <v/>
      </c>
      <c r="Z1697" s="70" t="str">
        <f>IFERROR(INDEX(刷條碼區!D:G,MATCH(點上線資訊!S1697,刷條碼區!F:F,0),1),"")</f>
        <v/>
      </c>
      <c r="AA1697" s="71" t="str">
        <f>IFERROR(INDEX(刷條碼區!D:G,MATCH(點上線資訊!S1697,刷條碼區!F:F,0),2),"")</f>
        <v/>
      </c>
      <c r="AB1697" s="20">
        <f t="shared" si="160"/>
        <v>0</v>
      </c>
      <c r="AC1697" s="20" t="b">
        <f t="shared" si="161"/>
        <v>0</v>
      </c>
      <c r="AD1697" s="17" t="b">
        <f t="shared" si="162"/>
        <v>0</v>
      </c>
      <c r="AE1697" s="17" t="b">
        <f t="shared" si="163"/>
        <v>0</v>
      </c>
    </row>
    <row r="1698" spans="17:31" x14ac:dyDescent="0.2">
      <c r="Q1698" s="17">
        <f>IFERROR(VLOOKUP(A1698,已除帳印單!B:C,1,0),0)*1</f>
        <v>0</v>
      </c>
      <c r="R1698" s="67" t="str">
        <f>IFERROR(VLOOKUP(J1698,線別!A:B,2,1),"")</f>
        <v/>
      </c>
      <c r="S1698" s="17" t="str">
        <f>IFERROR(VLOOKUP(A1698,已除帳印單!B:C,2,0),"")</f>
        <v/>
      </c>
      <c r="T1698" s="68" t="e">
        <f t="shared" si="158"/>
        <v>#VALUE!</v>
      </c>
      <c r="U1698" s="69">
        <f t="shared" si="159"/>
        <v>0</v>
      </c>
      <c r="V1698" s="68" t="str">
        <f>IFERROR(VLOOKUP(A1698,已除帳印單!B:D,3,0),"")</f>
        <v/>
      </c>
      <c r="W1698" s="69" t="str">
        <f>IFERROR(VLOOKUP(A1698,已除帳印單!B:E,4,0),"")</f>
        <v/>
      </c>
      <c r="X1698" s="68" t="str">
        <f>IFERROR(INDEX(刷條碼區!A:C,MATCH(點上線資訊!S1698,刷條碼區!C:C,0),1),"")</f>
        <v/>
      </c>
      <c r="Y1698" s="69" t="str">
        <f>IFERROR(INDEX(刷條碼區!A:C,MATCH(點上線資訊!S1698,刷條碼區!C:C,0),2),"")</f>
        <v/>
      </c>
      <c r="Z1698" s="70" t="str">
        <f>IFERROR(INDEX(刷條碼區!D:G,MATCH(點上線資訊!S1698,刷條碼區!F:F,0),1),"")</f>
        <v/>
      </c>
      <c r="AA1698" s="71" t="str">
        <f>IFERROR(INDEX(刷條碼區!D:G,MATCH(點上線資訊!S1698,刷條碼區!F:F,0),2),"")</f>
        <v/>
      </c>
      <c r="AB1698" s="20">
        <f t="shared" si="160"/>
        <v>0</v>
      </c>
      <c r="AC1698" s="20" t="b">
        <f t="shared" si="161"/>
        <v>0</v>
      </c>
      <c r="AD1698" s="17" t="b">
        <f t="shared" si="162"/>
        <v>0</v>
      </c>
      <c r="AE1698" s="17" t="b">
        <f t="shared" si="163"/>
        <v>0</v>
      </c>
    </row>
    <row r="1699" spans="17:31" x14ac:dyDescent="0.2">
      <c r="Q1699" s="17">
        <f>IFERROR(VLOOKUP(A1699,已除帳印單!B:C,1,0),0)*1</f>
        <v>0</v>
      </c>
      <c r="R1699" s="67" t="str">
        <f>IFERROR(VLOOKUP(J1699,線別!A:B,2,1),"")</f>
        <v/>
      </c>
      <c r="S1699" s="17" t="str">
        <f>IFERROR(VLOOKUP(A1699,已除帳印單!B:C,2,0),"")</f>
        <v/>
      </c>
      <c r="T1699" s="68" t="e">
        <f t="shared" si="158"/>
        <v>#VALUE!</v>
      </c>
      <c r="U1699" s="69">
        <f t="shared" si="159"/>
        <v>0</v>
      </c>
      <c r="V1699" s="68" t="str">
        <f>IFERROR(VLOOKUP(A1699,已除帳印單!B:D,3,0),"")</f>
        <v/>
      </c>
      <c r="W1699" s="69" t="str">
        <f>IFERROR(VLOOKUP(A1699,已除帳印單!B:E,4,0),"")</f>
        <v/>
      </c>
      <c r="X1699" s="68" t="str">
        <f>IFERROR(INDEX(刷條碼區!A:C,MATCH(點上線資訊!S1699,刷條碼區!C:C,0),1),"")</f>
        <v/>
      </c>
      <c r="Y1699" s="69" t="str">
        <f>IFERROR(INDEX(刷條碼區!A:C,MATCH(點上線資訊!S1699,刷條碼區!C:C,0),2),"")</f>
        <v/>
      </c>
      <c r="Z1699" s="70" t="str">
        <f>IFERROR(INDEX(刷條碼區!D:G,MATCH(點上線資訊!S1699,刷條碼區!F:F,0),1),"")</f>
        <v/>
      </c>
      <c r="AA1699" s="71" t="str">
        <f>IFERROR(INDEX(刷條碼區!D:G,MATCH(點上線資訊!S1699,刷條碼區!F:F,0),2),"")</f>
        <v/>
      </c>
      <c r="AB1699" s="20">
        <f t="shared" si="160"/>
        <v>0</v>
      </c>
      <c r="AC1699" s="20" t="b">
        <f t="shared" si="161"/>
        <v>0</v>
      </c>
      <c r="AD1699" s="17" t="b">
        <f t="shared" si="162"/>
        <v>0</v>
      </c>
      <c r="AE1699" s="17" t="b">
        <f t="shared" si="163"/>
        <v>0</v>
      </c>
    </row>
    <row r="1700" spans="17:31" x14ac:dyDescent="0.2">
      <c r="Q1700" s="17">
        <f>IFERROR(VLOOKUP(A1700,已除帳印單!B:C,1,0),0)*1</f>
        <v>0</v>
      </c>
      <c r="R1700" s="67" t="str">
        <f>IFERROR(VLOOKUP(J1700,線別!A:B,2,1),"")</f>
        <v/>
      </c>
      <c r="S1700" s="17" t="str">
        <f>IFERROR(VLOOKUP(A1700,已除帳印單!B:C,2,0),"")</f>
        <v/>
      </c>
      <c r="T1700" s="68" t="e">
        <f t="shared" si="158"/>
        <v>#VALUE!</v>
      </c>
      <c r="U1700" s="69">
        <f t="shared" si="159"/>
        <v>0</v>
      </c>
      <c r="V1700" s="68" t="str">
        <f>IFERROR(VLOOKUP(A1700,已除帳印單!B:D,3,0),"")</f>
        <v/>
      </c>
      <c r="W1700" s="69" t="str">
        <f>IFERROR(VLOOKUP(A1700,已除帳印單!B:E,4,0),"")</f>
        <v/>
      </c>
      <c r="X1700" s="68" t="str">
        <f>IFERROR(INDEX(刷條碼區!A:C,MATCH(點上線資訊!S1700,刷條碼區!C:C,0),1),"")</f>
        <v/>
      </c>
      <c r="Y1700" s="69" t="str">
        <f>IFERROR(INDEX(刷條碼區!A:C,MATCH(點上線資訊!S1700,刷條碼區!C:C,0),2),"")</f>
        <v/>
      </c>
      <c r="Z1700" s="70" t="str">
        <f>IFERROR(INDEX(刷條碼區!D:G,MATCH(點上線資訊!S1700,刷條碼區!F:F,0),1),"")</f>
        <v/>
      </c>
      <c r="AA1700" s="71" t="str">
        <f>IFERROR(INDEX(刷條碼區!D:G,MATCH(點上線資訊!S1700,刷條碼區!F:F,0),2),"")</f>
        <v/>
      </c>
      <c r="AB1700" s="20">
        <f t="shared" si="160"/>
        <v>0</v>
      </c>
      <c r="AC1700" s="20" t="b">
        <f t="shared" si="161"/>
        <v>0</v>
      </c>
      <c r="AD1700" s="17" t="b">
        <f t="shared" si="162"/>
        <v>0</v>
      </c>
      <c r="AE1700" s="17" t="b">
        <f t="shared" si="163"/>
        <v>0</v>
      </c>
    </row>
    <row r="1701" spans="17:31" x14ac:dyDescent="0.2">
      <c r="Q1701" s="17">
        <f>IFERROR(VLOOKUP(A1701,已除帳印單!B:C,1,0),0)*1</f>
        <v>0</v>
      </c>
      <c r="R1701" s="67" t="str">
        <f>IFERROR(VLOOKUP(J1701,線別!A:B,2,1),"")</f>
        <v/>
      </c>
      <c r="S1701" s="17" t="str">
        <f>IFERROR(VLOOKUP(A1701,已除帳印單!B:C,2,0),"")</f>
        <v/>
      </c>
      <c r="T1701" s="68" t="e">
        <f t="shared" si="158"/>
        <v>#VALUE!</v>
      </c>
      <c r="U1701" s="69">
        <f t="shared" si="159"/>
        <v>0</v>
      </c>
      <c r="V1701" s="68" t="str">
        <f>IFERROR(VLOOKUP(A1701,已除帳印單!B:D,3,0),"")</f>
        <v/>
      </c>
      <c r="W1701" s="69" t="str">
        <f>IFERROR(VLOOKUP(A1701,已除帳印單!B:E,4,0),"")</f>
        <v/>
      </c>
      <c r="X1701" s="68" t="str">
        <f>IFERROR(INDEX(刷條碼區!A:C,MATCH(點上線資訊!S1701,刷條碼區!C:C,0),1),"")</f>
        <v/>
      </c>
      <c r="Y1701" s="69" t="str">
        <f>IFERROR(INDEX(刷條碼區!A:C,MATCH(點上線資訊!S1701,刷條碼區!C:C,0),2),"")</f>
        <v/>
      </c>
      <c r="Z1701" s="70" t="str">
        <f>IFERROR(INDEX(刷條碼區!D:G,MATCH(點上線資訊!S1701,刷條碼區!F:F,0),1),"")</f>
        <v/>
      </c>
      <c r="AA1701" s="71" t="str">
        <f>IFERROR(INDEX(刷條碼區!D:G,MATCH(點上線資訊!S1701,刷條碼區!F:F,0),2),"")</f>
        <v/>
      </c>
      <c r="AB1701" s="20">
        <f t="shared" si="160"/>
        <v>0</v>
      </c>
      <c r="AC1701" s="20" t="b">
        <f t="shared" si="161"/>
        <v>0</v>
      </c>
      <c r="AD1701" s="17" t="b">
        <f t="shared" si="162"/>
        <v>0</v>
      </c>
      <c r="AE1701" s="17" t="b">
        <f t="shared" si="163"/>
        <v>0</v>
      </c>
    </row>
    <row r="1702" spans="17:31" x14ac:dyDescent="0.2">
      <c r="Q1702" s="17">
        <f>IFERROR(VLOOKUP(A1702,已除帳印單!B:C,1,0),0)*1</f>
        <v>0</v>
      </c>
      <c r="R1702" s="67" t="str">
        <f>IFERROR(VLOOKUP(J1702,線別!A:B,2,1),"")</f>
        <v/>
      </c>
      <c r="S1702" s="17" t="str">
        <f>IFERROR(VLOOKUP(A1702,已除帳印單!B:C,2,0),"")</f>
        <v/>
      </c>
      <c r="T1702" s="68" t="e">
        <f t="shared" si="158"/>
        <v>#VALUE!</v>
      </c>
      <c r="U1702" s="69">
        <f t="shared" si="159"/>
        <v>0</v>
      </c>
      <c r="V1702" s="68" t="str">
        <f>IFERROR(VLOOKUP(A1702,已除帳印單!B:D,3,0),"")</f>
        <v/>
      </c>
      <c r="W1702" s="69" t="str">
        <f>IFERROR(VLOOKUP(A1702,已除帳印單!B:E,4,0),"")</f>
        <v/>
      </c>
      <c r="X1702" s="68" t="str">
        <f>IFERROR(INDEX(刷條碼區!A:C,MATCH(點上線資訊!S1702,刷條碼區!C:C,0),1),"")</f>
        <v/>
      </c>
      <c r="Y1702" s="69" t="str">
        <f>IFERROR(INDEX(刷條碼區!A:C,MATCH(點上線資訊!S1702,刷條碼區!C:C,0),2),"")</f>
        <v/>
      </c>
      <c r="Z1702" s="70" t="str">
        <f>IFERROR(INDEX(刷條碼區!D:G,MATCH(點上線資訊!S1702,刷條碼區!F:F,0),1),"")</f>
        <v/>
      </c>
      <c r="AA1702" s="71" t="str">
        <f>IFERROR(INDEX(刷條碼區!D:G,MATCH(點上線資訊!S1702,刷條碼區!F:F,0),2),"")</f>
        <v/>
      </c>
      <c r="AB1702" s="20">
        <f t="shared" si="160"/>
        <v>0</v>
      </c>
      <c r="AC1702" s="20" t="b">
        <f t="shared" si="161"/>
        <v>0</v>
      </c>
      <c r="AD1702" s="17" t="b">
        <f t="shared" si="162"/>
        <v>0</v>
      </c>
      <c r="AE1702" s="17" t="b">
        <f t="shared" si="163"/>
        <v>0</v>
      </c>
    </row>
    <row r="1703" spans="17:31" x14ac:dyDescent="0.2">
      <c r="Q1703" s="17">
        <f>IFERROR(VLOOKUP(A1703,已除帳印單!B:C,1,0),0)*1</f>
        <v>0</v>
      </c>
      <c r="R1703" s="67" t="str">
        <f>IFERROR(VLOOKUP(J1703,線別!A:B,2,1),"")</f>
        <v/>
      </c>
      <c r="S1703" s="17" t="str">
        <f>IFERROR(VLOOKUP(A1703,已除帳印單!B:C,2,0),"")</f>
        <v/>
      </c>
      <c r="T1703" s="68" t="e">
        <f t="shared" si="158"/>
        <v>#VALUE!</v>
      </c>
      <c r="U1703" s="69">
        <f t="shared" si="159"/>
        <v>0</v>
      </c>
      <c r="V1703" s="68" t="str">
        <f>IFERROR(VLOOKUP(A1703,已除帳印單!B:D,3,0),"")</f>
        <v/>
      </c>
      <c r="W1703" s="69" t="str">
        <f>IFERROR(VLOOKUP(A1703,已除帳印單!B:E,4,0),"")</f>
        <v/>
      </c>
      <c r="X1703" s="68" t="str">
        <f>IFERROR(INDEX(刷條碼區!A:C,MATCH(點上線資訊!S1703,刷條碼區!C:C,0),1),"")</f>
        <v/>
      </c>
      <c r="Y1703" s="69" t="str">
        <f>IFERROR(INDEX(刷條碼區!A:C,MATCH(點上線資訊!S1703,刷條碼區!C:C,0),2),"")</f>
        <v/>
      </c>
      <c r="Z1703" s="70" t="str">
        <f>IFERROR(INDEX(刷條碼區!D:G,MATCH(點上線資訊!S1703,刷條碼區!F:F,0),1),"")</f>
        <v/>
      </c>
      <c r="AA1703" s="71" t="str">
        <f>IFERROR(INDEX(刷條碼區!D:G,MATCH(點上線資訊!S1703,刷條碼區!F:F,0),2),"")</f>
        <v/>
      </c>
      <c r="AB1703" s="20">
        <f t="shared" si="160"/>
        <v>0</v>
      </c>
      <c r="AC1703" s="20" t="b">
        <f t="shared" si="161"/>
        <v>0</v>
      </c>
      <c r="AD1703" s="17" t="b">
        <f t="shared" si="162"/>
        <v>0</v>
      </c>
      <c r="AE1703" s="17" t="b">
        <f t="shared" si="163"/>
        <v>0</v>
      </c>
    </row>
    <row r="1704" spans="17:31" x14ac:dyDescent="0.2">
      <c r="Q1704" s="17">
        <f>IFERROR(VLOOKUP(A1704,已除帳印單!B:C,1,0),0)*1</f>
        <v>0</v>
      </c>
      <c r="R1704" s="67" t="str">
        <f>IFERROR(VLOOKUP(J1704,線別!A:B,2,1),"")</f>
        <v/>
      </c>
      <c r="S1704" s="17" t="str">
        <f>IFERROR(VLOOKUP(A1704,已除帳印單!B:C,2,0),"")</f>
        <v/>
      </c>
      <c r="T1704" s="68" t="e">
        <f t="shared" si="158"/>
        <v>#VALUE!</v>
      </c>
      <c r="U1704" s="69">
        <f t="shared" si="159"/>
        <v>0</v>
      </c>
      <c r="V1704" s="68" t="str">
        <f>IFERROR(VLOOKUP(A1704,已除帳印單!B:D,3,0),"")</f>
        <v/>
      </c>
      <c r="W1704" s="69" t="str">
        <f>IFERROR(VLOOKUP(A1704,已除帳印單!B:E,4,0),"")</f>
        <v/>
      </c>
      <c r="X1704" s="68" t="str">
        <f>IFERROR(INDEX(刷條碼區!A:C,MATCH(點上線資訊!S1704,刷條碼區!C:C,0),1),"")</f>
        <v/>
      </c>
      <c r="Y1704" s="69" t="str">
        <f>IFERROR(INDEX(刷條碼區!A:C,MATCH(點上線資訊!S1704,刷條碼區!C:C,0),2),"")</f>
        <v/>
      </c>
      <c r="Z1704" s="70" t="str">
        <f>IFERROR(INDEX(刷條碼區!D:G,MATCH(點上線資訊!S1704,刷條碼區!F:F,0),1),"")</f>
        <v/>
      </c>
      <c r="AA1704" s="71" t="str">
        <f>IFERROR(INDEX(刷條碼區!D:G,MATCH(點上線資訊!S1704,刷條碼區!F:F,0),2),"")</f>
        <v/>
      </c>
      <c r="AB1704" s="20">
        <f t="shared" si="160"/>
        <v>0</v>
      </c>
      <c r="AC1704" s="20" t="b">
        <f t="shared" si="161"/>
        <v>0</v>
      </c>
      <c r="AD1704" s="17" t="b">
        <f t="shared" si="162"/>
        <v>0</v>
      </c>
      <c r="AE1704" s="17" t="b">
        <f t="shared" si="163"/>
        <v>0</v>
      </c>
    </row>
    <row r="1705" spans="17:31" x14ac:dyDescent="0.2">
      <c r="Q1705" s="17">
        <f>IFERROR(VLOOKUP(A1705,已除帳印單!B:C,1,0),0)*1</f>
        <v>0</v>
      </c>
      <c r="R1705" s="67" t="str">
        <f>IFERROR(VLOOKUP(J1705,線別!A:B,2,1),"")</f>
        <v/>
      </c>
      <c r="S1705" s="17" t="str">
        <f>IFERROR(VLOOKUP(A1705,已除帳印單!B:C,2,0),"")</f>
        <v/>
      </c>
      <c r="T1705" s="68" t="e">
        <f t="shared" si="158"/>
        <v>#VALUE!</v>
      </c>
      <c r="U1705" s="69">
        <f t="shared" si="159"/>
        <v>0</v>
      </c>
      <c r="V1705" s="68" t="str">
        <f>IFERROR(VLOOKUP(A1705,已除帳印單!B:D,3,0),"")</f>
        <v/>
      </c>
      <c r="W1705" s="69" t="str">
        <f>IFERROR(VLOOKUP(A1705,已除帳印單!B:E,4,0),"")</f>
        <v/>
      </c>
      <c r="X1705" s="68" t="str">
        <f>IFERROR(INDEX(刷條碼區!A:C,MATCH(點上線資訊!S1705,刷條碼區!C:C,0),1),"")</f>
        <v/>
      </c>
      <c r="Y1705" s="69" t="str">
        <f>IFERROR(INDEX(刷條碼區!A:C,MATCH(點上線資訊!S1705,刷條碼區!C:C,0),2),"")</f>
        <v/>
      </c>
      <c r="Z1705" s="70" t="str">
        <f>IFERROR(INDEX(刷條碼區!D:G,MATCH(點上線資訊!S1705,刷條碼區!F:F,0),1),"")</f>
        <v/>
      </c>
      <c r="AA1705" s="71" t="str">
        <f>IFERROR(INDEX(刷條碼區!D:G,MATCH(點上線資訊!S1705,刷條碼區!F:F,0),2),"")</f>
        <v/>
      </c>
      <c r="AB1705" s="20">
        <f t="shared" si="160"/>
        <v>0</v>
      </c>
      <c r="AC1705" s="20" t="b">
        <f t="shared" si="161"/>
        <v>0</v>
      </c>
      <c r="AD1705" s="17" t="b">
        <f t="shared" si="162"/>
        <v>0</v>
      </c>
      <c r="AE1705" s="17" t="b">
        <f t="shared" si="163"/>
        <v>0</v>
      </c>
    </row>
    <row r="1706" spans="17:31" x14ac:dyDescent="0.2">
      <c r="Q1706" s="17">
        <f>IFERROR(VLOOKUP(A1706,已除帳印單!B:C,1,0),0)*1</f>
        <v>0</v>
      </c>
      <c r="R1706" s="67" t="str">
        <f>IFERROR(VLOOKUP(J1706,線別!A:B,2,1),"")</f>
        <v/>
      </c>
      <c r="S1706" s="17" t="str">
        <f>IFERROR(VLOOKUP(A1706,已除帳印單!B:C,2,0),"")</f>
        <v/>
      </c>
      <c r="T1706" s="68" t="e">
        <f t="shared" si="158"/>
        <v>#VALUE!</v>
      </c>
      <c r="U1706" s="69">
        <f t="shared" si="159"/>
        <v>0</v>
      </c>
      <c r="V1706" s="68" t="str">
        <f>IFERROR(VLOOKUP(A1706,已除帳印單!B:D,3,0),"")</f>
        <v/>
      </c>
      <c r="W1706" s="69" t="str">
        <f>IFERROR(VLOOKUP(A1706,已除帳印單!B:E,4,0),"")</f>
        <v/>
      </c>
      <c r="X1706" s="68" t="str">
        <f>IFERROR(INDEX(刷條碼區!A:C,MATCH(點上線資訊!S1706,刷條碼區!C:C,0),1),"")</f>
        <v/>
      </c>
      <c r="Y1706" s="69" t="str">
        <f>IFERROR(INDEX(刷條碼區!A:C,MATCH(點上線資訊!S1706,刷條碼區!C:C,0),2),"")</f>
        <v/>
      </c>
      <c r="Z1706" s="70" t="str">
        <f>IFERROR(INDEX(刷條碼區!D:G,MATCH(點上線資訊!S1706,刷條碼區!F:F,0),1),"")</f>
        <v/>
      </c>
      <c r="AA1706" s="71" t="str">
        <f>IFERROR(INDEX(刷條碼區!D:G,MATCH(點上線資訊!S1706,刷條碼區!F:F,0),2),"")</f>
        <v/>
      </c>
      <c r="AB1706" s="20">
        <f t="shared" si="160"/>
        <v>0</v>
      </c>
      <c r="AC1706" s="20" t="b">
        <f t="shared" si="161"/>
        <v>0</v>
      </c>
      <c r="AD1706" s="17" t="b">
        <f t="shared" si="162"/>
        <v>0</v>
      </c>
      <c r="AE1706" s="17" t="b">
        <f t="shared" si="163"/>
        <v>0</v>
      </c>
    </row>
    <row r="1707" spans="17:31" x14ac:dyDescent="0.2">
      <c r="Q1707" s="17">
        <f>IFERROR(VLOOKUP(A1707,已除帳印單!B:C,1,0),0)*1</f>
        <v>0</v>
      </c>
      <c r="R1707" s="67" t="str">
        <f>IFERROR(VLOOKUP(J1707,線別!A:B,2,1),"")</f>
        <v/>
      </c>
      <c r="S1707" s="17" t="str">
        <f>IFERROR(VLOOKUP(A1707,已除帳印單!B:C,2,0),"")</f>
        <v/>
      </c>
      <c r="T1707" s="68" t="e">
        <f t="shared" si="158"/>
        <v>#VALUE!</v>
      </c>
      <c r="U1707" s="69">
        <f t="shared" si="159"/>
        <v>0</v>
      </c>
      <c r="V1707" s="68" t="str">
        <f>IFERROR(VLOOKUP(A1707,已除帳印單!B:D,3,0),"")</f>
        <v/>
      </c>
      <c r="W1707" s="69" t="str">
        <f>IFERROR(VLOOKUP(A1707,已除帳印單!B:E,4,0),"")</f>
        <v/>
      </c>
      <c r="X1707" s="68" t="str">
        <f>IFERROR(INDEX(刷條碼區!A:C,MATCH(點上線資訊!S1707,刷條碼區!C:C,0),1),"")</f>
        <v/>
      </c>
      <c r="Y1707" s="69" t="str">
        <f>IFERROR(INDEX(刷條碼區!A:C,MATCH(點上線資訊!S1707,刷條碼區!C:C,0),2),"")</f>
        <v/>
      </c>
      <c r="Z1707" s="70" t="str">
        <f>IFERROR(INDEX(刷條碼區!D:G,MATCH(點上線資訊!S1707,刷條碼區!F:F,0),1),"")</f>
        <v/>
      </c>
      <c r="AA1707" s="71" t="str">
        <f>IFERROR(INDEX(刷條碼區!D:G,MATCH(點上線資訊!S1707,刷條碼區!F:F,0),2),"")</f>
        <v/>
      </c>
      <c r="AB1707" s="20">
        <f t="shared" si="160"/>
        <v>0</v>
      </c>
      <c r="AC1707" s="20" t="b">
        <f t="shared" si="161"/>
        <v>0</v>
      </c>
      <c r="AD1707" s="17" t="b">
        <f t="shared" si="162"/>
        <v>0</v>
      </c>
      <c r="AE1707" s="17" t="b">
        <f t="shared" si="163"/>
        <v>0</v>
      </c>
    </row>
    <row r="1708" spans="17:31" x14ac:dyDescent="0.2">
      <c r="Q1708" s="17">
        <f>IFERROR(VLOOKUP(A1708,已除帳印單!B:C,1,0),0)*1</f>
        <v>0</v>
      </c>
      <c r="R1708" s="67" t="str">
        <f>IFERROR(VLOOKUP(J1708,線別!A:B,2,1),"")</f>
        <v/>
      </c>
      <c r="S1708" s="17" t="str">
        <f>IFERROR(VLOOKUP(A1708,已除帳印單!B:C,2,0),"")</f>
        <v/>
      </c>
      <c r="T1708" s="68" t="e">
        <f t="shared" si="158"/>
        <v>#VALUE!</v>
      </c>
      <c r="U1708" s="69">
        <f t="shared" si="159"/>
        <v>0</v>
      </c>
      <c r="V1708" s="68" t="str">
        <f>IFERROR(VLOOKUP(A1708,已除帳印單!B:D,3,0),"")</f>
        <v/>
      </c>
      <c r="W1708" s="69" t="str">
        <f>IFERROR(VLOOKUP(A1708,已除帳印單!B:E,4,0),"")</f>
        <v/>
      </c>
      <c r="X1708" s="68" t="str">
        <f>IFERROR(INDEX(刷條碼區!A:C,MATCH(點上線資訊!S1708,刷條碼區!C:C,0),1),"")</f>
        <v/>
      </c>
      <c r="Y1708" s="69" t="str">
        <f>IFERROR(INDEX(刷條碼區!A:C,MATCH(點上線資訊!S1708,刷條碼區!C:C,0),2),"")</f>
        <v/>
      </c>
      <c r="Z1708" s="70" t="str">
        <f>IFERROR(INDEX(刷條碼區!D:G,MATCH(點上線資訊!S1708,刷條碼區!F:F,0),1),"")</f>
        <v/>
      </c>
      <c r="AA1708" s="71" t="str">
        <f>IFERROR(INDEX(刷條碼區!D:G,MATCH(點上線資訊!S1708,刷條碼區!F:F,0),2),"")</f>
        <v/>
      </c>
      <c r="AB1708" s="20">
        <f t="shared" si="160"/>
        <v>0</v>
      </c>
      <c r="AC1708" s="20" t="b">
        <f t="shared" si="161"/>
        <v>0</v>
      </c>
      <c r="AD1708" s="17" t="b">
        <f t="shared" si="162"/>
        <v>0</v>
      </c>
      <c r="AE1708" s="17" t="b">
        <f t="shared" si="163"/>
        <v>0</v>
      </c>
    </row>
    <row r="1709" spans="17:31" x14ac:dyDescent="0.2">
      <c r="Q1709" s="17">
        <f>IFERROR(VLOOKUP(A1709,已除帳印單!B:C,1,0),0)*1</f>
        <v>0</v>
      </c>
      <c r="R1709" s="67" t="str">
        <f>IFERROR(VLOOKUP(J1709,線別!A:B,2,1),"")</f>
        <v/>
      </c>
      <c r="S1709" s="17" t="str">
        <f>IFERROR(VLOOKUP(A1709,已除帳印單!B:C,2,0),"")</f>
        <v/>
      </c>
      <c r="T1709" s="68" t="e">
        <f t="shared" si="158"/>
        <v>#VALUE!</v>
      </c>
      <c r="U1709" s="69">
        <f t="shared" si="159"/>
        <v>0</v>
      </c>
      <c r="V1709" s="68" t="str">
        <f>IFERROR(VLOOKUP(A1709,已除帳印單!B:D,3,0),"")</f>
        <v/>
      </c>
      <c r="W1709" s="69" t="str">
        <f>IFERROR(VLOOKUP(A1709,已除帳印單!B:E,4,0),"")</f>
        <v/>
      </c>
      <c r="X1709" s="68" t="str">
        <f>IFERROR(INDEX(刷條碼區!A:C,MATCH(點上線資訊!S1709,刷條碼區!C:C,0),1),"")</f>
        <v/>
      </c>
      <c r="Y1709" s="69" t="str">
        <f>IFERROR(INDEX(刷條碼區!A:C,MATCH(點上線資訊!S1709,刷條碼區!C:C,0),2),"")</f>
        <v/>
      </c>
      <c r="Z1709" s="70" t="str">
        <f>IFERROR(INDEX(刷條碼區!D:G,MATCH(點上線資訊!S1709,刷條碼區!F:F,0),1),"")</f>
        <v/>
      </c>
      <c r="AA1709" s="71" t="str">
        <f>IFERROR(INDEX(刷條碼區!D:G,MATCH(點上線資訊!S1709,刷條碼區!F:F,0),2),"")</f>
        <v/>
      </c>
      <c r="AB1709" s="20">
        <f t="shared" si="160"/>
        <v>0</v>
      </c>
      <c r="AC1709" s="20" t="b">
        <f t="shared" si="161"/>
        <v>0</v>
      </c>
      <c r="AD1709" s="17" t="b">
        <f t="shared" si="162"/>
        <v>0</v>
      </c>
      <c r="AE1709" s="17" t="b">
        <f t="shared" si="163"/>
        <v>0</v>
      </c>
    </row>
    <row r="1710" spans="17:31" x14ac:dyDescent="0.2">
      <c r="Q1710" s="17">
        <f>IFERROR(VLOOKUP(A1710,已除帳印單!B:C,1,0),0)*1</f>
        <v>0</v>
      </c>
      <c r="R1710" s="67" t="str">
        <f>IFERROR(VLOOKUP(J1710,線別!A:B,2,1),"")</f>
        <v/>
      </c>
      <c r="S1710" s="17" t="str">
        <f>IFERROR(VLOOKUP(A1710,已除帳印單!B:C,2,0),"")</f>
        <v/>
      </c>
      <c r="T1710" s="68" t="e">
        <f t="shared" si="158"/>
        <v>#VALUE!</v>
      </c>
      <c r="U1710" s="69">
        <f t="shared" si="159"/>
        <v>0</v>
      </c>
      <c r="V1710" s="68" t="str">
        <f>IFERROR(VLOOKUP(A1710,已除帳印單!B:D,3,0),"")</f>
        <v/>
      </c>
      <c r="W1710" s="69" t="str">
        <f>IFERROR(VLOOKUP(A1710,已除帳印單!B:E,4,0),"")</f>
        <v/>
      </c>
      <c r="X1710" s="68" t="str">
        <f>IFERROR(INDEX(刷條碼區!A:C,MATCH(點上線資訊!S1710,刷條碼區!C:C,0),1),"")</f>
        <v/>
      </c>
      <c r="Y1710" s="69" t="str">
        <f>IFERROR(INDEX(刷條碼區!A:C,MATCH(點上線資訊!S1710,刷條碼區!C:C,0),2),"")</f>
        <v/>
      </c>
      <c r="Z1710" s="70" t="str">
        <f>IFERROR(INDEX(刷條碼區!D:G,MATCH(點上線資訊!S1710,刷條碼區!F:F,0),1),"")</f>
        <v/>
      </c>
      <c r="AA1710" s="71" t="str">
        <f>IFERROR(INDEX(刷條碼區!D:G,MATCH(點上線資訊!S1710,刷條碼區!F:F,0),2),"")</f>
        <v/>
      </c>
      <c r="AB1710" s="20">
        <f t="shared" si="160"/>
        <v>0</v>
      </c>
      <c r="AC1710" s="20" t="b">
        <f t="shared" si="161"/>
        <v>0</v>
      </c>
      <c r="AD1710" s="17" t="b">
        <f t="shared" si="162"/>
        <v>0</v>
      </c>
      <c r="AE1710" s="17" t="b">
        <f t="shared" si="163"/>
        <v>0</v>
      </c>
    </row>
    <row r="1711" spans="17:31" x14ac:dyDescent="0.2">
      <c r="Q1711" s="17">
        <f>IFERROR(VLOOKUP(A1711,已除帳印單!B:C,1,0),0)*1</f>
        <v>0</v>
      </c>
      <c r="R1711" s="67" t="str">
        <f>IFERROR(VLOOKUP(J1711,線別!A:B,2,1),"")</f>
        <v/>
      </c>
      <c r="S1711" s="17" t="str">
        <f>IFERROR(VLOOKUP(A1711,已除帳印單!B:C,2,0),"")</f>
        <v/>
      </c>
      <c r="T1711" s="68" t="e">
        <f t="shared" si="158"/>
        <v>#VALUE!</v>
      </c>
      <c r="U1711" s="69">
        <f t="shared" si="159"/>
        <v>0</v>
      </c>
      <c r="V1711" s="68" t="str">
        <f>IFERROR(VLOOKUP(A1711,已除帳印單!B:D,3,0),"")</f>
        <v/>
      </c>
      <c r="W1711" s="69" t="str">
        <f>IFERROR(VLOOKUP(A1711,已除帳印單!B:E,4,0),"")</f>
        <v/>
      </c>
      <c r="X1711" s="68" t="str">
        <f>IFERROR(INDEX(刷條碼區!A:C,MATCH(點上線資訊!S1711,刷條碼區!C:C,0),1),"")</f>
        <v/>
      </c>
      <c r="Y1711" s="69" t="str">
        <f>IFERROR(INDEX(刷條碼區!A:C,MATCH(點上線資訊!S1711,刷條碼區!C:C,0),2),"")</f>
        <v/>
      </c>
      <c r="Z1711" s="70" t="str">
        <f>IFERROR(INDEX(刷條碼區!D:G,MATCH(點上線資訊!S1711,刷條碼區!F:F,0),1),"")</f>
        <v/>
      </c>
      <c r="AA1711" s="71" t="str">
        <f>IFERROR(INDEX(刷條碼區!D:G,MATCH(點上線資訊!S1711,刷條碼區!F:F,0),2),"")</f>
        <v/>
      </c>
      <c r="AB1711" s="20">
        <f t="shared" si="160"/>
        <v>0</v>
      </c>
      <c r="AC1711" s="20" t="b">
        <f t="shared" si="161"/>
        <v>0</v>
      </c>
      <c r="AD1711" s="17" t="b">
        <f t="shared" si="162"/>
        <v>0</v>
      </c>
      <c r="AE1711" s="17" t="b">
        <f t="shared" si="163"/>
        <v>0</v>
      </c>
    </row>
    <row r="1712" spans="17:31" x14ac:dyDescent="0.2">
      <c r="Q1712" s="17">
        <f>IFERROR(VLOOKUP(A1712,已除帳印單!B:C,1,0),0)*1</f>
        <v>0</v>
      </c>
      <c r="R1712" s="67" t="str">
        <f>IFERROR(VLOOKUP(J1712,線別!A:B,2,1),"")</f>
        <v/>
      </c>
      <c r="S1712" s="17" t="str">
        <f>IFERROR(VLOOKUP(A1712,已除帳印單!B:C,2,0),"")</f>
        <v/>
      </c>
      <c r="T1712" s="68" t="e">
        <f t="shared" si="158"/>
        <v>#VALUE!</v>
      </c>
      <c r="U1712" s="69">
        <f t="shared" si="159"/>
        <v>0</v>
      </c>
      <c r="V1712" s="68" t="str">
        <f>IFERROR(VLOOKUP(A1712,已除帳印單!B:D,3,0),"")</f>
        <v/>
      </c>
      <c r="W1712" s="69" t="str">
        <f>IFERROR(VLOOKUP(A1712,已除帳印單!B:E,4,0),"")</f>
        <v/>
      </c>
      <c r="X1712" s="68" t="str">
        <f>IFERROR(INDEX(刷條碼區!A:C,MATCH(點上線資訊!S1712,刷條碼區!C:C,0),1),"")</f>
        <v/>
      </c>
      <c r="Y1712" s="69" t="str">
        <f>IFERROR(INDEX(刷條碼區!A:C,MATCH(點上線資訊!S1712,刷條碼區!C:C,0),2),"")</f>
        <v/>
      </c>
      <c r="Z1712" s="70" t="str">
        <f>IFERROR(INDEX(刷條碼區!D:G,MATCH(點上線資訊!S1712,刷條碼區!F:F,0),1),"")</f>
        <v/>
      </c>
      <c r="AA1712" s="71" t="str">
        <f>IFERROR(INDEX(刷條碼區!D:G,MATCH(點上線資訊!S1712,刷條碼區!F:F,0),2),"")</f>
        <v/>
      </c>
      <c r="AB1712" s="20">
        <f t="shared" si="160"/>
        <v>0</v>
      </c>
      <c r="AC1712" s="20" t="b">
        <f t="shared" si="161"/>
        <v>0</v>
      </c>
      <c r="AD1712" s="17" t="b">
        <f t="shared" si="162"/>
        <v>0</v>
      </c>
      <c r="AE1712" s="17" t="b">
        <f t="shared" si="163"/>
        <v>0</v>
      </c>
    </row>
    <row r="1713" spans="17:31" x14ac:dyDescent="0.2">
      <c r="Q1713" s="17">
        <f>IFERROR(VLOOKUP(A1713,已除帳印單!B:C,1,0),0)*1</f>
        <v>0</v>
      </c>
      <c r="R1713" s="67" t="str">
        <f>IFERROR(VLOOKUP(J1713,線別!A:B,2,1),"")</f>
        <v/>
      </c>
      <c r="S1713" s="17" t="str">
        <f>IFERROR(VLOOKUP(A1713,已除帳印單!B:C,2,0),"")</f>
        <v/>
      </c>
      <c r="T1713" s="68" t="e">
        <f t="shared" si="158"/>
        <v>#VALUE!</v>
      </c>
      <c r="U1713" s="69">
        <f t="shared" si="159"/>
        <v>0</v>
      </c>
      <c r="V1713" s="68" t="str">
        <f>IFERROR(VLOOKUP(A1713,已除帳印單!B:D,3,0),"")</f>
        <v/>
      </c>
      <c r="W1713" s="69" t="str">
        <f>IFERROR(VLOOKUP(A1713,已除帳印單!B:E,4,0),"")</f>
        <v/>
      </c>
      <c r="X1713" s="68" t="str">
        <f>IFERROR(INDEX(刷條碼區!A:C,MATCH(點上線資訊!S1713,刷條碼區!C:C,0),1),"")</f>
        <v/>
      </c>
      <c r="Y1713" s="69" t="str">
        <f>IFERROR(INDEX(刷條碼區!A:C,MATCH(點上線資訊!S1713,刷條碼區!C:C,0),2),"")</f>
        <v/>
      </c>
      <c r="Z1713" s="70" t="str">
        <f>IFERROR(INDEX(刷條碼區!D:G,MATCH(點上線資訊!S1713,刷條碼區!F:F,0),1),"")</f>
        <v/>
      </c>
      <c r="AA1713" s="71" t="str">
        <f>IFERROR(INDEX(刷條碼區!D:G,MATCH(點上線資訊!S1713,刷條碼區!F:F,0),2),"")</f>
        <v/>
      </c>
      <c r="AB1713" s="20">
        <f t="shared" si="160"/>
        <v>0</v>
      </c>
      <c r="AC1713" s="20" t="b">
        <f t="shared" si="161"/>
        <v>0</v>
      </c>
      <c r="AD1713" s="17" t="b">
        <f t="shared" si="162"/>
        <v>0</v>
      </c>
      <c r="AE1713" s="17" t="b">
        <f t="shared" si="163"/>
        <v>0</v>
      </c>
    </row>
    <row r="1714" spans="17:31" x14ac:dyDescent="0.2">
      <c r="Q1714" s="17">
        <f>IFERROR(VLOOKUP(A1714,已除帳印單!B:C,1,0),0)*1</f>
        <v>0</v>
      </c>
      <c r="R1714" s="67" t="str">
        <f>IFERROR(VLOOKUP(J1714,線別!A:B,2,1),"")</f>
        <v/>
      </c>
      <c r="S1714" s="17" t="str">
        <f>IFERROR(VLOOKUP(A1714,已除帳印單!B:C,2,0),"")</f>
        <v/>
      </c>
      <c r="T1714" s="68" t="e">
        <f t="shared" si="158"/>
        <v>#VALUE!</v>
      </c>
      <c r="U1714" s="69">
        <f t="shared" si="159"/>
        <v>0</v>
      </c>
      <c r="V1714" s="68" t="str">
        <f>IFERROR(VLOOKUP(A1714,已除帳印單!B:D,3,0),"")</f>
        <v/>
      </c>
      <c r="W1714" s="69" t="str">
        <f>IFERROR(VLOOKUP(A1714,已除帳印單!B:E,4,0),"")</f>
        <v/>
      </c>
      <c r="X1714" s="68" t="str">
        <f>IFERROR(INDEX(刷條碼區!A:C,MATCH(點上線資訊!S1714,刷條碼區!C:C,0),1),"")</f>
        <v/>
      </c>
      <c r="Y1714" s="69" t="str">
        <f>IFERROR(INDEX(刷條碼區!A:C,MATCH(點上線資訊!S1714,刷條碼區!C:C,0),2),"")</f>
        <v/>
      </c>
      <c r="Z1714" s="70" t="str">
        <f>IFERROR(INDEX(刷條碼區!D:G,MATCH(點上線資訊!S1714,刷條碼區!F:F,0),1),"")</f>
        <v/>
      </c>
      <c r="AA1714" s="71" t="str">
        <f>IFERROR(INDEX(刷條碼區!D:G,MATCH(點上線資訊!S1714,刷條碼區!F:F,0),2),"")</f>
        <v/>
      </c>
      <c r="AB1714" s="20">
        <f t="shared" si="160"/>
        <v>0</v>
      </c>
      <c r="AC1714" s="20" t="b">
        <f t="shared" si="161"/>
        <v>0</v>
      </c>
      <c r="AD1714" s="17" t="b">
        <f t="shared" si="162"/>
        <v>0</v>
      </c>
      <c r="AE1714" s="17" t="b">
        <f t="shared" si="163"/>
        <v>0</v>
      </c>
    </row>
    <row r="1715" spans="17:31" x14ac:dyDescent="0.2">
      <c r="Q1715" s="17">
        <f>IFERROR(VLOOKUP(A1715,已除帳印單!B:C,1,0),0)*1</f>
        <v>0</v>
      </c>
      <c r="R1715" s="67" t="str">
        <f>IFERROR(VLOOKUP(J1715,線別!A:B,2,1),"")</f>
        <v/>
      </c>
      <c r="S1715" s="17" t="str">
        <f>IFERROR(VLOOKUP(A1715,已除帳印單!B:C,2,0),"")</f>
        <v/>
      </c>
      <c r="T1715" s="68" t="e">
        <f t="shared" si="158"/>
        <v>#VALUE!</v>
      </c>
      <c r="U1715" s="69">
        <f t="shared" si="159"/>
        <v>0</v>
      </c>
      <c r="V1715" s="68" t="str">
        <f>IFERROR(VLOOKUP(A1715,已除帳印單!B:D,3,0),"")</f>
        <v/>
      </c>
      <c r="W1715" s="69" t="str">
        <f>IFERROR(VLOOKUP(A1715,已除帳印單!B:E,4,0),"")</f>
        <v/>
      </c>
      <c r="X1715" s="68" t="str">
        <f>IFERROR(INDEX(刷條碼區!A:C,MATCH(點上線資訊!S1715,刷條碼區!C:C,0),1),"")</f>
        <v/>
      </c>
      <c r="Y1715" s="69" t="str">
        <f>IFERROR(INDEX(刷條碼區!A:C,MATCH(點上線資訊!S1715,刷條碼區!C:C,0),2),"")</f>
        <v/>
      </c>
      <c r="Z1715" s="70" t="str">
        <f>IFERROR(INDEX(刷條碼區!D:G,MATCH(點上線資訊!S1715,刷條碼區!F:F,0),1),"")</f>
        <v/>
      </c>
      <c r="AA1715" s="71" t="str">
        <f>IFERROR(INDEX(刷條碼區!D:G,MATCH(點上線資訊!S1715,刷條碼區!F:F,0),2),"")</f>
        <v/>
      </c>
      <c r="AB1715" s="20">
        <f t="shared" si="160"/>
        <v>0</v>
      </c>
      <c r="AC1715" s="20" t="b">
        <f t="shared" si="161"/>
        <v>0</v>
      </c>
      <c r="AD1715" s="17" t="b">
        <f t="shared" si="162"/>
        <v>0</v>
      </c>
      <c r="AE1715" s="17" t="b">
        <f t="shared" si="163"/>
        <v>0</v>
      </c>
    </row>
    <row r="1716" spans="17:31" x14ac:dyDescent="0.2">
      <c r="Q1716" s="17">
        <f>IFERROR(VLOOKUP(A1716,已除帳印單!B:C,1,0),0)*1</f>
        <v>0</v>
      </c>
      <c r="R1716" s="67" t="str">
        <f>IFERROR(VLOOKUP(J1716,線別!A:B,2,1),"")</f>
        <v/>
      </c>
      <c r="S1716" s="17" t="str">
        <f>IFERROR(VLOOKUP(A1716,已除帳印單!B:C,2,0),"")</f>
        <v/>
      </c>
      <c r="T1716" s="68" t="e">
        <f t="shared" si="158"/>
        <v>#VALUE!</v>
      </c>
      <c r="U1716" s="69">
        <f t="shared" si="159"/>
        <v>0</v>
      </c>
      <c r="V1716" s="68" t="str">
        <f>IFERROR(VLOOKUP(A1716,已除帳印單!B:D,3,0),"")</f>
        <v/>
      </c>
      <c r="W1716" s="69" t="str">
        <f>IFERROR(VLOOKUP(A1716,已除帳印單!B:E,4,0),"")</f>
        <v/>
      </c>
      <c r="X1716" s="68" t="str">
        <f>IFERROR(INDEX(刷條碼區!A:C,MATCH(點上線資訊!S1716,刷條碼區!C:C,0),1),"")</f>
        <v/>
      </c>
      <c r="Y1716" s="69" t="str">
        <f>IFERROR(INDEX(刷條碼區!A:C,MATCH(點上線資訊!S1716,刷條碼區!C:C,0),2),"")</f>
        <v/>
      </c>
      <c r="Z1716" s="70" t="str">
        <f>IFERROR(INDEX(刷條碼區!D:G,MATCH(點上線資訊!S1716,刷條碼區!F:F,0),1),"")</f>
        <v/>
      </c>
      <c r="AA1716" s="71" t="str">
        <f>IFERROR(INDEX(刷條碼區!D:G,MATCH(點上線資訊!S1716,刷條碼區!F:F,0),2),"")</f>
        <v/>
      </c>
      <c r="AB1716" s="20">
        <f t="shared" si="160"/>
        <v>0</v>
      </c>
      <c r="AC1716" s="20" t="b">
        <f t="shared" si="161"/>
        <v>0</v>
      </c>
      <c r="AD1716" s="17" t="b">
        <f t="shared" si="162"/>
        <v>0</v>
      </c>
      <c r="AE1716" s="17" t="b">
        <f t="shared" si="163"/>
        <v>0</v>
      </c>
    </row>
    <row r="1717" spans="17:31" x14ac:dyDescent="0.2">
      <c r="Q1717" s="17">
        <f>IFERROR(VLOOKUP(A1717,已除帳印單!B:C,1,0),0)*1</f>
        <v>0</v>
      </c>
      <c r="R1717" s="67" t="str">
        <f>IFERROR(VLOOKUP(J1717,線別!A:B,2,1),"")</f>
        <v/>
      </c>
      <c r="S1717" s="17" t="str">
        <f>IFERROR(VLOOKUP(A1717,已除帳印單!B:C,2,0),"")</f>
        <v/>
      </c>
      <c r="T1717" s="68" t="e">
        <f t="shared" ref="T1717:T1780" si="164">--TEXT(B1717,"0000-00-00")</f>
        <v>#VALUE!</v>
      </c>
      <c r="U1717" s="69">
        <f t="shared" ref="U1717:U1780" si="165">--TEXT(C1717,"00\:00\:00")</f>
        <v>0</v>
      </c>
      <c r="V1717" s="68" t="str">
        <f>IFERROR(VLOOKUP(A1717,已除帳印單!B:D,3,0),"")</f>
        <v/>
      </c>
      <c r="W1717" s="69" t="str">
        <f>IFERROR(VLOOKUP(A1717,已除帳印單!B:E,4,0),"")</f>
        <v/>
      </c>
      <c r="X1717" s="68" t="str">
        <f>IFERROR(INDEX(刷條碼區!A:C,MATCH(點上線資訊!S1717,刷條碼區!C:C,0),1),"")</f>
        <v/>
      </c>
      <c r="Y1717" s="69" t="str">
        <f>IFERROR(INDEX(刷條碼區!A:C,MATCH(點上線資訊!S1717,刷條碼區!C:C,0),2),"")</f>
        <v/>
      </c>
      <c r="Z1717" s="70" t="str">
        <f>IFERROR(INDEX(刷條碼區!D:G,MATCH(點上線資訊!S1717,刷條碼區!F:F,0),1),"")</f>
        <v/>
      </c>
      <c r="AA1717" s="71" t="str">
        <f>IFERROR(INDEX(刷條碼區!D:G,MATCH(點上線資訊!S1717,刷條碼區!F:F,0),2),"")</f>
        <v/>
      </c>
      <c r="AB1717" s="20">
        <f t="shared" ref="AB1717:AB1780" si="166">IF(K1717&amp;N1717="",G1717)</f>
        <v>0</v>
      </c>
      <c r="AC1717" s="20" t="b">
        <f t="shared" ref="AC1717:AC1780" si="167">IF(S1717&lt;&gt;"",G1717)</f>
        <v>0</v>
      </c>
      <c r="AD1717" s="17" t="b">
        <f t="shared" ref="AD1717:AD1780" si="168">IF(X1717&lt;&gt;"",G1717)</f>
        <v>0</v>
      </c>
      <c r="AE1717" s="17" t="b">
        <f t="shared" ref="AE1717:AE1780" si="169">IF(Z1717&lt;&gt;"",G1717)</f>
        <v>0</v>
      </c>
    </row>
    <row r="1718" spans="17:31" x14ac:dyDescent="0.2">
      <c r="Q1718" s="17">
        <f>IFERROR(VLOOKUP(A1718,已除帳印單!B:C,1,0),0)*1</f>
        <v>0</v>
      </c>
      <c r="R1718" s="67" t="str">
        <f>IFERROR(VLOOKUP(J1718,線別!A:B,2,1),"")</f>
        <v/>
      </c>
      <c r="S1718" s="17" t="str">
        <f>IFERROR(VLOOKUP(A1718,已除帳印單!B:C,2,0),"")</f>
        <v/>
      </c>
      <c r="T1718" s="68" t="e">
        <f t="shared" si="164"/>
        <v>#VALUE!</v>
      </c>
      <c r="U1718" s="69">
        <f t="shared" si="165"/>
        <v>0</v>
      </c>
      <c r="V1718" s="68" t="str">
        <f>IFERROR(VLOOKUP(A1718,已除帳印單!B:D,3,0),"")</f>
        <v/>
      </c>
      <c r="W1718" s="69" t="str">
        <f>IFERROR(VLOOKUP(A1718,已除帳印單!B:E,4,0),"")</f>
        <v/>
      </c>
      <c r="X1718" s="68" t="str">
        <f>IFERROR(INDEX(刷條碼區!A:C,MATCH(點上線資訊!S1718,刷條碼區!C:C,0),1),"")</f>
        <v/>
      </c>
      <c r="Y1718" s="69" t="str">
        <f>IFERROR(INDEX(刷條碼區!A:C,MATCH(點上線資訊!S1718,刷條碼區!C:C,0),2),"")</f>
        <v/>
      </c>
      <c r="Z1718" s="70" t="str">
        <f>IFERROR(INDEX(刷條碼區!D:G,MATCH(點上線資訊!S1718,刷條碼區!F:F,0),1),"")</f>
        <v/>
      </c>
      <c r="AA1718" s="71" t="str">
        <f>IFERROR(INDEX(刷條碼區!D:G,MATCH(點上線資訊!S1718,刷條碼區!F:F,0),2),"")</f>
        <v/>
      </c>
      <c r="AB1718" s="20">
        <f t="shared" si="166"/>
        <v>0</v>
      </c>
      <c r="AC1718" s="20" t="b">
        <f t="shared" si="167"/>
        <v>0</v>
      </c>
      <c r="AD1718" s="17" t="b">
        <f t="shared" si="168"/>
        <v>0</v>
      </c>
      <c r="AE1718" s="17" t="b">
        <f t="shared" si="169"/>
        <v>0</v>
      </c>
    </row>
    <row r="1719" spans="17:31" x14ac:dyDescent="0.2">
      <c r="Q1719" s="17">
        <f>IFERROR(VLOOKUP(A1719,已除帳印單!B:C,1,0),0)*1</f>
        <v>0</v>
      </c>
      <c r="R1719" s="67" t="str">
        <f>IFERROR(VLOOKUP(J1719,線別!A:B,2,1),"")</f>
        <v/>
      </c>
      <c r="S1719" s="17" t="str">
        <f>IFERROR(VLOOKUP(A1719,已除帳印單!B:C,2,0),"")</f>
        <v/>
      </c>
      <c r="T1719" s="68" t="e">
        <f t="shared" si="164"/>
        <v>#VALUE!</v>
      </c>
      <c r="U1719" s="69">
        <f t="shared" si="165"/>
        <v>0</v>
      </c>
      <c r="V1719" s="68" t="str">
        <f>IFERROR(VLOOKUP(A1719,已除帳印單!B:D,3,0),"")</f>
        <v/>
      </c>
      <c r="W1719" s="69" t="str">
        <f>IFERROR(VLOOKUP(A1719,已除帳印單!B:E,4,0),"")</f>
        <v/>
      </c>
      <c r="X1719" s="68" t="str">
        <f>IFERROR(INDEX(刷條碼區!A:C,MATCH(點上線資訊!S1719,刷條碼區!C:C,0),1),"")</f>
        <v/>
      </c>
      <c r="Y1719" s="69" t="str">
        <f>IFERROR(INDEX(刷條碼區!A:C,MATCH(點上線資訊!S1719,刷條碼區!C:C,0),2),"")</f>
        <v/>
      </c>
      <c r="Z1719" s="70" t="str">
        <f>IFERROR(INDEX(刷條碼區!D:G,MATCH(點上線資訊!S1719,刷條碼區!F:F,0),1),"")</f>
        <v/>
      </c>
      <c r="AA1719" s="71" t="str">
        <f>IFERROR(INDEX(刷條碼區!D:G,MATCH(點上線資訊!S1719,刷條碼區!F:F,0),2),"")</f>
        <v/>
      </c>
      <c r="AB1719" s="20">
        <f t="shared" si="166"/>
        <v>0</v>
      </c>
      <c r="AC1719" s="20" t="b">
        <f t="shared" si="167"/>
        <v>0</v>
      </c>
      <c r="AD1719" s="17" t="b">
        <f t="shared" si="168"/>
        <v>0</v>
      </c>
      <c r="AE1719" s="17" t="b">
        <f t="shared" si="169"/>
        <v>0</v>
      </c>
    </row>
    <row r="1720" spans="17:31" x14ac:dyDescent="0.2">
      <c r="Q1720" s="17">
        <f>IFERROR(VLOOKUP(A1720,已除帳印單!B:C,1,0),0)*1</f>
        <v>0</v>
      </c>
      <c r="R1720" s="67" t="str">
        <f>IFERROR(VLOOKUP(J1720,線別!A:B,2,1),"")</f>
        <v/>
      </c>
      <c r="S1720" s="17" t="str">
        <f>IFERROR(VLOOKUP(A1720,已除帳印單!B:C,2,0),"")</f>
        <v/>
      </c>
      <c r="T1720" s="68" t="e">
        <f t="shared" si="164"/>
        <v>#VALUE!</v>
      </c>
      <c r="U1720" s="69">
        <f t="shared" si="165"/>
        <v>0</v>
      </c>
      <c r="V1720" s="68" t="str">
        <f>IFERROR(VLOOKUP(A1720,已除帳印單!B:D,3,0),"")</f>
        <v/>
      </c>
      <c r="W1720" s="69" t="str">
        <f>IFERROR(VLOOKUP(A1720,已除帳印單!B:E,4,0),"")</f>
        <v/>
      </c>
      <c r="X1720" s="68" t="str">
        <f>IFERROR(INDEX(刷條碼區!A:C,MATCH(點上線資訊!S1720,刷條碼區!C:C,0),1),"")</f>
        <v/>
      </c>
      <c r="Y1720" s="69" t="str">
        <f>IFERROR(INDEX(刷條碼區!A:C,MATCH(點上線資訊!S1720,刷條碼區!C:C,0),2),"")</f>
        <v/>
      </c>
      <c r="Z1720" s="70" t="str">
        <f>IFERROR(INDEX(刷條碼區!D:G,MATCH(點上線資訊!S1720,刷條碼區!F:F,0),1),"")</f>
        <v/>
      </c>
      <c r="AA1720" s="71" t="str">
        <f>IFERROR(INDEX(刷條碼區!D:G,MATCH(點上線資訊!S1720,刷條碼區!F:F,0),2),"")</f>
        <v/>
      </c>
      <c r="AB1720" s="20">
        <f t="shared" si="166"/>
        <v>0</v>
      </c>
      <c r="AC1720" s="20" t="b">
        <f t="shared" si="167"/>
        <v>0</v>
      </c>
      <c r="AD1720" s="17" t="b">
        <f t="shared" si="168"/>
        <v>0</v>
      </c>
      <c r="AE1720" s="17" t="b">
        <f t="shared" si="169"/>
        <v>0</v>
      </c>
    </row>
    <row r="1721" spans="17:31" x14ac:dyDescent="0.2">
      <c r="Q1721" s="17">
        <f>IFERROR(VLOOKUP(A1721,已除帳印單!B:C,1,0),0)*1</f>
        <v>0</v>
      </c>
      <c r="R1721" s="67" t="str">
        <f>IFERROR(VLOOKUP(J1721,線別!A:B,2,1),"")</f>
        <v/>
      </c>
      <c r="S1721" s="17" t="str">
        <f>IFERROR(VLOOKUP(A1721,已除帳印單!B:C,2,0),"")</f>
        <v/>
      </c>
      <c r="T1721" s="68" t="e">
        <f t="shared" si="164"/>
        <v>#VALUE!</v>
      </c>
      <c r="U1721" s="69">
        <f t="shared" si="165"/>
        <v>0</v>
      </c>
      <c r="V1721" s="68" t="str">
        <f>IFERROR(VLOOKUP(A1721,已除帳印單!B:D,3,0),"")</f>
        <v/>
      </c>
      <c r="W1721" s="69" t="str">
        <f>IFERROR(VLOOKUP(A1721,已除帳印單!B:E,4,0),"")</f>
        <v/>
      </c>
      <c r="X1721" s="68" t="str">
        <f>IFERROR(INDEX(刷條碼區!A:C,MATCH(點上線資訊!S1721,刷條碼區!C:C,0),1),"")</f>
        <v/>
      </c>
      <c r="Y1721" s="69" t="str">
        <f>IFERROR(INDEX(刷條碼區!A:C,MATCH(點上線資訊!S1721,刷條碼區!C:C,0),2),"")</f>
        <v/>
      </c>
      <c r="Z1721" s="70" t="str">
        <f>IFERROR(INDEX(刷條碼區!D:G,MATCH(點上線資訊!S1721,刷條碼區!F:F,0),1),"")</f>
        <v/>
      </c>
      <c r="AA1721" s="71" t="str">
        <f>IFERROR(INDEX(刷條碼區!D:G,MATCH(點上線資訊!S1721,刷條碼區!F:F,0),2),"")</f>
        <v/>
      </c>
      <c r="AB1721" s="20">
        <f t="shared" si="166"/>
        <v>0</v>
      </c>
      <c r="AC1721" s="20" t="b">
        <f t="shared" si="167"/>
        <v>0</v>
      </c>
      <c r="AD1721" s="17" t="b">
        <f t="shared" si="168"/>
        <v>0</v>
      </c>
      <c r="AE1721" s="17" t="b">
        <f t="shared" si="169"/>
        <v>0</v>
      </c>
    </row>
    <row r="1722" spans="17:31" x14ac:dyDescent="0.2">
      <c r="Q1722" s="17">
        <f>IFERROR(VLOOKUP(A1722,已除帳印單!B:C,1,0),0)*1</f>
        <v>0</v>
      </c>
      <c r="R1722" s="67" t="str">
        <f>IFERROR(VLOOKUP(J1722,線別!A:B,2,1),"")</f>
        <v/>
      </c>
      <c r="S1722" s="17" t="str">
        <f>IFERROR(VLOOKUP(A1722,已除帳印單!B:C,2,0),"")</f>
        <v/>
      </c>
      <c r="T1722" s="68" t="e">
        <f t="shared" si="164"/>
        <v>#VALUE!</v>
      </c>
      <c r="U1722" s="69">
        <f t="shared" si="165"/>
        <v>0</v>
      </c>
      <c r="V1722" s="68" t="str">
        <f>IFERROR(VLOOKUP(A1722,已除帳印單!B:D,3,0),"")</f>
        <v/>
      </c>
      <c r="W1722" s="69" t="str">
        <f>IFERROR(VLOOKUP(A1722,已除帳印單!B:E,4,0),"")</f>
        <v/>
      </c>
      <c r="X1722" s="68" t="str">
        <f>IFERROR(INDEX(刷條碼區!A:C,MATCH(點上線資訊!S1722,刷條碼區!C:C,0),1),"")</f>
        <v/>
      </c>
      <c r="Y1722" s="69" t="str">
        <f>IFERROR(INDEX(刷條碼區!A:C,MATCH(點上線資訊!S1722,刷條碼區!C:C,0),2),"")</f>
        <v/>
      </c>
      <c r="Z1722" s="70" t="str">
        <f>IFERROR(INDEX(刷條碼區!D:G,MATCH(點上線資訊!S1722,刷條碼區!F:F,0),1),"")</f>
        <v/>
      </c>
      <c r="AA1722" s="71" t="str">
        <f>IFERROR(INDEX(刷條碼區!D:G,MATCH(點上線資訊!S1722,刷條碼區!F:F,0),2),"")</f>
        <v/>
      </c>
      <c r="AB1722" s="20">
        <f t="shared" si="166"/>
        <v>0</v>
      </c>
      <c r="AC1722" s="20" t="b">
        <f t="shared" si="167"/>
        <v>0</v>
      </c>
      <c r="AD1722" s="17" t="b">
        <f t="shared" si="168"/>
        <v>0</v>
      </c>
      <c r="AE1722" s="17" t="b">
        <f t="shared" si="169"/>
        <v>0</v>
      </c>
    </row>
    <row r="1723" spans="17:31" x14ac:dyDescent="0.2">
      <c r="Q1723" s="17">
        <f>IFERROR(VLOOKUP(A1723,已除帳印單!B:C,1,0),0)*1</f>
        <v>0</v>
      </c>
      <c r="R1723" s="67" t="str">
        <f>IFERROR(VLOOKUP(J1723,線別!A:B,2,1),"")</f>
        <v/>
      </c>
      <c r="S1723" s="17" t="str">
        <f>IFERROR(VLOOKUP(A1723,已除帳印單!B:C,2,0),"")</f>
        <v/>
      </c>
      <c r="T1723" s="68" t="e">
        <f t="shared" si="164"/>
        <v>#VALUE!</v>
      </c>
      <c r="U1723" s="69">
        <f t="shared" si="165"/>
        <v>0</v>
      </c>
      <c r="V1723" s="68" t="str">
        <f>IFERROR(VLOOKUP(A1723,已除帳印單!B:D,3,0),"")</f>
        <v/>
      </c>
      <c r="W1723" s="69" t="str">
        <f>IFERROR(VLOOKUP(A1723,已除帳印單!B:E,4,0),"")</f>
        <v/>
      </c>
      <c r="X1723" s="68" t="str">
        <f>IFERROR(INDEX(刷條碼區!A:C,MATCH(點上線資訊!S1723,刷條碼區!C:C,0),1),"")</f>
        <v/>
      </c>
      <c r="Y1723" s="69" t="str">
        <f>IFERROR(INDEX(刷條碼區!A:C,MATCH(點上線資訊!S1723,刷條碼區!C:C,0),2),"")</f>
        <v/>
      </c>
      <c r="Z1723" s="70" t="str">
        <f>IFERROR(INDEX(刷條碼區!D:G,MATCH(點上線資訊!S1723,刷條碼區!F:F,0),1),"")</f>
        <v/>
      </c>
      <c r="AA1723" s="71" t="str">
        <f>IFERROR(INDEX(刷條碼區!D:G,MATCH(點上線資訊!S1723,刷條碼區!F:F,0),2),"")</f>
        <v/>
      </c>
      <c r="AB1723" s="20">
        <f t="shared" si="166"/>
        <v>0</v>
      </c>
      <c r="AC1723" s="20" t="b">
        <f t="shared" si="167"/>
        <v>0</v>
      </c>
      <c r="AD1723" s="17" t="b">
        <f t="shared" si="168"/>
        <v>0</v>
      </c>
      <c r="AE1723" s="17" t="b">
        <f t="shared" si="169"/>
        <v>0</v>
      </c>
    </row>
    <row r="1724" spans="17:31" x14ac:dyDescent="0.2">
      <c r="Q1724" s="17">
        <f>IFERROR(VLOOKUP(A1724,已除帳印單!B:C,1,0),0)*1</f>
        <v>0</v>
      </c>
      <c r="R1724" s="67" t="str">
        <f>IFERROR(VLOOKUP(J1724,線別!A:B,2,1),"")</f>
        <v/>
      </c>
      <c r="S1724" s="17" t="str">
        <f>IFERROR(VLOOKUP(A1724,已除帳印單!B:C,2,0),"")</f>
        <v/>
      </c>
      <c r="T1724" s="68" t="e">
        <f t="shared" si="164"/>
        <v>#VALUE!</v>
      </c>
      <c r="U1724" s="69">
        <f t="shared" si="165"/>
        <v>0</v>
      </c>
      <c r="V1724" s="68" t="str">
        <f>IFERROR(VLOOKUP(A1724,已除帳印單!B:D,3,0),"")</f>
        <v/>
      </c>
      <c r="W1724" s="69" t="str">
        <f>IFERROR(VLOOKUP(A1724,已除帳印單!B:E,4,0),"")</f>
        <v/>
      </c>
      <c r="X1724" s="68" t="str">
        <f>IFERROR(INDEX(刷條碼區!A:C,MATCH(點上線資訊!S1724,刷條碼區!C:C,0),1),"")</f>
        <v/>
      </c>
      <c r="Y1724" s="69" t="str">
        <f>IFERROR(INDEX(刷條碼區!A:C,MATCH(點上線資訊!S1724,刷條碼區!C:C,0),2),"")</f>
        <v/>
      </c>
      <c r="Z1724" s="70" t="str">
        <f>IFERROR(INDEX(刷條碼區!D:G,MATCH(點上線資訊!S1724,刷條碼區!F:F,0),1),"")</f>
        <v/>
      </c>
      <c r="AA1724" s="71" t="str">
        <f>IFERROR(INDEX(刷條碼區!D:G,MATCH(點上線資訊!S1724,刷條碼區!F:F,0),2),"")</f>
        <v/>
      </c>
      <c r="AB1724" s="20">
        <f t="shared" si="166"/>
        <v>0</v>
      </c>
      <c r="AC1724" s="20" t="b">
        <f t="shared" si="167"/>
        <v>0</v>
      </c>
      <c r="AD1724" s="17" t="b">
        <f t="shared" si="168"/>
        <v>0</v>
      </c>
      <c r="AE1724" s="17" t="b">
        <f t="shared" si="169"/>
        <v>0</v>
      </c>
    </row>
    <row r="1725" spans="17:31" x14ac:dyDescent="0.2">
      <c r="Q1725" s="17">
        <f>IFERROR(VLOOKUP(A1725,已除帳印單!B:C,1,0),0)*1</f>
        <v>0</v>
      </c>
      <c r="R1725" s="67" t="str">
        <f>IFERROR(VLOOKUP(J1725,線別!A:B,2,1),"")</f>
        <v/>
      </c>
      <c r="S1725" s="17" t="str">
        <f>IFERROR(VLOOKUP(A1725,已除帳印單!B:C,2,0),"")</f>
        <v/>
      </c>
      <c r="T1725" s="68" t="e">
        <f t="shared" si="164"/>
        <v>#VALUE!</v>
      </c>
      <c r="U1725" s="69">
        <f t="shared" si="165"/>
        <v>0</v>
      </c>
      <c r="V1725" s="68" t="str">
        <f>IFERROR(VLOOKUP(A1725,已除帳印單!B:D,3,0),"")</f>
        <v/>
      </c>
      <c r="W1725" s="69" t="str">
        <f>IFERROR(VLOOKUP(A1725,已除帳印單!B:E,4,0),"")</f>
        <v/>
      </c>
      <c r="X1725" s="68" t="str">
        <f>IFERROR(INDEX(刷條碼區!A:C,MATCH(點上線資訊!S1725,刷條碼區!C:C,0),1),"")</f>
        <v/>
      </c>
      <c r="Y1725" s="69" t="str">
        <f>IFERROR(INDEX(刷條碼區!A:C,MATCH(點上線資訊!S1725,刷條碼區!C:C,0),2),"")</f>
        <v/>
      </c>
      <c r="Z1725" s="70" t="str">
        <f>IFERROR(INDEX(刷條碼區!D:G,MATCH(點上線資訊!S1725,刷條碼區!F:F,0),1),"")</f>
        <v/>
      </c>
      <c r="AA1725" s="71" t="str">
        <f>IFERROR(INDEX(刷條碼區!D:G,MATCH(點上線資訊!S1725,刷條碼區!F:F,0),2),"")</f>
        <v/>
      </c>
      <c r="AB1725" s="20">
        <f t="shared" si="166"/>
        <v>0</v>
      </c>
      <c r="AC1725" s="20" t="b">
        <f t="shared" si="167"/>
        <v>0</v>
      </c>
      <c r="AD1725" s="17" t="b">
        <f t="shared" si="168"/>
        <v>0</v>
      </c>
      <c r="AE1725" s="17" t="b">
        <f t="shared" si="169"/>
        <v>0</v>
      </c>
    </row>
    <row r="1726" spans="17:31" x14ac:dyDescent="0.2">
      <c r="Q1726" s="17">
        <f>IFERROR(VLOOKUP(A1726,已除帳印單!B:C,1,0),0)*1</f>
        <v>0</v>
      </c>
      <c r="R1726" s="67" t="str">
        <f>IFERROR(VLOOKUP(J1726,線別!A:B,2,1),"")</f>
        <v/>
      </c>
      <c r="S1726" s="17" t="str">
        <f>IFERROR(VLOOKUP(A1726,已除帳印單!B:C,2,0),"")</f>
        <v/>
      </c>
      <c r="T1726" s="68" t="e">
        <f t="shared" si="164"/>
        <v>#VALUE!</v>
      </c>
      <c r="U1726" s="69">
        <f t="shared" si="165"/>
        <v>0</v>
      </c>
      <c r="V1726" s="68" t="str">
        <f>IFERROR(VLOOKUP(A1726,已除帳印單!B:D,3,0),"")</f>
        <v/>
      </c>
      <c r="W1726" s="69" t="str">
        <f>IFERROR(VLOOKUP(A1726,已除帳印單!B:E,4,0),"")</f>
        <v/>
      </c>
      <c r="X1726" s="68" t="str">
        <f>IFERROR(INDEX(刷條碼區!A:C,MATCH(點上線資訊!S1726,刷條碼區!C:C,0),1),"")</f>
        <v/>
      </c>
      <c r="Y1726" s="69" t="str">
        <f>IFERROR(INDEX(刷條碼區!A:C,MATCH(點上線資訊!S1726,刷條碼區!C:C,0),2),"")</f>
        <v/>
      </c>
      <c r="Z1726" s="70" t="str">
        <f>IFERROR(INDEX(刷條碼區!D:G,MATCH(點上線資訊!S1726,刷條碼區!F:F,0),1),"")</f>
        <v/>
      </c>
      <c r="AA1726" s="71" t="str">
        <f>IFERROR(INDEX(刷條碼區!D:G,MATCH(點上線資訊!S1726,刷條碼區!F:F,0),2),"")</f>
        <v/>
      </c>
      <c r="AB1726" s="20">
        <f t="shared" si="166"/>
        <v>0</v>
      </c>
      <c r="AC1726" s="20" t="b">
        <f t="shared" si="167"/>
        <v>0</v>
      </c>
      <c r="AD1726" s="17" t="b">
        <f t="shared" si="168"/>
        <v>0</v>
      </c>
      <c r="AE1726" s="17" t="b">
        <f t="shared" si="169"/>
        <v>0</v>
      </c>
    </row>
    <row r="1727" spans="17:31" x14ac:dyDescent="0.2">
      <c r="Q1727" s="17">
        <f>IFERROR(VLOOKUP(A1727,已除帳印單!B:C,1,0),0)*1</f>
        <v>0</v>
      </c>
      <c r="R1727" s="67" t="str">
        <f>IFERROR(VLOOKUP(J1727,線別!A:B,2,1),"")</f>
        <v/>
      </c>
      <c r="S1727" s="17" t="str">
        <f>IFERROR(VLOOKUP(A1727,已除帳印單!B:C,2,0),"")</f>
        <v/>
      </c>
      <c r="T1727" s="68" t="e">
        <f t="shared" si="164"/>
        <v>#VALUE!</v>
      </c>
      <c r="U1727" s="69">
        <f t="shared" si="165"/>
        <v>0</v>
      </c>
      <c r="V1727" s="68" t="str">
        <f>IFERROR(VLOOKUP(A1727,已除帳印單!B:D,3,0),"")</f>
        <v/>
      </c>
      <c r="W1727" s="69" t="str">
        <f>IFERROR(VLOOKUP(A1727,已除帳印單!B:E,4,0),"")</f>
        <v/>
      </c>
      <c r="X1727" s="68" t="str">
        <f>IFERROR(INDEX(刷條碼區!A:C,MATCH(點上線資訊!S1727,刷條碼區!C:C,0),1),"")</f>
        <v/>
      </c>
      <c r="Y1727" s="69" t="str">
        <f>IFERROR(INDEX(刷條碼區!A:C,MATCH(點上線資訊!S1727,刷條碼區!C:C,0),2),"")</f>
        <v/>
      </c>
      <c r="Z1727" s="70" t="str">
        <f>IFERROR(INDEX(刷條碼區!D:G,MATCH(點上線資訊!S1727,刷條碼區!F:F,0),1),"")</f>
        <v/>
      </c>
      <c r="AA1727" s="71" t="str">
        <f>IFERROR(INDEX(刷條碼區!D:G,MATCH(點上線資訊!S1727,刷條碼區!F:F,0),2),"")</f>
        <v/>
      </c>
      <c r="AB1727" s="20">
        <f t="shared" si="166"/>
        <v>0</v>
      </c>
      <c r="AC1727" s="20" t="b">
        <f t="shared" si="167"/>
        <v>0</v>
      </c>
      <c r="AD1727" s="17" t="b">
        <f t="shared" si="168"/>
        <v>0</v>
      </c>
      <c r="AE1727" s="17" t="b">
        <f t="shared" si="169"/>
        <v>0</v>
      </c>
    </row>
    <row r="1728" spans="17:31" x14ac:dyDescent="0.2">
      <c r="Q1728" s="17">
        <f>IFERROR(VLOOKUP(A1728,已除帳印單!B:C,1,0),0)*1</f>
        <v>0</v>
      </c>
      <c r="R1728" s="67" t="str">
        <f>IFERROR(VLOOKUP(J1728,線別!A:B,2,1),"")</f>
        <v/>
      </c>
      <c r="S1728" s="17" t="str">
        <f>IFERROR(VLOOKUP(A1728,已除帳印單!B:C,2,0),"")</f>
        <v/>
      </c>
      <c r="T1728" s="68" t="e">
        <f t="shared" si="164"/>
        <v>#VALUE!</v>
      </c>
      <c r="U1728" s="69">
        <f t="shared" si="165"/>
        <v>0</v>
      </c>
      <c r="V1728" s="68" t="str">
        <f>IFERROR(VLOOKUP(A1728,已除帳印單!B:D,3,0),"")</f>
        <v/>
      </c>
      <c r="W1728" s="69" t="str">
        <f>IFERROR(VLOOKUP(A1728,已除帳印單!B:E,4,0),"")</f>
        <v/>
      </c>
      <c r="X1728" s="68" t="str">
        <f>IFERROR(INDEX(刷條碼區!A:C,MATCH(點上線資訊!S1728,刷條碼區!C:C,0),1),"")</f>
        <v/>
      </c>
      <c r="Y1728" s="69" t="str">
        <f>IFERROR(INDEX(刷條碼區!A:C,MATCH(點上線資訊!S1728,刷條碼區!C:C,0),2),"")</f>
        <v/>
      </c>
      <c r="Z1728" s="70" t="str">
        <f>IFERROR(INDEX(刷條碼區!D:G,MATCH(點上線資訊!S1728,刷條碼區!F:F,0),1),"")</f>
        <v/>
      </c>
      <c r="AA1728" s="71" t="str">
        <f>IFERROR(INDEX(刷條碼區!D:G,MATCH(點上線資訊!S1728,刷條碼區!F:F,0),2),"")</f>
        <v/>
      </c>
      <c r="AB1728" s="20">
        <f t="shared" si="166"/>
        <v>0</v>
      </c>
      <c r="AC1728" s="20" t="b">
        <f t="shared" si="167"/>
        <v>0</v>
      </c>
      <c r="AD1728" s="17" t="b">
        <f t="shared" si="168"/>
        <v>0</v>
      </c>
      <c r="AE1728" s="17" t="b">
        <f t="shared" si="169"/>
        <v>0</v>
      </c>
    </row>
    <row r="1729" spans="17:31" x14ac:dyDescent="0.2">
      <c r="Q1729" s="17">
        <f>IFERROR(VLOOKUP(A1729,已除帳印單!B:C,1,0),0)*1</f>
        <v>0</v>
      </c>
      <c r="R1729" s="67" t="str">
        <f>IFERROR(VLOOKUP(J1729,線別!A:B,2,1),"")</f>
        <v/>
      </c>
      <c r="S1729" s="17" t="str">
        <f>IFERROR(VLOOKUP(A1729,已除帳印單!B:C,2,0),"")</f>
        <v/>
      </c>
      <c r="T1729" s="68" t="e">
        <f t="shared" si="164"/>
        <v>#VALUE!</v>
      </c>
      <c r="U1729" s="69">
        <f t="shared" si="165"/>
        <v>0</v>
      </c>
      <c r="V1729" s="68" t="str">
        <f>IFERROR(VLOOKUP(A1729,已除帳印單!B:D,3,0),"")</f>
        <v/>
      </c>
      <c r="W1729" s="69" t="str">
        <f>IFERROR(VLOOKUP(A1729,已除帳印單!B:E,4,0),"")</f>
        <v/>
      </c>
      <c r="X1729" s="68" t="str">
        <f>IFERROR(INDEX(刷條碼區!A:C,MATCH(點上線資訊!S1729,刷條碼區!C:C,0),1),"")</f>
        <v/>
      </c>
      <c r="Y1729" s="69" t="str">
        <f>IFERROR(INDEX(刷條碼區!A:C,MATCH(點上線資訊!S1729,刷條碼區!C:C,0),2),"")</f>
        <v/>
      </c>
      <c r="Z1729" s="70" t="str">
        <f>IFERROR(INDEX(刷條碼區!D:G,MATCH(點上線資訊!S1729,刷條碼區!F:F,0),1),"")</f>
        <v/>
      </c>
      <c r="AA1729" s="71" t="str">
        <f>IFERROR(INDEX(刷條碼區!D:G,MATCH(點上線資訊!S1729,刷條碼區!F:F,0),2),"")</f>
        <v/>
      </c>
      <c r="AB1729" s="20">
        <f t="shared" si="166"/>
        <v>0</v>
      </c>
      <c r="AC1729" s="20" t="b">
        <f t="shared" si="167"/>
        <v>0</v>
      </c>
      <c r="AD1729" s="17" t="b">
        <f t="shared" si="168"/>
        <v>0</v>
      </c>
      <c r="AE1729" s="17" t="b">
        <f t="shared" si="169"/>
        <v>0</v>
      </c>
    </row>
    <row r="1730" spans="17:31" x14ac:dyDescent="0.2">
      <c r="Q1730" s="17">
        <f>IFERROR(VLOOKUP(A1730,已除帳印單!B:C,1,0),0)*1</f>
        <v>0</v>
      </c>
      <c r="R1730" s="67" t="str">
        <f>IFERROR(VLOOKUP(J1730,線別!A:B,2,1),"")</f>
        <v/>
      </c>
      <c r="S1730" s="17" t="str">
        <f>IFERROR(VLOOKUP(A1730,已除帳印單!B:C,2,0),"")</f>
        <v/>
      </c>
      <c r="T1730" s="68" t="e">
        <f t="shared" si="164"/>
        <v>#VALUE!</v>
      </c>
      <c r="U1730" s="69">
        <f t="shared" si="165"/>
        <v>0</v>
      </c>
      <c r="V1730" s="68" t="str">
        <f>IFERROR(VLOOKUP(A1730,已除帳印單!B:D,3,0),"")</f>
        <v/>
      </c>
      <c r="W1730" s="69" t="str">
        <f>IFERROR(VLOOKUP(A1730,已除帳印單!B:E,4,0),"")</f>
        <v/>
      </c>
      <c r="X1730" s="68" t="str">
        <f>IFERROR(INDEX(刷條碼區!A:C,MATCH(點上線資訊!S1730,刷條碼區!C:C,0),1),"")</f>
        <v/>
      </c>
      <c r="Y1730" s="69" t="str">
        <f>IFERROR(INDEX(刷條碼區!A:C,MATCH(點上線資訊!S1730,刷條碼區!C:C,0),2),"")</f>
        <v/>
      </c>
      <c r="Z1730" s="70" t="str">
        <f>IFERROR(INDEX(刷條碼區!D:G,MATCH(點上線資訊!S1730,刷條碼區!F:F,0),1),"")</f>
        <v/>
      </c>
      <c r="AA1730" s="71" t="str">
        <f>IFERROR(INDEX(刷條碼區!D:G,MATCH(點上線資訊!S1730,刷條碼區!F:F,0),2),"")</f>
        <v/>
      </c>
      <c r="AB1730" s="20">
        <f t="shared" si="166"/>
        <v>0</v>
      </c>
      <c r="AC1730" s="20" t="b">
        <f t="shared" si="167"/>
        <v>0</v>
      </c>
      <c r="AD1730" s="17" t="b">
        <f t="shared" si="168"/>
        <v>0</v>
      </c>
      <c r="AE1730" s="17" t="b">
        <f t="shared" si="169"/>
        <v>0</v>
      </c>
    </row>
    <row r="1731" spans="17:31" x14ac:dyDescent="0.2">
      <c r="Q1731" s="17">
        <f>IFERROR(VLOOKUP(A1731,已除帳印單!B:C,1,0),0)*1</f>
        <v>0</v>
      </c>
      <c r="R1731" s="67" t="str">
        <f>IFERROR(VLOOKUP(J1731,線別!A:B,2,1),"")</f>
        <v/>
      </c>
      <c r="S1731" s="17" t="str">
        <f>IFERROR(VLOOKUP(A1731,已除帳印單!B:C,2,0),"")</f>
        <v/>
      </c>
      <c r="T1731" s="68" t="e">
        <f t="shared" si="164"/>
        <v>#VALUE!</v>
      </c>
      <c r="U1731" s="69">
        <f t="shared" si="165"/>
        <v>0</v>
      </c>
      <c r="V1731" s="68" t="str">
        <f>IFERROR(VLOOKUP(A1731,已除帳印單!B:D,3,0),"")</f>
        <v/>
      </c>
      <c r="W1731" s="69" t="str">
        <f>IFERROR(VLOOKUP(A1731,已除帳印單!B:E,4,0),"")</f>
        <v/>
      </c>
      <c r="X1731" s="68" t="str">
        <f>IFERROR(INDEX(刷條碼區!A:C,MATCH(點上線資訊!S1731,刷條碼區!C:C,0),1),"")</f>
        <v/>
      </c>
      <c r="Y1731" s="69" t="str">
        <f>IFERROR(INDEX(刷條碼區!A:C,MATCH(點上線資訊!S1731,刷條碼區!C:C,0),2),"")</f>
        <v/>
      </c>
      <c r="Z1731" s="70" t="str">
        <f>IFERROR(INDEX(刷條碼區!D:G,MATCH(點上線資訊!S1731,刷條碼區!F:F,0),1),"")</f>
        <v/>
      </c>
      <c r="AA1731" s="71" t="str">
        <f>IFERROR(INDEX(刷條碼區!D:G,MATCH(點上線資訊!S1731,刷條碼區!F:F,0),2),"")</f>
        <v/>
      </c>
      <c r="AB1731" s="20">
        <f t="shared" si="166"/>
        <v>0</v>
      </c>
      <c r="AC1731" s="20" t="b">
        <f t="shared" si="167"/>
        <v>0</v>
      </c>
      <c r="AD1731" s="17" t="b">
        <f t="shared" si="168"/>
        <v>0</v>
      </c>
      <c r="AE1731" s="17" t="b">
        <f t="shared" si="169"/>
        <v>0</v>
      </c>
    </row>
    <row r="1732" spans="17:31" x14ac:dyDescent="0.2">
      <c r="Q1732" s="17">
        <f>IFERROR(VLOOKUP(A1732,已除帳印單!B:C,1,0),0)*1</f>
        <v>0</v>
      </c>
      <c r="R1732" s="67" t="str">
        <f>IFERROR(VLOOKUP(J1732,線別!A:B,2,1),"")</f>
        <v/>
      </c>
      <c r="S1732" s="17" t="str">
        <f>IFERROR(VLOOKUP(A1732,已除帳印單!B:C,2,0),"")</f>
        <v/>
      </c>
      <c r="T1732" s="68" t="e">
        <f t="shared" si="164"/>
        <v>#VALUE!</v>
      </c>
      <c r="U1732" s="69">
        <f t="shared" si="165"/>
        <v>0</v>
      </c>
      <c r="V1732" s="68" t="str">
        <f>IFERROR(VLOOKUP(A1732,已除帳印單!B:D,3,0),"")</f>
        <v/>
      </c>
      <c r="W1732" s="69" t="str">
        <f>IFERROR(VLOOKUP(A1732,已除帳印單!B:E,4,0),"")</f>
        <v/>
      </c>
      <c r="X1732" s="68" t="str">
        <f>IFERROR(INDEX(刷條碼區!A:C,MATCH(點上線資訊!S1732,刷條碼區!C:C,0),1),"")</f>
        <v/>
      </c>
      <c r="Y1732" s="69" t="str">
        <f>IFERROR(INDEX(刷條碼區!A:C,MATCH(點上線資訊!S1732,刷條碼區!C:C,0),2),"")</f>
        <v/>
      </c>
      <c r="Z1732" s="70" t="str">
        <f>IFERROR(INDEX(刷條碼區!D:G,MATCH(點上線資訊!S1732,刷條碼區!F:F,0),1),"")</f>
        <v/>
      </c>
      <c r="AA1732" s="71" t="str">
        <f>IFERROR(INDEX(刷條碼區!D:G,MATCH(點上線資訊!S1732,刷條碼區!F:F,0),2),"")</f>
        <v/>
      </c>
      <c r="AB1732" s="20">
        <f t="shared" si="166"/>
        <v>0</v>
      </c>
      <c r="AC1732" s="20" t="b">
        <f t="shared" si="167"/>
        <v>0</v>
      </c>
      <c r="AD1732" s="17" t="b">
        <f t="shared" si="168"/>
        <v>0</v>
      </c>
      <c r="AE1732" s="17" t="b">
        <f t="shared" si="169"/>
        <v>0</v>
      </c>
    </row>
    <row r="1733" spans="17:31" x14ac:dyDescent="0.2">
      <c r="Q1733" s="17">
        <f>IFERROR(VLOOKUP(A1733,已除帳印單!B:C,1,0),0)*1</f>
        <v>0</v>
      </c>
      <c r="R1733" s="67" t="str">
        <f>IFERROR(VLOOKUP(J1733,線別!A:B,2,1),"")</f>
        <v/>
      </c>
      <c r="S1733" s="17" t="str">
        <f>IFERROR(VLOOKUP(A1733,已除帳印單!B:C,2,0),"")</f>
        <v/>
      </c>
      <c r="T1733" s="68" t="e">
        <f t="shared" si="164"/>
        <v>#VALUE!</v>
      </c>
      <c r="U1733" s="69">
        <f t="shared" si="165"/>
        <v>0</v>
      </c>
      <c r="V1733" s="68" t="str">
        <f>IFERROR(VLOOKUP(A1733,已除帳印單!B:D,3,0),"")</f>
        <v/>
      </c>
      <c r="W1733" s="69" t="str">
        <f>IFERROR(VLOOKUP(A1733,已除帳印單!B:E,4,0),"")</f>
        <v/>
      </c>
      <c r="X1733" s="68" t="str">
        <f>IFERROR(INDEX(刷條碼區!A:C,MATCH(點上線資訊!S1733,刷條碼區!C:C,0),1),"")</f>
        <v/>
      </c>
      <c r="Y1733" s="69" t="str">
        <f>IFERROR(INDEX(刷條碼區!A:C,MATCH(點上線資訊!S1733,刷條碼區!C:C,0),2),"")</f>
        <v/>
      </c>
      <c r="Z1733" s="70" t="str">
        <f>IFERROR(INDEX(刷條碼區!D:G,MATCH(點上線資訊!S1733,刷條碼區!F:F,0),1),"")</f>
        <v/>
      </c>
      <c r="AA1733" s="71" t="str">
        <f>IFERROR(INDEX(刷條碼區!D:G,MATCH(點上線資訊!S1733,刷條碼區!F:F,0),2),"")</f>
        <v/>
      </c>
      <c r="AB1733" s="20">
        <f t="shared" si="166"/>
        <v>0</v>
      </c>
      <c r="AC1733" s="20" t="b">
        <f t="shared" si="167"/>
        <v>0</v>
      </c>
      <c r="AD1733" s="17" t="b">
        <f t="shared" si="168"/>
        <v>0</v>
      </c>
      <c r="AE1733" s="17" t="b">
        <f t="shared" si="169"/>
        <v>0</v>
      </c>
    </row>
    <row r="1734" spans="17:31" x14ac:dyDescent="0.2">
      <c r="Q1734" s="17">
        <f>IFERROR(VLOOKUP(A1734,已除帳印單!B:C,1,0),0)*1</f>
        <v>0</v>
      </c>
      <c r="R1734" s="67" t="str">
        <f>IFERROR(VLOOKUP(J1734,線別!A:B,2,1),"")</f>
        <v/>
      </c>
      <c r="S1734" s="17" t="str">
        <f>IFERROR(VLOOKUP(A1734,已除帳印單!B:C,2,0),"")</f>
        <v/>
      </c>
      <c r="T1734" s="68" t="e">
        <f t="shared" si="164"/>
        <v>#VALUE!</v>
      </c>
      <c r="U1734" s="69">
        <f t="shared" si="165"/>
        <v>0</v>
      </c>
      <c r="V1734" s="68" t="str">
        <f>IFERROR(VLOOKUP(A1734,已除帳印單!B:D,3,0),"")</f>
        <v/>
      </c>
      <c r="W1734" s="69" t="str">
        <f>IFERROR(VLOOKUP(A1734,已除帳印單!B:E,4,0),"")</f>
        <v/>
      </c>
      <c r="X1734" s="68" t="str">
        <f>IFERROR(INDEX(刷條碼區!A:C,MATCH(點上線資訊!S1734,刷條碼區!C:C,0),1),"")</f>
        <v/>
      </c>
      <c r="Y1734" s="69" t="str">
        <f>IFERROR(INDEX(刷條碼區!A:C,MATCH(點上線資訊!S1734,刷條碼區!C:C,0),2),"")</f>
        <v/>
      </c>
      <c r="Z1734" s="70" t="str">
        <f>IFERROR(INDEX(刷條碼區!D:G,MATCH(點上線資訊!S1734,刷條碼區!F:F,0),1),"")</f>
        <v/>
      </c>
      <c r="AA1734" s="71" t="str">
        <f>IFERROR(INDEX(刷條碼區!D:G,MATCH(點上線資訊!S1734,刷條碼區!F:F,0),2),"")</f>
        <v/>
      </c>
      <c r="AB1734" s="20">
        <f t="shared" si="166"/>
        <v>0</v>
      </c>
      <c r="AC1734" s="20" t="b">
        <f t="shared" si="167"/>
        <v>0</v>
      </c>
      <c r="AD1734" s="17" t="b">
        <f t="shared" si="168"/>
        <v>0</v>
      </c>
      <c r="AE1734" s="17" t="b">
        <f t="shared" si="169"/>
        <v>0</v>
      </c>
    </row>
    <row r="1735" spans="17:31" x14ac:dyDescent="0.2">
      <c r="Q1735" s="17">
        <f>IFERROR(VLOOKUP(A1735,已除帳印單!B:C,1,0),0)*1</f>
        <v>0</v>
      </c>
      <c r="R1735" s="67" t="str">
        <f>IFERROR(VLOOKUP(J1735,線別!A:B,2,1),"")</f>
        <v/>
      </c>
      <c r="S1735" s="17" t="str">
        <f>IFERROR(VLOOKUP(A1735,已除帳印單!B:C,2,0),"")</f>
        <v/>
      </c>
      <c r="T1735" s="68" t="e">
        <f t="shared" si="164"/>
        <v>#VALUE!</v>
      </c>
      <c r="U1735" s="69">
        <f t="shared" si="165"/>
        <v>0</v>
      </c>
      <c r="V1735" s="68" t="str">
        <f>IFERROR(VLOOKUP(A1735,已除帳印單!B:D,3,0),"")</f>
        <v/>
      </c>
      <c r="W1735" s="69" t="str">
        <f>IFERROR(VLOOKUP(A1735,已除帳印單!B:E,4,0),"")</f>
        <v/>
      </c>
      <c r="X1735" s="68" t="str">
        <f>IFERROR(INDEX(刷條碼區!A:C,MATCH(點上線資訊!S1735,刷條碼區!C:C,0),1),"")</f>
        <v/>
      </c>
      <c r="Y1735" s="69" t="str">
        <f>IFERROR(INDEX(刷條碼區!A:C,MATCH(點上線資訊!S1735,刷條碼區!C:C,0),2),"")</f>
        <v/>
      </c>
      <c r="Z1735" s="70" t="str">
        <f>IFERROR(INDEX(刷條碼區!D:G,MATCH(點上線資訊!S1735,刷條碼區!F:F,0),1),"")</f>
        <v/>
      </c>
      <c r="AA1735" s="71" t="str">
        <f>IFERROR(INDEX(刷條碼區!D:G,MATCH(點上線資訊!S1735,刷條碼區!F:F,0),2),"")</f>
        <v/>
      </c>
      <c r="AB1735" s="20">
        <f t="shared" si="166"/>
        <v>0</v>
      </c>
      <c r="AC1735" s="20" t="b">
        <f t="shared" si="167"/>
        <v>0</v>
      </c>
      <c r="AD1735" s="17" t="b">
        <f t="shared" si="168"/>
        <v>0</v>
      </c>
      <c r="AE1735" s="17" t="b">
        <f t="shared" si="169"/>
        <v>0</v>
      </c>
    </row>
    <row r="1736" spans="17:31" x14ac:dyDescent="0.2">
      <c r="Q1736" s="17">
        <f>IFERROR(VLOOKUP(A1736,已除帳印單!B:C,1,0),0)*1</f>
        <v>0</v>
      </c>
      <c r="R1736" s="67" t="str">
        <f>IFERROR(VLOOKUP(J1736,線別!A:B,2,1),"")</f>
        <v/>
      </c>
      <c r="S1736" s="17" t="str">
        <f>IFERROR(VLOOKUP(A1736,已除帳印單!B:C,2,0),"")</f>
        <v/>
      </c>
      <c r="T1736" s="68" t="e">
        <f t="shared" si="164"/>
        <v>#VALUE!</v>
      </c>
      <c r="U1736" s="69">
        <f t="shared" si="165"/>
        <v>0</v>
      </c>
      <c r="V1736" s="68" t="str">
        <f>IFERROR(VLOOKUP(A1736,已除帳印單!B:D,3,0),"")</f>
        <v/>
      </c>
      <c r="W1736" s="69" t="str">
        <f>IFERROR(VLOOKUP(A1736,已除帳印單!B:E,4,0),"")</f>
        <v/>
      </c>
      <c r="X1736" s="68" t="str">
        <f>IFERROR(INDEX(刷條碼區!A:C,MATCH(點上線資訊!S1736,刷條碼區!C:C,0),1),"")</f>
        <v/>
      </c>
      <c r="Y1736" s="69" t="str">
        <f>IFERROR(INDEX(刷條碼區!A:C,MATCH(點上線資訊!S1736,刷條碼區!C:C,0),2),"")</f>
        <v/>
      </c>
      <c r="Z1736" s="70" t="str">
        <f>IFERROR(INDEX(刷條碼區!D:G,MATCH(點上線資訊!S1736,刷條碼區!F:F,0),1),"")</f>
        <v/>
      </c>
      <c r="AA1736" s="71" t="str">
        <f>IFERROR(INDEX(刷條碼區!D:G,MATCH(點上線資訊!S1736,刷條碼區!F:F,0),2),"")</f>
        <v/>
      </c>
      <c r="AB1736" s="20">
        <f t="shared" si="166"/>
        <v>0</v>
      </c>
      <c r="AC1736" s="20" t="b">
        <f t="shared" si="167"/>
        <v>0</v>
      </c>
      <c r="AD1736" s="17" t="b">
        <f t="shared" si="168"/>
        <v>0</v>
      </c>
      <c r="AE1736" s="17" t="b">
        <f t="shared" si="169"/>
        <v>0</v>
      </c>
    </row>
    <row r="1737" spans="17:31" x14ac:dyDescent="0.2">
      <c r="Q1737" s="17">
        <f>IFERROR(VLOOKUP(A1737,已除帳印單!B:C,1,0),0)*1</f>
        <v>0</v>
      </c>
      <c r="R1737" s="67" t="str">
        <f>IFERROR(VLOOKUP(J1737,線別!A:B,2,1),"")</f>
        <v/>
      </c>
      <c r="S1737" s="17" t="str">
        <f>IFERROR(VLOOKUP(A1737,已除帳印單!B:C,2,0),"")</f>
        <v/>
      </c>
      <c r="T1737" s="68" t="e">
        <f t="shared" si="164"/>
        <v>#VALUE!</v>
      </c>
      <c r="U1737" s="69">
        <f t="shared" si="165"/>
        <v>0</v>
      </c>
      <c r="V1737" s="68" t="str">
        <f>IFERROR(VLOOKUP(A1737,已除帳印單!B:D,3,0),"")</f>
        <v/>
      </c>
      <c r="W1737" s="69" t="str">
        <f>IFERROR(VLOOKUP(A1737,已除帳印單!B:E,4,0),"")</f>
        <v/>
      </c>
      <c r="X1737" s="68" t="str">
        <f>IFERROR(INDEX(刷條碼區!A:C,MATCH(點上線資訊!S1737,刷條碼區!C:C,0),1),"")</f>
        <v/>
      </c>
      <c r="Y1737" s="69" t="str">
        <f>IFERROR(INDEX(刷條碼區!A:C,MATCH(點上線資訊!S1737,刷條碼區!C:C,0),2),"")</f>
        <v/>
      </c>
      <c r="Z1737" s="70" t="str">
        <f>IFERROR(INDEX(刷條碼區!D:G,MATCH(點上線資訊!S1737,刷條碼區!F:F,0),1),"")</f>
        <v/>
      </c>
      <c r="AA1737" s="71" t="str">
        <f>IFERROR(INDEX(刷條碼區!D:G,MATCH(點上線資訊!S1737,刷條碼區!F:F,0),2),"")</f>
        <v/>
      </c>
      <c r="AB1737" s="20">
        <f t="shared" si="166"/>
        <v>0</v>
      </c>
      <c r="AC1737" s="20" t="b">
        <f t="shared" si="167"/>
        <v>0</v>
      </c>
      <c r="AD1737" s="17" t="b">
        <f t="shared" si="168"/>
        <v>0</v>
      </c>
      <c r="AE1737" s="17" t="b">
        <f t="shared" si="169"/>
        <v>0</v>
      </c>
    </row>
    <row r="1738" spans="17:31" x14ac:dyDescent="0.2">
      <c r="Q1738" s="17">
        <f>IFERROR(VLOOKUP(A1738,已除帳印單!B:C,1,0),0)*1</f>
        <v>0</v>
      </c>
      <c r="R1738" s="67" t="str">
        <f>IFERROR(VLOOKUP(J1738,線別!A:B,2,1),"")</f>
        <v/>
      </c>
      <c r="S1738" s="17" t="str">
        <f>IFERROR(VLOOKUP(A1738,已除帳印單!B:C,2,0),"")</f>
        <v/>
      </c>
      <c r="T1738" s="68" t="e">
        <f t="shared" si="164"/>
        <v>#VALUE!</v>
      </c>
      <c r="U1738" s="69">
        <f t="shared" si="165"/>
        <v>0</v>
      </c>
      <c r="V1738" s="68" t="str">
        <f>IFERROR(VLOOKUP(A1738,已除帳印單!B:D,3,0),"")</f>
        <v/>
      </c>
      <c r="W1738" s="69" t="str">
        <f>IFERROR(VLOOKUP(A1738,已除帳印單!B:E,4,0),"")</f>
        <v/>
      </c>
      <c r="X1738" s="68" t="str">
        <f>IFERROR(INDEX(刷條碼區!A:C,MATCH(點上線資訊!S1738,刷條碼區!C:C,0),1),"")</f>
        <v/>
      </c>
      <c r="Y1738" s="69" t="str">
        <f>IFERROR(INDEX(刷條碼區!A:C,MATCH(點上線資訊!S1738,刷條碼區!C:C,0),2),"")</f>
        <v/>
      </c>
      <c r="Z1738" s="70" t="str">
        <f>IFERROR(INDEX(刷條碼區!D:G,MATCH(點上線資訊!S1738,刷條碼區!F:F,0),1),"")</f>
        <v/>
      </c>
      <c r="AA1738" s="71" t="str">
        <f>IFERROR(INDEX(刷條碼區!D:G,MATCH(點上線資訊!S1738,刷條碼區!F:F,0),2),"")</f>
        <v/>
      </c>
      <c r="AB1738" s="20">
        <f t="shared" si="166"/>
        <v>0</v>
      </c>
      <c r="AC1738" s="20" t="b">
        <f t="shared" si="167"/>
        <v>0</v>
      </c>
      <c r="AD1738" s="17" t="b">
        <f t="shared" si="168"/>
        <v>0</v>
      </c>
      <c r="AE1738" s="17" t="b">
        <f t="shared" si="169"/>
        <v>0</v>
      </c>
    </row>
    <row r="1739" spans="17:31" x14ac:dyDescent="0.2">
      <c r="Q1739" s="17">
        <f>IFERROR(VLOOKUP(A1739,已除帳印單!B:C,1,0),0)*1</f>
        <v>0</v>
      </c>
      <c r="R1739" s="67" t="str">
        <f>IFERROR(VLOOKUP(J1739,線別!A:B,2,1),"")</f>
        <v/>
      </c>
      <c r="S1739" s="17" t="str">
        <f>IFERROR(VLOOKUP(A1739,已除帳印單!B:C,2,0),"")</f>
        <v/>
      </c>
      <c r="T1739" s="68" t="e">
        <f t="shared" si="164"/>
        <v>#VALUE!</v>
      </c>
      <c r="U1739" s="69">
        <f t="shared" si="165"/>
        <v>0</v>
      </c>
      <c r="V1739" s="68" t="str">
        <f>IFERROR(VLOOKUP(A1739,已除帳印單!B:D,3,0),"")</f>
        <v/>
      </c>
      <c r="W1739" s="69" t="str">
        <f>IFERROR(VLOOKUP(A1739,已除帳印單!B:E,4,0),"")</f>
        <v/>
      </c>
      <c r="X1739" s="68" t="str">
        <f>IFERROR(INDEX(刷條碼區!A:C,MATCH(點上線資訊!S1739,刷條碼區!C:C,0),1),"")</f>
        <v/>
      </c>
      <c r="Y1739" s="69" t="str">
        <f>IFERROR(INDEX(刷條碼區!A:C,MATCH(點上線資訊!S1739,刷條碼區!C:C,0),2),"")</f>
        <v/>
      </c>
      <c r="Z1739" s="70" t="str">
        <f>IFERROR(INDEX(刷條碼區!D:G,MATCH(點上線資訊!S1739,刷條碼區!F:F,0),1),"")</f>
        <v/>
      </c>
      <c r="AA1739" s="71" t="str">
        <f>IFERROR(INDEX(刷條碼區!D:G,MATCH(點上線資訊!S1739,刷條碼區!F:F,0),2),"")</f>
        <v/>
      </c>
      <c r="AB1739" s="20">
        <f t="shared" si="166"/>
        <v>0</v>
      </c>
      <c r="AC1739" s="20" t="b">
        <f t="shared" si="167"/>
        <v>0</v>
      </c>
      <c r="AD1739" s="17" t="b">
        <f t="shared" si="168"/>
        <v>0</v>
      </c>
      <c r="AE1739" s="17" t="b">
        <f t="shared" si="169"/>
        <v>0</v>
      </c>
    </row>
    <row r="1740" spans="17:31" x14ac:dyDescent="0.2">
      <c r="Q1740" s="17">
        <f>IFERROR(VLOOKUP(A1740,已除帳印單!B:C,1,0),0)*1</f>
        <v>0</v>
      </c>
      <c r="R1740" s="67" t="str">
        <f>IFERROR(VLOOKUP(J1740,線別!A:B,2,1),"")</f>
        <v/>
      </c>
      <c r="S1740" s="17" t="str">
        <f>IFERROR(VLOOKUP(A1740,已除帳印單!B:C,2,0),"")</f>
        <v/>
      </c>
      <c r="T1740" s="68" t="e">
        <f t="shared" si="164"/>
        <v>#VALUE!</v>
      </c>
      <c r="U1740" s="69">
        <f t="shared" si="165"/>
        <v>0</v>
      </c>
      <c r="V1740" s="68" t="str">
        <f>IFERROR(VLOOKUP(A1740,已除帳印單!B:D,3,0),"")</f>
        <v/>
      </c>
      <c r="W1740" s="69" t="str">
        <f>IFERROR(VLOOKUP(A1740,已除帳印單!B:E,4,0),"")</f>
        <v/>
      </c>
      <c r="X1740" s="68" t="str">
        <f>IFERROR(INDEX(刷條碼區!A:C,MATCH(點上線資訊!S1740,刷條碼區!C:C,0),1),"")</f>
        <v/>
      </c>
      <c r="Y1740" s="69" t="str">
        <f>IFERROR(INDEX(刷條碼區!A:C,MATCH(點上線資訊!S1740,刷條碼區!C:C,0),2),"")</f>
        <v/>
      </c>
      <c r="Z1740" s="70" t="str">
        <f>IFERROR(INDEX(刷條碼區!D:G,MATCH(點上線資訊!S1740,刷條碼區!F:F,0),1),"")</f>
        <v/>
      </c>
      <c r="AA1740" s="71" t="str">
        <f>IFERROR(INDEX(刷條碼區!D:G,MATCH(點上線資訊!S1740,刷條碼區!F:F,0),2),"")</f>
        <v/>
      </c>
      <c r="AB1740" s="20">
        <f t="shared" si="166"/>
        <v>0</v>
      </c>
      <c r="AC1740" s="20" t="b">
        <f t="shared" si="167"/>
        <v>0</v>
      </c>
      <c r="AD1740" s="17" t="b">
        <f t="shared" si="168"/>
        <v>0</v>
      </c>
      <c r="AE1740" s="17" t="b">
        <f t="shared" si="169"/>
        <v>0</v>
      </c>
    </row>
    <row r="1741" spans="17:31" x14ac:dyDescent="0.2">
      <c r="Q1741" s="17">
        <f>IFERROR(VLOOKUP(A1741,已除帳印單!B:C,1,0),0)*1</f>
        <v>0</v>
      </c>
      <c r="R1741" s="67" t="str">
        <f>IFERROR(VLOOKUP(J1741,線別!A:B,2,1),"")</f>
        <v/>
      </c>
      <c r="S1741" s="17" t="str">
        <f>IFERROR(VLOOKUP(A1741,已除帳印單!B:C,2,0),"")</f>
        <v/>
      </c>
      <c r="T1741" s="68" t="e">
        <f t="shared" si="164"/>
        <v>#VALUE!</v>
      </c>
      <c r="U1741" s="69">
        <f t="shared" si="165"/>
        <v>0</v>
      </c>
      <c r="V1741" s="68" t="str">
        <f>IFERROR(VLOOKUP(A1741,已除帳印單!B:D,3,0),"")</f>
        <v/>
      </c>
      <c r="W1741" s="69" t="str">
        <f>IFERROR(VLOOKUP(A1741,已除帳印單!B:E,4,0),"")</f>
        <v/>
      </c>
      <c r="X1741" s="68" t="str">
        <f>IFERROR(INDEX(刷條碼區!A:C,MATCH(點上線資訊!S1741,刷條碼區!C:C,0),1),"")</f>
        <v/>
      </c>
      <c r="Y1741" s="69" t="str">
        <f>IFERROR(INDEX(刷條碼區!A:C,MATCH(點上線資訊!S1741,刷條碼區!C:C,0),2),"")</f>
        <v/>
      </c>
      <c r="Z1741" s="70" t="str">
        <f>IFERROR(INDEX(刷條碼區!D:G,MATCH(點上線資訊!S1741,刷條碼區!F:F,0),1),"")</f>
        <v/>
      </c>
      <c r="AA1741" s="71" t="str">
        <f>IFERROR(INDEX(刷條碼區!D:G,MATCH(點上線資訊!S1741,刷條碼區!F:F,0),2),"")</f>
        <v/>
      </c>
      <c r="AB1741" s="20">
        <f t="shared" si="166"/>
        <v>0</v>
      </c>
      <c r="AC1741" s="20" t="b">
        <f t="shared" si="167"/>
        <v>0</v>
      </c>
      <c r="AD1741" s="17" t="b">
        <f t="shared" si="168"/>
        <v>0</v>
      </c>
      <c r="AE1741" s="17" t="b">
        <f t="shared" si="169"/>
        <v>0</v>
      </c>
    </row>
    <row r="1742" spans="17:31" x14ac:dyDescent="0.2">
      <c r="Q1742" s="17">
        <f>IFERROR(VLOOKUP(A1742,已除帳印單!B:C,1,0),0)*1</f>
        <v>0</v>
      </c>
      <c r="R1742" s="67" t="str">
        <f>IFERROR(VLOOKUP(J1742,線別!A:B,2,1),"")</f>
        <v/>
      </c>
      <c r="S1742" s="17" t="str">
        <f>IFERROR(VLOOKUP(A1742,已除帳印單!B:C,2,0),"")</f>
        <v/>
      </c>
      <c r="T1742" s="68" t="e">
        <f t="shared" si="164"/>
        <v>#VALUE!</v>
      </c>
      <c r="U1742" s="69">
        <f t="shared" si="165"/>
        <v>0</v>
      </c>
      <c r="V1742" s="68" t="str">
        <f>IFERROR(VLOOKUP(A1742,已除帳印單!B:D,3,0),"")</f>
        <v/>
      </c>
      <c r="W1742" s="69" t="str">
        <f>IFERROR(VLOOKUP(A1742,已除帳印單!B:E,4,0),"")</f>
        <v/>
      </c>
      <c r="X1742" s="68" t="str">
        <f>IFERROR(INDEX(刷條碼區!A:C,MATCH(點上線資訊!S1742,刷條碼區!C:C,0),1),"")</f>
        <v/>
      </c>
      <c r="Y1742" s="69" t="str">
        <f>IFERROR(INDEX(刷條碼區!A:C,MATCH(點上線資訊!S1742,刷條碼區!C:C,0),2),"")</f>
        <v/>
      </c>
      <c r="Z1742" s="70" t="str">
        <f>IFERROR(INDEX(刷條碼區!D:G,MATCH(點上線資訊!S1742,刷條碼區!F:F,0),1),"")</f>
        <v/>
      </c>
      <c r="AA1742" s="71" t="str">
        <f>IFERROR(INDEX(刷條碼區!D:G,MATCH(點上線資訊!S1742,刷條碼區!F:F,0),2),"")</f>
        <v/>
      </c>
      <c r="AB1742" s="20">
        <f t="shared" si="166"/>
        <v>0</v>
      </c>
      <c r="AC1742" s="20" t="b">
        <f t="shared" si="167"/>
        <v>0</v>
      </c>
      <c r="AD1742" s="17" t="b">
        <f t="shared" si="168"/>
        <v>0</v>
      </c>
      <c r="AE1742" s="17" t="b">
        <f t="shared" si="169"/>
        <v>0</v>
      </c>
    </row>
    <row r="1743" spans="17:31" x14ac:dyDescent="0.2">
      <c r="Q1743" s="17">
        <f>IFERROR(VLOOKUP(A1743,已除帳印單!B:C,1,0),0)*1</f>
        <v>0</v>
      </c>
      <c r="R1743" s="67" t="str">
        <f>IFERROR(VLOOKUP(J1743,線別!A:B,2,1),"")</f>
        <v/>
      </c>
      <c r="S1743" s="17" t="str">
        <f>IFERROR(VLOOKUP(A1743,已除帳印單!B:C,2,0),"")</f>
        <v/>
      </c>
      <c r="T1743" s="68" t="e">
        <f t="shared" si="164"/>
        <v>#VALUE!</v>
      </c>
      <c r="U1743" s="69">
        <f t="shared" si="165"/>
        <v>0</v>
      </c>
      <c r="V1743" s="68" t="str">
        <f>IFERROR(VLOOKUP(A1743,已除帳印單!B:D,3,0),"")</f>
        <v/>
      </c>
      <c r="W1743" s="69" t="str">
        <f>IFERROR(VLOOKUP(A1743,已除帳印單!B:E,4,0),"")</f>
        <v/>
      </c>
      <c r="X1743" s="68" t="str">
        <f>IFERROR(INDEX(刷條碼區!A:C,MATCH(點上線資訊!S1743,刷條碼區!C:C,0),1),"")</f>
        <v/>
      </c>
      <c r="Y1743" s="69" t="str">
        <f>IFERROR(INDEX(刷條碼區!A:C,MATCH(點上線資訊!S1743,刷條碼區!C:C,0),2),"")</f>
        <v/>
      </c>
      <c r="Z1743" s="70" t="str">
        <f>IFERROR(INDEX(刷條碼區!D:G,MATCH(點上線資訊!S1743,刷條碼區!F:F,0),1),"")</f>
        <v/>
      </c>
      <c r="AA1743" s="71" t="str">
        <f>IFERROR(INDEX(刷條碼區!D:G,MATCH(點上線資訊!S1743,刷條碼區!F:F,0),2),"")</f>
        <v/>
      </c>
      <c r="AB1743" s="20">
        <f t="shared" si="166"/>
        <v>0</v>
      </c>
      <c r="AC1743" s="20" t="b">
        <f t="shared" si="167"/>
        <v>0</v>
      </c>
      <c r="AD1743" s="17" t="b">
        <f t="shared" si="168"/>
        <v>0</v>
      </c>
      <c r="AE1743" s="17" t="b">
        <f t="shared" si="169"/>
        <v>0</v>
      </c>
    </row>
    <row r="1744" spans="17:31" x14ac:dyDescent="0.2">
      <c r="Q1744" s="17">
        <f>IFERROR(VLOOKUP(A1744,已除帳印單!B:C,1,0),0)*1</f>
        <v>0</v>
      </c>
      <c r="R1744" s="67" t="str">
        <f>IFERROR(VLOOKUP(J1744,線別!A:B,2,1),"")</f>
        <v/>
      </c>
      <c r="S1744" s="17" t="str">
        <f>IFERROR(VLOOKUP(A1744,已除帳印單!B:C,2,0),"")</f>
        <v/>
      </c>
      <c r="T1744" s="68" t="e">
        <f t="shared" si="164"/>
        <v>#VALUE!</v>
      </c>
      <c r="U1744" s="69">
        <f t="shared" si="165"/>
        <v>0</v>
      </c>
      <c r="V1744" s="68" t="str">
        <f>IFERROR(VLOOKUP(A1744,已除帳印單!B:D,3,0),"")</f>
        <v/>
      </c>
      <c r="W1744" s="69" t="str">
        <f>IFERROR(VLOOKUP(A1744,已除帳印單!B:E,4,0),"")</f>
        <v/>
      </c>
      <c r="X1744" s="68" t="str">
        <f>IFERROR(INDEX(刷條碼區!A:C,MATCH(點上線資訊!S1744,刷條碼區!C:C,0),1),"")</f>
        <v/>
      </c>
      <c r="Y1744" s="69" t="str">
        <f>IFERROR(INDEX(刷條碼區!A:C,MATCH(點上線資訊!S1744,刷條碼區!C:C,0),2),"")</f>
        <v/>
      </c>
      <c r="Z1744" s="70" t="str">
        <f>IFERROR(INDEX(刷條碼區!D:G,MATCH(點上線資訊!S1744,刷條碼區!F:F,0),1),"")</f>
        <v/>
      </c>
      <c r="AA1744" s="71" t="str">
        <f>IFERROR(INDEX(刷條碼區!D:G,MATCH(點上線資訊!S1744,刷條碼區!F:F,0),2),"")</f>
        <v/>
      </c>
      <c r="AB1744" s="20">
        <f t="shared" si="166"/>
        <v>0</v>
      </c>
      <c r="AC1744" s="20" t="b">
        <f t="shared" si="167"/>
        <v>0</v>
      </c>
      <c r="AD1744" s="17" t="b">
        <f t="shared" si="168"/>
        <v>0</v>
      </c>
      <c r="AE1744" s="17" t="b">
        <f t="shared" si="169"/>
        <v>0</v>
      </c>
    </row>
    <row r="1745" spans="17:31" x14ac:dyDescent="0.2">
      <c r="Q1745" s="17">
        <f>IFERROR(VLOOKUP(A1745,已除帳印單!B:C,1,0),0)*1</f>
        <v>0</v>
      </c>
      <c r="R1745" s="67" t="str">
        <f>IFERROR(VLOOKUP(J1745,線別!A:B,2,1),"")</f>
        <v/>
      </c>
      <c r="S1745" s="17" t="str">
        <f>IFERROR(VLOOKUP(A1745,已除帳印單!B:C,2,0),"")</f>
        <v/>
      </c>
      <c r="T1745" s="68" t="e">
        <f t="shared" si="164"/>
        <v>#VALUE!</v>
      </c>
      <c r="U1745" s="69">
        <f t="shared" si="165"/>
        <v>0</v>
      </c>
      <c r="V1745" s="68" t="str">
        <f>IFERROR(VLOOKUP(A1745,已除帳印單!B:D,3,0),"")</f>
        <v/>
      </c>
      <c r="W1745" s="69" t="str">
        <f>IFERROR(VLOOKUP(A1745,已除帳印單!B:E,4,0),"")</f>
        <v/>
      </c>
      <c r="X1745" s="68" t="str">
        <f>IFERROR(INDEX(刷條碼區!A:C,MATCH(點上線資訊!S1745,刷條碼區!C:C,0),1),"")</f>
        <v/>
      </c>
      <c r="Y1745" s="69" t="str">
        <f>IFERROR(INDEX(刷條碼區!A:C,MATCH(點上線資訊!S1745,刷條碼區!C:C,0),2),"")</f>
        <v/>
      </c>
      <c r="Z1745" s="70" t="str">
        <f>IFERROR(INDEX(刷條碼區!D:G,MATCH(點上線資訊!S1745,刷條碼區!F:F,0),1),"")</f>
        <v/>
      </c>
      <c r="AA1745" s="71" t="str">
        <f>IFERROR(INDEX(刷條碼區!D:G,MATCH(點上線資訊!S1745,刷條碼區!F:F,0),2),"")</f>
        <v/>
      </c>
      <c r="AB1745" s="20">
        <f t="shared" si="166"/>
        <v>0</v>
      </c>
      <c r="AC1745" s="20" t="b">
        <f t="shared" si="167"/>
        <v>0</v>
      </c>
      <c r="AD1745" s="17" t="b">
        <f t="shared" si="168"/>
        <v>0</v>
      </c>
      <c r="AE1745" s="17" t="b">
        <f t="shared" si="169"/>
        <v>0</v>
      </c>
    </row>
    <row r="1746" spans="17:31" x14ac:dyDescent="0.2">
      <c r="Q1746" s="17">
        <f>IFERROR(VLOOKUP(A1746,已除帳印單!B:C,1,0),0)*1</f>
        <v>0</v>
      </c>
      <c r="R1746" s="67" t="str">
        <f>IFERROR(VLOOKUP(J1746,線別!A:B,2,1),"")</f>
        <v/>
      </c>
      <c r="S1746" s="17" t="str">
        <f>IFERROR(VLOOKUP(A1746,已除帳印單!B:C,2,0),"")</f>
        <v/>
      </c>
      <c r="T1746" s="68" t="e">
        <f t="shared" si="164"/>
        <v>#VALUE!</v>
      </c>
      <c r="U1746" s="69">
        <f t="shared" si="165"/>
        <v>0</v>
      </c>
      <c r="V1746" s="68" t="str">
        <f>IFERROR(VLOOKUP(A1746,已除帳印單!B:D,3,0),"")</f>
        <v/>
      </c>
      <c r="W1746" s="69" t="str">
        <f>IFERROR(VLOOKUP(A1746,已除帳印單!B:E,4,0),"")</f>
        <v/>
      </c>
      <c r="X1746" s="68" t="str">
        <f>IFERROR(INDEX(刷條碼區!A:C,MATCH(點上線資訊!S1746,刷條碼區!C:C,0),1),"")</f>
        <v/>
      </c>
      <c r="Y1746" s="69" t="str">
        <f>IFERROR(INDEX(刷條碼區!A:C,MATCH(點上線資訊!S1746,刷條碼區!C:C,0),2),"")</f>
        <v/>
      </c>
      <c r="Z1746" s="70" t="str">
        <f>IFERROR(INDEX(刷條碼區!D:G,MATCH(點上線資訊!S1746,刷條碼區!F:F,0),1),"")</f>
        <v/>
      </c>
      <c r="AA1746" s="71" t="str">
        <f>IFERROR(INDEX(刷條碼區!D:G,MATCH(點上線資訊!S1746,刷條碼區!F:F,0),2),"")</f>
        <v/>
      </c>
      <c r="AB1746" s="20">
        <f t="shared" si="166"/>
        <v>0</v>
      </c>
      <c r="AC1746" s="20" t="b">
        <f t="shared" si="167"/>
        <v>0</v>
      </c>
      <c r="AD1746" s="17" t="b">
        <f t="shared" si="168"/>
        <v>0</v>
      </c>
      <c r="AE1746" s="17" t="b">
        <f t="shared" si="169"/>
        <v>0</v>
      </c>
    </row>
    <row r="1747" spans="17:31" x14ac:dyDescent="0.2">
      <c r="Q1747" s="17">
        <f>IFERROR(VLOOKUP(A1747,已除帳印單!B:C,1,0),0)*1</f>
        <v>0</v>
      </c>
      <c r="R1747" s="67" t="str">
        <f>IFERROR(VLOOKUP(J1747,線別!A:B,2,1),"")</f>
        <v/>
      </c>
      <c r="S1747" s="17" t="str">
        <f>IFERROR(VLOOKUP(A1747,已除帳印單!B:C,2,0),"")</f>
        <v/>
      </c>
      <c r="T1747" s="68" t="e">
        <f t="shared" si="164"/>
        <v>#VALUE!</v>
      </c>
      <c r="U1747" s="69">
        <f t="shared" si="165"/>
        <v>0</v>
      </c>
      <c r="V1747" s="68" t="str">
        <f>IFERROR(VLOOKUP(A1747,已除帳印單!B:D,3,0),"")</f>
        <v/>
      </c>
      <c r="W1747" s="69" t="str">
        <f>IFERROR(VLOOKUP(A1747,已除帳印單!B:E,4,0),"")</f>
        <v/>
      </c>
      <c r="X1747" s="68" t="str">
        <f>IFERROR(INDEX(刷條碼區!A:C,MATCH(點上線資訊!S1747,刷條碼區!C:C,0),1),"")</f>
        <v/>
      </c>
      <c r="Y1747" s="69" t="str">
        <f>IFERROR(INDEX(刷條碼區!A:C,MATCH(點上線資訊!S1747,刷條碼區!C:C,0),2),"")</f>
        <v/>
      </c>
      <c r="Z1747" s="70" t="str">
        <f>IFERROR(INDEX(刷條碼區!D:G,MATCH(點上線資訊!S1747,刷條碼區!F:F,0),1),"")</f>
        <v/>
      </c>
      <c r="AA1747" s="71" t="str">
        <f>IFERROR(INDEX(刷條碼區!D:G,MATCH(點上線資訊!S1747,刷條碼區!F:F,0),2),"")</f>
        <v/>
      </c>
      <c r="AB1747" s="20">
        <f t="shared" si="166"/>
        <v>0</v>
      </c>
      <c r="AC1747" s="20" t="b">
        <f t="shared" si="167"/>
        <v>0</v>
      </c>
      <c r="AD1747" s="17" t="b">
        <f t="shared" si="168"/>
        <v>0</v>
      </c>
      <c r="AE1747" s="17" t="b">
        <f t="shared" si="169"/>
        <v>0</v>
      </c>
    </row>
    <row r="1748" spans="17:31" x14ac:dyDescent="0.2">
      <c r="Q1748" s="17">
        <f>IFERROR(VLOOKUP(A1748,已除帳印單!B:C,1,0),0)*1</f>
        <v>0</v>
      </c>
      <c r="R1748" s="67" t="str">
        <f>IFERROR(VLOOKUP(J1748,線別!A:B,2,1),"")</f>
        <v/>
      </c>
      <c r="S1748" s="17" t="str">
        <f>IFERROR(VLOOKUP(A1748,已除帳印單!B:C,2,0),"")</f>
        <v/>
      </c>
      <c r="T1748" s="68" t="e">
        <f t="shared" si="164"/>
        <v>#VALUE!</v>
      </c>
      <c r="U1748" s="69">
        <f t="shared" si="165"/>
        <v>0</v>
      </c>
      <c r="V1748" s="68" t="str">
        <f>IFERROR(VLOOKUP(A1748,已除帳印單!B:D,3,0),"")</f>
        <v/>
      </c>
      <c r="W1748" s="69" t="str">
        <f>IFERROR(VLOOKUP(A1748,已除帳印單!B:E,4,0),"")</f>
        <v/>
      </c>
      <c r="X1748" s="68" t="str">
        <f>IFERROR(INDEX(刷條碼區!A:C,MATCH(點上線資訊!S1748,刷條碼區!C:C,0),1),"")</f>
        <v/>
      </c>
      <c r="Y1748" s="69" t="str">
        <f>IFERROR(INDEX(刷條碼區!A:C,MATCH(點上線資訊!S1748,刷條碼區!C:C,0),2),"")</f>
        <v/>
      </c>
      <c r="Z1748" s="70" t="str">
        <f>IFERROR(INDEX(刷條碼區!D:G,MATCH(點上線資訊!S1748,刷條碼區!F:F,0),1),"")</f>
        <v/>
      </c>
      <c r="AA1748" s="71" t="str">
        <f>IFERROR(INDEX(刷條碼區!D:G,MATCH(點上線資訊!S1748,刷條碼區!F:F,0),2),"")</f>
        <v/>
      </c>
      <c r="AB1748" s="20">
        <f t="shared" si="166"/>
        <v>0</v>
      </c>
      <c r="AC1748" s="20" t="b">
        <f t="shared" si="167"/>
        <v>0</v>
      </c>
      <c r="AD1748" s="17" t="b">
        <f t="shared" si="168"/>
        <v>0</v>
      </c>
      <c r="AE1748" s="17" t="b">
        <f t="shared" si="169"/>
        <v>0</v>
      </c>
    </row>
    <row r="1749" spans="17:31" x14ac:dyDescent="0.2">
      <c r="Q1749" s="17">
        <f>IFERROR(VLOOKUP(A1749,已除帳印單!B:C,1,0),0)*1</f>
        <v>0</v>
      </c>
      <c r="R1749" s="67" t="str">
        <f>IFERROR(VLOOKUP(J1749,線別!A:B,2,1),"")</f>
        <v/>
      </c>
      <c r="S1749" s="17" t="str">
        <f>IFERROR(VLOOKUP(A1749,已除帳印單!B:C,2,0),"")</f>
        <v/>
      </c>
      <c r="T1749" s="68" t="e">
        <f t="shared" si="164"/>
        <v>#VALUE!</v>
      </c>
      <c r="U1749" s="69">
        <f t="shared" si="165"/>
        <v>0</v>
      </c>
      <c r="V1749" s="68" t="str">
        <f>IFERROR(VLOOKUP(A1749,已除帳印單!B:D,3,0),"")</f>
        <v/>
      </c>
      <c r="W1749" s="69" t="str">
        <f>IFERROR(VLOOKUP(A1749,已除帳印單!B:E,4,0),"")</f>
        <v/>
      </c>
      <c r="X1749" s="68" t="str">
        <f>IFERROR(INDEX(刷條碼區!A:C,MATCH(點上線資訊!S1749,刷條碼區!C:C,0),1),"")</f>
        <v/>
      </c>
      <c r="Y1749" s="69" t="str">
        <f>IFERROR(INDEX(刷條碼區!A:C,MATCH(點上線資訊!S1749,刷條碼區!C:C,0),2),"")</f>
        <v/>
      </c>
      <c r="Z1749" s="70" t="str">
        <f>IFERROR(INDEX(刷條碼區!D:G,MATCH(點上線資訊!S1749,刷條碼區!F:F,0),1),"")</f>
        <v/>
      </c>
      <c r="AA1749" s="71" t="str">
        <f>IFERROR(INDEX(刷條碼區!D:G,MATCH(點上線資訊!S1749,刷條碼區!F:F,0),2),"")</f>
        <v/>
      </c>
      <c r="AB1749" s="20">
        <f t="shared" si="166"/>
        <v>0</v>
      </c>
      <c r="AC1749" s="20" t="b">
        <f t="shared" si="167"/>
        <v>0</v>
      </c>
      <c r="AD1749" s="17" t="b">
        <f t="shared" si="168"/>
        <v>0</v>
      </c>
      <c r="AE1749" s="17" t="b">
        <f t="shared" si="169"/>
        <v>0</v>
      </c>
    </row>
    <row r="1750" spans="17:31" x14ac:dyDescent="0.2">
      <c r="Q1750" s="17">
        <f>IFERROR(VLOOKUP(A1750,已除帳印單!B:C,1,0),0)*1</f>
        <v>0</v>
      </c>
      <c r="R1750" s="67" t="str">
        <f>IFERROR(VLOOKUP(J1750,線別!A:B,2,1),"")</f>
        <v/>
      </c>
      <c r="S1750" s="17" t="str">
        <f>IFERROR(VLOOKUP(A1750,已除帳印單!B:C,2,0),"")</f>
        <v/>
      </c>
      <c r="T1750" s="68" t="e">
        <f t="shared" si="164"/>
        <v>#VALUE!</v>
      </c>
      <c r="U1750" s="69">
        <f t="shared" si="165"/>
        <v>0</v>
      </c>
      <c r="V1750" s="68" t="str">
        <f>IFERROR(VLOOKUP(A1750,已除帳印單!B:D,3,0),"")</f>
        <v/>
      </c>
      <c r="W1750" s="69" t="str">
        <f>IFERROR(VLOOKUP(A1750,已除帳印單!B:E,4,0),"")</f>
        <v/>
      </c>
      <c r="X1750" s="68" t="str">
        <f>IFERROR(INDEX(刷條碼區!A:C,MATCH(點上線資訊!S1750,刷條碼區!C:C,0),1),"")</f>
        <v/>
      </c>
      <c r="Y1750" s="69" t="str">
        <f>IFERROR(INDEX(刷條碼區!A:C,MATCH(點上線資訊!S1750,刷條碼區!C:C,0),2),"")</f>
        <v/>
      </c>
      <c r="Z1750" s="70" t="str">
        <f>IFERROR(INDEX(刷條碼區!D:G,MATCH(點上線資訊!S1750,刷條碼區!F:F,0),1),"")</f>
        <v/>
      </c>
      <c r="AA1750" s="71" t="str">
        <f>IFERROR(INDEX(刷條碼區!D:G,MATCH(點上線資訊!S1750,刷條碼區!F:F,0),2),"")</f>
        <v/>
      </c>
      <c r="AB1750" s="20">
        <f t="shared" si="166"/>
        <v>0</v>
      </c>
      <c r="AC1750" s="20" t="b">
        <f t="shared" si="167"/>
        <v>0</v>
      </c>
      <c r="AD1750" s="17" t="b">
        <f t="shared" si="168"/>
        <v>0</v>
      </c>
      <c r="AE1750" s="17" t="b">
        <f t="shared" si="169"/>
        <v>0</v>
      </c>
    </row>
    <row r="1751" spans="17:31" x14ac:dyDescent="0.2">
      <c r="Q1751" s="17">
        <f>IFERROR(VLOOKUP(A1751,已除帳印單!B:C,1,0),0)*1</f>
        <v>0</v>
      </c>
      <c r="R1751" s="67" t="str">
        <f>IFERROR(VLOOKUP(J1751,線別!A:B,2,1),"")</f>
        <v/>
      </c>
      <c r="S1751" s="17" t="str">
        <f>IFERROR(VLOOKUP(A1751,已除帳印單!B:C,2,0),"")</f>
        <v/>
      </c>
      <c r="T1751" s="68" t="e">
        <f t="shared" si="164"/>
        <v>#VALUE!</v>
      </c>
      <c r="U1751" s="69">
        <f t="shared" si="165"/>
        <v>0</v>
      </c>
      <c r="V1751" s="68" t="str">
        <f>IFERROR(VLOOKUP(A1751,已除帳印單!B:D,3,0),"")</f>
        <v/>
      </c>
      <c r="W1751" s="69" t="str">
        <f>IFERROR(VLOOKUP(A1751,已除帳印單!B:E,4,0),"")</f>
        <v/>
      </c>
      <c r="X1751" s="68" t="str">
        <f>IFERROR(INDEX(刷條碼區!A:C,MATCH(點上線資訊!S1751,刷條碼區!C:C,0),1),"")</f>
        <v/>
      </c>
      <c r="Y1751" s="69" t="str">
        <f>IFERROR(INDEX(刷條碼區!A:C,MATCH(點上線資訊!S1751,刷條碼區!C:C,0),2),"")</f>
        <v/>
      </c>
      <c r="Z1751" s="70" t="str">
        <f>IFERROR(INDEX(刷條碼區!D:G,MATCH(點上線資訊!S1751,刷條碼區!F:F,0),1),"")</f>
        <v/>
      </c>
      <c r="AA1751" s="71" t="str">
        <f>IFERROR(INDEX(刷條碼區!D:G,MATCH(點上線資訊!S1751,刷條碼區!F:F,0),2),"")</f>
        <v/>
      </c>
      <c r="AB1751" s="20">
        <f t="shared" si="166"/>
        <v>0</v>
      </c>
      <c r="AC1751" s="20" t="b">
        <f t="shared" si="167"/>
        <v>0</v>
      </c>
      <c r="AD1751" s="17" t="b">
        <f t="shared" si="168"/>
        <v>0</v>
      </c>
      <c r="AE1751" s="17" t="b">
        <f t="shared" si="169"/>
        <v>0</v>
      </c>
    </row>
    <row r="1752" spans="17:31" x14ac:dyDescent="0.2">
      <c r="Q1752" s="17">
        <f>IFERROR(VLOOKUP(A1752,已除帳印單!B:C,1,0),0)*1</f>
        <v>0</v>
      </c>
      <c r="R1752" s="67" t="str">
        <f>IFERROR(VLOOKUP(J1752,線別!A:B,2,1),"")</f>
        <v/>
      </c>
      <c r="S1752" s="17" t="str">
        <f>IFERROR(VLOOKUP(A1752,已除帳印單!B:C,2,0),"")</f>
        <v/>
      </c>
      <c r="T1752" s="68" t="e">
        <f t="shared" si="164"/>
        <v>#VALUE!</v>
      </c>
      <c r="U1752" s="69">
        <f t="shared" si="165"/>
        <v>0</v>
      </c>
      <c r="V1752" s="68" t="str">
        <f>IFERROR(VLOOKUP(A1752,已除帳印單!B:D,3,0),"")</f>
        <v/>
      </c>
      <c r="W1752" s="69" t="str">
        <f>IFERROR(VLOOKUP(A1752,已除帳印單!B:E,4,0),"")</f>
        <v/>
      </c>
      <c r="X1752" s="68" t="str">
        <f>IFERROR(INDEX(刷條碼區!A:C,MATCH(點上線資訊!S1752,刷條碼區!C:C,0),1),"")</f>
        <v/>
      </c>
      <c r="Y1752" s="69" t="str">
        <f>IFERROR(INDEX(刷條碼區!A:C,MATCH(點上線資訊!S1752,刷條碼區!C:C,0),2),"")</f>
        <v/>
      </c>
      <c r="Z1752" s="70" t="str">
        <f>IFERROR(INDEX(刷條碼區!D:G,MATCH(點上線資訊!S1752,刷條碼區!F:F,0),1),"")</f>
        <v/>
      </c>
      <c r="AA1752" s="71" t="str">
        <f>IFERROR(INDEX(刷條碼區!D:G,MATCH(點上線資訊!S1752,刷條碼區!F:F,0),2),"")</f>
        <v/>
      </c>
      <c r="AB1752" s="20">
        <f t="shared" si="166"/>
        <v>0</v>
      </c>
      <c r="AC1752" s="20" t="b">
        <f t="shared" si="167"/>
        <v>0</v>
      </c>
      <c r="AD1752" s="17" t="b">
        <f t="shared" si="168"/>
        <v>0</v>
      </c>
      <c r="AE1752" s="17" t="b">
        <f t="shared" si="169"/>
        <v>0</v>
      </c>
    </row>
    <row r="1753" spans="17:31" x14ac:dyDescent="0.2">
      <c r="Q1753" s="17">
        <f>IFERROR(VLOOKUP(A1753,已除帳印單!B:C,1,0),0)*1</f>
        <v>0</v>
      </c>
      <c r="R1753" s="67" t="str">
        <f>IFERROR(VLOOKUP(J1753,線別!A:B,2,1),"")</f>
        <v/>
      </c>
      <c r="S1753" s="17" t="str">
        <f>IFERROR(VLOOKUP(A1753,已除帳印單!B:C,2,0),"")</f>
        <v/>
      </c>
      <c r="T1753" s="68" t="e">
        <f t="shared" si="164"/>
        <v>#VALUE!</v>
      </c>
      <c r="U1753" s="69">
        <f t="shared" si="165"/>
        <v>0</v>
      </c>
      <c r="V1753" s="68" t="str">
        <f>IFERROR(VLOOKUP(A1753,已除帳印單!B:D,3,0),"")</f>
        <v/>
      </c>
      <c r="W1753" s="69" t="str">
        <f>IFERROR(VLOOKUP(A1753,已除帳印單!B:E,4,0),"")</f>
        <v/>
      </c>
      <c r="X1753" s="68" t="str">
        <f>IFERROR(INDEX(刷條碼區!A:C,MATCH(點上線資訊!S1753,刷條碼區!C:C,0),1),"")</f>
        <v/>
      </c>
      <c r="Y1753" s="69" t="str">
        <f>IFERROR(INDEX(刷條碼區!A:C,MATCH(點上線資訊!S1753,刷條碼區!C:C,0),2),"")</f>
        <v/>
      </c>
      <c r="Z1753" s="70" t="str">
        <f>IFERROR(INDEX(刷條碼區!D:G,MATCH(點上線資訊!S1753,刷條碼區!F:F,0),1),"")</f>
        <v/>
      </c>
      <c r="AA1753" s="71" t="str">
        <f>IFERROR(INDEX(刷條碼區!D:G,MATCH(點上線資訊!S1753,刷條碼區!F:F,0),2),"")</f>
        <v/>
      </c>
      <c r="AB1753" s="20">
        <f t="shared" si="166"/>
        <v>0</v>
      </c>
      <c r="AC1753" s="20" t="b">
        <f t="shared" si="167"/>
        <v>0</v>
      </c>
      <c r="AD1753" s="17" t="b">
        <f t="shared" si="168"/>
        <v>0</v>
      </c>
      <c r="AE1753" s="17" t="b">
        <f t="shared" si="169"/>
        <v>0</v>
      </c>
    </row>
    <row r="1754" spans="17:31" x14ac:dyDescent="0.2">
      <c r="Q1754" s="17">
        <f>IFERROR(VLOOKUP(A1754,已除帳印單!B:C,1,0),0)*1</f>
        <v>0</v>
      </c>
      <c r="R1754" s="67" t="str">
        <f>IFERROR(VLOOKUP(J1754,線別!A:B,2,1),"")</f>
        <v/>
      </c>
      <c r="S1754" s="17" t="str">
        <f>IFERROR(VLOOKUP(A1754,已除帳印單!B:C,2,0),"")</f>
        <v/>
      </c>
      <c r="T1754" s="68" t="e">
        <f t="shared" si="164"/>
        <v>#VALUE!</v>
      </c>
      <c r="U1754" s="69">
        <f t="shared" si="165"/>
        <v>0</v>
      </c>
      <c r="V1754" s="68" t="str">
        <f>IFERROR(VLOOKUP(A1754,已除帳印單!B:D,3,0),"")</f>
        <v/>
      </c>
      <c r="W1754" s="69" t="str">
        <f>IFERROR(VLOOKUP(A1754,已除帳印單!B:E,4,0),"")</f>
        <v/>
      </c>
      <c r="X1754" s="68" t="str">
        <f>IFERROR(INDEX(刷條碼區!A:C,MATCH(點上線資訊!S1754,刷條碼區!C:C,0),1),"")</f>
        <v/>
      </c>
      <c r="Y1754" s="69" t="str">
        <f>IFERROR(INDEX(刷條碼區!A:C,MATCH(點上線資訊!S1754,刷條碼區!C:C,0),2),"")</f>
        <v/>
      </c>
      <c r="Z1754" s="70" t="str">
        <f>IFERROR(INDEX(刷條碼區!D:G,MATCH(點上線資訊!S1754,刷條碼區!F:F,0),1),"")</f>
        <v/>
      </c>
      <c r="AA1754" s="71" t="str">
        <f>IFERROR(INDEX(刷條碼區!D:G,MATCH(點上線資訊!S1754,刷條碼區!F:F,0),2),"")</f>
        <v/>
      </c>
      <c r="AB1754" s="20">
        <f t="shared" si="166"/>
        <v>0</v>
      </c>
      <c r="AC1754" s="20" t="b">
        <f t="shared" si="167"/>
        <v>0</v>
      </c>
      <c r="AD1754" s="17" t="b">
        <f t="shared" si="168"/>
        <v>0</v>
      </c>
      <c r="AE1754" s="17" t="b">
        <f t="shared" si="169"/>
        <v>0</v>
      </c>
    </row>
    <row r="1755" spans="17:31" x14ac:dyDescent="0.2">
      <c r="Q1755" s="17">
        <f>IFERROR(VLOOKUP(A1755,已除帳印單!B:C,1,0),0)*1</f>
        <v>0</v>
      </c>
      <c r="R1755" s="67" t="str">
        <f>IFERROR(VLOOKUP(J1755,線別!A:B,2,1),"")</f>
        <v/>
      </c>
      <c r="S1755" s="17" t="str">
        <f>IFERROR(VLOOKUP(A1755,已除帳印單!B:C,2,0),"")</f>
        <v/>
      </c>
      <c r="T1755" s="68" t="e">
        <f t="shared" si="164"/>
        <v>#VALUE!</v>
      </c>
      <c r="U1755" s="69">
        <f t="shared" si="165"/>
        <v>0</v>
      </c>
      <c r="V1755" s="68" t="str">
        <f>IFERROR(VLOOKUP(A1755,已除帳印單!B:D,3,0),"")</f>
        <v/>
      </c>
      <c r="W1755" s="69" t="str">
        <f>IFERROR(VLOOKUP(A1755,已除帳印單!B:E,4,0),"")</f>
        <v/>
      </c>
      <c r="X1755" s="68" t="str">
        <f>IFERROR(INDEX(刷條碼區!A:C,MATCH(點上線資訊!S1755,刷條碼區!C:C,0),1),"")</f>
        <v/>
      </c>
      <c r="Y1755" s="69" t="str">
        <f>IFERROR(INDEX(刷條碼區!A:C,MATCH(點上線資訊!S1755,刷條碼區!C:C,0),2),"")</f>
        <v/>
      </c>
      <c r="Z1755" s="70" t="str">
        <f>IFERROR(INDEX(刷條碼區!D:G,MATCH(點上線資訊!S1755,刷條碼區!F:F,0),1),"")</f>
        <v/>
      </c>
      <c r="AA1755" s="71" t="str">
        <f>IFERROR(INDEX(刷條碼區!D:G,MATCH(點上線資訊!S1755,刷條碼區!F:F,0),2),"")</f>
        <v/>
      </c>
      <c r="AB1755" s="20">
        <f t="shared" si="166"/>
        <v>0</v>
      </c>
      <c r="AC1755" s="20" t="b">
        <f t="shared" si="167"/>
        <v>0</v>
      </c>
      <c r="AD1755" s="17" t="b">
        <f t="shared" si="168"/>
        <v>0</v>
      </c>
      <c r="AE1755" s="17" t="b">
        <f t="shared" si="169"/>
        <v>0</v>
      </c>
    </row>
    <row r="1756" spans="17:31" x14ac:dyDescent="0.2">
      <c r="Q1756" s="17">
        <f>IFERROR(VLOOKUP(A1756,已除帳印單!B:C,1,0),0)*1</f>
        <v>0</v>
      </c>
      <c r="R1756" s="67" t="str">
        <f>IFERROR(VLOOKUP(J1756,線別!A:B,2,1),"")</f>
        <v/>
      </c>
      <c r="S1756" s="17" t="str">
        <f>IFERROR(VLOOKUP(A1756,已除帳印單!B:C,2,0),"")</f>
        <v/>
      </c>
      <c r="T1756" s="68" t="e">
        <f t="shared" si="164"/>
        <v>#VALUE!</v>
      </c>
      <c r="U1756" s="69">
        <f t="shared" si="165"/>
        <v>0</v>
      </c>
      <c r="V1756" s="68" t="str">
        <f>IFERROR(VLOOKUP(A1756,已除帳印單!B:D,3,0),"")</f>
        <v/>
      </c>
      <c r="W1756" s="69" t="str">
        <f>IFERROR(VLOOKUP(A1756,已除帳印單!B:E,4,0),"")</f>
        <v/>
      </c>
      <c r="X1756" s="68" t="str">
        <f>IFERROR(INDEX(刷條碼區!A:C,MATCH(點上線資訊!S1756,刷條碼區!C:C,0),1),"")</f>
        <v/>
      </c>
      <c r="Y1756" s="69" t="str">
        <f>IFERROR(INDEX(刷條碼區!A:C,MATCH(點上線資訊!S1756,刷條碼區!C:C,0),2),"")</f>
        <v/>
      </c>
      <c r="Z1756" s="70" t="str">
        <f>IFERROR(INDEX(刷條碼區!D:G,MATCH(點上線資訊!S1756,刷條碼區!F:F,0),1),"")</f>
        <v/>
      </c>
      <c r="AA1756" s="71" t="str">
        <f>IFERROR(INDEX(刷條碼區!D:G,MATCH(點上線資訊!S1756,刷條碼區!F:F,0),2),"")</f>
        <v/>
      </c>
      <c r="AB1756" s="20">
        <f t="shared" si="166"/>
        <v>0</v>
      </c>
      <c r="AC1756" s="20" t="b">
        <f t="shared" si="167"/>
        <v>0</v>
      </c>
      <c r="AD1756" s="17" t="b">
        <f t="shared" si="168"/>
        <v>0</v>
      </c>
      <c r="AE1756" s="17" t="b">
        <f t="shared" si="169"/>
        <v>0</v>
      </c>
    </row>
    <row r="1757" spans="17:31" x14ac:dyDescent="0.2">
      <c r="Q1757" s="17">
        <f>IFERROR(VLOOKUP(A1757,已除帳印單!B:C,1,0),0)*1</f>
        <v>0</v>
      </c>
      <c r="R1757" s="67" t="str">
        <f>IFERROR(VLOOKUP(J1757,線別!A:B,2,1),"")</f>
        <v/>
      </c>
      <c r="S1757" s="17" t="str">
        <f>IFERROR(VLOOKUP(A1757,已除帳印單!B:C,2,0),"")</f>
        <v/>
      </c>
      <c r="T1757" s="68" t="e">
        <f t="shared" si="164"/>
        <v>#VALUE!</v>
      </c>
      <c r="U1757" s="69">
        <f t="shared" si="165"/>
        <v>0</v>
      </c>
      <c r="V1757" s="68" t="str">
        <f>IFERROR(VLOOKUP(A1757,已除帳印單!B:D,3,0),"")</f>
        <v/>
      </c>
      <c r="W1757" s="69" t="str">
        <f>IFERROR(VLOOKUP(A1757,已除帳印單!B:E,4,0),"")</f>
        <v/>
      </c>
      <c r="X1757" s="68" t="str">
        <f>IFERROR(INDEX(刷條碼區!A:C,MATCH(點上線資訊!S1757,刷條碼區!C:C,0),1),"")</f>
        <v/>
      </c>
      <c r="Y1757" s="69" t="str">
        <f>IFERROR(INDEX(刷條碼區!A:C,MATCH(點上線資訊!S1757,刷條碼區!C:C,0),2),"")</f>
        <v/>
      </c>
      <c r="Z1757" s="70" t="str">
        <f>IFERROR(INDEX(刷條碼區!D:G,MATCH(點上線資訊!S1757,刷條碼區!F:F,0),1),"")</f>
        <v/>
      </c>
      <c r="AA1757" s="71" t="str">
        <f>IFERROR(INDEX(刷條碼區!D:G,MATCH(點上線資訊!S1757,刷條碼區!F:F,0),2),"")</f>
        <v/>
      </c>
      <c r="AB1757" s="20">
        <f t="shared" si="166"/>
        <v>0</v>
      </c>
      <c r="AC1757" s="20" t="b">
        <f t="shared" si="167"/>
        <v>0</v>
      </c>
      <c r="AD1757" s="17" t="b">
        <f t="shared" si="168"/>
        <v>0</v>
      </c>
      <c r="AE1757" s="17" t="b">
        <f t="shared" si="169"/>
        <v>0</v>
      </c>
    </row>
    <row r="1758" spans="17:31" x14ac:dyDescent="0.2">
      <c r="Q1758" s="17">
        <f>IFERROR(VLOOKUP(A1758,已除帳印單!B:C,1,0),0)*1</f>
        <v>0</v>
      </c>
      <c r="R1758" s="67" t="str">
        <f>IFERROR(VLOOKUP(J1758,線別!A:B,2,1),"")</f>
        <v/>
      </c>
      <c r="S1758" s="17" t="str">
        <f>IFERROR(VLOOKUP(A1758,已除帳印單!B:C,2,0),"")</f>
        <v/>
      </c>
      <c r="T1758" s="68" t="e">
        <f t="shared" si="164"/>
        <v>#VALUE!</v>
      </c>
      <c r="U1758" s="69">
        <f t="shared" si="165"/>
        <v>0</v>
      </c>
      <c r="V1758" s="68" t="str">
        <f>IFERROR(VLOOKUP(A1758,已除帳印單!B:D,3,0),"")</f>
        <v/>
      </c>
      <c r="W1758" s="69" t="str">
        <f>IFERROR(VLOOKUP(A1758,已除帳印單!B:E,4,0),"")</f>
        <v/>
      </c>
      <c r="X1758" s="68" t="str">
        <f>IFERROR(INDEX(刷條碼區!A:C,MATCH(點上線資訊!S1758,刷條碼區!C:C,0),1),"")</f>
        <v/>
      </c>
      <c r="Y1758" s="69" t="str">
        <f>IFERROR(INDEX(刷條碼區!A:C,MATCH(點上線資訊!S1758,刷條碼區!C:C,0),2),"")</f>
        <v/>
      </c>
      <c r="Z1758" s="70" t="str">
        <f>IFERROR(INDEX(刷條碼區!D:G,MATCH(點上線資訊!S1758,刷條碼區!F:F,0),1),"")</f>
        <v/>
      </c>
      <c r="AA1758" s="71" t="str">
        <f>IFERROR(INDEX(刷條碼區!D:G,MATCH(點上線資訊!S1758,刷條碼區!F:F,0),2),"")</f>
        <v/>
      </c>
      <c r="AB1758" s="20">
        <f t="shared" si="166"/>
        <v>0</v>
      </c>
      <c r="AC1758" s="20" t="b">
        <f t="shared" si="167"/>
        <v>0</v>
      </c>
      <c r="AD1758" s="17" t="b">
        <f t="shared" si="168"/>
        <v>0</v>
      </c>
      <c r="AE1758" s="17" t="b">
        <f t="shared" si="169"/>
        <v>0</v>
      </c>
    </row>
    <row r="1759" spans="17:31" x14ac:dyDescent="0.2">
      <c r="Q1759" s="17">
        <f>IFERROR(VLOOKUP(A1759,已除帳印單!B:C,1,0),0)*1</f>
        <v>0</v>
      </c>
      <c r="R1759" s="67" t="str">
        <f>IFERROR(VLOOKUP(J1759,線別!A:B,2,1),"")</f>
        <v/>
      </c>
      <c r="S1759" s="17" t="str">
        <f>IFERROR(VLOOKUP(A1759,已除帳印單!B:C,2,0),"")</f>
        <v/>
      </c>
      <c r="T1759" s="68" t="e">
        <f t="shared" si="164"/>
        <v>#VALUE!</v>
      </c>
      <c r="U1759" s="69">
        <f t="shared" si="165"/>
        <v>0</v>
      </c>
      <c r="V1759" s="68" t="str">
        <f>IFERROR(VLOOKUP(A1759,已除帳印單!B:D,3,0),"")</f>
        <v/>
      </c>
      <c r="W1759" s="69" t="str">
        <f>IFERROR(VLOOKUP(A1759,已除帳印單!B:E,4,0),"")</f>
        <v/>
      </c>
      <c r="X1759" s="68" t="str">
        <f>IFERROR(INDEX(刷條碼區!A:C,MATCH(點上線資訊!S1759,刷條碼區!C:C,0),1),"")</f>
        <v/>
      </c>
      <c r="Y1759" s="69" t="str">
        <f>IFERROR(INDEX(刷條碼區!A:C,MATCH(點上線資訊!S1759,刷條碼區!C:C,0),2),"")</f>
        <v/>
      </c>
      <c r="Z1759" s="70" t="str">
        <f>IFERROR(INDEX(刷條碼區!D:G,MATCH(點上線資訊!S1759,刷條碼區!F:F,0),1),"")</f>
        <v/>
      </c>
      <c r="AA1759" s="71" t="str">
        <f>IFERROR(INDEX(刷條碼區!D:G,MATCH(點上線資訊!S1759,刷條碼區!F:F,0),2),"")</f>
        <v/>
      </c>
      <c r="AB1759" s="20">
        <f t="shared" si="166"/>
        <v>0</v>
      </c>
      <c r="AC1759" s="20" t="b">
        <f t="shared" si="167"/>
        <v>0</v>
      </c>
      <c r="AD1759" s="17" t="b">
        <f t="shared" si="168"/>
        <v>0</v>
      </c>
      <c r="AE1759" s="17" t="b">
        <f t="shared" si="169"/>
        <v>0</v>
      </c>
    </row>
    <row r="1760" spans="17:31" x14ac:dyDescent="0.2">
      <c r="Q1760" s="17">
        <f>IFERROR(VLOOKUP(A1760,已除帳印單!B:C,1,0),0)*1</f>
        <v>0</v>
      </c>
      <c r="R1760" s="67" t="str">
        <f>IFERROR(VLOOKUP(J1760,線別!A:B,2,1),"")</f>
        <v/>
      </c>
      <c r="S1760" s="17" t="str">
        <f>IFERROR(VLOOKUP(A1760,已除帳印單!B:C,2,0),"")</f>
        <v/>
      </c>
      <c r="T1760" s="68" t="e">
        <f t="shared" si="164"/>
        <v>#VALUE!</v>
      </c>
      <c r="U1760" s="69">
        <f t="shared" si="165"/>
        <v>0</v>
      </c>
      <c r="V1760" s="68" t="str">
        <f>IFERROR(VLOOKUP(A1760,已除帳印單!B:D,3,0),"")</f>
        <v/>
      </c>
      <c r="W1760" s="69" t="str">
        <f>IFERROR(VLOOKUP(A1760,已除帳印單!B:E,4,0),"")</f>
        <v/>
      </c>
      <c r="X1760" s="68" t="str">
        <f>IFERROR(INDEX(刷條碼區!A:C,MATCH(點上線資訊!S1760,刷條碼區!C:C,0),1),"")</f>
        <v/>
      </c>
      <c r="Y1760" s="69" t="str">
        <f>IFERROR(INDEX(刷條碼區!A:C,MATCH(點上線資訊!S1760,刷條碼區!C:C,0),2),"")</f>
        <v/>
      </c>
      <c r="Z1760" s="70" t="str">
        <f>IFERROR(INDEX(刷條碼區!D:G,MATCH(點上線資訊!S1760,刷條碼區!F:F,0),1),"")</f>
        <v/>
      </c>
      <c r="AA1760" s="71" t="str">
        <f>IFERROR(INDEX(刷條碼區!D:G,MATCH(點上線資訊!S1760,刷條碼區!F:F,0),2),"")</f>
        <v/>
      </c>
      <c r="AB1760" s="20">
        <f t="shared" si="166"/>
        <v>0</v>
      </c>
      <c r="AC1760" s="20" t="b">
        <f t="shared" si="167"/>
        <v>0</v>
      </c>
      <c r="AD1760" s="17" t="b">
        <f t="shared" si="168"/>
        <v>0</v>
      </c>
      <c r="AE1760" s="17" t="b">
        <f t="shared" si="169"/>
        <v>0</v>
      </c>
    </row>
    <row r="1761" spans="17:31" x14ac:dyDescent="0.2">
      <c r="Q1761" s="17">
        <f>IFERROR(VLOOKUP(A1761,已除帳印單!B:C,1,0),0)*1</f>
        <v>0</v>
      </c>
      <c r="R1761" s="67" t="str">
        <f>IFERROR(VLOOKUP(J1761,線別!A:B,2,1),"")</f>
        <v/>
      </c>
      <c r="S1761" s="17" t="str">
        <f>IFERROR(VLOOKUP(A1761,已除帳印單!B:C,2,0),"")</f>
        <v/>
      </c>
      <c r="T1761" s="68" t="e">
        <f t="shared" si="164"/>
        <v>#VALUE!</v>
      </c>
      <c r="U1761" s="69">
        <f t="shared" si="165"/>
        <v>0</v>
      </c>
      <c r="V1761" s="68" t="str">
        <f>IFERROR(VLOOKUP(A1761,已除帳印單!B:D,3,0),"")</f>
        <v/>
      </c>
      <c r="W1761" s="69" t="str">
        <f>IFERROR(VLOOKUP(A1761,已除帳印單!B:E,4,0),"")</f>
        <v/>
      </c>
      <c r="X1761" s="68" t="str">
        <f>IFERROR(INDEX(刷條碼區!A:C,MATCH(點上線資訊!S1761,刷條碼區!C:C,0),1),"")</f>
        <v/>
      </c>
      <c r="Y1761" s="69" t="str">
        <f>IFERROR(INDEX(刷條碼區!A:C,MATCH(點上線資訊!S1761,刷條碼區!C:C,0),2),"")</f>
        <v/>
      </c>
      <c r="Z1761" s="70" t="str">
        <f>IFERROR(INDEX(刷條碼區!D:G,MATCH(點上線資訊!S1761,刷條碼區!F:F,0),1),"")</f>
        <v/>
      </c>
      <c r="AA1761" s="71" t="str">
        <f>IFERROR(INDEX(刷條碼區!D:G,MATCH(點上線資訊!S1761,刷條碼區!F:F,0),2),"")</f>
        <v/>
      </c>
      <c r="AB1761" s="20">
        <f t="shared" si="166"/>
        <v>0</v>
      </c>
      <c r="AC1761" s="20" t="b">
        <f t="shared" si="167"/>
        <v>0</v>
      </c>
      <c r="AD1761" s="17" t="b">
        <f t="shared" si="168"/>
        <v>0</v>
      </c>
      <c r="AE1761" s="17" t="b">
        <f t="shared" si="169"/>
        <v>0</v>
      </c>
    </row>
    <row r="1762" spans="17:31" x14ac:dyDescent="0.2">
      <c r="Q1762" s="17">
        <f>IFERROR(VLOOKUP(A1762,已除帳印單!B:C,1,0),0)*1</f>
        <v>0</v>
      </c>
      <c r="R1762" s="67" t="str">
        <f>IFERROR(VLOOKUP(J1762,線別!A:B,2,1),"")</f>
        <v/>
      </c>
      <c r="S1762" s="17" t="str">
        <f>IFERROR(VLOOKUP(A1762,已除帳印單!B:C,2,0),"")</f>
        <v/>
      </c>
      <c r="T1762" s="68" t="e">
        <f t="shared" si="164"/>
        <v>#VALUE!</v>
      </c>
      <c r="U1762" s="69">
        <f t="shared" si="165"/>
        <v>0</v>
      </c>
      <c r="V1762" s="68" t="str">
        <f>IFERROR(VLOOKUP(A1762,已除帳印單!B:D,3,0),"")</f>
        <v/>
      </c>
      <c r="W1762" s="69" t="str">
        <f>IFERROR(VLOOKUP(A1762,已除帳印單!B:E,4,0),"")</f>
        <v/>
      </c>
      <c r="X1762" s="68" t="str">
        <f>IFERROR(INDEX(刷條碼區!A:C,MATCH(點上線資訊!S1762,刷條碼區!C:C,0),1),"")</f>
        <v/>
      </c>
      <c r="Y1762" s="69" t="str">
        <f>IFERROR(INDEX(刷條碼區!A:C,MATCH(點上線資訊!S1762,刷條碼區!C:C,0),2),"")</f>
        <v/>
      </c>
      <c r="Z1762" s="70" t="str">
        <f>IFERROR(INDEX(刷條碼區!D:G,MATCH(點上線資訊!S1762,刷條碼區!F:F,0),1),"")</f>
        <v/>
      </c>
      <c r="AA1762" s="71" t="str">
        <f>IFERROR(INDEX(刷條碼區!D:G,MATCH(點上線資訊!S1762,刷條碼區!F:F,0),2),"")</f>
        <v/>
      </c>
      <c r="AB1762" s="20">
        <f t="shared" si="166"/>
        <v>0</v>
      </c>
      <c r="AC1762" s="20" t="b">
        <f t="shared" si="167"/>
        <v>0</v>
      </c>
      <c r="AD1762" s="17" t="b">
        <f t="shared" si="168"/>
        <v>0</v>
      </c>
      <c r="AE1762" s="17" t="b">
        <f t="shared" si="169"/>
        <v>0</v>
      </c>
    </row>
    <row r="1763" spans="17:31" x14ac:dyDescent="0.2">
      <c r="Q1763" s="17">
        <f>IFERROR(VLOOKUP(A1763,已除帳印單!B:C,1,0),0)*1</f>
        <v>0</v>
      </c>
      <c r="R1763" s="67" t="str">
        <f>IFERROR(VLOOKUP(J1763,線別!A:B,2,1),"")</f>
        <v/>
      </c>
      <c r="S1763" s="17" t="str">
        <f>IFERROR(VLOOKUP(A1763,已除帳印單!B:C,2,0),"")</f>
        <v/>
      </c>
      <c r="T1763" s="68" t="e">
        <f t="shared" si="164"/>
        <v>#VALUE!</v>
      </c>
      <c r="U1763" s="69">
        <f t="shared" si="165"/>
        <v>0</v>
      </c>
      <c r="V1763" s="68" t="str">
        <f>IFERROR(VLOOKUP(A1763,已除帳印單!B:D,3,0),"")</f>
        <v/>
      </c>
      <c r="W1763" s="69" t="str">
        <f>IFERROR(VLOOKUP(A1763,已除帳印單!B:E,4,0),"")</f>
        <v/>
      </c>
      <c r="X1763" s="68" t="str">
        <f>IFERROR(INDEX(刷條碼區!A:C,MATCH(點上線資訊!S1763,刷條碼區!C:C,0),1),"")</f>
        <v/>
      </c>
      <c r="Y1763" s="69" t="str">
        <f>IFERROR(INDEX(刷條碼區!A:C,MATCH(點上線資訊!S1763,刷條碼區!C:C,0),2),"")</f>
        <v/>
      </c>
      <c r="Z1763" s="70" t="str">
        <f>IFERROR(INDEX(刷條碼區!D:G,MATCH(點上線資訊!S1763,刷條碼區!F:F,0),1),"")</f>
        <v/>
      </c>
      <c r="AA1763" s="71" t="str">
        <f>IFERROR(INDEX(刷條碼區!D:G,MATCH(點上線資訊!S1763,刷條碼區!F:F,0),2),"")</f>
        <v/>
      </c>
      <c r="AB1763" s="20">
        <f t="shared" si="166"/>
        <v>0</v>
      </c>
      <c r="AC1763" s="20" t="b">
        <f t="shared" si="167"/>
        <v>0</v>
      </c>
      <c r="AD1763" s="17" t="b">
        <f t="shared" si="168"/>
        <v>0</v>
      </c>
      <c r="AE1763" s="17" t="b">
        <f t="shared" si="169"/>
        <v>0</v>
      </c>
    </row>
    <row r="1764" spans="17:31" x14ac:dyDescent="0.2">
      <c r="Q1764" s="17">
        <f>IFERROR(VLOOKUP(A1764,已除帳印單!B:C,1,0),0)*1</f>
        <v>0</v>
      </c>
      <c r="R1764" s="67" t="str">
        <f>IFERROR(VLOOKUP(J1764,線別!A:B,2,1),"")</f>
        <v/>
      </c>
      <c r="S1764" s="17" t="str">
        <f>IFERROR(VLOOKUP(A1764,已除帳印單!B:C,2,0),"")</f>
        <v/>
      </c>
      <c r="T1764" s="68" t="e">
        <f t="shared" si="164"/>
        <v>#VALUE!</v>
      </c>
      <c r="U1764" s="69">
        <f t="shared" si="165"/>
        <v>0</v>
      </c>
      <c r="V1764" s="68" t="str">
        <f>IFERROR(VLOOKUP(A1764,已除帳印單!B:D,3,0),"")</f>
        <v/>
      </c>
      <c r="W1764" s="69" t="str">
        <f>IFERROR(VLOOKUP(A1764,已除帳印單!B:E,4,0),"")</f>
        <v/>
      </c>
      <c r="X1764" s="68" t="str">
        <f>IFERROR(INDEX(刷條碼區!A:C,MATCH(點上線資訊!S1764,刷條碼區!C:C,0),1),"")</f>
        <v/>
      </c>
      <c r="Y1764" s="69" t="str">
        <f>IFERROR(INDEX(刷條碼區!A:C,MATCH(點上線資訊!S1764,刷條碼區!C:C,0),2),"")</f>
        <v/>
      </c>
      <c r="Z1764" s="70" t="str">
        <f>IFERROR(INDEX(刷條碼區!D:G,MATCH(點上線資訊!S1764,刷條碼區!F:F,0),1),"")</f>
        <v/>
      </c>
      <c r="AA1764" s="71" t="str">
        <f>IFERROR(INDEX(刷條碼區!D:G,MATCH(點上線資訊!S1764,刷條碼區!F:F,0),2),"")</f>
        <v/>
      </c>
      <c r="AB1764" s="20">
        <f t="shared" si="166"/>
        <v>0</v>
      </c>
      <c r="AC1764" s="20" t="b">
        <f t="shared" si="167"/>
        <v>0</v>
      </c>
      <c r="AD1764" s="17" t="b">
        <f t="shared" si="168"/>
        <v>0</v>
      </c>
      <c r="AE1764" s="17" t="b">
        <f t="shared" si="169"/>
        <v>0</v>
      </c>
    </row>
    <row r="1765" spans="17:31" x14ac:dyDescent="0.2">
      <c r="Q1765" s="17">
        <f>IFERROR(VLOOKUP(A1765,已除帳印單!B:C,1,0),0)*1</f>
        <v>0</v>
      </c>
      <c r="R1765" s="67" t="str">
        <f>IFERROR(VLOOKUP(J1765,線別!A:B,2,1),"")</f>
        <v/>
      </c>
      <c r="S1765" s="17" t="str">
        <f>IFERROR(VLOOKUP(A1765,已除帳印單!B:C,2,0),"")</f>
        <v/>
      </c>
      <c r="T1765" s="68" t="e">
        <f t="shared" si="164"/>
        <v>#VALUE!</v>
      </c>
      <c r="U1765" s="69">
        <f t="shared" si="165"/>
        <v>0</v>
      </c>
      <c r="V1765" s="68" t="str">
        <f>IFERROR(VLOOKUP(A1765,已除帳印單!B:D,3,0),"")</f>
        <v/>
      </c>
      <c r="W1765" s="69" t="str">
        <f>IFERROR(VLOOKUP(A1765,已除帳印單!B:E,4,0),"")</f>
        <v/>
      </c>
      <c r="X1765" s="68" t="str">
        <f>IFERROR(INDEX(刷條碼區!A:C,MATCH(點上線資訊!S1765,刷條碼區!C:C,0),1),"")</f>
        <v/>
      </c>
      <c r="Y1765" s="69" t="str">
        <f>IFERROR(INDEX(刷條碼區!A:C,MATCH(點上線資訊!S1765,刷條碼區!C:C,0),2),"")</f>
        <v/>
      </c>
      <c r="Z1765" s="70" t="str">
        <f>IFERROR(INDEX(刷條碼區!D:G,MATCH(點上線資訊!S1765,刷條碼區!F:F,0),1),"")</f>
        <v/>
      </c>
      <c r="AA1765" s="71" t="str">
        <f>IFERROR(INDEX(刷條碼區!D:G,MATCH(點上線資訊!S1765,刷條碼區!F:F,0),2),"")</f>
        <v/>
      </c>
      <c r="AB1765" s="20">
        <f t="shared" si="166"/>
        <v>0</v>
      </c>
      <c r="AC1765" s="20" t="b">
        <f t="shared" si="167"/>
        <v>0</v>
      </c>
      <c r="AD1765" s="17" t="b">
        <f t="shared" si="168"/>
        <v>0</v>
      </c>
      <c r="AE1765" s="17" t="b">
        <f t="shared" si="169"/>
        <v>0</v>
      </c>
    </row>
    <row r="1766" spans="17:31" x14ac:dyDescent="0.2">
      <c r="Q1766" s="17">
        <f>IFERROR(VLOOKUP(A1766,已除帳印單!B:C,1,0),0)*1</f>
        <v>0</v>
      </c>
      <c r="R1766" s="67" t="str">
        <f>IFERROR(VLOOKUP(J1766,線別!A:B,2,1),"")</f>
        <v/>
      </c>
      <c r="S1766" s="17" t="str">
        <f>IFERROR(VLOOKUP(A1766,已除帳印單!B:C,2,0),"")</f>
        <v/>
      </c>
      <c r="T1766" s="68" t="e">
        <f t="shared" si="164"/>
        <v>#VALUE!</v>
      </c>
      <c r="U1766" s="69">
        <f t="shared" si="165"/>
        <v>0</v>
      </c>
      <c r="V1766" s="68" t="str">
        <f>IFERROR(VLOOKUP(A1766,已除帳印單!B:D,3,0),"")</f>
        <v/>
      </c>
      <c r="W1766" s="69" t="str">
        <f>IFERROR(VLOOKUP(A1766,已除帳印單!B:E,4,0),"")</f>
        <v/>
      </c>
      <c r="X1766" s="68" t="str">
        <f>IFERROR(INDEX(刷條碼區!A:C,MATCH(點上線資訊!S1766,刷條碼區!C:C,0),1),"")</f>
        <v/>
      </c>
      <c r="Y1766" s="69" t="str">
        <f>IFERROR(INDEX(刷條碼區!A:C,MATCH(點上線資訊!S1766,刷條碼區!C:C,0),2),"")</f>
        <v/>
      </c>
      <c r="Z1766" s="70" t="str">
        <f>IFERROR(INDEX(刷條碼區!D:G,MATCH(點上線資訊!S1766,刷條碼區!F:F,0),1),"")</f>
        <v/>
      </c>
      <c r="AA1766" s="71" t="str">
        <f>IFERROR(INDEX(刷條碼區!D:G,MATCH(點上線資訊!S1766,刷條碼區!F:F,0),2),"")</f>
        <v/>
      </c>
      <c r="AB1766" s="20">
        <f t="shared" si="166"/>
        <v>0</v>
      </c>
      <c r="AC1766" s="20" t="b">
        <f t="shared" si="167"/>
        <v>0</v>
      </c>
      <c r="AD1766" s="17" t="b">
        <f t="shared" si="168"/>
        <v>0</v>
      </c>
      <c r="AE1766" s="17" t="b">
        <f t="shared" si="169"/>
        <v>0</v>
      </c>
    </row>
    <row r="1767" spans="17:31" x14ac:dyDescent="0.2">
      <c r="Q1767" s="17">
        <f>IFERROR(VLOOKUP(A1767,已除帳印單!B:C,1,0),0)*1</f>
        <v>0</v>
      </c>
      <c r="R1767" s="67" t="str">
        <f>IFERROR(VLOOKUP(J1767,線別!A:B,2,1),"")</f>
        <v/>
      </c>
      <c r="S1767" s="17" t="str">
        <f>IFERROR(VLOOKUP(A1767,已除帳印單!B:C,2,0),"")</f>
        <v/>
      </c>
      <c r="T1767" s="68" t="e">
        <f t="shared" si="164"/>
        <v>#VALUE!</v>
      </c>
      <c r="U1767" s="69">
        <f t="shared" si="165"/>
        <v>0</v>
      </c>
      <c r="V1767" s="68" t="str">
        <f>IFERROR(VLOOKUP(A1767,已除帳印單!B:D,3,0),"")</f>
        <v/>
      </c>
      <c r="W1767" s="69" t="str">
        <f>IFERROR(VLOOKUP(A1767,已除帳印單!B:E,4,0),"")</f>
        <v/>
      </c>
      <c r="X1767" s="68" t="str">
        <f>IFERROR(INDEX(刷條碼區!A:C,MATCH(點上線資訊!S1767,刷條碼區!C:C,0),1),"")</f>
        <v/>
      </c>
      <c r="Y1767" s="69" t="str">
        <f>IFERROR(INDEX(刷條碼區!A:C,MATCH(點上線資訊!S1767,刷條碼區!C:C,0),2),"")</f>
        <v/>
      </c>
      <c r="Z1767" s="70" t="str">
        <f>IFERROR(INDEX(刷條碼區!D:G,MATCH(點上線資訊!S1767,刷條碼區!F:F,0),1),"")</f>
        <v/>
      </c>
      <c r="AA1767" s="71" t="str">
        <f>IFERROR(INDEX(刷條碼區!D:G,MATCH(點上線資訊!S1767,刷條碼區!F:F,0),2),"")</f>
        <v/>
      </c>
      <c r="AB1767" s="20">
        <f t="shared" si="166"/>
        <v>0</v>
      </c>
      <c r="AC1767" s="20" t="b">
        <f t="shared" si="167"/>
        <v>0</v>
      </c>
      <c r="AD1767" s="17" t="b">
        <f t="shared" si="168"/>
        <v>0</v>
      </c>
      <c r="AE1767" s="17" t="b">
        <f t="shared" si="169"/>
        <v>0</v>
      </c>
    </row>
    <row r="1768" spans="17:31" x14ac:dyDescent="0.2">
      <c r="Q1768" s="17">
        <f>IFERROR(VLOOKUP(A1768,已除帳印單!B:C,1,0),0)*1</f>
        <v>0</v>
      </c>
      <c r="R1768" s="67" t="str">
        <f>IFERROR(VLOOKUP(J1768,線別!A:B,2,1),"")</f>
        <v/>
      </c>
      <c r="S1768" s="17" t="str">
        <f>IFERROR(VLOOKUP(A1768,已除帳印單!B:C,2,0),"")</f>
        <v/>
      </c>
      <c r="T1768" s="68" t="e">
        <f t="shared" si="164"/>
        <v>#VALUE!</v>
      </c>
      <c r="U1768" s="69">
        <f t="shared" si="165"/>
        <v>0</v>
      </c>
      <c r="V1768" s="68" t="str">
        <f>IFERROR(VLOOKUP(A1768,已除帳印單!B:D,3,0),"")</f>
        <v/>
      </c>
      <c r="W1768" s="69" t="str">
        <f>IFERROR(VLOOKUP(A1768,已除帳印單!B:E,4,0),"")</f>
        <v/>
      </c>
      <c r="X1768" s="68" t="str">
        <f>IFERROR(INDEX(刷條碼區!A:C,MATCH(點上線資訊!S1768,刷條碼區!C:C,0),1),"")</f>
        <v/>
      </c>
      <c r="Y1768" s="69" t="str">
        <f>IFERROR(INDEX(刷條碼區!A:C,MATCH(點上線資訊!S1768,刷條碼區!C:C,0),2),"")</f>
        <v/>
      </c>
      <c r="Z1768" s="70" t="str">
        <f>IFERROR(INDEX(刷條碼區!D:G,MATCH(點上線資訊!S1768,刷條碼區!F:F,0),1),"")</f>
        <v/>
      </c>
      <c r="AA1768" s="71" t="str">
        <f>IFERROR(INDEX(刷條碼區!D:G,MATCH(點上線資訊!S1768,刷條碼區!F:F,0),2),"")</f>
        <v/>
      </c>
      <c r="AB1768" s="20">
        <f t="shared" si="166"/>
        <v>0</v>
      </c>
      <c r="AC1768" s="20" t="b">
        <f t="shared" si="167"/>
        <v>0</v>
      </c>
      <c r="AD1768" s="17" t="b">
        <f t="shared" si="168"/>
        <v>0</v>
      </c>
      <c r="AE1768" s="17" t="b">
        <f t="shared" si="169"/>
        <v>0</v>
      </c>
    </row>
    <row r="1769" spans="17:31" x14ac:dyDescent="0.2">
      <c r="Q1769" s="17">
        <f>IFERROR(VLOOKUP(A1769,已除帳印單!B:C,1,0),0)*1</f>
        <v>0</v>
      </c>
      <c r="R1769" s="67" t="str">
        <f>IFERROR(VLOOKUP(J1769,線別!A:B,2,1),"")</f>
        <v/>
      </c>
      <c r="S1769" s="17" t="str">
        <f>IFERROR(VLOOKUP(A1769,已除帳印單!B:C,2,0),"")</f>
        <v/>
      </c>
      <c r="T1769" s="68" t="e">
        <f t="shared" si="164"/>
        <v>#VALUE!</v>
      </c>
      <c r="U1769" s="69">
        <f t="shared" si="165"/>
        <v>0</v>
      </c>
      <c r="V1769" s="68" t="str">
        <f>IFERROR(VLOOKUP(A1769,已除帳印單!B:D,3,0),"")</f>
        <v/>
      </c>
      <c r="W1769" s="69" t="str">
        <f>IFERROR(VLOOKUP(A1769,已除帳印單!B:E,4,0),"")</f>
        <v/>
      </c>
      <c r="X1769" s="68" t="str">
        <f>IFERROR(INDEX(刷條碼區!A:C,MATCH(點上線資訊!S1769,刷條碼區!C:C,0),1),"")</f>
        <v/>
      </c>
      <c r="Y1769" s="69" t="str">
        <f>IFERROR(INDEX(刷條碼區!A:C,MATCH(點上線資訊!S1769,刷條碼區!C:C,0),2),"")</f>
        <v/>
      </c>
      <c r="Z1769" s="70" t="str">
        <f>IFERROR(INDEX(刷條碼區!D:G,MATCH(點上線資訊!S1769,刷條碼區!F:F,0),1),"")</f>
        <v/>
      </c>
      <c r="AA1769" s="71" t="str">
        <f>IFERROR(INDEX(刷條碼區!D:G,MATCH(點上線資訊!S1769,刷條碼區!F:F,0),2),"")</f>
        <v/>
      </c>
      <c r="AB1769" s="20">
        <f t="shared" si="166"/>
        <v>0</v>
      </c>
      <c r="AC1769" s="20" t="b">
        <f t="shared" si="167"/>
        <v>0</v>
      </c>
      <c r="AD1769" s="17" t="b">
        <f t="shared" si="168"/>
        <v>0</v>
      </c>
      <c r="AE1769" s="17" t="b">
        <f t="shared" si="169"/>
        <v>0</v>
      </c>
    </row>
    <row r="1770" spans="17:31" x14ac:dyDescent="0.2">
      <c r="Q1770" s="17">
        <f>IFERROR(VLOOKUP(A1770,已除帳印單!B:C,1,0),0)*1</f>
        <v>0</v>
      </c>
      <c r="R1770" s="67" t="str">
        <f>IFERROR(VLOOKUP(J1770,線別!A:B,2,1),"")</f>
        <v/>
      </c>
      <c r="S1770" s="17" t="str">
        <f>IFERROR(VLOOKUP(A1770,已除帳印單!B:C,2,0),"")</f>
        <v/>
      </c>
      <c r="T1770" s="68" t="e">
        <f t="shared" si="164"/>
        <v>#VALUE!</v>
      </c>
      <c r="U1770" s="69">
        <f t="shared" si="165"/>
        <v>0</v>
      </c>
      <c r="V1770" s="68" t="str">
        <f>IFERROR(VLOOKUP(A1770,已除帳印單!B:D,3,0),"")</f>
        <v/>
      </c>
      <c r="W1770" s="69" t="str">
        <f>IFERROR(VLOOKUP(A1770,已除帳印單!B:E,4,0),"")</f>
        <v/>
      </c>
      <c r="X1770" s="68" t="str">
        <f>IFERROR(INDEX(刷條碼區!A:C,MATCH(點上線資訊!S1770,刷條碼區!C:C,0),1),"")</f>
        <v/>
      </c>
      <c r="Y1770" s="69" t="str">
        <f>IFERROR(INDEX(刷條碼區!A:C,MATCH(點上線資訊!S1770,刷條碼區!C:C,0),2),"")</f>
        <v/>
      </c>
      <c r="Z1770" s="70" t="str">
        <f>IFERROR(INDEX(刷條碼區!D:G,MATCH(點上線資訊!S1770,刷條碼區!F:F,0),1),"")</f>
        <v/>
      </c>
      <c r="AA1770" s="71" t="str">
        <f>IFERROR(INDEX(刷條碼區!D:G,MATCH(點上線資訊!S1770,刷條碼區!F:F,0),2),"")</f>
        <v/>
      </c>
      <c r="AB1770" s="20">
        <f t="shared" si="166"/>
        <v>0</v>
      </c>
      <c r="AC1770" s="20" t="b">
        <f t="shared" si="167"/>
        <v>0</v>
      </c>
      <c r="AD1770" s="17" t="b">
        <f t="shared" si="168"/>
        <v>0</v>
      </c>
      <c r="AE1770" s="17" t="b">
        <f t="shared" si="169"/>
        <v>0</v>
      </c>
    </row>
    <row r="1771" spans="17:31" x14ac:dyDescent="0.2">
      <c r="Q1771" s="17">
        <f>IFERROR(VLOOKUP(A1771,已除帳印單!B:C,1,0),0)*1</f>
        <v>0</v>
      </c>
      <c r="R1771" s="67" t="str">
        <f>IFERROR(VLOOKUP(J1771,線別!A:B,2,1),"")</f>
        <v/>
      </c>
      <c r="S1771" s="17" t="str">
        <f>IFERROR(VLOOKUP(A1771,已除帳印單!B:C,2,0),"")</f>
        <v/>
      </c>
      <c r="T1771" s="68" t="e">
        <f t="shared" si="164"/>
        <v>#VALUE!</v>
      </c>
      <c r="U1771" s="69">
        <f t="shared" si="165"/>
        <v>0</v>
      </c>
      <c r="V1771" s="68" t="str">
        <f>IFERROR(VLOOKUP(A1771,已除帳印單!B:D,3,0),"")</f>
        <v/>
      </c>
      <c r="W1771" s="69" t="str">
        <f>IFERROR(VLOOKUP(A1771,已除帳印單!B:E,4,0),"")</f>
        <v/>
      </c>
      <c r="X1771" s="68" t="str">
        <f>IFERROR(INDEX(刷條碼區!A:C,MATCH(點上線資訊!S1771,刷條碼區!C:C,0),1),"")</f>
        <v/>
      </c>
      <c r="Y1771" s="69" t="str">
        <f>IFERROR(INDEX(刷條碼區!A:C,MATCH(點上線資訊!S1771,刷條碼區!C:C,0),2),"")</f>
        <v/>
      </c>
      <c r="Z1771" s="70" t="str">
        <f>IFERROR(INDEX(刷條碼區!D:G,MATCH(點上線資訊!S1771,刷條碼區!F:F,0),1),"")</f>
        <v/>
      </c>
      <c r="AA1771" s="71" t="str">
        <f>IFERROR(INDEX(刷條碼區!D:G,MATCH(點上線資訊!S1771,刷條碼區!F:F,0),2),"")</f>
        <v/>
      </c>
      <c r="AB1771" s="20">
        <f t="shared" si="166"/>
        <v>0</v>
      </c>
      <c r="AC1771" s="20" t="b">
        <f t="shared" si="167"/>
        <v>0</v>
      </c>
      <c r="AD1771" s="17" t="b">
        <f t="shared" si="168"/>
        <v>0</v>
      </c>
      <c r="AE1771" s="17" t="b">
        <f t="shared" si="169"/>
        <v>0</v>
      </c>
    </row>
    <row r="1772" spans="17:31" x14ac:dyDescent="0.2">
      <c r="Q1772" s="17">
        <f>IFERROR(VLOOKUP(A1772,已除帳印單!B:C,1,0),0)*1</f>
        <v>0</v>
      </c>
      <c r="R1772" s="67" t="str">
        <f>IFERROR(VLOOKUP(J1772,線別!A:B,2,1),"")</f>
        <v/>
      </c>
      <c r="S1772" s="17" t="str">
        <f>IFERROR(VLOOKUP(A1772,已除帳印單!B:C,2,0),"")</f>
        <v/>
      </c>
      <c r="T1772" s="68" t="e">
        <f t="shared" si="164"/>
        <v>#VALUE!</v>
      </c>
      <c r="U1772" s="69">
        <f t="shared" si="165"/>
        <v>0</v>
      </c>
      <c r="V1772" s="68" t="str">
        <f>IFERROR(VLOOKUP(A1772,已除帳印單!B:D,3,0),"")</f>
        <v/>
      </c>
      <c r="W1772" s="69" t="str">
        <f>IFERROR(VLOOKUP(A1772,已除帳印單!B:E,4,0),"")</f>
        <v/>
      </c>
      <c r="X1772" s="68" t="str">
        <f>IFERROR(INDEX(刷條碼區!A:C,MATCH(點上線資訊!S1772,刷條碼區!C:C,0),1),"")</f>
        <v/>
      </c>
      <c r="Y1772" s="69" t="str">
        <f>IFERROR(INDEX(刷條碼區!A:C,MATCH(點上線資訊!S1772,刷條碼區!C:C,0),2),"")</f>
        <v/>
      </c>
      <c r="Z1772" s="70" t="str">
        <f>IFERROR(INDEX(刷條碼區!D:G,MATCH(點上線資訊!S1772,刷條碼區!F:F,0),1),"")</f>
        <v/>
      </c>
      <c r="AA1772" s="71" t="str">
        <f>IFERROR(INDEX(刷條碼區!D:G,MATCH(點上線資訊!S1772,刷條碼區!F:F,0),2),"")</f>
        <v/>
      </c>
      <c r="AB1772" s="20">
        <f t="shared" si="166"/>
        <v>0</v>
      </c>
      <c r="AC1772" s="20" t="b">
        <f t="shared" si="167"/>
        <v>0</v>
      </c>
      <c r="AD1772" s="17" t="b">
        <f t="shared" si="168"/>
        <v>0</v>
      </c>
      <c r="AE1772" s="17" t="b">
        <f t="shared" si="169"/>
        <v>0</v>
      </c>
    </row>
    <row r="1773" spans="17:31" x14ac:dyDescent="0.2">
      <c r="Q1773" s="17">
        <f>IFERROR(VLOOKUP(A1773,已除帳印單!B:C,1,0),0)*1</f>
        <v>0</v>
      </c>
      <c r="R1773" s="67" t="str">
        <f>IFERROR(VLOOKUP(J1773,線別!A:B,2,1),"")</f>
        <v/>
      </c>
      <c r="S1773" s="17" t="str">
        <f>IFERROR(VLOOKUP(A1773,已除帳印單!B:C,2,0),"")</f>
        <v/>
      </c>
      <c r="T1773" s="68" t="e">
        <f t="shared" si="164"/>
        <v>#VALUE!</v>
      </c>
      <c r="U1773" s="69">
        <f t="shared" si="165"/>
        <v>0</v>
      </c>
      <c r="V1773" s="68" t="str">
        <f>IFERROR(VLOOKUP(A1773,已除帳印單!B:D,3,0),"")</f>
        <v/>
      </c>
      <c r="W1773" s="69" t="str">
        <f>IFERROR(VLOOKUP(A1773,已除帳印單!B:E,4,0),"")</f>
        <v/>
      </c>
      <c r="X1773" s="68" t="str">
        <f>IFERROR(INDEX(刷條碼區!A:C,MATCH(點上線資訊!S1773,刷條碼區!C:C,0),1),"")</f>
        <v/>
      </c>
      <c r="Y1773" s="69" t="str">
        <f>IFERROR(INDEX(刷條碼區!A:C,MATCH(點上線資訊!S1773,刷條碼區!C:C,0),2),"")</f>
        <v/>
      </c>
      <c r="Z1773" s="70" t="str">
        <f>IFERROR(INDEX(刷條碼區!D:G,MATCH(點上線資訊!S1773,刷條碼區!F:F,0),1),"")</f>
        <v/>
      </c>
      <c r="AA1773" s="71" t="str">
        <f>IFERROR(INDEX(刷條碼區!D:G,MATCH(點上線資訊!S1773,刷條碼區!F:F,0),2),"")</f>
        <v/>
      </c>
      <c r="AB1773" s="20">
        <f t="shared" si="166"/>
        <v>0</v>
      </c>
      <c r="AC1773" s="20" t="b">
        <f t="shared" si="167"/>
        <v>0</v>
      </c>
      <c r="AD1773" s="17" t="b">
        <f t="shared" si="168"/>
        <v>0</v>
      </c>
      <c r="AE1773" s="17" t="b">
        <f t="shared" si="169"/>
        <v>0</v>
      </c>
    </row>
    <row r="1774" spans="17:31" x14ac:dyDescent="0.2">
      <c r="Q1774" s="17">
        <f>IFERROR(VLOOKUP(A1774,已除帳印單!B:C,1,0),0)*1</f>
        <v>0</v>
      </c>
      <c r="R1774" s="67" t="str">
        <f>IFERROR(VLOOKUP(J1774,線別!A:B,2,1),"")</f>
        <v/>
      </c>
      <c r="S1774" s="17" t="str">
        <f>IFERROR(VLOOKUP(A1774,已除帳印單!B:C,2,0),"")</f>
        <v/>
      </c>
      <c r="T1774" s="68" t="e">
        <f t="shared" si="164"/>
        <v>#VALUE!</v>
      </c>
      <c r="U1774" s="69">
        <f t="shared" si="165"/>
        <v>0</v>
      </c>
      <c r="V1774" s="68" t="str">
        <f>IFERROR(VLOOKUP(A1774,已除帳印單!B:D,3,0),"")</f>
        <v/>
      </c>
      <c r="W1774" s="69" t="str">
        <f>IFERROR(VLOOKUP(A1774,已除帳印單!B:E,4,0),"")</f>
        <v/>
      </c>
      <c r="X1774" s="68" t="str">
        <f>IFERROR(INDEX(刷條碼區!A:C,MATCH(點上線資訊!S1774,刷條碼區!C:C,0),1),"")</f>
        <v/>
      </c>
      <c r="Y1774" s="69" t="str">
        <f>IFERROR(INDEX(刷條碼區!A:C,MATCH(點上線資訊!S1774,刷條碼區!C:C,0),2),"")</f>
        <v/>
      </c>
      <c r="Z1774" s="70" t="str">
        <f>IFERROR(INDEX(刷條碼區!D:G,MATCH(點上線資訊!S1774,刷條碼區!F:F,0),1),"")</f>
        <v/>
      </c>
      <c r="AA1774" s="71" t="str">
        <f>IFERROR(INDEX(刷條碼區!D:G,MATCH(點上線資訊!S1774,刷條碼區!F:F,0),2),"")</f>
        <v/>
      </c>
      <c r="AB1774" s="20">
        <f t="shared" si="166"/>
        <v>0</v>
      </c>
      <c r="AC1774" s="20" t="b">
        <f t="shared" si="167"/>
        <v>0</v>
      </c>
      <c r="AD1774" s="17" t="b">
        <f t="shared" si="168"/>
        <v>0</v>
      </c>
      <c r="AE1774" s="17" t="b">
        <f t="shared" si="169"/>
        <v>0</v>
      </c>
    </row>
    <row r="1775" spans="17:31" x14ac:dyDescent="0.2">
      <c r="Q1775" s="17">
        <f>IFERROR(VLOOKUP(A1775,已除帳印單!B:C,1,0),0)*1</f>
        <v>0</v>
      </c>
      <c r="R1775" s="67" t="str">
        <f>IFERROR(VLOOKUP(J1775,線別!A:B,2,1),"")</f>
        <v/>
      </c>
      <c r="S1775" s="17" t="str">
        <f>IFERROR(VLOOKUP(A1775,已除帳印單!B:C,2,0),"")</f>
        <v/>
      </c>
      <c r="T1775" s="68" t="e">
        <f t="shared" si="164"/>
        <v>#VALUE!</v>
      </c>
      <c r="U1775" s="69">
        <f t="shared" si="165"/>
        <v>0</v>
      </c>
      <c r="V1775" s="68" t="str">
        <f>IFERROR(VLOOKUP(A1775,已除帳印單!B:D,3,0),"")</f>
        <v/>
      </c>
      <c r="W1775" s="69" t="str">
        <f>IFERROR(VLOOKUP(A1775,已除帳印單!B:E,4,0),"")</f>
        <v/>
      </c>
      <c r="X1775" s="68" t="str">
        <f>IFERROR(INDEX(刷條碼區!A:C,MATCH(點上線資訊!S1775,刷條碼區!C:C,0),1),"")</f>
        <v/>
      </c>
      <c r="Y1775" s="69" t="str">
        <f>IFERROR(INDEX(刷條碼區!A:C,MATCH(點上線資訊!S1775,刷條碼區!C:C,0),2),"")</f>
        <v/>
      </c>
      <c r="Z1775" s="70" t="str">
        <f>IFERROR(INDEX(刷條碼區!D:G,MATCH(點上線資訊!S1775,刷條碼區!F:F,0),1),"")</f>
        <v/>
      </c>
      <c r="AA1775" s="71" t="str">
        <f>IFERROR(INDEX(刷條碼區!D:G,MATCH(點上線資訊!S1775,刷條碼區!F:F,0),2),"")</f>
        <v/>
      </c>
      <c r="AB1775" s="20">
        <f t="shared" si="166"/>
        <v>0</v>
      </c>
      <c r="AC1775" s="20" t="b">
        <f t="shared" si="167"/>
        <v>0</v>
      </c>
      <c r="AD1775" s="17" t="b">
        <f t="shared" si="168"/>
        <v>0</v>
      </c>
      <c r="AE1775" s="17" t="b">
        <f t="shared" si="169"/>
        <v>0</v>
      </c>
    </row>
    <row r="1776" spans="17:31" x14ac:dyDescent="0.2">
      <c r="Q1776" s="17">
        <f>IFERROR(VLOOKUP(A1776,已除帳印單!B:C,1,0),0)*1</f>
        <v>0</v>
      </c>
      <c r="R1776" s="67" t="str">
        <f>IFERROR(VLOOKUP(J1776,線別!A:B,2,1),"")</f>
        <v/>
      </c>
      <c r="S1776" s="17" t="str">
        <f>IFERROR(VLOOKUP(A1776,已除帳印單!B:C,2,0),"")</f>
        <v/>
      </c>
      <c r="T1776" s="68" t="e">
        <f t="shared" si="164"/>
        <v>#VALUE!</v>
      </c>
      <c r="U1776" s="69">
        <f t="shared" si="165"/>
        <v>0</v>
      </c>
      <c r="V1776" s="68" t="str">
        <f>IFERROR(VLOOKUP(A1776,已除帳印單!B:D,3,0),"")</f>
        <v/>
      </c>
      <c r="W1776" s="69" t="str">
        <f>IFERROR(VLOOKUP(A1776,已除帳印單!B:E,4,0),"")</f>
        <v/>
      </c>
      <c r="X1776" s="68" t="str">
        <f>IFERROR(INDEX(刷條碼區!A:C,MATCH(點上線資訊!S1776,刷條碼區!C:C,0),1),"")</f>
        <v/>
      </c>
      <c r="Y1776" s="69" t="str">
        <f>IFERROR(INDEX(刷條碼區!A:C,MATCH(點上線資訊!S1776,刷條碼區!C:C,0),2),"")</f>
        <v/>
      </c>
      <c r="Z1776" s="70" t="str">
        <f>IFERROR(INDEX(刷條碼區!D:G,MATCH(點上線資訊!S1776,刷條碼區!F:F,0),1),"")</f>
        <v/>
      </c>
      <c r="AA1776" s="71" t="str">
        <f>IFERROR(INDEX(刷條碼區!D:G,MATCH(點上線資訊!S1776,刷條碼區!F:F,0),2),"")</f>
        <v/>
      </c>
      <c r="AB1776" s="20">
        <f t="shared" si="166"/>
        <v>0</v>
      </c>
      <c r="AC1776" s="20" t="b">
        <f t="shared" si="167"/>
        <v>0</v>
      </c>
      <c r="AD1776" s="17" t="b">
        <f t="shared" si="168"/>
        <v>0</v>
      </c>
      <c r="AE1776" s="17" t="b">
        <f t="shared" si="169"/>
        <v>0</v>
      </c>
    </row>
    <row r="1777" spans="17:31" x14ac:dyDescent="0.2">
      <c r="Q1777" s="17">
        <f>IFERROR(VLOOKUP(A1777,已除帳印單!B:C,1,0),0)*1</f>
        <v>0</v>
      </c>
      <c r="R1777" s="67" t="str">
        <f>IFERROR(VLOOKUP(J1777,線別!A:B,2,1),"")</f>
        <v/>
      </c>
      <c r="S1777" s="17" t="str">
        <f>IFERROR(VLOOKUP(A1777,已除帳印單!B:C,2,0),"")</f>
        <v/>
      </c>
      <c r="T1777" s="68" t="e">
        <f t="shared" si="164"/>
        <v>#VALUE!</v>
      </c>
      <c r="U1777" s="69">
        <f t="shared" si="165"/>
        <v>0</v>
      </c>
      <c r="V1777" s="68" t="str">
        <f>IFERROR(VLOOKUP(A1777,已除帳印單!B:D,3,0),"")</f>
        <v/>
      </c>
      <c r="W1777" s="69" t="str">
        <f>IFERROR(VLOOKUP(A1777,已除帳印單!B:E,4,0),"")</f>
        <v/>
      </c>
      <c r="X1777" s="68" t="str">
        <f>IFERROR(INDEX(刷條碼區!A:C,MATCH(點上線資訊!S1777,刷條碼區!C:C,0),1),"")</f>
        <v/>
      </c>
      <c r="Y1777" s="69" t="str">
        <f>IFERROR(INDEX(刷條碼區!A:C,MATCH(點上線資訊!S1777,刷條碼區!C:C,0),2),"")</f>
        <v/>
      </c>
      <c r="Z1777" s="70" t="str">
        <f>IFERROR(INDEX(刷條碼區!D:G,MATCH(點上線資訊!S1777,刷條碼區!F:F,0),1),"")</f>
        <v/>
      </c>
      <c r="AA1777" s="71" t="str">
        <f>IFERROR(INDEX(刷條碼區!D:G,MATCH(點上線資訊!S1777,刷條碼區!F:F,0),2),"")</f>
        <v/>
      </c>
      <c r="AB1777" s="20">
        <f t="shared" si="166"/>
        <v>0</v>
      </c>
      <c r="AC1777" s="20" t="b">
        <f t="shared" si="167"/>
        <v>0</v>
      </c>
      <c r="AD1777" s="17" t="b">
        <f t="shared" si="168"/>
        <v>0</v>
      </c>
      <c r="AE1777" s="17" t="b">
        <f t="shared" si="169"/>
        <v>0</v>
      </c>
    </row>
    <row r="1778" spans="17:31" x14ac:dyDescent="0.2">
      <c r="Q1778" s="17">
        <f>IFERROR(VLOOKUP(A1778,已除帳印單!B:C,1,0),0)*1</f>
        <v>0</v>
      </c>
      <c r="R1778" s="67" t="str">
        <f>IFERROR(VLOOKUP(J1778,線別!A:B,2,1),"")</f>
        <v/>
      </c>
      <c r="S1778" s="17" t="str">
        <f>IFERROR(VLOOKUP(A1778,已除帳印單!B:C,2,0),"")</f>
        <v/>
      </c>
      <c r="T1778" s="68" t="e">
        <f t="shared" si="164"/>
        <v>#VALUE!</v>
      </c>
      <c r="U1778" s="69">
        <f t="shared" si="165"/>
        <v>0</v>
      </c>
      <c r="V1778" s="68" t="str">
        <f>IFERROR(VLOOKUP(A1778,已除帳印單!B:D,3,0),"")</f>
        <v/>
      </c>
      <c r="W1778" s="69" t="str">
        <f>IFERROR(VLOOKUP(A1778,已除帳印單!B:E,4,0),"")</f>
        <v/>
      </c>
      <c r="X1778" s="68" t="str">
        <f>IFERROR(INDEX(刷條碼區!A:C,MATCH(點上線資訊!S1778,刷條碼區!C:C,0),1),"")</f>
        <v/>
      </c>
      <c r="Y1778" s="69" t="str">
        <f>IFERROR(INDEX(刷條碼區!A:C,MATCH(點上線資訊!S1778,刷條碼區!C:C,0),2),"")</f>
        <v/>
      </c>
      <c r="Z1778" s="70" t="str">
        <f>IFERROR(INDEX(刷條碼區!D:G,MATCH(點上線資訊!S1778,刷條碼區!F:F,0),1),"")</f>
        <v/>
      </c>
      <c r="AA1778" s="71" t="str">
        <f>IFERROR(INDEX(刷條碼區!D:G,MATCH(點上線資訊!S1778,刷條碼區!F:F,0),2),"")</f>
        <v/>
      </c>
      <c r="AB1778" s="20">
        <f t="shared" si="166"/>
        <v>0</v>
      </c>
      <c r="AC1778" s="20" t="b">
        <f t="shared" si="167"/>
        <v>0</v>
      </c>
      <c r="AD1778" s="17" t="b">
        <f t="shared" si="168"/>
        <v>0</v>
      </c>
      <c r="AE1778" s="17" t="b">
        <f t="shared" si="169"/>
        <v>0</v>
      </c>
    </row>
    <row r="1779" spans="17:31" x14ac:dyDescent="0.2">
      <c r="Q1779" s="17">
        <f>IFERROR(VLOOKUP(A1779,已除帳印單!B:C,1,0),0)*1</f>
        <v>0</v>
      </c>
      <c r="R1779" s="67" t="str">
        <f>IFERROR(VLOOKUP(J1779,線別!A:B,2,1),"")</f>
        <v/>
      </c>
      <c r="S1779" s="17" t="str">
        <f>IFERROR(VLOOKUP(A1779,已除帳印單!B:C,2,0),"")</f>
        <v/>
      </c>
      <c r="T1779" s="68" t="e">
        <f t="shared" si="164"/>
        <v>#VALUE!</v>
      </c>
      <c r="U1779" s="69">
        <f t="shared" si="165"/>
        <v>0</v>
      </c>
      <c r="V1779" s="68" t="str">
        <f>IFERROR(VLOOKUP(A1779,已除帳印單!B:D,3,0),"")</f>
        <v/>
      </c>
      <c r="W1779" s="69" t="str">
        <f>IFERROR(VLOOKUP(A1779,已除帳印單!B:E,4,0),"")</f>
        <v/>
      </c>
      <c r="X1779" s="68" t="str">
        <f>IFERROR(INDEX(刷條碼區!A:C,MATCH(點上線資訊!S1779,刷條碼區!C:C,0),1),"")</f>
        <v/>
      </c>
      <c r="Y1779" s="69" t="str">
        <f>IFERROR(INDEX(刷條碼區!A:C,MATCH(點上線資訊!S1779,刷條碼區!C:C,0),2),"")</f>
        <v/>
      </c>
      <c r="Z1779" s="70" t="str">
        <f>IFERROR(INDEX(刷條碼區!D:G,MATCH(點上線資訊!S1779,刷條碼區!F:F,0),1),"")</f>
        <v/>
      </c>
      <c r="AA1779" s="71" t="str">
        <f>IFERROR(INDEX(刷條碼區!D:G,MATCH(點上線資訊!S1779,刷條碼區!F:F,0),2),"")</f>
        <v/>
      </c>
      <c r="AB1779" s="20">
        <f t="shared" si="166"/>
        <v>0</v>
      </c>
      <c r="AC1779" s="20" t="b">
        <f t="shared" si="167"/>
        <v>0</v>
      </c>
      <c r="AD1779" s="17" t="b">
        <f t="shared" si="168"/>
        <v>0</v>
      </c>
      <c r="AE1779" s="17" t="b">
        <f t="shared" si="169"/>
        <v>0</v>
      </c>
    </row>
    <row r="1780" spans="17:31" x14ac:dyDescent="0.2">
      <c r="Q1780" s="17">
        <f>IFERROR(VLOOKUP(A1780,已除帳印單!B:C,1,0),0)*1</f>
        <v>0</v>
      </c>
      <c r="R1780" s="67" t="str">
        <f>IFERROR(VLOOKUP(J1780,線別!A:B,2,1),"")</f>
        <v/>
      </c>
      <c r="S1780" s="17" t="str">
        <f>IFERROR(VLOOKUP(A1780,已除帳印單!B:C,2,0),"")</f>
        <v/>
      </c>
      <c r="T1780" s="68" t="e">
        <f t="shared" si="164"/>
        <v>#VALUE!</v>
      </c>
      <c r="U1780" s="69">
        <f t="shared" si="165"/>
        <v>0</v>
      </c>
      <c r="V1780" s="68" t="str">
        <f>IFERROR(VLOOKUP(A1780,已除帳印單!B:D,3,0),"")</f>
        <v/>
      </c>
      <c r="W1780" s="69" t="str">
        <f>IFERROR(VLOOKUP(A1780,已除帳印單!B:E,4,0),"")</f>
        <v/>
      </c>
      <c r="X1780" s="68" t="str">
        <f>IFERROR(INDEX(刷條碼區!A:C,MATCH(點上線資訊!S1780,刷條碼區!C:C,0),1),"")</f>
        <v/>
      </c>
      <c r="Y1780" s="69" t="str">
        <f>IFERROR(INDEX(刷條碼區!A:C,MATCH(點上線資訊!S1780,刷條碼區!C:C,0),2),"")</f>
        <v/>
      </c>
      <c r="Z1780" s="70" t="str">
        <f>IFERROR(INDEX(刷條碼區!D:G,MATCH(點上線資訊!S1780,刷條碼區!F:F,0),1),"")</f>
        <v/>
      </c>
      <c r="AA1780" s="71" t="str">
        <f>IFERROR(INDEX(刷條碼區!D:G,MATCH(點上線資訊!S1780,刷條碼區!F:F,0),2),"")</f>
        <v/>
      </c>
      <c r="AB1780" s="20">
        <f t="shared" si="166"/>
        <v>0</v>
      </c>
      <c r="AC1780" s="20" t="b">
        <f t="shared" si="167"/>
        <v>0</v>
      </c>
      <c r="AD1780" s="17" t="b">
        <f t="shared" si="168"/>
        <v>0</v>
      </c>
      <c r="AE1780" s="17" t="b">
        <f t="shared" si="169"/>
        <v>0</v>
      </c>
    </row>
    <row r="1781" spans="17:31" x14ac:dyDescent="0.2">
      <c r="Q1781" s="17">
        <f>IFERROR(VLOOKUP(A1781,已除帳印單!B:C,1,0),0)*1</f>
        <v>0</v>
      </c>
      <c r="R1781" s="67" t="str">
        <f>IFERROR(VLOOKUP(J1781,線別!A:B,2,1),"")</f>
        <v/>
      </c>
      <c r="S1781" s="17" t="str">
        <f>IFERROR(VLOOKUP(A1781,已除帳印單!B:C,2,0),"")</f>
        <v/>
      </c>
      <c r="T1781" s="68" t="e">
        <f t="shared" ref="T1781:T1802" si="170">--TEXT(B1781,"0000-00-00")</f>
        <v>#VALUE!</v>
      </c>
      <c r="U1781" s="69">
        <f t="shared" ref="U1781:U1802" si="171">--TEXT(C1781,"00\:00\:00")</f>
        <v>0</v>
      </c>
      <c r="V1781" s="68" t="str">
        <f>IFERROR(VLOOKUP(A1781,已除帳印單!B:D,3,0),"")</f>
        <v/>
      </c>
      <c r="W1781" s="69" t="str">
        <f>IFERROR(VLOOKUP(A1781,已除帳印單!B:E,4,0),"")</f>
        <v/>
      </c>
      <c r="X1781" s="68" t="str">
        <f>IFERROR(INDEX(刷條碼區!A:C,MATCH(點上線資訊!S1781,刷條碼區!C:C,0),1),"")</f>
        <v/>
      </c>
      <c r="Y1781" s="69" t="str">
        <f>IFERROR(INDEX(刷條碼區!A:C,MATCH(點上線資訊!S1781,刷條碼區!C:C,0),2),"")</f>
        <v/>
      </c>
      <c r="Z1781" s="70" t="str">
        <f>IFERROR(INDEX(刷條碼區!D:G,MATCH(點上線資訊!S1781,刷條碼區!F:F,0),1),"")</f>
        <v/>
      </c>
      <c r="AA1781" s="71" t="str">
        <f>IFERROR(INDEX(刷條碼區!D:G,MATCH(點上線資訊!S1781,刷條碼區!F:F,0),2),"")</f>
        <v/>
      </c>
      <c r="AB1781" s="20">
        <f t="shared" ref="AB1781:AB1802" si="172">IF(K1781&amp;N1781="",G1781)</f>
        <v>0</v>
      </c>
      <c r="AC1781" s="20" t="b">
        <f t="shared" ref="AC1781:AC1802" si="173">IF(S1781&lt;&gt;"",G1781)</f>
        <v>0</v>
      </c>
      <c r="AD1781" s="17" t="b">
        <f t="shared" ref="AD1781:AD1802" si="174">IF(X1781&lt;&gt;"",G1781)</f>
        <v>0</v>
      </c>
      <c r="AE1781" s="17" t="b">
        <f t="shared" ref="AE1781:AE1802" si="175">IF(Z1781&lt;&gt;"",G1781)</f>
        <v>0</v>
      </c>
    </row>
    <row r="1782" spans="17:31" x14ac:dyDescent="0.2">
      <c r="Q1782" s="17">
        <f>IFERROR(VLOOKUP(A1782,已除帳印單!B:C,1,0),0)*1</f>
        <v>0</v>
      </c>
      <c r="R1782" s="67" t="str">
        <f>IFERROR(VLOOKUP(J1782,線別!A:B,2,1),"")</f>
        <v/>
      </c>
      <c r="S1782" s="17" t="str">
        <f>IFERROR(VLOOKUP(A1782,已除帳印單!B:C,2,0),"")</f>
        <v/>
      </c>
      <c r="T1782" s="68" t="e">
        <f t="shared" si="170"/>
        <v>#VALUE!</v>
      </c>
      <c r="U1782" s="69">
        <f t="shared" si="171"/>
        <v>0</v>
      </c>
      <c r="V1782" s="68" t="str">
        <f>IFERROR(VLOOKUP(A1782,已除帳印單!B:D,3,0),"")</f>
        <v/>
      </c>
      <c r="W1782" s="69" t="str">
        <f>IFERROR(VLOOKUP(A1782,已除帳印單!B:E,4,0),"")</f>
        <v/>
      </c>
      <c r="X1782" s="68" t="str">
        <f>IFERROR(INDEX(刷條碼區!A:C,MATCH(點上線資訊!S1782,刷條碼區!C:C,0),1),"")</f>
        <v/>
      </c>
      <c r="Y1782" s="69" t="str">
        <f>IFERROR(INDEX(刷條碼區!A:C,MATCH(點上線資訊!S1782,刷條碼區!C:C,0),2),"")</f>
        <v/>
      </c>
      <c r="Z1782" s="70" t="str">
        <f>IFERROR(INDEX(刷條碼區!D:G,MATCH(點上線資訊!S1782,刷條碼區!F:F,0),1),"")</f>
        <v/>
      </c>
      <c r="AA1782" s="71" t="str">
        <f>IFERROR(INDEX(刷條碼區!D:G,MATCH(點上線資訊!S1782,刷條碼區!F:F,0),2),"")</f>
        <v/>
      </c>
      <c r="AB1782" s="20">
        <f t="shared" si="172"/>
        <v>0</v>
      </c>
      <c r="AC1782" s="20" t="b">
        <f t="shared" si="173"/>
        <v>0</v>
      </c>
      <c r="AD1782" s="17" t="b">
        <f t="shared" si="174"/>
        <v>0</v>
      </c>
      <c r="AE1782" s="17" t="b">
        <f t="shared" si="175"/>
        <v>0</v>
      </c>
    </row>
    <row r="1783" spans="17:31" x14ac:dyDescent="0.2">
      <c r="Q1783" s="17">
        <f>IFERROR(VLOOKUP(A1783,已除帳印單!B:C,1,0),0)*1</f>
        <v>0</v>
      </c>
      <c r="R1783" s="67" t="str">
        <f>IFERROR(VLOOKUP(J1783,線別!A:B,2,1),"")</f>
        <v/>
      </c>
      <c r="S1783" s="17" t="str">
        <f>IFERROR(VLOOKUP(A1783,已除帳印單!B:C,2,0),"")</f>
        <v/>
      </c>
      <c r="T1783" s="68" t="e">
        <f t="shared" si="170"/>
        <v>#VALUE!</v>
      </c>
      <c r="U1783" s="69">
        <f t="shared" si="171"/>
        <v>0</v>
      </c>
      <c r="V1783" s="68" t="str">
        <f>IFERROR(VLOOKUP(A1783,已除帳印單!B:D,3,0),"")</f>
        <v/>
      </c>
      <c r="W1783" s="69" t="str">
        <f>IFERROR(VLOOKUP(A1783,已除帳印單!B:E,4,0),"")</f>
        <v/>
      </c>
      <c r="X1783" s="68" t="str">
        <f>IFERROR(INDEX(刷條碼區!A:C,MATCH(點上線資訊!S1783,刷條碼區!C:C,0),1),"")</f>
        <v/>
      </c>
      <c r="Y1783" s="69" t="str">
        <f>IFERROR(INDEX(刷條碼區!A:C,MATCH(點上線資訊!S1783,刷條碼區!C:C,0),2),"")</f>
        <v/>
      </c>
      <c r="Z1783" s="70" t="str">
        <f>IFERROR(INDEX(刷條碼區!D:G,MATCH(點上線資訊!S1783,刷條碼區!F:F,0),1),"")</f>
        <v/>
      </c>
      <c r="AA1783" s="71" t="str">
        <f>IFERROR(INDEX(刷條碼區!D:G,MATCH(點上線資訊!S1783,刷條碼區!F:F,0),2),"")</f>
        <v/>
      </c>
      <c r="AB1783" s="20">
        <f t="shared" si="172"/>
        <v>0</v>
      </c>
      <c r="AC1783" s="20" t="b">
        <f t="shared" si="173"/>
        <v>0</v>
      </c>
      <c r="AD1783" s="17" t="b">
        <f t="shared" si="174"/>
        <v>0</v>
      </c>
      <c r="AE1783" s="17" t="b">
        <f t="shared" si="175"/>
        <v>0</v>
      </c>
    </row>
    <row r="1784" spans="17:31" x14ac:dyDescent="0.2">
      <c r="Q1784" s="17">
        <f>IFERROR(VLOOKUP(A1784,已除帳印單!B:C,1,0),0)*1</f>
        <v>0</v>
      </c>
      <c r="R1784" s="67" t="str">
        <f>IFERROR(VLOOKUP(J1784,線別!A:B,2,1),"")</f>
        <v/>
      </c>
      <c r="S1784" s="17" t="str">
        <f>IFERROR(VLOOKUP(A1784,已除帳印單!B:C,2,0),"")</f>
        <v/>
      </c>
      <c r="T1784" s="68" t="e">
        <f t="shared" si="170"/>
        <v>#VALUE!</v>
      </c>
      <c r="U1784" s="69">
        <f t="shared" si="171"/>
        <v>0</v>
      </c>
      <c r="V1784" s="68" t="str">
        <f>IFERROR(VLOOKUP(A1784,已除帳印單!B:D,3,0),"")</f>
        <v/>
      </c>
      <c r="W1784" s="69" t="str">
        <f>IFERROR(VLOOKUP(A1784,已除帳印單!B:E,4,0),"")</f>
        <v/>
      </c>
      <c r="X1784" s="68" t="str">
        <f>IFERROR(INDEX(刷條碼區!A:C,MATCH(點上線資訊!S1784,刷條碼區!C:C,0),1),"")</f>
        <v/>
      </c>
      <c r="Y1784" s="69" t="str">
        <f>IFERROR(INDEX(刷條碼區!A:C,MATCH(點上線資訊!S1784,刷條碼區!C:C,0),2),"")</f>
        <v/>
      </c>
      <c r="Z1784" s="70" t="str">
        <f>IFERROR(INDEX(刷條碼區!D:G,MATCH(點上線資訊!S1784,刷條碼區!F:F,0),1),"")</f>
        <v/>
      </c>
      <c r="AA1784" s="71" t="str">
        <f>IFERROR(INDEX(刷條碼區!D:G,MATCH(點上線資訊!S1784,刷條碼區!F:F,0),2),"")</f>
        <v/>
      </c>
      <c r="AB1784" s="20">
        <f t="shared" si="172"/>
        <v>0</v>
      </c>
      <c r="AC1784" s="20" t="b">
        <f t="shared" si="173"/>
        <v>0</v>
      </c>
      <c r="AD1784" s="17" t="b">
        <f t="shared" si="174"/>
        <v>0</v>
      </c>
      <c r="AE1784" s="17" t="b">
        <f t="shared" si="175"/>
        <v>0</v>
      </c>
    </row>
    <row r="1785" spans="17:31" x14ac:dyDescent="0.2">
      <c r="Q1785" s="17">
        <f>IFERROR(VLOOKUP(A1785,已除帳印單!B:C,1,0),0)*1</f>
        <v>0</v>
      </c>
      <c r="R1785" s="67" t="str">
        <f>IFERROR(VLOOKUP(J1785,線別!A:B,2,1),"")</f>
        <v/>
      </c>
      <c r="S1785" s="17" t="str">
        <f>IFERROR(VLOOKUP(A1785,已除帳印單!B:C,2,0),"")</f>
        <v/>
      </c>
      <c r="T1785" s="68" t="e">
        <f t="shared" si="170"/>
        <v>#VALUE!</v>
      </c>
      <c r="U1785" s="69">
        <f t="shared" si="171"/>
        <v>0</v>
      </c>
      <c r="V1785" s="68" t="str">
        <f>IFERROR(VLOOKUP(A1785,已除帳印單!B:D,3,0),"")</f>
        <v/>
      </c>
      <c r="W1785" s="69" t="str">
        <f>IFERROR(VLOOKUP(A1785,已除帳印單!B:E,4,0),"")</f>
        <v/>
      </c>
      <c r="X1785" s="68" t="str">
        <f>IFERROR(INDEX(刷條碼區!A:C,MATCH(點上線資訊!S1785,刷條碼區!C:C,0),1),"")</f>
        <v/>
      </c>
      <c r="Y1785" s="69" t="str">
        <f>IFERROR(INDEX(刷條碼區!A:C,MATCH(點上線資訊!S1785,刷條碼區!C:C,0),2),"")</f>
        <v/>
      </c>
      <c r="Z1785" s="70" t="str">
        <f>IFERROR(INDEX(刷條碼區!D:G,MATCH(點上線資訊!S1785,刷條碼區!F:F,0),1),"")</f>
        <v/>
      </c>
      <c r="AA1785" s="71" t="str">
        <f>IFERROR(INDEX(刷條碼區!D:G,MATCH(點上線資訊!S1785,刷條碼區!F:F,0),2),"")</f>
        <v/>
      </c>
      <c r="AB1785" s="20">
        <f t="shared" si="172"/>
        <v>0</v>
      </c>
      <c r="AC1785" s="20" t="b">
        <f t="shared" si="173"/>
        <v>0</v>
      </c>
      <c r="AD1785" s="17" t="b">
        <f t="shared" si="174"/>
        <v>0</v>
      </c>
      <c r="AE1785" s="17" t="b">
        <f t="shared" si="175"/>
        <v>0</v>
      </c>
    </row>
    <row r="1786" spans="17:31" x14ac:dyDescent="0.2">
      <c r="Q1786" s="17">
        <f>IFERROR(VLOOKUP(A1786,已除帳印單!B:C,1,0),0)*1</f>
        <v>0</v>
      </c>
      <c r="R1786" s="67" t="str">
        <f>IFERROR(VLOOKUP(J1786,線別!A:B,2,1),"")</f>
        <v/>
      </c>
      <c r="S1786" s="17" t="str">
        <f>IFERROR(VLOOKUP(A1786,已除帳印單!B:C,2,0),"")</f>
        <v/>
      </c>
      <c r="T1786" s="68" t="e">
        <f t="shared" si="170"/>
        <v>#VALUE!</v>
      </c>
      <c r="U1786" s="69">
        <f t="shared" si="171"/>
        <v>0</v>
      </c>
      <c r="V1786" s="68" t="str">
        <f>IFERROR(VLOOKUP(A1786,已除帳印單!B:D,3,0),"")</f>
        <v/>
      </c>
      <c r="W1786" s="69" t="str">
        <f>IFERROR(VLOOKUP(A1786,已除帳印單!B:E,4,0),"")</f>
        <v/>
      </c>
      <c r="X1786" s="68" t="str">
        <f>IFERROR(INDEX(刷條碼區!A:C,MATCH(點上線資訊!S1786,刷條碼區!C:C,0),1),"")</f>
        <v/>
      </c>
      <c r="Y1786" s="69" t="str">
        <f>IFERROR(INDEX(刷條碼區!A:C,MATCH(點上線資訊!S1786,刷條碼區!C:C,0),2),"")</f>
        <v/>
      </c>
      <c r="Z1786" s="70" t="str">
        <f>IFERROR(INDEX(刷條碼區!D:G,MATCH(點上線資訊!S1786,刷條碼區!F:F,0),1),"")</f>
        <v/>
      </c>
      <c r="AA1786" s="71" t="str">
        <f>IFERROR(INDEX(刷條碼區!D:G,MATCH(點上線資訊!S1786,刷條碼區!F:F,0),2),"")</f>
        <v/>
      </c>
      <c r="AB1786" s="20">
        <f t="shared" si="172"/>
        <v>0</v>
      </c>
      <c r="AC1786" s="20" t="b">
        <f t="shared" si="173"/>
        <v>0</v>
      </c>
      <c r="AD1786" s="17" t="b">
        <f t="shared" si="174"/>
        <v>0</v>
      </c>
      <c r="AE1786" s="17" t="b">
        <f t="shared" si="175"/>
        <v>0</v>
      </c>
    </row>
    <row r="1787" spans="17:31" x14ac:dyDescent="0.2">
      <c r="Q1787" s="17">
        <f>IFERROR(VLOOKUP(A1787,已除帳印單!B:C,1,0),0)*1</f>
        <v>0</v>
      </c>
      <c r="R1787" s="67" t="str">
        <f>IFERROR(VLOOKUP(J1787,線別!A:B,2,1),"")</f>
        <v/>
      </c>
      <c r="S1787" s="17" t="str">
        <f>IFERROR(VLOOKUP(A1787,已除帳印單!B:C,2,0),"")</f>
        <v/>
      </c>
      <c r="T1787" s="68" t="e">
        <f t="shared" si="170"/>
        <v>#VALUE!</v>
      </c>
      <c r="U1787" s="69">
        <f t="shared" si="171"/>
        <v>0</v>
      </c>
      <c r="V1787" s="68" t="str">
        <f>IFERROR(VLOOKUP(A1787,已除帳印單!B:D,3,0),"")</f>
        <v/>
      </c>
      <c r="W1787" s="69" t="str">
        <f>IFERROR(VLOOKUP(A1787,已除帳印單!B:E,4,0),"")</f>
        <v/>
      </c>
      <c r="X1787" s="68" t="str">
        <f>IFERROR(INDEX(刷條碼區!A:C,MATCH(點上線資訊!S1787,刷條碼區!C:C,0),1),"")</f>
        <v/>
      </c>
      <c r="Y1787" s="69" t="str">
        <f>IFERROR(INDEX(刷條碼區!A:C,MATCH(點上線資訊!S1787,刷條碼區!C:C,0),2),"")</f>
        <v/>
      </c>
      <c r="Z1787" s="70" t="str">
        <f>IFERROR(INDEX(刷條碼區!D:G,MATCH(點上線資訊!S1787,刷條碼區!F:F,0),1),"")</f>
        <v/>
      </c>
      <c r="AA1787" s="71" t="str">
        <f>IFERROR(INDEX(刷條碼區!D:G,MATCH(點上線資訊!S1787,刷條碼區!F:F,0),2),"")</f>
        <v/>
      </c>
      <c r="AB1787" s="20">
        <f t="shared" si="172"/>
        <v>0</v>
      </c>
      <c r="AC1787" s="20" t="b">
        <f t="shared" si="173"/>
        <v>0</v>
      </c>
      <c r="AD1787" s="17" t="b">
        <f t="shared" si="174"/>
        <v>0</v>
      </c>
      <c r="AE1787" s="17" t="b">
        <f t="shared" si="175"/>
        <v>0</v>
      </c>
    </row>
    <row r="1788" spans="17:31" x14ac:dyDescent="0.2">
      <c r="Q1788" s="17">
        <f>IFERROR(VLOOKUP(A1788,已除帳印單!B:C,1,0),0)*1</f>
        <v>0</v>
      </c>
      <c r="R1788" s="67" t="str">
        <f>IFERROR(VLOOKUP(J1788,線別!A:B,2,1),"")</f>
        <v/>
      </c>
      <c r="S1788" s="17" t="str">
        <f>IFERROR(VLOOKUP(A1788,已除帳印單!B:C,2,0),"")</f>
        <v/>
      </c>
      <c r="T1788" s="68" t="e">
        <f t="shared" si="170"/>
        <v>#VALUE!</v>
      </c>
      <c r="U1788" s="69">
        <f t="shared" si="171"/>
        <v>0</v>
      </c>
      <c r="V1788" s="68" t="str">
        <f>IFERROR(VLOOKUP(A1788,已除帳印單!B:D,3,0),"")</f>
        <v/>
      </c>
      <c r="W1788" s="69" t="str">
        <f>IFERROR(VLOOKUP(A1788,已除帳印單!B:E,4,0),"")</f>
        <v/>
      </c>
      <c r="X1788" s="68" t="str">
        <f>IFERROR(INDEX(刷條碼區!A:C,MATCH(點上線資訊!S1788,刷條碼區!C:C,0),1),"")</f>
        <v/>
      </c>
      <c r="Y1788" s="69" t="str">
        <f>IFERROR(INDEX(刷條碼區!A:C,MATCH(點上線資訊!S1788,刷條碼區!C:C,0),2),"")</f>
        <v/>
      </c>
      <c r="Z1788" s="70" t="str">
        <f>IFERROR(INDEX(刷條碼區!D:G,MATCH(點上線資訊!S1788,刷條碼區!F:F,0),1),"")</f>
        <v/>
      </c>
      <c r="AA1788" s="71" t="str">
        <f>IFERROR(INDEX(刷條碼區!D:G,MATCH(點上線資訊!S1788,刷條碼區!F:F,0),2),"")</f>
        <v/>
      </c>
      <c r="AB1788" s="20">
        <f t="shared" si="172"/>
        <v>0</v>
      </c>
      <c r="AC1788" s="20" t="b">
        <f t="shared" si="173"/>
        <v>0</v>
      </c>
      <c r="AD1788" s="17" t="b">
        <f t="shared" si="174"/>
        <v>0</v>
      </c>
      <c r="AE1788" s="17" t="b">
        <f t="shared" si="175"/>
        <v>0</v>
      </c>
    </row>
    <row r="1789" spans="17:31" x14ac:dyDescent="0.2">
      <c r="Q1789" s="17">
        <f>IFERROR(VLOOKUP(A1789,已除帳印單!B:C,1,0),0)*1</f>
        <v>0</v>
      </c>
      <c r="R1789" s="67" t="str">
        <f>IFERROR(VLOOKUP(J1789,線別!A:B,2,1),"")</f>
        <v/>
      </c>
      <c r="S1789" s="17" t="str">
        <f>IFERROR(VLOOKUP(A1789,已除帳印單!B:C,2,0),"")</f>
        <v/>
      </c>
      <c r="T1789" s="68" t="e">
        <f t="shared" si="170"/>
        <v>#VALUE!</v>
      </c>
      <c r="U1789" s="69">
        <f t="shared" si="171"/>
        <v>0</v>
      </c>
      <c r="V1789" s="68" t="str">
        <f>IFERROR(VLOOKUP(A1789,已除帳印單!B:D,3,0),"")</f>
        <v/>
      </c>
      <c r="W1789" s="69" t="str">
        <f>IFERROR(VLOOKUP(A1789,已除帳印單!B:E,4,0),"")</f>
        <v/>
      </c>
      <c r="X1789" s="68" t="str">
        <f>IFERROR(INDEX(刷條碼區!A:C,MATCH(點上線資訊!S1789,刷條碼區!C:C,0),1),"")</f>
        <v/>
      </c>
      <c r="Y1789" s="69" t="str">
        <f>IFERROR(INDEX(刷條碼區!A:C,MATCH(點上線資訊!S1789,刷條碼區!C:C,0),2),"")</f>
        <v/>
      </c>
      <c r="Z1789" s="70" t="str">
        <f>IFERROR(INDEX(刷條碼區!D:G,MATCH(點上線資訊!S1789,刷條碼區!F:F,0),1),"")</f>
        <v/>
      </c>
      <c r="AA1789" s="71" t="str">
        <f>IFERROR(INDEX(刷條碼區!D:G,MATCH(點上線資訊!S1789,刷條碼區!F:F,0),2),"")</f>
        <v/>
      </c>
      <c r="AB1789" s="20">
        <f t="shared" si="172"/>
        <v>0</v>
      </c>
      <c r="AC1789" s="20" t="b">
        <f t="shared" si="173"/>
        <v>0</v>
      </c>
      <c r="AD1789" s="17" t="b">
        <f t="shared" si="174"/>
        <v>0</v>
      </c>
      <c r="AE1789" s="17" t="b">
        <f t="shared" si="175"/>
        <v>0</v>
      </c>
    </row>
    <row r="1790" spans="17:31" x14ac:dyDescent="0.2">
      <c r="Q1790" s="17">
        <f>IFERROR(VLOOKUP(A1790,已除帳印單!B:C,1,0),0)*1</f>
        <v>0</v>
      </c>
      <c r="R1790" s="67" t="str">
        <f>IFERROR(VLOOKUP(J1790,線別!A:B,2,1),"")</f>
        <v/>
      </c>
      <c r="S1790" s="17" t="str">
        <f>IFERROR(VLOOKUP(A1790,已除帳印單!B:C,2,0),"")</f>
        <v/>
      </c>
      <c r="T1790" s="68" t="e">
        <f t="shared" si="170"/>
        <v>#VALUE!</v>
      </c>
      <c r="U1790" s="69">
        <f t="shared" si="171"/>
        <v>0</v>
      </c>
      <c r="V1790" s="68" t="str">
        <f>IFERROR(VLOOKUP(A1790,已除帳印單!B:D,3,0),"")</f>
        <v/>
      </c>
      <c r="W1790" s="69" t="str">
        <f>IFERROR(VLOOKUP(A1790,已除帳印單!B:E,4,0),"")</f>
        <v/>
      </c>
      <c r="X1790" s="68" t="str">
        <f>IFERROR(INDEX(刷條碼區!A:C,MATCH(點上線資訊!S1790,刷條碼區!C:C,0),1),"")</f>
        <v/>
      </c>
      <c r="Y1790" s="69" t="str">
        <f>IFERROR(INDEX(刷條碼區!A:C,MATCH(點上線資訊!S1790,刷條碼區!C:C,0),2),"")</f>
        <v/>
      </c>
      <c r="Z1790" s="70" t="str">
        <f>IFERROR(INDEX(刷條碼區!D:G,MATCH(點上線資訊!S1790,刷條碼區!F:F,0),1),"")</f>
        <v/>
      </c>
      <c r="AA1790" s="71" t="str">
        <f>IFERROR(INDEX(刷條碼區!D:G,MATCH(點上線資訊!S1790,刷條碼區!F:F,0),2),"")</f>
        <v/>
      </c>
      <c r="AB1790" s="20">
        <f t="shared" si="172"/>
        <v>0</v>
      </c>
      <c r="AC1790" s="20" t="b">
        <f t="shared" si="173"/>
        <v>0</v>
      </c>
      <c r="AD1790" s="17" t="b">
        <f t="shared" si="174"/>
        <v>0</v>
      </c>
      <c r="AE1790" s="17" t="b">
        <f t="shared" si="175"/>
        <v>0</v>
      </c>
    </row>
    <row r="1791" spans="17:31" x14ac:dyDescent="0.2">
      <c r="Q1791" s="17">
        <f>IFERROR(VLOOKUP(A1791,已除帳印單!B:C,1,0),0)*1</f>
        <v>0</v>
      </c>
      <c r="R1791" s="67" t="str">
        <f>IFERROR(VLOOKUP(J1791,線別!A:B,2,1),"")</f>
        <v/>
      </c>
      <c r="S1791" s="17" t="str">
        <f>IFERROR(VLOOKUP(A1791,已除帳印單!B:C,2,0),"")</f>
        <v/>
      </c>
      <c r="T1791" s="68" t="e">
        <f t="shared" si="170"/>
        <v>#VALUE!</v>
      </c>
      <c r="U1791" s="69">
        <f t="shared" si="171"/>
        <v>0</v>
      </c>
      <c r="V1791" s="68" t="str">
        <f>IFERROR(VLOOKUP(A1791,已除帳印單!B:D,3,0),"")</f>
        <v/>
      </c>
      <c r="W1791" s="69" t="str">
        <f>IFERROR(VLOOKUP(A1791,已除帳印單!B:E,4,0),"")</f>
        <v/>
      </c>
      <c r="X1791" s="68" t="str">
        <f>IFERROR(INDEX(刷條碼區!A:C,MATCH(點上線資訊!S1791,刷條碼區!C:C,0),1),"")</f>
        <v/>
      </c>
      <c r="Y1791" s="69" t="str">
        <f>IFERROR(INDEX(刷條碼區!A:C,MATCH(點上線資訊!S1791,刷條碼區!C:C,0),2),"")</f>
        <v/>
      </c>
      <c r="Z1791" s="70" t="str">
        <f>IFERROR(INDEX(刷條碼區!D:G,MATCH(點上線資訊!S1791,刷條碼區!F:F,0),1),"")</f>
        <v/>
      </c>
      <c r="AA1791" s="71" t="str">
        <f>IFERROR(INDEX(刷條碼區!D:G,MATCH(點上線資訊!S1791,刷條碼區!F:F,0),2),"")</f>
        <v/>
      </c>
      <c r="AB1791" s="20">
        <f t="shared" si="172"/>
        <v>0</v>
      </c>
      <c r="AC1791" s="20" t="b">
        <f t="shared" si="173"/>
        <v>0</v>
      </c>
      <c r="AD1791" s="17" t="b">
        <f t="shared" si="174"/>
        <v>0</v>
      </c>
      <c r="AE1791" s="17" t="b">
        <f t="shared" si="175"/>
        <v>0</v>
      </c>
    </row>
    <row r="1792" spans="17:31" x14ac:dyDescent="0.2">
      <c r="Q1792" s="17">
        <f>IFERROR(VLOOKUP(A1792,已除帳印單!B:C,1,0),0)*1</f>
        <v>0</v>
      </c>
      <c r="R1792" s="67" t="str">
        <f>IFERROR(VLOOKUP(J1792,線別!A:B,2,1),"")</f>
        <v/>
      </c>
      <c r="S1792" s="17" t="str">
        <f>IFERROR(VLOOKUP(A1792,已除帳印單!B:C,2,0),"")</f>
        <v/>
      </c>
      <c r="T1792" s="68" t="e">
        <f t="shared" si="170"/>
        <v>#VALUE!</v>
      </c>
      <c r="U1792" s="69">
        <f t="shared" si="171"/>
        <v>0</v>
      </c>
      <c r="V1792" s="68" t="str">
        <f>IFERROR(VLOOKUP(A1792,已除帳印單!B:D,3,0),"")</f>
        <v/>
      </c>
      <c r="W1792" s="69" t="str">
        <f>IFERROR(VLOOKUP(A1792,已除帳印單!B:E,4,0),"")</f>
        <v/>
      </c>
      <c r="X1792" s="68" t="str">
        <f>IFERROR(INDEX(刷條碼區!A:C,MATCH(點上線資訊!S1792,刷條碼區!C:C,0),1),"")</f>
        <v/>
      </c>
      <c r="Y1792" s="69" t="str">
        <f>IFERROR(INDEX(刷條碼區!A:C,MATCH(點上線資訊!S1792,刷條碼區!C:C,0),2),"")</f>
        <v/>
      </c>
      <c r="Z1792" s="70" t="str">
        <f>IFERROR(INDEX(刷條碼區!D:G,MATCH(點上線資訊!S1792,刷條碼區!F:F,0),1),"")</f>
        <v/>
      </c>
      <c r="AA1792" s="71" t="str">
        <f>IFERROR(INDEX(刷條碼區!D:G,MATCH(點上線資訊!S1792,刷條碼區!F:F,0),2),"")</f>
        <v/>
      </c>
      <c r="AB1792" s="20">
        <f t="shared" si="172"/>
        <v>0</v>
      </c>
      <c r="AC1792" s="20" t="b">
        <f t="shared" si="173"/>
        <v>0</v>
      </c>
      <c r="AD1792" s="17" t="b">
        <f t="shared" si="174"/>
        <v>0</v>
      </c>
      <c r="AE1792" s="17" t="b">
        <f t="shared" si="175"/>
        <v>0</v>
      </c>
    </row>
    <row r="1793" spans="17:31" x14ac:dyDescent="0.2">
      <c r="Q1793" s="17">
        <f>IFERROR(VLOOKUP(A1793,已除帳印單!B:C,1,0),0)*1</f>
        <v>0</v>
      </c>
      <c r="R1793" s="67" t="str">
        <f>IFERROR(VLOOKUP(J1793,線別!A:B,2,1),"")</f>
        <v/>
      </c>
      <c r="S1793" s="17" t="str">
        <f>IFERROR(VLOOKUP(A1793,已除帳印單!B:C,2,0),"")</f>
        <v/>
      </c>
      <c r="T1793" s="68" t="e">
        <f t="shared" si="170"/>
        <v>#VALUE!</v>
      </c>
      <c r="U1793" s="69">
        <f t="shared" si="171"/>
        <v>0</v>
      </c>
      <c r="V1793" s="68" t="str">
        <f>IFERROR(VLOOKUP(A1793,已除帳印單!B:D,3,0),"")</f>
        <v/>
      </c>
      <c r="W1793" s="69" t="str">
        <f>IFERROR(VLOOKUP(A1793,已除帳印單!B:E,4,0),"")</f>
        <v/>
      </c>
      <c r="X1793" s="68" t="str">
        <f>IFERROR(INDEX(刷條碼區!A:C,MATCH(點上線資訊!S1793,刷條碼區!C:C,0),1),"")</f>
        <v/>
      </c>
      <c r="Y1793" s="69" t="str">
        <f>IFERROR(INDEX(刷條碼區!A:C,MATCH(點上線資訊!S1793,刷條碼區!C:C,0),2),"")</f>
        <v/>
      </c>
      <c r="Z1793" s="70" t="str">
        <f>IFERROR(INDEX(刷條碼區!D:G,MATCH(點上線資訊!S1793,刷條碼區!F:F,0),1),"")</f>
        <v/>
      </c>
      <c r="AA1793" s="71" t="str">
        <f>IFERROR(INDEX(刷條碼區!D:G,MATCH(點上線資訊!S1793,刷條碼區!F:F,0),2),"")</f>
        <v/>
      </c>
      <c r="AB1793" s="20">
        <f t="shared" si="172"/>
        <v>0</v>
      </c>
      <c r="AC1793" s="20" t="b">
        <f t="shared" si="173"/>
        <v>0</v>
      </c>
      <c r="AD1793" s="17" t="b">
        <f t="shared" si="174"/>
        <v>0</v>
      </c>
      <c r="AE1793" s="17" t="b">
        <f t="shared" si="175"/>
        <v>0</v>
      </c>
    </row>
    <row r="1794" spans="17:31" x14ac:dyDescent="0.2">
      <c r="Q1794" s="17">
        <f>IFERROR(VLOOKUP(A1794,已除帳印單!B:C,1,0),0)*1</f>
        <v>0</v>
      </c>
      <c r="R1794" s="67" t="str">
        <f>IFERROR(VLOOKUP(J1794,線別!A:B,2,1),"")</f>
        <v/>
      </c>
      <c r="S1794" s="17" t="str">
        <f>IFERROR(VLOOKUP(A1794,已除帳印單!B:C,2,0),"")</f>
        <v/>
      </c>
      <c r="T1794" s="68" t="e">
        <f t="shared" si="170"/>
        <v>#VALUE!</v>
      </c>
      <c r="U1794" s="69">
        <f t="shared" si="171"/>
        <v>0</v>
      </c>
      <c r="V1794" s="68" t="str">
        <f>IFERROR(VLOOKUP(A1794,已除帳印單!B:D,3,0),"")</f>
        <v/>
      </c>
      <c r="W1794" s="69" t="str">
        <f>IFERROR(VLOOKUP(A1794,已除帳印單!B:E,4,0),"")</f>
        <v/>
      </c>
      <c r="X1794" s="68" t="str">
        <f>IFERROR(INDEX(刷條碼區!A:C,MATCH(點上線資訊!S1794,刷條碼區!C:C,0),1),"")</f>
        <v/>
      </c>
      <c r="Y1794" s="69" t="str">
        <f>IFERROR(INDEX(刷條碼區!A:C,MATCH(點上線資訊!S1794,刷條碼區!C:C,0),2),"")</f>
        <v/>
      </c>
      <c r="Z1794" s="70" t="str">
        <f>IFERROR(INDEX(刷條碼區!D:G,MATCH(點上線資訊!S1794,刷條碼區!F:F,0),1),"")</f>
        <v/>
      </c>
      <c r="AA1794" s="71" t="str">
        <f>IFERROR(INDEX(刷條碼區!D:G,MATCH(點上線資訊!S1794,刷條碼區!F:F,0),2),"")</f>
        <v/>
      </c>
      <c r="AB1794" s="20">
        <f t="shared" si="172"/>
        <v>0</v>
      </c>
      <c r="AC1794" s="20" t="b">
        <f t="shared" si="173"/>
        <v>0</v>
      </c>
      <c r="AD1794" s="17" t="b">
        <f t="shared" si="174"/>
        <v>0</v>
      </c>
      <c r="AE1794" s="17" t="b">
        <f t="shared" si="175"/>
        <v>0</v>
      </c>
    </row>
    <row r="1795" spans="17:31" x14ac:dyDescent="0.2">
      <c r="Q1795" s="17">
        <f>IFERROR(VLOOKUP(A1795,已除帳印單!B:C,1,0),0)*1</f>
        <v>0</v>
      </c>
      <c r="R1795" s="67" t="str">
        <f>IFERROR(VLOOKUP(J1795,線別!A:B,2,1),"")</f>
        <v/>
      </c>
      <c r="S1795" s="17" t="str">
        <f>IFERROR(VLOOKUP(A1795,已除帳印單!B:C,2,0),"")</f>
        <v/>
      </c>
      <c r="T1795" s="68" t="e">
        <f t="shared" si="170"/>
        <v>#VALUE!</v>
      </c>
      <c r="U1795" s="69">
        <f t="shared" si="171"/>
        <v>0</v>
      </c>
      <c r="V1795" s="68" t="str">
        <f>IFERROR(VLOOKUP(A1795,已除帳印單!B:D,3,0),"")</f>
        <v/>
      </c>
      <c r="W1795" s="69" t="str">
        <f>IFERROR(VLOOKUP(A1795,已除帳印單!B:E,4,0),"")</f>
        <v/>
      </c>
      <c r="X1795" s="68" t="str">
        <f>IFERROR(INDEX(刷條碼區!A:C,MATCH(點上線資訊!S1795,刷條碼區!C:C,0),1),"")</f>
        <v/>
      </c>
      <c r="Y1795" s="69" t="str">
        <f>IFERROR(INDEX(刷條碼區!A:C,MATCH(點上線資訊!S1795,刷條碼區!C:C,0),2),"")</f>
        <v/>
      </c>
      <c r="Z1795" s="70" t="str">
        <f>IFERROR(INDEX(刷條碼區!D:G,MATCH(點上線資訊!S1795,刷條碼區!F:F,0),1),"")</f>
        <v/>
      </c>
      <c r="AA1795" s="71" t="str">
        <f>IFERROR(INDEX(刷條碼區!D:G,MATCH(點上線資訊!S1795,刷條碼區!F:F,0),2),"")</f>
        <v/>
      </c>
      <c r="AB1795" s="20">
        <f t="shared" si="172"/>
        <v>0</v>
      </c>
      <c r="AC1795" s="20" t="b">
        <f t="shared" si="173"/>
        <v>0</v>
      </c>
      <c r="AD1795" s="17" t="b">
        <f t="shared" si="174"/>
        <v>0</v>
      </c>
      <c r="AE1795" s="17" t="b">
        <f t="shared" si="175"/>
        <v>0</v>
      </c>
    </row>
    <row r="1796" spans="17:31" x14ac:dyDescent="0.2">
      <c r="Q1796" s="17">
        <f>IFERROR(VLOOKUP(A1796,已除帳印單!B:C,1,0),0)*1</f>
        <v>0</v>
      </c>
      <c r="R1796" s="67" t="str">
        <f>IFERROR(VLOOKUP(J1796,線別!A:B,2,1),"")</f>
        <v/>
      </c>
      <c r="S1796" s="17" t="str">
        <f>IFERROR(VLOOKUP(A1796,已除帳印單!B:C,2,0),"")</f>
        <v/>
      </c>
      <c r="T1796" s="68" t="e">
        <f t="shared" si="170"/>
        <v>#VALUE!</v>
      </c>
      <c r="U1796" s="69">
        <f t="shared" si="171"/>
        <v>0</v>
      </c>
      <c r="V1796" s="68" t="str">
        <f>IFERROR(VLOOKUP(A1796,已除帳印單!B:D,3,0),"")</f>
        <v/>
      </c>
      <c r="W1796" s="69" t="str">
        <f>IFERROR(VLOOKUP(A1796,已除帳印單!B:E,4,0),"")</f>
        <v/>
      </c>
      <c r="X1796" s="68" t="str">
        <f>IFERROR(INDEX(刷條碼區!A:C,MATCH(點上線資訊!S1796,刷條碼區!C:C,0),1),"")</f>
        <v/>
      </c>
      <c r="Y1796" s="69" t="str">
        <f>IFERROR(INDEX(刷條碼區!A:C,MATCH(點上線資訊!S1796,刷條碼區!C:C,0),2),"")</f>
        <v/>
      </c>
      <c r="Z1796" s="70" t="str">
        <f>IFERROR(INDEX(刷條碼區!D:G,MATCH(點上線資訊!S1796,刷條碼區!F:F,0),1),"")</f>
        <v/>
      </c>
      <c r="AA1796" s="71" t="str">
        <f>IFERROR(INDEX(刷條碼區!D:G,MATCH(點上線資訊!S1796,刷條碼區!F:F,0),2),"")</f>
        <v/>
      </c>
      <c r="AB1796" s="20">
        <f t="shared" si="172"/>
        <v>0</v>
      </c>
      <c r="AC1796" s="20" t="b">
        <f t="shared" si="173"/>
        <v>0</v>
      </c>
      <c r="AD1796" s="17" t="b">
        <f t="shared" si="174"/>
        <v>0</v>
      </c>
      <c r="AE1796" s="17" t="b">
        <f t="shared" si="175"/>
        <v>0</v>
      </c>
    </row>
    <row r="1797" spans="17:31" x14ac:dyDescent="0.2">
      <c r="Q1797" s="17">
        <f>IFERROR(VLOOKUP(A1797,已除帳印單!B:C,1,0),0)*1</f>
        <v>0</v>
      </c>
      <c r="R1797" s="67" t="str">
        <f>IFERROR(VLOOKUP(J1797,線別!A:B,2,1),"")</f>
        <v/>
      </c>
      <c r="S1797" s="17" t="str">
        <f>IFERROR(VLOOKUP(A1797,已除帳印單!B:C,2,0),"")</f>
        <v/>
      </c>
      <c r="T1797" s="68" t="e">
        <f t="shared" si="170"/>
        <v>#VALUE!</v>
      </c>
      <c r="U1797" s="69">
        <f t="shared" si="171"/>
        <v>0</v>
      </c>
      <c r="V1797" s="68" t="str">
        <f>IFERROR(VLOOKUP(A1797,已除帳印單!B:D,3,0),"")</f>
        <v/>
      </c>
      <c r="W1797" s="69" t="str">
        <f>IFERROR(VLOOKUP(A1797,已除帳印單!B:E,4,0),"")</f>
        <v/>
      </c>
      <c r="X1797" s="68" t="str">
        <f>IFERROR(INDEX(刷條碼區!A:C,MATCH(點上線資訊!S1797,刷條碼區!C:C,0),1),"")</f>
        <v/>
      </c>
      <c r="Y1797" s="69" t="str">
        <f>IFERROR(INDEX(刷條碼區!A:C,MATCH(點上線資訊!S1797,刷條碼區!C:C,0),2),"")</f>
        <v/>
      </c>
      <c r="Z1797" s="70" t="str">
        <f>IFERROR(INDEX(刷條碼區!D:G,MATCH(點上線資訊!S1797,刷條碼區!F:F,0),1),"")</f>
        <v/>
      </c>
      <c r="AA1797" s="71" t="str">
        <f>IFERROR(INDEX(刷條碼區!D:G,MATCH(點上線資訊!S1797,刷條碼區!F:F,0),2),"")</f>
        <v/>
      </c>
      <c r="AB1797" s="20">
        <f t="shared" si="172"/>
        <v>0</v>
      </c>
      <c r="AC1797" s="20" t="b">
        <f t="shared" si="173"/>
        <v>0</v>
      </c>
      <c r="AD1797" s="17" t="b">
        <f t="shared" si="174"/>
        <v>0</v>
      </c>
      <c r="AE1797" s="17" t="b">
        <f t="shared" si="175"/>
        <v>0</v>
      </c>
    </row>
    <row r="1798" spans="17:31" x14ac:dyDescent="0.2">
      <c r="Q1798" s="17">
        <f>IFERROR(VLOOKUP(A1798,已除帳印單!B:C,1,0),0)*1</f>
        <v>0</v>
      </c>
      <c r="R1798" s="67" t="str">
        <f>IFERROR(VLOOKUP(J1798,線別!A:B,2,1),"")</f>
        <v/>
      </c>
      <c r="S1798" s="17" t="str">
        <f>IFERROR(VLOOKUP(A1798,已除帳印單!B:C,2,0),"")</f>
        <v/>
      </c>
      <c r="T1798" s="68" t="e">
        <f t="shared" si="170"/>
        <v>#VALUE!</v>
      </c>
      <c r="U1798" s="69">
        <f t="shared" si="171"/>
        <v>0</v>
      </c>
      <c r="V1798" s="68" t="str">
        <f>IFERROR(VLOOKUP(A1798,已除帳印單!B:D,3,0),"")</f>
        <v/>
      </c>
      <c r="W1798" s="69" t="str">
        <f>IFERROR(VLOOKUP(A1798,已除帳印單!B:E,4,0),"")</f>
        <v/>
      </c>
      <c r="X1798" s="68" t="str">
        <f>IFERROR(INDEX(刷條碼區!A:C,MATCH(點上線資訊!S1798,刷條碼區!C:C,0),1),"")</f>
        <v/>
      </c>
      <c r="Y1798" s="69" t="str">
        <f>IFERROR(INDEX(刷條碼區!A:C,MATCH(點上線資訊!S1798,刷條碼區!C:C,0),2),"")</f>
        <v/>
      </c>
      <c r="Z1798" s="70" t="str">
        <f>IFERROR(INDEX(刷條碼區!D:G,MATCH(點上線資訊!S1798,刷條碼區!F:F,0),1),"")</f>
        <v/>
      </c>
      <c r="AA1798" s="71" t="str">
        <f>IFERROR(INDEX(刷條碼區!D:G,MATCH(點上線資訊!S1798,刷條碼區!F:F,0),2),"")</f>
        <v/>
      </c>
      <c r="AB1798" s="20">
        <f t="shared" si="172"/>
        <v>0</v>
      </c>
      <c r="AC1798" s="20" t="b">
        <f t="shared" si="173"/>
        <v>0</v>
      </c>
      <c r="AD1798" s="17" t="b">
        <f t="shared" si="174"/>
        <v>0</v>
      </c>
      <c r="AE1798" s="17" t="b">
        <f t="shared" si="175"/>
        <v>0</v>
      </c>
    </row>
    <row r="1799" spans="17:31" x14ac:dyDescent="0.2">
      <c r="Q1799" s="17">
        <f>IFERROR(VLOOKUP(A1799,已除帳印單!B:C,1,0),0)*1</f>
        <v>0</v>
      </c>
      <c r="R1799" s="67" t="str">
        <f>IFERROR(VLOOKUP(J1799,線別!A:B,2,1),"")</f>
        <v/>
      </c>
      <c r="S1799" s="17" t="str">
        <f>IFERROR(VLOOKUP(A1799,已除帳印單!B:C,2,0),"")</f>
        <v/>
      </c>
      <c r="T1799" s="68" t="e">
        <f t="shared" si="170"/>
        <v>#VALUE!</v>
      </c>
      <c r="U1799" s="69">
        <f t="shared" si="171"/>
        <v>0</v>
      </c>
      <c r="V1799" s="68" t="str">
        <f>IFERROR(VLOOKUP(A1799,已除帳印單!B:D,3,0),"")</f>
        <v/>
      </c>
      <c r="W1799" s="69" t="str">
        <f>IFERROR(VLOOKUP(A1799,已除帳印單!B:E,4,0),"")</f>
        <v/>
      </c>
      <c r="X1799" s="68" t="str">
        <f>IFERROR(INDEX(刷條碼區!A:C,MATCH(點上線資訊!S1799,刷條碼區!C:C,0),1),"")</f>
        <v/>
      </c>
      <c r="Y1799" s="69" t="str">
        <f>IFERROR(INDEX(刷條碼區!A:C,MATCH(點上線資訊!S1799,刷條碼區!C:C,0),2),"")</f>
        <v/>
      </c>
      <c r="Z1799" s="70" t="str">
        <f>IFERROR(INDEX(刷條碼區!D:G,MATCH(點上線資訊!S1799,刷條碼區!F:F,0),1),"")</f>
        <v/>
      </c>
      <c r="AA1799" s="71" t="str">
        <f>IFERROR(INDEX(刷條碼區!D:G,MATCH(點上線資訊!S1799,刷條碼區!F:F,0),2),"")</f>
        <v/>
      </c>
      <c r="AB1799" s="20">
        <f t="shared" si="172"/>
        <v>0</v>
      </c>
      <c r="AC1799" s="20" t="b">
        <f t="shared" si="173"/>
        <v>0</v>
      </c>
      <c r="AD1799" s="17" t="b">
        <f t="shared" si="174"/>
        <v>0</v>
      </c>
      <c r="AE1799" s="17" t="b">
        <f t="shared" si="175"/>
        <v>0</v>
      </c>
    </row>
    <row r="1800" spans="17:31" x14ac:dyDescent="0.2">
      <c r="Q1800" s="17">
        <f>IFERROR(VLOOKUP(A1800,已除帳印單!B:C,1,0),0)*1</f>
        <v>0</v>
      </c>
      <c r="R1800" s="67" t="str">
        <f>IFERROR(VLOOKUP(J1800,線別!A:B,2,1),"")</f>
        <v/>
      </c>
      <c r="S1800" s="17" t="str">
        <f>IFERROR(VLOOKUP(A1800,已除帳印單!B:C,2,0),"")</f>
        <v/>
      </c>
      <c r="T1800" s="68" t="e">
        <f t="shared" si="170"/>
        <v>#VALUE!</v>
      </c>
      <c r="U1800" s="69">
        <f t="shared" si="171"/>
        <v>0</v>
      </c>
      <c r="V1800" s="68" t="str">
        <f>IFERROR(VLOOKUP(A1800,已除帳印單!B:D,3,0),"")</f>
        <v/>
      </c>
      <c r="W1800" s="69" t="str">
        <f>IFERROR(VLOOKUP(A1800,已除帳印單!B:E,4,0),"")</f>
        <v/>
      </c>
      <c r="X1800" s="68" t="str">
        <f>IFERROR(INDEX(刷條碼區!A:C,MATCH(點上線資訊!S1800,刷條碼區!C:C,0),1),"")</f>
        <v/>
      </c>
      <c r="Y1800" s="69" t="str">
        <f>IFERROR(INDEX(刷條碼區!A:C,MATCH(點上線資訊!S1800,刷條碼區!C:C,0),2),"")</f>
        <v/>
      </c>
      <c r="Z1800" s="70" t="str">
        <f>IFERROR(INDEX(刷條碼區!D:G,MATCH(點上線資訊!S1800,刷條碼區!F:F,0),1),"")</f>
        <v/>
      </c>
      <c r="AA1800" s="71" t="str">
        <f>IFERROR(INDEX(刷條碼區!D:G,MATCH(點上線資訊!S1800,刷條碼區!F:F,0),2),"")</f>
        <v/>
      </c>
      <c r="AB1800" s="20">
        <f t="shared" si="172"/>
        <v>0</v>
      </c>
      <c r="AC1800" s="20" t="b">
        <f t="shared" si="173"/>
        <v>0</v>
      </c>
      <c r="AD1800" s="17" t="b">
        <f t="shared" si="174"/>
        <v>0</v>
      </c>
      <c r="AE1800" s="17" t="b">
        <f t="shared" si="175"/>
        <v>0</v>
      </c>
    </row>
    <row r="1801" spans="17:31" x14ac:dyDescent="0.2">
      <c r="Q1801" s="17">
        <f>IFERROR(VLOOKUP(A1801,已除帳印單!B:C,1,0),0)*1</f>
        <v>0</v>
      </c>
      <c r="R1801" s="67" t="str">
        <f>IFERROR(VLOOKUP(J1801,線別!A:B,2,1),"")</f>
        <v/>
      </c>
      <c r="S1801" s="17" t="str">
        <f>IFERROR(VLOOKUP(A1801,已除帳印單!B:C,2,0),"")</f>
        <v/>
      </c>
      <c r="T1801" s="68" t="e">
        <f t="shared" si="170"/>
        <v>#VALUE!</v>
      </c>
      <c r="U1801" s="69">
        <f t="shared" si="171"/>
        <v>0</v>
      </c>
      <c r="V1801" s="68" t="str">
        <f>IFERROR(VLOOKUP(A1801,已除帳印單!B:D,3,0),"")</f>
        <v/>
      </c>
      <c r="W1801" s="69" t="str">
        <f>IFERROR(VLOOKUP(A1801,已除帳印單!B:E,4,0),"")</f>
        <v/>
      </c>
      <c r="X1801" s="68" t="str">
        <f>IFERROR(INDEX(刷條碼區!A:C,MATCH(點上線資訊!S1801,刷條碼區!C:C,0),1),"")</f>
        <v/>
      </c>
      <c r="Y1801" s="69" t="str">
        <f>IFERROR(INDEX(刷條碼區!A:C,MATCH(點上線資訊!S1801,刷條碼區!C:C,0),2),"")</f>
        <v/>
      </c>
      <c r="Z1801" s="70" t="str">
        <f>IFERROR(INDEX(刷條碼區!D:G,MATCH(點上線資訊!S1801,刷條碼區!F:F,0),1),"")</f>
        <v/>
      </c>
      <c r="AA1801" s="71" t="str">
        <f>IFERROR(INDEX(刷條碼區!D:G,MATCH(點上線資訊!S1801,刷條碼區!F:F,0),2),"")</f>
        <v/>
      </c>
      <c r="AB1801" s="20">
        <f t="shared" si="172"/>
        <v>0</v>
      </c>
      <c r="AC1801" s="20" t="b">
        <f t="shared" si="173"/>
        <v>0</v>
      </c>
      <c r="AD1801" s="17" t="b">
        <f t="shared" si="174"/>
        <v>0</v>
      </c>
      <c r="AE1801" s="17" t="b">
        <f t="shared" si="175"/>
        <v>0</v>
      </c>
    </row>
    <row r="1802" spans="17:31" x14ac:dyDescent="0.2">
      <c r="Q1802" s="17">
        <f>IFERROR(VLOOKUP(A1802,已除帳印單!B:C,1,0),0)*1</f>
        <v>0</v>
      </c>
      <c r="R1802" s="67" t="str">
        <f>IFERROR(VLOOKUP(J1802,線別!A:B,2,1),"")</f>
        <v/>
      </c>
      <c r="S1802" s="17" t="str">
        <f>IFERROR(VLOOKUP(A1802,已除帳印單!B:C,2,0),"")</f>
        <v/>
      </c>
      <c r="T1802" s="68" t="e">
        <f t="shared" si="170"/>
        <v>#VALUE!</v>
      </c>
      <c r="U1802" s="69">
        <f t="shared" si="171"/>
        <v>0</v>
      </c>
      <c r="V1802" s="68" t="str">
        <f>IFERROR(VLOOKUP(A1802,已除帳印單!B:D,3,0),"")</f>
        <v/>
      </c>
      <c r="W1802" s="69" t="str">
        <f>IFERROR(VLOOKUP(A1802,已除帳印單!B:E,4,0),"")</f>
        <v/>
      </c>
      <c r="X1802" s="68" t="str">
        <f>IFERROR(INDEX(刷條碼區!A:C,MATCH(點上線資訊!S1802,刷條碼區!C:C,0),1),"")</f>
        <v/>
      </c>
      <c r="Y1802" s="69" t="str">
        <f>IFERROR(INDEX(刷條碼區!A:C,MATCH(點上線資訊!S1802,刷條碼區!C:C,0),2),"")</f>
        <v/>
      </c>
      <c r="Z1802" s="70" t="str">
        <f>IFERROR(INDEX(刷條碼區!D:G,MATCH(點上線資訊!S1802,刷條碼區!F:F,0),1),"")</f>
        <v/>
      </c>
      <c r="AA1802" s="71" t="str">
        <f>IFERROR(INDEX(刷條碼區!D:G,MATCH(點上線資訊!S1802,刷條碼區!F:F,0),2),"")</f>
        <v/>
      </c>
      <c r="AB1802" s="20">
        <f t="shared" si="172"/>
        <v>0</v>
      </c>
      <c r="AC1802" s="20" t="b">
        <f t="shared" si="173"/>
        <v>0</v>
      </c>
      <c r="AD1802" s="17" t="b">
        <f t="shared" si="174"/>
        <v>0</v>
      </c>
      <c r="AE1802" s="17" t="b">
        <f t="shared" si="175"/>
        <v>0</v>
      </c>
    </row>
  </sheetData>
  <sortState ref="A2:L275">
    <sortCondition ref="B19"/>
  </sortState>
  <customSheetViews>
    <customSheetView guid="{5DA7D1EB-F14D-48FB-BC54-1DED3BFC27CF}" scale="85" topLeftCell="G1">
      <selection activeCell="AG29" sqref="AG29"/>
      <pageMargins left="0.75" right="0.75" top="1" bottom="1" header="0.5" footer="0.5"/>
      <pageSetup paperSize="9" orientation="portrait" r:id="rId1"/>
      <headerFooter alignWithMargins="0"/>
    </customSheetView>
    <customSheetView guid="{0BB82081-F5AA-4C00-AB7E-4917EF9D865E}" scale="85" topLeftCell="G1">
      <selection activeCell="AG6" sqref="AG6"/>
      <pageMargins left="0.75" right="0.75" top="1" bottom="1" header="0.5" footer="0.5"/>
      <pageSetup paperSize="9" orientation="portrait" r:id="rId2"/>
      <headerFooter alignWithMargins="0"/>
    </customSheetView>
  </customSheetViews>
  <phoneticPr fontId="0" type="noConversion"/>
  <pageMargins left="0.75" right="0.75" top="1" bottom="1" header="0.5" footer="0.5"/>
  <pageSetup paperSize="9" orientation="portrait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3"/>
  <sheetViews>
    <sheetView workbookViewId="0">
      <selection activeCell="A28" sqref="A28:A43"/>
    </sheetView>
  </sheetViews>
  <sheetFormatPr defaultRowHeight="12.75" x14ac:dyDescent="0.2"/>
  <cols>
    <col min="1" max="1" width="7.140625" style="3" bestFit="1" customWidth="1"/>
    <col min="2" max="2" width="23.140625" style="3" bestFit="1" customWidth="1"/>
  </cols>
  <sheetData>
    <row r="1" spans="1:2" ht="14.25" x14ac:dyDescent="0.2">
      <c r="A1" s="5" t="s">
        <v>228</v>
      </c>
      <c r="B1" s="5" t="s">
        <v>227</v>
      </c>
    </row>
    <row r="2" spans="1:2" x14ac:dyDescent="0.2">
      <c r="A2" s="4" t="s">
        <v>226</v>
      </c>
      <c r="B2" s="4" t="s">
        <v>225</v>
      </c>
    </row>
    <row r="3" spans="1:2" x14ac:dyDescent="0.2">
      <c r="A3" s="4" t="s">
        <v>224</v>
      </c>
      <c r="B3" s="4" t="s">
        <v>223</v>
      </c>
    </row>
    <row r="4" spans="1:2" x14ac:dyDescent="0.2">
      <c r="A4" s="4" t="s">
        <v>222</v>
      </c>
      <c r="B4" s="4" t="s">
        <v>221</v>
      </c>
    </row>
    <row r="5" spans="1:2" x14ac:dyDescent="0.2">
      <c r="A5" s="4" t="s">
        <v>220</v>
      </c>
      <c r="B5" s="4" t="s">
        <v>219</v>
      </c>
    </row>
    <row r="6" spans="1:2" x14ac:dyDescent="0.2">
      <c r="A6" s="4" t="s">
        <v>218</v>
      </c>
      <c r="B6" s="4" t="s">
        <v>217</v>
      </c>
    </row>
    <row r="7" spans="1:2" x14ac:dyDescent="0.2">
      <c r="A7" s="4" t="s">
        <v>216</v>
      </c>
      <c r="B7" s="4" t="s">
        <v>215</v>
      </c>
    </row>
    <row r="8" spans="1:2" x14ac:dyDescent="0.2">
      <c r="A8" s="4" t="s">
        <v>214</v>
      </c>
      <c r="B8" s="4" t="s">
        <v>213</v>
      </c>
    </row>
    <row r="9" spans="1:2" x14ac:dyDescent="0.2">
      <c r="A9" s="4" t="s">
        <v>212</v>
      </c>
      <c r="B9" s="4" t="s">
        <v>211</v>
      </c>
    </row>
    <row r="10" spans="1:2" x14ac:dyDescent="0.2">
      <c r="A10" s="4" t="s">
        <v>210</v>
      </c>
      <c r="B10" s="4" t="s">
        <v>209</v>
      </c>
    </row>
    <row r="11" spans="1:2" x14ac:dyDescent="0.2">
      <c r="A11" s="4" t="s">
        <v>208</v>
      </c>
      <c r="B11" s="4" t="s">
        <v>207</v>
      </c>
    </row>
    <row r="12" spans="1:2" x14ac:dyDescent="0.2">
      <c r="A12" s="4" t="s">
        <v>206</v>
      </c>
      <c r="B12" s="4" t="s">
        <v>205</v>
      </c>
    </row>
    <row r="13" spans="1:2" x14ac:dyDescent="0.2">
      <c r="A13" s="4" t="s">
        <v>204</v>
      </c>
      <c r="B13" s="4" t="s">
        <v>203</v>
      </c>
    </row>
    <row r="14" spans="1:2" x14ac:dyDescent="0.2">
      <c r="A14" s="4" t="s">
        <v>202</v>
      </c>
      <c r="B14" s="4" t="s">
        <v>201</v>
      </c>
    </row>
    <row r="15" spans="1:2" x14ac:dyDescent="0.2">
      <c r="A15" s="4" t="s">
        <v>200</v>
      </c>
      <c r="B15" s="4" t="s">
        <v>199</v>
      </c>
    </row>
    <row r="16" spans="1:2" x14ac:dyDescent="0.2">
      <c r="A16" s="4" t="s">
        <v>198</v>
      </c>
      <c r="B16" s="4" t="s">
        <v>197</v>
      </c>
    </row>
    <row r="17" spans="1:2" x14ac:dyDescent="0.2">
      <c r="A17" s="4" t="s">
        <v>196</v>
      </c>
      <c r="B17" s="4" t="s">
        <v>195</v>
      </c>
    </row>
    <row r="18" spans="1:2" x14ac:dyDescent="0.2">
      <c r="A18" s="4" t="s">
        <v>194</v>
      </c>
      <c r="B18" s="4" t="s">
        <v>193</v>
      </c>
    </row>
    <row r="19" spans="1:2" x14ac:dyDescent="0.2">
      <c r="A19" s="4" t="s">
        <v>192</v>
      </c>
      <c r="B19" s="4" t="s">
        <v>191</v>
      </c>
    </row>
    <row r="20" spans="1:2" x14ac:dyDescent="0.2">
      <c r="A20" s="4" t="s">
        <v>190</v>
      </c>
      <c r="B20" s="4" t="s">
        <v>189</v>
      </c>
    </row>
    <row r="21" spans="1:2" x14ac:dyDescent="0.2">
      <c r="A21" s="4" t="s">
        <v>188</v>
      </c>
      <c r="B21" s="4" t="s">
        <v>187</v>
      </c>
    </row>
    <row r="22" spans="1:2" x14ac:dyDescent="0.2">
      <c r="A22" s="4" t="s">
        <v>186</v>
      </c>
      <c r="B22" s="4" t="s">
        <v>185</v>
      </c>
    </row>
    <row r="23" spans="1:2" x14ac:dyDescent="0.2">
      <c r="A23" s="4" t="s">
        <v>184</v>
      </c>
      <c r="B23" s="4" t="s">
        <v>183</v>
      </c>
    </row>
    <row r="24" spans="1:2" x14ac:dyDescent="0.2">
      <c r="A24" s="4" t="s">
        <v>182</v>
      </c>
      <c r="B24" s="4" t="s">
        <v>181</v>
      </c>
    </row>
    <row r="25" spans="1:2" x14ac:dyDescent="0.2">
      <c r="A25" s="4" t="s">
        <v>180</v>
      </c>
      <c r="B25" s="4" t="s">
        <v>179</v>
      </c>
    </row>
    <row r="26" spans="1:2" x14ac:dyDescent="0.2">
      <c r="A26" s="4" t="s">
        <v>178</v>
      </c>
      <c r="B26" s="4" t="s">
        <v>177</v>
      </c>
    </row>
    <row r="27" spans="1:2" x14ac:dyDescent="0.2">
      <c r="A27" s="4" t="s">
        <v>176</v>
      </c>
      <c r="B27" s="4" t="s">
        <v>175</v>
      </c>
    </row>
    <row r="28" spans="1:2" x14ac:dyDescent="0.2">
      <c r="A28" s="4" t="s">
        <v>174</v>
      </c>
      <c r="B28" s="4" t="s">
        <v>173</v>
      </c>
    </row>
    <row r="29" spans="1:2" x14ac:dyDescent="0.2">
      <c r="A29" s="4" t="s">
        <v>172</v>
      </c>
      <c r="B29" s="4" t="s">
        <v>171</v>
      </c>
    </row>
    <row r="30" spans="1:2" x14ac:dyDescent="0.2">
      <c r="A30" s="4" t="s">
        <v>170</v>
      </c>
      <c r="B30" s="4" t="s">
        <v>169</v>
      </c>
    </row>
    <row r="31" spans="1:2" x14ac:dyDescent="0.2">
      <c r="A31" s="4" t="s">
        <v>168</v>
      </c>
      <c r="B31" s="4" t="s">
        <v>167</v>
      </c>
    </row>
    <row r="32" spans="1:2" x14ac:dyDescent="0.2">
      <c r="A32" s="6" t="s">
        <v>230</v>
      </c>
      <c r="B32" s="4" t="s">
        <v>166</v>
      </c>
    </row>
    <row r="33" spans="1:2" x14ac:dyDescent="0.2">
      <c r="A33" s="4" t="s">
        <v>165</v>
      </c>
      <c r="B33" s="4" t="s">
        <v>164</v>
      </c>
    </row>
    <row r="34" spans="1:2" x14ac:dyDescent="0.2">
      <c r="A34" s="4" t="s">
        <v>163</v>
      </c>
      <c r="B34" s="4" t="s">
        <v>162</v>
      </c>
    </row>
    <row r="35" spans="1:2" x14ac:dyDescent="0.2">
      <c r="A35" s="4" t="s">
        <v>161</v>
      </c>
      <c r="B35" s="4" t="s">
        <v>160</v>
      </c>
    </row>
    <row r="36" spans="1:2" x14ac:dyDescent="0.2">
      <c r="A36" s="4" t="s">
        <v>159</v>
      </c>
      <c r="B36" s="4" t="s">
        <v>158</v>
      </c>
    </row>
    <row r="37" spans="1:2" x14ac:dyDescent="0.2">
      <c r="A37" s="4" t="s">
        <v>157</v>
      </c>
      <c r="B37" s="4" t="s">
        <v>156</v>
      </c>
    </row>
    <row r="38" spans="1:2" x14ac:dyDescent="0.2">
      <c r="A38" s="4" t="s">
        <v>155</v>
      </c>
      <c r="B38" s="4" t="s">
        <v>154</v>
      </c>
    </row>
    <row r="39" spans="1:2" x14ac:dyDescent="0.2">
      <c r="A39" s="4" t="s">
        <v>153</v>
      </c>
      <c r="B39" s="4" t="s">
        <v>152</v>
      </c>
    </row>
    <row r="40" spans="1:2" x14ac:dyDescent="0.2">
      <c r="A40" s="4" t="s">
        <v>151</v>
      </c>
      <c r="B40" s="4" t="s">
        <v>150</v>
      </c>
    </row>
    <row r="41" spans="1:2" x14ac:dyDescent="0.2">
      <c r="A41" s="4" t="s">
        <v>149</v>
      </c>
      <c r="B41" s="4" t="s">
        <v>148</v>
      </c>
    </row>
    <row r="42" spans="1:2" x14ac:dyDescent="0.2">
      <c r="A42" s="4" t="s">
        <v>147</v>
      </c>
      <c r="B42" s="4" t="s">
        <v>146</v>
      </c>
    </row>
    <row r="43" spans="1:2" x14ac:dyDescent="0.2">
      <c r="A43" s="4" t="s">
        <v>145</v>
      </c>
      <c r="B43" s="4" t="s">
        <v>144</v>
      </c>
    </row>
  </sheetData>
  <customSheetViews>
    <customSheetView guid="{5DA7D1EB-F14D-48FB-BC54-1DED3BFC27CF}" state="hidden">
      <selection activeCell="A28" sqref="A28:A43"/>
      <pageMargins left="0.7" right="0.7" top="0.75" bottom="0.75" header="0.3" footer="0.3"/>
    </customSheetView>
    <customSheetView guid="{0BB82081-F5AA-4C00-AB7E-4917EF9D865E}" state="hidden">
      <selection activeCell="A28" sqref="A28:A4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U1125"/>
  <sheetViews>
    <sheetView topLeftCell="A41" workbookViewId="0">
      <selection activeCell="I60" sqref="I60"/>
    </sheetView>
  </sheetViews>
  <sheetFormatPr defaultRowHeight="12.75" x14ac:dyDescent="0.2"/>
  <cols>
    <col min="1" max="1" width="11.85546875" style="49" bestFit="1" customWidth="1"/>
    <col min="2" max="2" width="13" bestFit="1" customWidth="1"/>
    <col min="3" max="3" width="6" bestFit="1" customWidth="1"/>
    <col min="4" max="4" width="18" bestFit="1" customWidth="1"/>
    <col min="5" max="5" width="6" bestFit="1" customWidth="1"/>
    <col min="6" max="6" width="7" bestFit="1" customWidth="1"/>
    <col min="7" max="7" width="8" bestFit="1" customWidth="1"/>
    <col min="8" max="8" width="12" bestFit="1" customWidth="1"/>
    <col min="9" max="9" width="15" bestFit="1" customWidth="1"/>
    <col min="10" max="11" width="13" bestFit="1" customWidth="1"/>
    <col min="12" max="12" width="6" bestFit="1" customWidth="1"/>
    <col min="13" max="13" width="11" bestFit="1" customWidth="1"/>
    <col min="14" max="14" width="12" bestFit="1" customWidth="1"/>
    <col min="15" max="16" width="5" bestFit="1" customWidth="1"/>
    <col min="17" max="17" width="6" bestFit="1" customWidth="1"/>
    <col min="18" max="18" width="8" bestFit="1" customWidth="1"/>
    <col min="19" max="19" width="6" bestFit="1" customWidth="1"/>
    <col min="20" max="20" width="8" bestFit="1" customWidth="1"/>
    <col min="21" max="21" width="9" bestFit="1" customWidth="1"/>
  </cols>
  <sheetData>
    <row r="1" spans="1:21" ht="14.25" x14ac:dyDescent="0.2">
      <c r="A1" s="50" t="s">
        <v>1530</v>
      </c>
      <c r="B1" s="1" t="s">
        <v>1370</v>
      </c>
      <c r="C1" s="1" t="s">
        <v>1371</v>
      </c>
      <c r="D1" s="1" t="s">
        <v>1372</v>
      </c>
      <c r="E1" s="1" t="s">
        <v>1373</v>
      </c>
      <c r="F1" s="1" t="s">
        <v>1374</v>
      </c>
      <c r="G1" s="1" t="s">
        <v>1375</v>
      </c>
      <c r="H1" s="1" t="s">
        <v>138</v>
      </c>
      <c r="I1" s="1" t="s">
        <v>143</v>
      </c>
      <c r="J1" s="1" t="s">
        <v>238</v>
      </c>
      <c r="K1" s="1" t="s">
        <v>239</v>
      </c>
      <c r="L1" s="1" t="s">
        <v>140</v>
      </c>
      <c r="M1" s="1" t="s">
        <v>1376</v>
      </c>
      <c r="N1" s="1" t="s">
        <v>1377</v>
      </c>
      <c r="O1" s="1" t="s">
        <v>1378</v>
      </c>
      <c r="P1" s="1" t="s">
        <v>1379</v>
      </c>
      <c r="Q1" s="1" t="s">
        <v>1380</v>
      </c>
      <c r="R1" s="1" t="s">
        <v>1381</v>
      </c>
      <c r="S1" s="1" t="s">
        <v>1382</v>
      </c>
      <c r="T1" s="1" t="s">
        <v>1383</v>
      </c>
      <c r="U1" s="1" t="s">
        <v>1384</v>
      </c>
    </row>
    <row r="2" spans="1:21" x14ac:dyDescent="0.2">
      <c r="A2" s="49">
        <f t="shared" ref="A2:A65" si="0">H2*1</f>
        <v>6000029513</v>
      </c>
      <c r="B2" s="46">
        <v>43895</v>
      </c>
      <c r="C2" t="s">
        <v>1385</v>
      </c>
      <c r="D2" t="s">
        <v>1386</v>
      </c>
      <c r="E2" t="s">
        <v>1387</v>
      </c>
      <c r="F2" s="47">
        <v>-1</v>
      </c>
      <c r="G2" t="s">
        <v>1388</v>
      </c>
      <c r="H2" t="s">
        <v>1389</v>
      </c>
      <c r="I2" t="s">
        <v>1357</v>
      </c>
      <c r="J2" s="46">
        <v>43895</v>
      </c>
      <c r="K2" s="48">
        <v>0.55991898148148</v>
      </c>
      <c r="L2" t="s">
        <v>3</v>
      </c>
      <c r="M2" t="s">
        <v>1390</v>
      </c>
      <c r="N2" t="s">
        <v>1391</v>
      </c>
      <c r="O2" t="s">
        <v>602</v>
      </c>
      <c r="P2" t="s">
        <v>602</v>
      </c>
      <c r="Q2" t="s">
        <v>602</v>
      </c>
      <c r="R2" t="s">
        <v>603</v>
      </c>
      <c r="S2" t="s">
        <v>602</v>
      </c>
      <c r="T2" t="s">
        <v>602</v>
      </c>
      <c r="U2" s="47">
        <v>-69</v>
      </c>
    </row>
    <row r="3" spans="1:21" x14ac:dyDescent="0.2">
      <c r="A3" s="49">
        <f t="shared" si="0"/>
        <v>6000029325</v>
      </c>
      <c r="B3" s="46">
        <v>43895</v>
      </c>
      <c r="C3" t="s">
        <v>1385</v>
      </c>
      <c r="D3" t="s">
        <v>1392</v>
      </c>
      <c r="E3" t="s">
        <v>1393</v>
      </c>
      <c r="F3" s="47">
        <v>-25</v>
      </c>
      <c r="G3" t="s">
        <v>1388</v>
      </c>
      <c r="H3" t="s">
        <v>1394</v>
      </c>
      <c r="I3" t="s">
        <v>1353</v>
      </c>
      <c r="J3" s="46">
        <v>43895</v>
      </c>
      <c r="K3" s="48">
        <v>0.53037037037037005</v>
      </c>
      <c r="L3" t="s">
        <v>3</v>
      </c>
      <c r="M3" t="s">
        <v>1390</v>
      </c>
      <c r="N3" t="s">
        <v>1395</v>
      </c>
      <c r="O3" t="s">
        <v>602</v>
      </c>
      <c r="P3" t="s">
        <v>602</v>
      </c>
      <c r="Q3" t="s">
        <v>602</v>
      </c>
      <c r="R3" t="s">
        <v>603</v>
      </c>
      <c r="S3" t="s">
        <v>602</v>
      </c>
      <c r="T3" t="s">
        <v>602</v>
      </c>
      <c r="U3" s="47">
        <v>-840</v>
      </c>
    </row>
    <row r="4" spans="1:21" x14ac:dyDescent="0.2">
      <c r="A4" s="49">
        <f t="shared" si="0"/>
        <v>6000029354</v>
      </c>
      <c r="B4" s="46">
        <v>43895</v>
      </c>
      <c r="C4" t="s">
        <v>1385</v>
      </c>
      <c r="D4" t="s">
        <v>1392</v>
      </c>
      <c r="E4" t="s">
        <v>1396</v>
      </c>
      <c r="F4" s="47">
        <v>-6</v>
      </c>
      <c r="G4" t="s">
        <v>1388</v>
      </c>
      <c r="H4" t="s">
        <v>1397</v>
      </c>
      <c r="I4" t="s">
        <v>1354</v>
      </c>
      <c r="J4" s="46">
        <v>43895</v>
      </c>
      <c r="K4" s="48">
        <v>0.53056712962963004</v>
      </c>
      <c r="L4" t="s">
        <v>3</v>
      </c>
      <c r="M4" t="s">
        <v>1390</v>
      </c>
      <c r="N4" t="s">
        <v>1398</v>
      </c>
      <c r="O4" t="s">
        <v>602</v>
      </c>
      <c r="P4" t="s">
        <v>602</v>
      </c>
      <c r="Q4" t="s">
        <v>602</v>
      </c>
      <c r="R4" t="s">
        <v>603</v>
      </c>
      <c r="S4" t="s">
        <v>602</v>
      </c>
      <c r="T4" t="s">
        <v>602</v>
      </c>
      <c r="U4" s="47">
        <v>-202</v>
      </c>
    </row>
    <row r="5" spans="1:21" x14ac:dyDescent="0.2">
      <c r="A5" s="49">
        <f t="shared" si="0"/>
        <v>3000002108</v>
      </c>
      <c r="B5" s="46">
        <v>43895</v>
      </c>
      <c r="C5" t="s">
        <v>1385</v>
      </c>
      <c r="D5" t="s">
        <v>1392</v>
      </c>
      <c r="E5" t="s">
        <v>1393</v>
      </c>
      <c r="F5" s="47">
        <v>-1</v>
      </c>
      <c r="G5" t="s">
        <v>1388</v>
      </c>
      <c r="H5" t="s">
        <v>1399</v>
      </c>
      <c r="I5" t="s">
        <v>1339</v>
      </c>
      <c r="J5" s="46">
        <v>43895</v>
      </c>
      <c r="K5" s="48">
        <v>0.53321759259259005</v>
      </c>
      <c r="L5" t="s">
        <v>3</v>
      </c>
      <c r="M5" t="s">
        <v>1390</v>
      </c>
      <c r="N5" t="s">
        <v>1400</v>
      </c>
      <c r="O5" t="s">
        <v>602</v>
      </c>
      <c r="P5" t="s">
        <v>602</v>
      </c>
      <c r="Q5" t="s">
        <v>602</v>
      </c>
      <c r="R5" t="s">
        <v>603</v>
      </c>
      <c r="S5" t="s">
        <v>602</v>
      </c>
      <c r="T5" t="s">
        <v>602</v>
      </c>
      <c r="U5" s="47">
        <v>-34</v>
      </c>
    </row>
    <row r="6" spans="1:21" x14ac:dyDescent="0.2">
      <c r="A6" s="49">
        <f t="shared" si="0"/>
        <v>6000029163</v>
      </c>
      <c r="B6" s="46">
        <v>43895</v>
      </c>
      <c r="C6" t="s">
        <v>1385</v>
      </c>
      <c r="D6" t="s">
        <v>1392</v>
      </c>
      <c r="E6" t="s">
        <v>1393</v>
      </c>
      <c r="F6" s="47">
        <v>-20</v>
      </c>
      <c r="G6" t="s">
        <v>1388</v>
      </c>
      <c r="H6" t="s">
        <v>1401</v>
      </c>
      <c r="I6" t="s">
        <v>593</v>
      </c>
      <c r="J6" s="46">
        <v>43895</v>
      </c>
      <c r="K6" s="48">
        <v>0.37504629629629999</v>
      </c>
      <c r="L6" t="s">
        <v>3</v>
      </c>
      <c r="M6" t="s">
        <v>1390</v>
      </c>
      <c r="N6" t="s">
        <v>1402</v>
      </c>
      <c r="O6" t="s">
        <v>602</v>
      </c>
      <c r="P6" t="s">
        <v>602</v>
      </c>
      <c r="Q6" t="s">
        <v>602</v>
      </c>
      <c r="R6" t="s">
        <v>603</v>
      </c>
      <c r="S6" t="s">
        <v>602</v>
      </c>
      <c r="T6" t="s">
        <v>602</v>
      </c>
      <c r="U6" s="47">
        <v>-672</v>
      </c>
    </row>
    <row r="7" spans="1:21" x14ac:dyDescent="0.2">
      <c r="A7" s="49">
        <f t="shared" si="0"/>
        <v>6000029129</v>
      </c>
      <c r="B7" s="46">
        <v>43895</v>
      </c>
      <c r="C7" t="s">
        <v>1385</v>
      </c>
      <c r="D7" t="s">
        <v>1403</v>
      </c>
      <c r="E7" t="s">
        <v>1393</v>
      </c>
      <c r="F7" s="47">
        <v>-84</v>
      </c>
      <c r="G7" t="s">
        <v>1388</v>
      </c>
      <c r="H7" t="s">
        <v>1404</v>
      </c>
      <c r="I7" t="s">
        <v>593</v>
      </c>
      <c r="J7" s="46">
        <v>43895</v>
      </c>
      <c r="K7" s="48">
        <v>0.37503472222222001</v>
      </c>
      <c r="L7" t="s">
        <v>3</v>
      </c>
      <c r="M7" t="s">
        <v>1390</v>
      </c>
      <c r="N7" t="s">
        <v>1405</v>
      </c>
      <c r="O7" t="s">
        <v>602</v>
      </c>
      <c r="P7" t="s">
        <v>602</v>
      </c>
      <c r="Q7" t="s">
        <v>602</v>
      </c>
      <c r="R7" t="s">
        <v>603</v>
      </c>
      <c r="S7" t="s">
        <v>602</v>
      </c>
      <c r="T7" t="s">
        <v>602</v>
      </c>
      <c r="U7" s="47">
        <v>-3209</v>
      </c>
    </row>
    <row r="8" spans="1:21" x14ac:dyDescent="0.2">
      <c r="A8" s="49">
        <f t="shared" si="0"/>
        <v>6000029130</v>
      </c>
      <c r="B8" s="46">
        <v>43895</v>
      </c>
      <c r="C8" t="s">
        <v>1385</v>
      </c>
      <c r="D8" t="s">
        <v>1403</v>
      </c>
      <c r="E8" t="s">
        <v>1393</v>
      </c>
      <c r="F8" s="47">
        <v>-16</v>
      </c>
      <c r="G8" t="s">
        <v>1388</v>
      </c>
      <c r="H8" t="s">
        <v>1406</v>
      </c>
      <c r="I8" t="s">
        <v>593</v>
      </c>
      <c r="J8" s="46">
        <v>43895</v>
      </c>
      <c r="K8" s="48">
        <v>0.37503472222222001</v>
      </c>
      <c r="L8" t="s">
        <v>3</v>
      </c>
      <c r="M8" t="s">
        <v>1390</v>
      </c>
      <c r="N8" t="s">
        <v>1407</v>
      </c>
      <c r="O8" t="s">
        <v>602</v>
      </c>
      <c r="P8" t="s">
        <v>602</v>
      </c>
      <c r="Q8" t="s">
        <v>602</v>
      </c>
      <c r="R8" t="s">
        <v>603</v>
      </c>
      <c r="S8" t="s">
        <v>602</v>
      </c>
      <c r="T8" t="s">
        <v>602</v>
      </c>
      <c r="U8" s="47">
        <v>-611</v>
      </c>
    </row>
    <row r="9" spans="1:21" x14ac:dyDescent="0.2">
      <c r="A9" s="49">
        <f t="shared" si="0"/>
        <v>6000029131</v>
      </c>
      <c r="B9" s="46">
        <v>43895</v>
      </c>
      <c r="C9" t="s">
        <v>1385</v>
      </c>
      <c r="D9" t="s">
        <v>1403</v>
      </c>
      <c r="E9" t="s">
        <v>1393</v>
      </c>
      <c r="F9" s="47">
        <v>-20</v>
      </c>
      <c r="G9" t="s">
        <v>1388</v>
      </c>
      <c r="H9" t="s">
        <v>1408</v>
      </c>
      <c r="I9" t="s">
        <v>593</v>
      </c>
      <c r="J9" s="46">
        <v>43895</v>
      </c>
      <c r="K9" s="48">
        <v>0.37504629629629999</v>
      </c>
      <c r="L9" t="s">
        <v>3</v>
      </c>
      <c r="M9" t="s">
        <v>1390</v>
      </c>
      <c r="N9" t="s">
        <v>1409</v>
      </c>
      <c r="O9" t="s">
        <v>602</v>
      </c>
      <c r="P9" t="s">
        <v>602</v>
      </c>
      <c r="Q9" t="s">
        <v>602</v>
      </c>
      <c r="R9" t="s">
        <v>603</v>
      </c>
      <c r="S9" t="s">
        <v>602</v>
      </c>
      <c r="T9" t="s">
        <v>602</v>
      </c>
      <c r="U9" s="47">
        <v>-764</v>
      </c>
    </row>
    <row r="10" spans="1:21" x14ac:dyDescent="0.2">
      <c r="A10" s="49">
        <f t="shared" si="0"/>
        <v>6000029323</v>
      </c>
      <c r="B10" s="46">
        <v>43895</v>
      </c>
      <c r="C10" t="s">
        <v>1385</v>
      </c>
      <c r="D10" t="s">
        <v>1410</v>
      </c>
      <c r="E10" t="s">
        <v>1393</v>
      </c>
      <c r="F10" s="47">
        <v>-10</v>
      </c>
      <c r="G10" t="s">
        <v>1388</v>
      </c>
      <c r="H10" t="s">
        <v>1411</v>
      </c>
      <c r="I10" t="s">
        <v>1352</v>
      </c>
      <c r="J10" s="46">
        <v>43895</v>
      </c>
      <c r="K10" s="48">
        <v>0.53016203703704001</v>
      </c>
      <c r="L10" t="s">
        <v>3</v>
      </c>
      <c r="M10" t="s">
        <v>1390</v>
      </c>
      <c r="N10" t="s">
        <v>1412</v>
      </c>
      <c r="O10" t="s">
        <v>602</v>
      </c>
      <c r="P10" t="s">
        <v>602</v>
      </c>
      <c r="Q10" t="s">
        <v>602</v>
      </c>
      <c r="R10" t="s">
        <v>603</v>
      </c>
      <c r="S10" t="s">
        <v>602</v>
      </c>
      <c r="T10" t="s">
        <v>602</v>
      </c>
      <c r="U10" s="47">
        <v>-371</v>
      </c>
    </row>
    <row r="11" spans="1:21" x14ac:dyDescent="0.2">
      <c r="A11" s="49">
        <f t="shared" si="0"/>
        <v>6000029304</v>
      </c>
      <c r="B11" s="46">
        <v>43895</v>
      </c>
      <c r="C11" t="s">
        <v>1385</v>
      </c>
      <c r="D11" t="s">
        <v>1410</v>
      </c>
      <c r="E11" t="s">
        <v>1393</v>
      </c>
      <c r="F11" s="47">
        <v>-25</v>
      </c>
      <c r="G11" t="s">
        <v>1388</v>
      </c>
      <c r="H11" t="s">
        <v>1413</v>
      </c>
      <c r="I11" t="s">
        <v>594</v>
      </c>
      <c r="J11" s="46">
        <v>43895</v>
      </c>
      <c r="K11" s="48">
        <v>0.37532407407406998</v>
      </c>
      <c r="L11" t="s">
        <v>3</v>
      </c>
      <c r="M11" t="s">
        <v>1390</v>
      </c>
      <c r="N11" t="s">
        <v>1414</v>
      </c>
      <c r="O11" t="s">
        <v>602</v>
      </c>
      <c r="P11" t="s">
        <v>602</v>
      </c>
      <c r="Q11" t="s">
        <v>602</v>
      </c>
      <c r="R11" t="s">
        <v>603</v>
      </c>
      <c r="S11" t="s">
        <v>602</v>
      </c>
      <c r="T11" t="s">
        <v>602</v>
      </c>
      <c r="U11" s="47">
        <v>-927</v>
      </c>
    </row>
    <row r="12" spans="1:21" x14ac:dyDescent="0.2">
      <c r="A12" s="49">
        <f t="shared" si="0"/>
        <v>5000503419</v>
      </c>
      <c r="B12" s="46">
        <v>43895</v>
      </c>
      <c r="C12" t="s">
        <v>1385</v>
      </c>
      <c r="D12" t="s">
        <v>1415</v>
      </c>
      <c r="E12" t="s">
        <v>1387</v>
      </c>
      <c r="F12" s="47">
        <v>-10</v>
      </c>
      <c r="G12" t="s">
        <v>1388</v>
      </c>
      <c r="H12" t="s">
        <v>1416</v>
      </c>
      <c r="I12" t="s">
        <v>1344</v>
      </c>
      <c r="J12" s="46">
        <v>43895</v>
      </c>
      <c r="K12" s="48">
        <v>0.65412037037036996</v>
      </c>
      <c r="L12" t="s">
        <v>3</v>
      </c>
      <c r="M12" t="s">
        <v>1390</v>
      </c>
      <c r="N12" t="s">
        <v>1417</v>
      </c>
      <c r="O12" t="s">
        <v>602</v>
      </c>
      <c r="P12" t="s">
        <v>602</v>
      </c>
      <c r="Q12" t="s">
        <v>602</v>
      </c>
      <c r="R12" t="s">
        <v>603</v>
      </c>
      <c r="S12" t="s">
        <v>602</v>
      </c>
      <c r="T12" t="s">
        <v>602</v>
      </c>
      <c r="U12" s="47">
        <v>-851</v>
      </c>
    </row>
    <row r="13" spans="1:21" x14ac:dyDescent="0.2">
      <c r="A13" s="49">
        <f t="shared" si="0"/>
        <v>5000503420</v>
      </c>
      <c r="B13" s="46">
        <v>43895</v>
      </c>
      <c r="C13" t="s">
        <v>1385</v>
      </c>
      <c r="D13" t="s">
        <v>1415</v>
      </c>
      <c r="E13" t="s">
        <v>1387</v>
      </c>
      <c r="F13" s="47">
        <v>-10</v>
      </c>
      <c r="G13" t="s">
        <v>1388</v>
      </c>
      <c r="H13" t="s">
        <v>1418</v>
      </c>
      <c r="I13" t="s">
        <v>1344</v>
      </c>
      <c r="J13" s="46">
        <v>43895</v>
      </c>
      <c r="K13" s="48">
        <v>0.65413194444444001</v>
      </c>
      <c r="L13" t="s">
        <v>3</v>
      </c>
      <c r="M13" t="s">
        <v>1390</v>
      </c>
      <c r="N13" t="s">
        <v>1419</v>
      </c>
      <c r="O13" t="s">
        <v>602</v>
      </c>
      <c r="P13" t="s">
        <v>602</v>
      </c>
      <c r="Q13" t="s">
        <v>602</v>
      </c>
      <c r="R13" t="s">
        <v>603</v>
      </c>
      <c r="S13" t="s">
        <v>602</v>
      </c>
      <c r="T13" t="s">
        <v>602</v>
      </c>
      <c r="U13" s="47">
        <v>-851</v>
      </c>
    </row>
    <row r="14" spans="1:21" x14ac:dyDescent="0.2">
      <c r="A14" s="49">
        <f t="shared" si="0"/>
        <v>5000503421</v>
      </c>
      <c r="B14" s="46">
        <v>43895</v>
      </c>
      <c r="C14" t="s">
        <v>1385</v>
      </c>
      <c r="D14" t="s">
        <v>1415</v>
      </c>
      <c r="E14" t="s">
        <v>1387</v>
      </c>
      <c r="F14" s="47">
        <v>-10</v>
      </c>
      <c r="G14" t="s">
        <v>1388</v>
      </c>
      <c r="H14" t="s">
        <v>1420</v>
      </c>
      <c r="I14" t="s">
        <v>1344</v>
      </c>
      <c r="J14" s="46">
        <v>43895</v>
      </c>
      <c r="K14" s="48">
        <v>0.65414351851852004</v>
      </c>
      <c r="L14" t="s">
        <v>3</v>
      </c>
      <c r="M14" t="s">
        <v>1390</v>
      </c>
      <c r="N14" t="s">
        <v>1421</v>
      </c>
      <c r="O14" t="s">
        <v>602</v>
      </c>
      <c r="P14" t="s">
        <v>602</v>
      </c>
      <c r="Q14" t="s">
        <v>602</v>
      </c>
      <c r="R14" t="s">
        <v>603</v>
      </c>
      <c r="S14" t="s">
        <v>602</v>
      </c>
      <c r="T14" t="s">
        <v>602</v>
      </c>
      <c r="U14" s="47">
        <v>-851</v>
      </c>
    </row>
    <row r="15" spans="1:21" x14ac:dyDescent="0.2">
      <c r="A15" s="49">
        <f t="shared" si="0"/>
        <v>6000029583</v>
      </c>
      <c r="B15" s="46">
        <v>43895</v>
      </c>
      <c r="C15" t="s">
        <v>1385</v>
      </c>
      <c r="D15" t="s">
        <v>1422</v>
      </c>
      <c r="E15" t="s">
        <v>1387</v>
      </c>
      <c r="F15" s="47">
        <v>-4</v>
      </c>
      <c r="G15" t="s">
        <v>1388</v>
      </c>
      <c r="H15" t="s">
        <v>1423</v>
      </c>
      <c r="I15" t="s">
        <v>1341</v>
      </c>
      <c r="J15" s="46">
        <v>43895</v>
      </c>
      <c r="K15" s="48">
        <v>0.53704861111111002</v>
      </c>
      <c r="L15" t="s">
        <v>3</v>
      </c>
      <c r="M15" t="s">
        <v>1390</v>
      </c>
      <c r="N15" t="s">
        <v>1424</v>
      </c>
      <c r="O15" t="s">
        <v>602</v>
      </c>
      <c r="P15" t="s">
        <v>602</v>
      </c>
      <c r="Q15" t="s">
        <v>602</v>
      </c>
      <c r="R15" t="s">
        <v>603</v>
      </c>
      <c r="S15" t="s">
        <v>602</v>
      </c>
      <c r="T15" t="s">
        <v>602</v>
      </c>
      <c r="U15" s="47">
        <v>-59</v>
      </c>
    </row>
    <row r="16" spans="1:21" x14ac:dyDescent="0.2">
      <c r="A16" s="49">
        <f t="shared" si="0"/>
        <v>6000029582</v>
      </c>
      <c r="B16" s="46">
        <v>43895</v>
      </c>
      <c r="C16" t="s">
        <v>1385</v>
      </c>
      <c r="D16" t="s">
        <v>1422</v>
      </c>
      <c r="E16" t="s">
        <v>1387</v>
      </c>
      <c r="F16" s="47">
        <v>-5</v>
      </c>
      <c r="G16" t="s">
        <v>1388</v>
      </c>
      <c r="H16" t="s">
        <v>1425</v>
      </c>
      <c r="I16" t="s">
        <v>1341</v>
      </c>
      <c r="J16" s="46">
        <v>43895</v>
      </c>
      <c r="K16" s="48">
        <v>0.53704861111111002</v>
      </c>
      <c r="L16" t="s">
        <v>3</v>
      </c>
      <c r="M16" t="s">
        <v>1390</v>
      </c>
      <c r="N16" t="s">
        <v>1426</v>
      </c>
      <c r="O16" t="s">
        <v>602</v>
      </c>
      <c r="P16" t="s">
        <v>602</v>
      </c>
      <c r="Q16" t="s">
        <v>602</v>
      </c>
      <c r="R16" t="s">
        <v>603</v>
      </c>
      <c r="S16" t="s">
        <v>602</v>
      </c>
      <c r="T16" t="s">
        <v>602</v>
      </c>
      <c r="U16" s="47">
        <v>-74</v>
      </c>
    </row>
    <row r="17" spans="1:21" x14ac:dyDescent="0.2">
      <c r="A17" s="49">
        <f t="shared" si="0"/>
        <v>6000029581</v>
      </c>
      <c r="B17" s="46">
        <v>43895</v>
      </c>
      <c r="C17" t="s">
        <v>1385</v>
      </c>
      <c r="D17" t="s">
        <v>1422</v>
      </c>
      <c r="E17" t="s">
        <v>1387</v>
      </c>
      <c r="F17" s="47">
        <v>-5</v>
      </c>
      <c r="G17" t="s">
        <v>1388</v>
      </c>
      <c r="H17" t="s">
        <v>1427</v>
      </c>
      <c r="I17" t="s">
        <v>1341</v>
      </c>
      <c r="J17" s="46">
        <v>43895</v>
      </c>
      <c r="K17" s="48">
        <v>0.53703703703703998</v>
      </c>
      <c r="L17" t="s">
        <v>3</v>
      </c>
      <c r="M17" t="s">
        <v>1390</v>
      </c>
      <c r="N17" t="s">
        <v>1428</v>
      </c>
      <c r="O17" t="s">
        <v>602</v>
      </c>
      <c r="P17" t="s">
        <v>602</v>
      </c>
      <c r="Q17" t="s">
        <v>602</v>
      </c>
      <c r="R17" t="s">
        <v>603</v>
      </c>
      <c r="S17" t="s">
        <v>602</v>
      </c>
      <c r="T17" t="s">
        <v>602</v>
      </c>
      <c r="U17" s="47">
        <v>-73</v>
      </c>
    </row>
    <row r="18" spans="1:21" x14ac:dyDescent="0.2">
      <c r="A18" s="49">
        <f t="shared" si="0"/>
        <v>6000029580</v>
      </c>
      <c r="B18" s="46">
        <v>43895</v>
      </c>
      <c r="C18" t="s">
        <v>1385</v>
      </c>
      <c r="D18" t="s">
        <v>1422</v>
      </c>
      <c r="E18" t="s">
        <v>1387</v>
      </c>
      <c r="F18" s="47">
        <v>-5</v>
      </c>
      <c r="G18" t="s">
        <v>1388</v>
      </c>
      <c r="H18" t="s">
        <v>1429</v>
      </c>
      <c r="I18" t="s">
        <v>1341</v>
      </c>
      <c r="J18" s="46">
        <v>43895</v>
      </c>
      <c r="K18" s="48">
        <v>0.53703703703703998</v>
      </c>
      <c r="L18" t="s">
        <v>3</v>
      </c>
      <c r="M18" t="s">
        <v>1390</v>
      </c>
      <c r="N18" t="s">
        <v>1430</v>
      </c>
      <c r="O18" t="s">
        <v>602</v>
      </c>
      <c r="P18" t="s">
        <v>602</v>
      </c>
      <c r="Q18" t="s">
        <v>602</v>
      </c>
      <c r="R18" t="s">
        <v>603</v>
      </c>
      <c r="S18" t="s">
        <v>602</v>
      </c>
      <c r="T18" t="s">
        <v>602</v>
      </c>
      <c r="U18" s="47">
        <v>-74</v>
      </c>
    </row>
    <row r="19" spans="1:21" x14ac:dyDescent="0.2">
      <c r="A19" s="49">
        <f t="shared" si="0"/>
        <v>6000029577</v>
      </c>
      <c r="B19" s="46">
        <v>43895</v>
      </c>
      <c r="C19" t="s">
        <v>1385</v>
      </c>
      <c r="D19" t="s">
        <v>1422</v>
      </c>
      <c r="E19" t="s">
        <v>1387</v>
      </c>
      <c r="F19" s="47">
        <v>-5</v>
      </c>
      <c r="G19" t="s">
        <v>1388</v>
      </c>
      <c r="H19" t="s">
        <v>1431</v>
      </c>
      <c r="I19" t="s">
        <v>1341</v>
      </c>
      <c r="J19" s="46">
        <v>43895</v>
      </c>
      <c r="K19" s="48">
        <v>0.53702546296296005</v>
      </c>
      <c r="L19" t="s">
        <v>3</v>
      </c>
      <c r="M19" t="s">
        <v>1390</v>
      </c>
      <c r="N19" t="s">
        <v>1432</v>
      </c>
      <c r="O19" t="s">
        <v>602</v>
      </c>
      <c r="P19" t="s">
        <v>602</v>
      </c>
      <c r="Q19" t="s">
        <v>602</v>
      </c>
      <c r="R19" t="s">
        <v>603</v>
      </c>
      <c r="S19" t="s">
        <v>602</v>
      </c>
      <c r="T19" t="s">
        <v>602</v>
      </c>
      <c r="U19" s="47">
        <v>-74</v>
      </c>
    </row>
    <row r="20" spans="1:21" x14ac:dyDescent="0.2">
      <c r="A20" s="49">
        <f t="shared" si="0"/>
        <v>3000002112</v>
      </c>
      <c r="B20" s="46">
        <v>43895</v>
      </c>
      <c r="C20" t="s">
        <v>1385</v>
      </c>
      <c r="D20" t="s">
        <v>1433</v>
      </c>
      <c r="E20" t="s">
        <v>1387</v>
      </c>
      <c r="F20" s="47">
        <v>-1</v>
      </c>
      <c r="G20" t="s">
        <v>1388</v>
      </c>
      <c r="H20" t="s">
        <v>1434</v>
      </c>
      <c r="I20" t="s">
        <v>1341</v>
      </c>
      <c r="J20" s="46">
        <v>43895</v>
      </c>
      <c r="K20" s="48">
        <v>0.53701388888889001</v>
      </c>
      <c r="L20" t="s">
        <v>3</v>
      </c>
      <c r="M20" t="s">
        <v>1390</v>
      </c>
      <c r="N20" t="s">
        <v>1435</v>
      </c>
      <c r="O20" t="s">
        <v>602</v>
      </c>
      <c r="P20" t="s">
        <v>602</v>
      </c>
      <c r="Q20" t="s">
        <v>602</v>
      </c>
      <c r="R20" t="s">
        <v>603</v>
      </c>
      <c r="S20" t="s">
        <v>602</v>
      </c>
      <c r="T20" t="s">
        <v>602</v>
      </c>
      <c r="U20" s="47">
        <v>-12</v>
      </c>
    </row>
    <row r="21" spans="1:21" x14ac:dyDescent="0.2">
      <c r="A21" s="49">
        <f t="shared" si="0"/>
        <v>6000029514</v>
      </c>
      <c r="B21" s="46">
        <v>43895</v>
      </c>
      <c r="C21" t="s">
        <v>1385</v>
      </c>
      <c r="D21" t="s">
        <v>1436</v>
      </c>
      <c r="E21" t="s">
        <v>1387</v>
      </c>
      <c r="F21" s="47">
        <v>-6</v>
      </c>
      <c r="G21" t="s">
        <v>1388</v>
      </c>
      <c r="H21" t="s">
        <v>1437</v>
      </c>
      <c r="I21" t="s">
        <v>1358</v>
      </c>
      <c r="J21" s="46">
        <v>43895</v>
      </c>
      <c r="K21" s="48">
        <v>0.56037037037036996</v>
      </c>
      <c r="L21" t="s">
        <v>3</v>
      </c>
      <c r="M21" t="s">
        <v>1390</v>
      </c>
      <c r="N21" t="s">
        <v>1438</v>
      </c>
      <c r="O21" t="s">
        <v>602</v>
      </c>
      <c r="P21" t="s">
        <v>602</v>
      </c>
      <c r="Q21" t="s">
        <v>602</v>
      </c>
      <c r="R21" t="s">
        <v>603</v>
      </c>
      <c r="S21" t="s">
        <v>602</v>
      </c>
      <c r="T21" t="s">
        <v>602</v>
      </c>
      <c r="U21" s="47">
        <v>-243</v>
      </c>
    </row>
    <row r="22" spans="1:21" x14ac:dyDescent="0.2">
      <c r="A22" s="49">
        <f t="shared" si="0"/>
        <v>5000498888</v>
      </c>
      <c r="B22" s="46">
        <v>43895</v>
      </c>
      <c r="C22" t="s">
        <v>1385</v>
      </c>
      <c r="D22" t="s">
        <v>1439</v>
      </c>
      <c r="E22" t="s">
        <v>1387</v>
      </c>
      <c r="F22" s="47">
        <v>-10</v>
      </c>
      <c r="G22" t="s">
        <v>1388</v>
      </c>
      <c r="H22" t="s">
        <v>1440</v>
      </c>
      <c r="I22" t="s">
        <v>1341</v>
      </c>
      <c r="J22" s="46">
        <v>43895</v>
      </c>
      <c r="K22" s="48">
        <v>0.53701388888889001</v>
      </c>
      <c r="L22" t="s">
        <v>3</v>
      </c>
      <c r="M22" t="s">
        <v>1390</v>
      </c>
      <c r="N22" t="s">
        <v>1441</v>
      </c>
      <c r="O22" t="s">
        <v>602</v>
      </c>
      <c r="P22" t="s">
        <v>602</v>
      </c>
      <c r="Q22" t="s">
        <v>602</v>
      </c>
      <c r="R22" t="s">
        <v>603</v>
      </c>
      <c r="S22" t="s">
        <v>602</v>
      </c>
      <c r="T22" t="s">
        <v>602</v>
      </c>
      <c r="U22" s="47">
        <v>-206</v>
      </c>
    </row>
    <row r="23" spans="1:21" x14ac:dyDescent="0.2">
      <c r="A23" s="49">
        <f t="shared" si="0"/>
        <v>6000029628</v>
      </c>
      <c r="B23" s="46">
        <v>43895</v>
      </c>
      <c r="C23" t="s">
        <v>1385</v>
      </c>
      <c r="D23" t="s">
        <v>1442</v>
      </c>
      <c r="E23" t="s">
        <v>1387</v>
      </c>
      <c r="F23" s="47">
        <v>-1</v>
      </c>
      <c r="G23" t="s">
        <v>1388</v>
      </c>
      <c r="H23" t="s">
        <v>1443</v>
      </c>
      <c r="I23" t="s">
        <v>1360</v>
      </c>
      <c r="J23" s="46">
        <v>43895</v>
      </c>
      <c r="K23" s="48">
        <v>0.45461805555556001</v>
      </c>
      <c r="L23" t="s">
        <v>3</v>
      </c>
      <c r="M23" t="s">
        <v>1390</v>
      </c>
      <c r="N23" t="s">
        <v>1444</v>
      </c>
      <c r="O23" t="s">
        <v>602</v>
      </c>
      <c r="P23" t="s">
        <v>602</v>
      </c>
      <c r="Q23" t="s">
        <v>602</v>
      </c>
      <c r="R23" t="s">
        <v>603</v>
      </c>
      <c r="S23" t="s">
        <v>602</v>
      </c>
      <c r="T23" t="s">
        <v>602</v>
      </c>
      <c r="U23" s="47">
        <v>-31</v>
      </c>
    </row>
    <row r="24" spans="1:21" x14ac:dyDescent="0.2">
      <c r="A24" s="49">
        <f t="shared" si="0"/>
        <v>6000028476</v>
      </c>
      <c r="B24" s="46">
        <v>43895</v>
      </c>
      <c r="C24" t="s">
        <v>1385</v>
      </c>
      <c r="D24" t="s">
        <v>1445</v>
      </c>
      <c r="E24" t="s">
        <v>1446</v>
      </c>
      <c r="F24" s="47">
        <v>-50</v>
      </c>
      <c r="G24" t="s">
        <v>1388</v>
      </c>
      <c r="H24" t="s">
        <v>1447</v>
      </c>
      <c r="I24" t="s">
        <v>592</v>
      </c>
      <c r="J24" s="46">
        <v>43895</v>
      </c>
      <c r="K24" s="48">
        <v>0.37550925925925999</v>
      </c>
      <c r="L24" t="s">
        <v>3</v>
      </c>
      <c r="M24" t="s">
        <v>1390</v>
      </c>
      <c r="N24" t="s">
        <v>1448</v>
      </c>
      <c r="O24" t="s">
        <v>602</v>
      </c>
      <c r="P24" t="s">
        <v>602</v>
      </c>
      <c r="Q24" t="s">
        <v>602</v>
      </c>
      <c r="R24" t="s">
        <v>603</v>
      </c>
      <c r="S24" t="s">
        <v>602</v>
      </c>
      <c r="T24" t="s">
        <v>602</v>
      </c>
      <c r="U24" s="47">
        <v>-1280</v>
      </c>
    </row>
    <row r="25" spans="1:21" x14ac:dyDescent="0.2">
      <c r="A25" s="49">
        <f t="shared" si="0"/>
        <v>6000028721</v>
      </c>
      <c r="B25" s="46">
        <v>43895</v>
      </c>
      <c r="C25" t="s">
        <v>1385</v>
      </c>
      <c r="D25" t="s">
        <v>1449</v>
      </c>
      <c r="E25" t="s">
        <v>1387</v>
      </c>
      <c r="F25" s="47">
        <v>-1</v>
      </c>
      <c r="G25" t="s">
        <v>1388</v>
      </c>
      <c r="H25" t="s">
        <v>1450</v>
      </c>
      <c r="I25" t="s">
        <v>1340</v>
      </c>
      <c r="J25" s="46">
        <v>43895</v>
      </c>
      <c r="K25" s="48">
        <v>0.56091435185185001</v>
      </c>
      <c r="L25" t="s">
        <v>3</v>
      </c>
      <c r="M25" t="s">
        <v>1390</v>
      </c>
      <c r="N25" t="s">
        <v>1451</v>
      </c>
      <c r="O25" t="s">
        <v>602</v>
      </c>
      <c r="P25" t="s">
        <v>602</v>
      </c>
      <c r="Q25" t="s">
        <v>602</v>
      </c>
      <c r="R25" t="s">
        <v>603</v>
      </c>
      <c r="S25" t="s">
        <v>602</v>
      </c>
      <c r="T25" t="s">
        <v>602</v>
      </c>
      <c r="U25" s="47">
        <v>-56</v>
      </c>
    </row>
    <row r="26" spans="1:21" x14ac:dyDescent="0.2">
      <c r="A26" s="49">
        <f t="shared" si="0"/>
        <v>6000028687</v>
      </c>
      <c r="B26" s="46">
        <v>43895</v>
      </c>
      <c r="C26" t="s">
        <v>1385</v>
      </c>
      <c r="D26" t="s">
        <v>1452</v>
      </c>
      <c r="E26" t="s">
        <v>1387</v>
      </c>
      <c r="F26" s="47">
        <v>-2</v>
      </c>
      <c r="G26" t="s">
        <v>1388</v>
      </c>
      <c r="H26" t="s">
        <v>1453</v>
      </c>
      <c r="I26" t="s">
        <v>1340</v>
      </c>
      <c r="J26" s="46">
        <v>43895</v>
      </c>
      <c r="K26" s="48">
        <v>0.56089120370370005</v>
      </c>
      <c r="L26" t="s">
        <v>3</v>
      </c>
      <c r="M26" t="s">
        <v>1390</v>
      </c>
      <c r="N26" t="s">
        <v>1454</v>
      </c>
      <c r="O26" t="s">
        <v>602</v>
      </c>
      <c r="P26" t="s">
        <v>602</v>
      </c>
      <c r="Q26" t="s">
        <v>602</v>
      </c>
      <c r="R26" t="s">
        <v>603</v>
      </c>
      <c r="S26" t="s">
        <v>602</v>
      </c>
      <c r="T26" t="s">
        <v>602</v>
      </c>
      <c r="U26" s="47">
        <v>-122</v>
      </c>
    </row>
    <row r="27" spans="1:21" x14ac:dyDescent="0.2">
      <c r="A27" s="49">
        <f t="shared" si="0"/>
        <v>6000029561</v>
      </c>
      <c r="B27" s="46">
        <v>43895</v>
      </c>
      <c r="C27" t="s">
        <v>1385</v>
      </c>
      <c r="D27" t="s">
        <v>1455</v>
      </c>
      <c r="E27" t="s">
        <v>1387</v>
      </c>
      <c r="F27" s="47">
        <v>-3</v>
      </c>
      <c r="G27" t="s">
        <v>1388</v>
      </c>
      <c r="H27" t="s">
        <v>1456</v>
      </c>
      <c r="I27" t="s">
        <v>1359</v>
      </c>
      <c r="J27" s="46">
        <v>43895</v>
      </c>
      <c r="K27" s="48">
        <v>0.43916666666666998</v>
      </c>
      <c r="L27" t="s">
        <v>3</v>
      </c>
      <c r="M27" t="s">
        <v>1390</v>
      </c>
      <c r="N27" t="s">
        <v>1457</v>
      </c>
      <c r="O27" t="s">
        <v>602</v>
      </c>
      <c r="P27" t="s">
        <v>602</v>
      </c>
      <c r="Q27" t="s">
        <v>602</v>
      </c>
      <c r="R27" t="s">
        <v>603</v>
      </c>
      <c r="S27" t="s">
        <v>602</v>
      </c>
      <c r="T27" t="s">
        <v>602</v>
      </c>
      <c r="U27" s="47">
        <v>-172</v>
      </c>
    </row>
    <row r="28" spans="1:21" x14ac:dyDescent="0.2">
      <c r="A28" s="49">
        <f t="shared" si="0"/>
        <v>6000028479</v>
      </c>
      <c r="B28" s="46">
        <v>43895</v>
      </c>
      <c r="C28" t="s">
        <v>1385</v>
      </c>
      <c r="D28" t="s">
        <v>1458</v>
      </c>
      <c r="E28" t="s">
        <v>1446</v>
      </c>
      <c r="F28" s="47">
        <v>-50</v>
      </c>
      <c r="G28" t="s">
        <v>1388</v>
      </c>
      <c r="H28" t="s">
        <v>1459</v>
      </c>
      <c r="I28" t="s">
        <v>592</v>
      </c>
      <c r="J28" s="46">
        <v>43895</v>
      </c>
      <c r="K28" s="48">
        <v>0.37553240740741001</v>
      </c>
      <c r="L28" t="s">
        <v>3</v>
      </c>
      <c r="M28" t="s">
        <v>1390</v>
      </c>
      <c r="N28" t="s">
        <v>1460</v>
      </c>
      <c r="O28" t="s">
        <v>602</v>
      </c>
      <c r="P28" t="s">
        <v>602</v>
      </c>
      <c r="Q28" t="s">
        <v>602</v>
      </c>
      <c r="R28" t="s">
        <v>603</v>
      </c>
      <c r="S28" t="s">
        <v>602</v>
      </c>
      <c r="T28" t="s">
        <v>602</v>
      </c>
      <c r="U28" s="47">
        <v>-1600</v>
      </c>
    </row>
    <row r="29" spans="1:21" x14ac:dyDescent="0.2">
      <c r="A29" s="49">
        <f t="shared" si="0"/>
        <v>6000028478</v>
      </c>
      <c r="B29" s="46">
        <v>43895</v>
      </c>
      <c r="C29" t="s">
        <v>1385</v>
      </c>
      <c r="D29" t="s">
        <v>1458</v>
      </c>
      <c r="E29" t="s">
        <v>1446</v>
      </c>
      <c r="F29" s="47">
        <v>-50</v>
      </c>
      <c r="G29" t="s">
        <v>1388</v>
      </c>
      <c r="H29" t="s">
        <v>1461</v>
      </c>
      <c r="I29" t="s">
        <v>592</v>
      </c>
      <c r="J29" s="46">
        <v>43895</v>
      </c>
      <c r="K29" s="48">
        <v>0.37553240740741001</v>
      </c>
      <c r="L29" t="s">
        <v>3</v>
      </c>
      <c r="M29" t="s">
        <v>1390</v>
      </c>
      <c r="N29" t="s">
        <v>1462</v>
      </c>
      <c r="O29" t="s">
        <v>602</v>
      </c>
      <c r="P29" t="s">
        <v>602</v>
      </c>
      <c r="Q29" t="s">
        <v>602</v>
      </c>
      <c r="R29" t="s">
        <v>603</v>
      </c>
      <c r="S29" t="s">
        <v>602</v>
      </c>
      <c r="T29" t="s">
        <v>602</v>
      </c>
      <c r="U29" s="47">
        <v>-1600</v>
      </c>
    </row>
    <row r="30" spans="1:21" x14ac:dyDescent="0.2">
      <c r="A30" s="49">
        <f t="shared" si="0"/>
        <v>6000028477</v>
      </c>
      <c r="B30" s="46">
        <v>43895</v>
      </c>
      <c r="C30" t="s">
        <v>1385</v>
      </c>
      <c r="D30" t="s">
        <v>1458</v>
      </c>
      <c r="E30" t="s">
        <v>1446</v>
      </c>
      <c r="F30" s="47">
        <v>-50</v>
      </c>
      <c r="G30" t="s">
        <v>1388</v>
      </c>
      <c r="H30" t="s">
        <v>1463</v>
      </c>
      <c r="I30" t="s">
        <v>592</v>
      </c>
      <c r="J30" s="46">
        <v>43895</v>
      </c>
      <c r="K30" s="48">
        <v>0.37552083333332997</v>
      </c>
      <c r="L30" t="s">
        <v>3</v>
      </c>
      <c r="M30" t="s">
        <v>1390</v>
      </c>
      <c r="N30" t="s">
        <v>1464</v>
      </c>
      <c r="O30" t="s">
        <v>602</v>
      </c>
      <c r="P30" t="s">
        <v>602</v>
      </c>
      <c r="Q30" t="s">
        <v>602</v>
      </c>
      <c r="R30" t="s">
        <v>603</v>
      </c>
      <c r="S30" t="s">
        <v>602</v>
      </c>
      <c r="T30" t="s">
        <v>602</v>
      </c>
      <c r="U30" s="47">
        <v>-1600</v>
      </c>
    </row>
    <row r="31" spans="1:21" x14ac:dyDescent="0.2">
      <c r="A31" s="49">
        <f t="shared" si="0"/>
        <v>6000029560</v>
      </c>
      <c r="B31" s="46">
        <v>43895</v>
      </c>
      <c r="C31" t="s">
        <v>1385</v>
      </c>
      <c r="D31" t="s">
        <v>1465</v>
      </c>
      <c r="E31" t="s">
        <v>1387</v>
      </c>
      <c r="F31" s="47">
        <v>-1</v>
      </c>
      <c r="G31" t="s">
        <v>1388</v>
      </c>
      <c r="H31" t="s">
        <v>1466</v>
      </c>
      <c r="I31" t="s">
        <v>1356</v>
      </c>
      <c r="J31" s="46">
        <v>43895</v>
      </c>
      <c r="K31" s="48">
        <v>0.43890046296295998</v>
      </c>
      <c r="L31" t="s">
        <v>3</v>
      </c>
      <c r="M31" t="s">
        <v>1390</v>
      </c>
      <c r="N31" t="s">
        <v>1467</v>
      </c>
      <c r="O31" t="s">
        <v>602</v>
      </c>
      <c r="P31" t="s">
        <v>602</v>
      </c>
      <c r="Q31" t="s">
        <v>602</v>
      </c>
      <c r="R31" t="s">
        <v>603</v>
      </c>
      <c r="S31" t="s">
        <v>602</v>
      </c>
      <c r="T31" t="s">
        <v>602</v>
      </c>
      <c r="U31" s="47">
        <v>-60</v>
      </c>
    </row>
    <row r="32" spans="1:21" x14ac:dyDescent="0.2">
      <c r="A32" s="49">
        <f t="shared" si="0"/>
        <v>6000029399</v>
      </c>
      <c r="B32" s="46">
        <v>43895</v>
      </c>
      <c r="C32" t="s">
        <v>1385</v>
      </c>
      <c r="D32" t="s">
        <v>1468</v>
      </c>
      <c r="E32" t="s">
        <v>1387</v>
      </c>
      <c r="F32" s="47">
        <v>-8</v>
      </c>
      <c r="G32" t="s">
        <v>1388</v>
      </c>
      <c r="H32" t="s">
        <v>1469</v>
      </c>
      <c r="I32" t="s">
        <v>1356</v>
      </c>
      <c r="J32" s="46">
        <v>43895</v>
      </c>
      <c r="K32" s="48">
        <v>0.43887731481481002</v>
      </c>
      <c r="L32" t="s">
        <v>3</v>
      </c>
      <c r="M32" t="s">
        <v>1390</v>
      </c>
      <c r="N32" t="s">
        <v>1470</v>
      </c>
      <c r="O32" t="s">
        <v>602</v>
      </c>
      <c r="P32" t="s">
        <v>602</v>
      </c>
      <c r="Q32" t="s">
        <v>602</v>
      </c>
      <c r="R32" t="s">
        <v>603</v>
      </c>
      <c r="S32" t="s">
        <v>602</v>
      </c>
      <c r="T32" t="s">
        <v>602</v>
      </c>
      <c r="U32" s="47">
        <v>-485</v>
      </c>
    </row>
    <row r="33" spans="1:21" x14ac:dyDescent="0.2">
      <c r="A33" s="49">
        <f t="shared" si="0"/>
        <v>3000002111</v>
      </c>
      <c r="B33" s="46">
        <v>43895</v>
      </c>
      <c r="C33" t="s">
        <v>1385</v>
      </c>
      <c r="D33" t="s">
        <v>1468</v>
      </c>
      <c r="E33" t="s">
        <v>1387</v>
      </c>
      <c r="F33" s="47">
        <v>-1</v>
      </c>
      <c r="G33" t="s">
        <v>1388</v>
      </c>
      <c r="H33" t="s">
        <v>1471</v>
      </c>
      <c r="I33" t="s">
        <v>1340</v>
      </c>
      <c r="J33" s="46">
        <v>43895</v>
      </c>
      <c r="K33" s="48">
        <v>0.56084490740741</v>
      </c>
      <c r="L33" t="s">
        <v>3</v>
      </c>
      <c r="M33" t="s">
        <v>1390</v>
      </c>
      <c r="N33" t="s">
        <v>1472</v>
      </c>
      <c r="O33" t="s">
        <v>602</v>
      </c>
      <c r="P33" t="s">
        <v>602</v>
      </c>
      <c r="Q33" t="s">
        <v>602</v>
      </c>
      <c r="R33" t="s">
        <v>603</v>
      </c>
      <c r="S33" t="s">
        <v>602</v>
      </c>
      <c r="T33" t="s">
        <v>602</v>
      </c>
      <c r="U33" s="47">
        <v>-61</v>
      </c>
    </row>
    <row r="34" spans="1:21" x14ac:dyDescent="0.2">
      <c r="A34" s="49">
        <f t="shared" si="0"/>
        <v>6000029011</v>
      </c>
      <c r="B34" s="46">
        <v>43895</v>
      </c>
      <c r="C34" t="s">
        <v>1385</v>
      </c>
      <c r="D34" t="s">
        <v>1473</v>
      </c>
      <c r="E34" t="s">
        <v>1387</v>
      </c>
      <c r="F34" s="47">
        <v>-4</v>
      </c>
      <c r="G34" t="s">
        <v>1388</v>
      </c>
      <c r="H34" t="s">
        <v>1474</v>
      </c>
      <c r="I34" t="s">
        <v>1351</v>
      </c>
      <c r="J34" s="46">
        <v>43895</v>
      </c>
      <c r="K34" s="48">
        <v>0.53729166666667005</v>
      </c>
      <c r="L34" t="s">
        <v>3</v>
      </c>
      <c r="M34" t="s">
        <v>1390</v>
      </c>
      <c r="N34" t="s">
        <v>1475</v>
      </c>
      <c r="O34" t="s">
        <v>602</v>
      </c>
      <c r="P34" t="s">
        <v>602</v>
      </c>
      <c r="Q34" t="s">
        <v>602</v>
      </c>
      <c r="R34" t="s">
        <v>603</v>
      </c>
      <c r="S34" t="s">
        <v>602</v>
      </c>
      <c r="T34" t="s">
        <v>602</v>
      </c>
      <c r="U34" s="47">
        <v>-60</v>
      </c>
    </row>
    <row r="35" spans="1:21" x14ac:dyDescent="0.2">
      <c r="A35" s="49">
        <f t="shared" si="0"/>
        <v>6000028991</v>
      </c>
      <c r="B35" s="46">
        <v>43895</v>
      </c>
      <c r="C35" t="s">
        <v>1385</v>
      </c>
      <c r="D35" t="s">
        <v>1476</v>
      </c>
      <c r="E35" t="s">
        <v>1387</v>
      </c>
      <c r="F35" s="47">
        <v>-4</v>
      </c>
      <c r="G35" t="s">
        <v>1388</v>
      </c>
      <c r="H35" t="s">
        <v>1477</v>
      </c>
      <c r="I35" t="s">
        <v>1341</v>
      </c>
      <c r="J35" s="46">
        <v>43895</v>
      </c>
      <c r="K35" s="48">
        <v>0.53702546296296005</v>
      </c>
      <c r="L35" t="s">
        <v>3</v>
      </c>
      <c r="M35" t="s">
        <v>1390</v>
      </c>
      <c r="N35" t="s">
        <v>1478</v>
      </c>
      <c r="O35" t="s">
        <v>602</v>
      </c>
      <c r="P35" t="s">
        <v>602</v>
      </c>
      <c r="Q35" t="s">
        <v>602</v>
      </c>
      <c r="R35" t="s">
        <v>603</v>
      </c>
      <c r="S35" t="s">
        <v>602</v>
      </c>
      <c r="T35" t="s">
        <v>602</v>
      </c>
      <c r="U35" s="47">
        <v>-68</v>
      </c>
    </row>
    <row r="36" spans="1:21" x14ac:dyDescent="0.2">
      <c r="A36" s="49">
        <f t="shared" si="0"/>
        <v>6000028963</v>
      </c>
      <c r="B36" s="46">
        <v>43895</v>
      </c>
      <c r="C36" t="s">
        <v>1385</v>
      </c>
      <c r="D36" t="s">
        <v>1476</v>
      </c>
      <c r="E36" t="s">
        <v>1387</v>
      </c>
      <c r="F36" s="47">
        <v>-4</v>
      </c>
      <c r="G36" t="s">
        <v>1388</v>
      </c>
      <c r="H36" t="s">
        <v>1479</v>
      </c>
      <c r="I36" t="s">
        <v>1341</v>
      </c>
      <c r="J36" s="46">
        <v>43895</v>
      </c>
      <c r="K36" s="48">
        <v>0.53702546296296005</v>
      </c>
      <c r="L36" t="s">
        <v>3</v>
      </c>
      <c r="M36" t="s">
        <v>1390</v>
      </c>
      <c r="N36" t="s">
        <v>1480</v>
      </c>
      <c r="O36" t="s">
        <v>602</v>
      </c>
      <c r="P36" t="s">
        <v>602</v>
      </c>
      <c r="Q36" t="s">
        <v>602</v>
      </c>
      <c r="R36" t="s">
        <v>603</v>
      </c>
      <c r="S36" t="s">
        <v>602</v>
      </c>
      <c r="T36" t="s">
        <v>602</v>
      </c>
      <c r="U36" s="47">
        <v>-68</v>
      </c>
    </row>
    <row r="37" spans="1:21" x14ac:dyDescent="0.2">
      <c r="A37" s="49">
        <f t="shared" si="0"/>
        <v>6000028954</v>
      </c>
      <c r="B37" s="46">
        <v>43895</v>
      </c>
      <c r="C37" t="s">
        <v>1385</v>
      </c>
      <c r="D37" t="s">
        <v>1476</v>
      </c>
      <c r="E37" t="s">
        <v>1387</v>
      </c>
      <c r="F37" s="47">
        <v>-4</v>
      </c>
      <c r="G37" t="s">
        <v>1388</v>
      </c>
      <c r="H37" t="s">
        <v>1481</v>
      </c>
      <c r="I37" t="s">
        <v>1351</v>
      </c>
      <c r="J37" s="46">
        <v>43895</v>
      </c>
      <c r="K37" s="48">
        <v>0.53728009259259002</v>
      </c>
      <c r="L37" t="s">
        <v>3</v>
      </c>
      <c r="M37" t="s">
        <v>1390</v>
      </c>
      <c r="N37" t="s">
        <v>1482</v>
      </c>
      <c r="O37" t="s">
        <v>602</v>
      </c>
      <c r="P37" t="s">
        <v>602</v>
      </c>
      <c r="Q37" t="s">
        <v>602</v>
      </c>
      <c r="R37" t="s">
        <v>603</v>
      </c>
      <c r="S37" t="s">
        <v>602</v>
      </c>
      <c r="T37" t="s">
        <v>602</v>
      </c>
      <c r="U37" s="47">
        <v>-68</v>
      </c>
    </row>
    <row r="38" spans="1:21" x14ac:dyDescent="0.2">
      <c r="A38" s="49">
        <f t="shared" si="0"/>
        <v>5000503871</v>
      </c>
      <c r="B38" s="46">
        <v>43895</v>
      </c>
      <c r="C38" t="s">
        <v>1385</v>
      </c>
      <c r="D38" t="s">
        <v>1483</v>
      </c>
      <c r="E38" t="s">
        <v>1387</v>
      </c>
      <c r="F38" s="47">
        <v>-2</v>
      </c>
      <c r="G38" t="s">
        <v>1388</v>
      </c>
      <c r="H38" t="s">
        <v>1484</v>
      </c>
      <c r="I38" t="s">
        <v>1346</v>
      </c>
      <c r="J38" s="46">
        <v>43895</v>
      </c>
      <c r="K38" s="48">
        <v>0.65252314814815005</v>
      </c>
      <c r="L38" t="s">
        <v>3</v>
      </c>
      <c r="M38" t="s">
        <v>1390</v>
      </c>
      <c r="N38" t="s">
        <v>1485</v>
      </c>
      <c r="O38" t="s">
        <v>602</v>
      </c>
      <c r="P38" t="s">
        <v>602</v>
      </c>
      <c r="Q38" t="s">
        <v>602</v>
      </c>
      <c r="R38" t="s">
        <v>603</v>
      </c>
      <c r="S38" t="s">
        <v>602</v>
      </c>
      <c r="T38" t="s">
        <v>602</v>
      </c>
      <c r="U38" s="47">
        <v>-109</v>
      </c>
    </row>
    <row r="39" spans="1:21" x14ac:dyDescent="0.2">
      <c r="A39" s="49">
        <f t="shared" si="0"/>
        <v>5000507091</v>
      </c>
      <c r="B39" s="46">
        <v>43895</v>
      </c>
      <c r="C39" t="s">
        <v>1385</v>
      </c>
      <c r="D39" t="s">
        <v>1483</v>
      </c>
      <c r="E39" t="s">
        <v>1387</v>
      </c>
      <c r="F39" s="47">
        <v>-2</v>
      </c>
      <c r="G39" t="s">
        <v>1388</v>
      </c>
      <c r="H39" t="s">
        <v>1486</v>
      </c>
      <c r="I39" t="s">
        <v>1346</v>
      </c>
      <c r="J39" s="46">
        <v>43895</v>
      </c>
      <c r="K39" s="48">
        <v>0.65254629629630001</v>
      </c>
      <c r="L39" t="s">
        <v>3</v>
      </c>
      <c r="M39" t="s">
        <v>1390</v>
      </c>
      <c r="N39" t="s">
        <v>1487</v>
      </c>
      <c r="O39" t="s">
        <v>602</v>
      </c>
      <c r="P39" t="s">
        <v>602</v>
      </c>
      <c r="Q39" t="s">
        <v>602</v>
      </c>
      <c r="R39" t="s">
        <v>603</v>
      </c>
      <c r="S39" t="s">
        <v>602</v>
      </c>
      <c r="T39" t="s">
        <v>602</v>
      </c>
      <c r="U39" s="47">
        <v>-108</v>
      </c>
    </row>
    <row r="40" spans="1:21" x14ac:dyDescent="0.2">
      <c r="A40" s="49">
        <f t="shared" si="0"/>
        <v>5000503454</v>
      </c>
      <c r="B40" s="46">
        <v>43895</v>
      </c>
      <c r="C40" t="s">
        <v>1385</v>
      </c>
      <c r="D40" t="s">
        <v>1488</v>
      </c>
      <c r="E40" t="s">
        <v>1387</v>
      </c>
      <c r="F40" s="47">
        <v>-5</v>
      </c>
      <c r="G40" t="s">
        <v>1388</v>
      </c>
      <c r="H40" t="s">
        <v>1489</v>
      </c>
      <c r="I40" t="s">
        <v>1346</v>
      </c>
      <c r="J40" s="46">
        <v>43895</v>
      </c>
      <c r="K40" s="48">
        <v>0.65248842592593004</v>
      </c>
      <c r="L40" t="s">
        <v>3</v>
      </c>
      <c r="M40" t="s">
        <v>1390</v>
      </c>
      <c r="N40" t="s">
        <v>1490</v>
      </c>
      <c r="O40" t="s">
        <v>602</v>
      </c>
      <c r="P40" t="s">
        <v>602</v>
      </c>
      <c r="Q40" t="s">
        <v>602</v>
      </c>
      <c r="R40" t="s">
        <v>603</v>
      </c>
      <c r="S40" t="s">
        <v>602</v>
      </c>
      <c r="T40" t="s">
        <v>602</v>
      </c>
      <c r="U40" s="47">
        <v>-290</v>
      </c>
    </row>
    <row r="41" spans="1:21" x14ac:dyDescent="0.2">
      <c r="A41" s="49">
        <f t="shared" si="0"/>
        <v>6000028709</v>
      </c>
      <c r="B41" s="46">
        <v>43895</v>
      </c>
      <c r="C41" t="s">
        <v>1385</v>
      </c>
      <c r="D41" t="s">
        <v>1491</v>
      </c>
      <c r="E41" t="s">
        <v>1387</v>
      </c>
      <c r="F41" s="47">
        <v>-4</v>
      </c>
      <c r="G41" t="s">
        <v>1388</v>
      </c>
      <c r="H41" t="s">
        <v>1492</v>
      </c>
      <c r="I41" t="s">
        <v>1350</v>
      </c>
      <c r="J41" s="46">
        <v>43895</v>
      </c>
      <c r="K41" s="48">
        <v>0.45314814814815002</v>
      </c>
      <c r="L41" t="s">
        <v>3</v>
      </c>
      <c r="M41" t="s">
        <v>1390</v>
      </c>
      <c r="N41" t="s">
        <v>1493</v>
      </c>
      <c r="O41" t="s">
        <v>602</v>
      </c>
      <c r="P41" t="s">
        <v>602</v>
      </c>
      <c r="Q41" t="s">
        <v>602</v>
      </c>
      <c r="R41" t="s">
        <v>603</v>
      </c>
      <c r="S41" t="s">
        <v>602</v>
      </c>
      <c r="T41" t="s">
        <v>602</v>
      </c>
      <c r="U41" s="47">
        <v>-254</v>
      </c>
    </row>
    <row r="42" spans="1:21" x14ac:dyDescent="0.2">
      <c r="A42" s="49">
        <f t="shared" si="0"/>
        <v>6000028703</v>
      </c>
      <c r="B42" s="46">
        <v>43895</v>
      </c>
      <c r="C42" t="s">
        <v>1385</v>
      </c>
      <c r="D42" t="s">
        <v>1494</v>
      </c>
      <c r="E42" t="s">
        <v>1387</v>
      </c>
      <c r="F42" s="47">
        <v>-1</v>
      </c>
      <c r="G42" t="s">
        <v>1388</v>
      </c>
      <c r="H42" t="s">
        <v>1495</v>
      </c>
      <c r="I42" t="s">
        <v>1349</v>
      </c>
      <c r="J42" s="46">
        <v>43895</v>
      </c>
      <c r="K42" s="48">
        <v>0.45494212962962999</v>
      </c>
      <c r="L42" t="s">
        <v>3</v>
      </c>
      <c r="M42" t="s">
        <v>1390</v>
      </c>
      <c r="N42" t="s">
        <v>1496</v>
      </c>
      <c r="O42" t="s">
        <v>602</v>
      </c>
      <c r="P42" t="s">
        <v>602</v>
      </c>
      <c r="Q42" t="s">
        <v>602</v>
      </c>
      <c r="R42" t="s">
        <v>603</v>
      </c>
      <c r="S42" t="s">
        <v>602</v>
      </c>
      <c r="T42" t="s">
        <v>602</v>
      </c>
      <c r="U42" s="47">
        <v>-68</v>
      </c>
    </row>
    <row r="43" spans="1:21" x14ac:dyDescent="0.2">
      <c r="A43" s="49">
        <f t="shared" si="0"/>
        <v>6000029397</v>
      </c>
      <c r="B43" s="46">
        <v>43895</v>
      </c>
      <c r="C43" t="s">
        <v>1385</v>
      </c>
      <c r="D43" t="s">
        <v>1497</v>
      </c>
      <c r="E43" t="s">
        <v>1387</v>
      </c>
      <c r="F43" s="47">
        <v>-4</v>
      </c>
      <c r="G43" t="s">
        <v>1388</v>
      </c>
      <c r="H43" t="s">
        <v>1498</v>
      </c>
      <c r="I43" t="s">
        <v>1355</v>
      </c>
      <c r="J43" s="46">
        <v>43895</v>
      </c>
      <c r="K43" s="48">
        <v>0.45399305555556002</v>
      </c>
      <c r="L43" t="s">
        <v>3</v>
      </c>
      <c r="M43" t="s">
        <v>1390</v>
      </c>
      <c r="N43" t="s">
        <v>1499</v>
      </c>
      <c r="O43" t="s">
        <v>602</v>
      </c>
      <c r="P43" t="s">
        <v>602</v>
      </c>
      <c r="Q43" t="s">
        <v>602</v>
      </c>
      <c r="R43" t="s">
        <v>603</v>
      </c>
      <c r="S43" t="s">
        <v>602</v>
      </c>
      <c r="T43" t="s">
        <v>602</v>
      </c>
      <c r="U43" s="47">
        <v>-258</v>
      </c>
    </row>
    <row r="44" spans="1:21" x14ac:dyDescent="0.2">
      <c r="A44" s="49">
        <f t="shared" si="0"/>
        <v>5000502351</v>
      </c>
      <c r="B44" s="46">
        <v>43895</v>
      </c>
      <c r="C44" t="s">
        <v>1385</v>
      </c>
      <c r="D44" t="s">
        <v>1500</v>
      </c>
      <c r="E44" t="s">
        <v>1387</v>
      </c>
      <c r="F44" s="47">
        <v>-3</v>
      </c>
      <c r="G44" t="s">
        <v>1388</v>
      </c>
      <c r="H44" t="s">
        <v>1501</v>
      </c>
      <c r="I44" t="s">
        <v>1345</v>
      </c>
      <c r="J44" s="46">
        <v>43895</v>
      </c>
      <c r="K44" s="48">
        <v>0.5594212962963</v>
      </c>
      <c r="L44" t="s">
        <v>3</v>
      </c>
      <c r="M44" t="s">
        <v>1390</v>
      </c>
      <c r="N44" t="s">
        <v>1502</v>
      </c>
      <c r="O44" t="s">
        <v>602</v>
      </c>
      <c r="P44" t="s">
        <v>602</v>
      </c>
      <c r="Q44" t="s">
        <v>602</v>
      </c>
      <c r="R44" t="s">
        <v>603</v>
      </c>
      <c r="S44" t="s">
        <v>602</v>
      </c>
      <c r="T44" t="s">
        <v>602</v>
      </c>
      <c r="U44" s="47">
        <v>-165</v>
      </c>
    </row>
    <row r="45" spans="1:21" x14ac:dyDescent="0.2">
      <c r="A45" s="49">
        <f t="shared" si="0"/>
        <v>5000509820</v>
      </c>
      <c r="B45" s="46">
        <v>43895</v>
      </c>
      <c r="C45" t="s">
        <v>1385</v>
      </c>
      <c r="D45" t="s">
        <v>1500</v>
      </c>
      <c r="E45" t="s">
        <v>1387</v>
      </c>
      <c r="F45" s="47">
        <v>-1</v>
      </c>
      <c r="G45" t="s">
        <v>1388</v>
      </c>
      <c r="H45" t="s">
        <v>1503</v>
      </c>
      <c r="I45" t="s">
        <v>1347</v>
      </c>
      <c r="J45" s="46">
        <v>43895</v>
      </c>
      <c r="K45" s="48">
        <v>0.65155092592593</v>
      </c>
      <c r="L45" t="s">
        <v>3</v>
      </c>
      <c r="M45" t="s">
        <v>1390</v>
      </c>
      <c r="N45" t="s">
        <v>1504</v>
      </c>
      <c r="O45" t="s">
        <v>602</v>
      </c>
      <c r="P45" t="s">
        <v>602</v>
      </c>
      <c r="Q45" t="s">
        <v>602</v>
      </c>
      <c r="R45" t="s">
        <v>603</v>
      </c>
      <c r="S45" t="s">
        <v>602</v>
      </c>
      <c r="T45" t="s">
        <v>602</v>
      </c>
      <c r="U45" s="47">
        <v>-55</v>
      </c>
    </row>
    <row r="46" spans="1:21" x14ac:dyDescent="0.2">
      <c r="A46" s="49">
        <f t="shared" si="0"/>
        <v>5000507053</v>
      </c>
      <c r="B46" s="46">
        <v>43895</v>
      </c>
      <c r="C46" t="s">
        <v>1385</v>
      </c>
      <c r="D46" t="s">
        <v>1500</v>
      </c>
      <c r="E46" t="s">
        <v>1387</v>
      </c>
      <c r="F46" s="47">
        <v>-10</v>
      </c>
      <c r="G46" t="s">
        <v>1388</v>
      </c>
      <c r="H46" t="s">
        <v>1505</v>
      </c>
      <c r="I46" t="s">
        <v>1347</v>
      </c>
      <c r="J46" s="46">
        <v>43895</v>
      </c>
      <c r="K46" s="48">
        <v>0.65152777777778004</v>
      </c>
      <c r="L46" t="s">
        <v>3</v>
      </c>
      <c r="M46" t="s">
        <v>1390</v>
      </c>
      <c r="N46" t="s">
        <v>1506</v>
      </c>
      <c r="O46" t="s">
        <v>602</v>
      </c>
      <c r="P46" t="s">
        <v>602</v>
      </c>
      <c r="Q46" t="s">
        <v>602</v>
      </c>
      <c r="R46" t="s">
        <v>603</v>
      </c>
      <c r="S46" t="s">
        <v>602</v>
      </c>
      <c r="T46" t="s">
        <v>602</v>
      </c>
      <c r="U46" s="47">
        <v>-550</v>
      </c>
    </row>
    <row r="47" spans="1:21" x14ac:dyDescent="0.2">
      <c r="A47" s="49">
        <f t="shared" si="0"/>
        <v>5000503828</v>
      </c>
      <c r="B47" s="46">
        <v>43895</v>
      </c>
      <c r="C47" t="s">
        <v>1385</v>
      </c>
      <c r="D47" t="s">
        <v>1500</v>
      </c>
      <c r="E47" t="s">
        <v>1387</v>
      </c>
      <c r="F47" s="47">
        <v>-6</v>
      </c>
      <c r="G47" t="s">
        <v>1388</v>
      </c>
      <c r="H47" t="s">
        <v>1507</v>
      </c>
      <c r="I47" t="s">
        <v>1347</v>
      </c>
      <c r="J47" s="46">
        <v>43895</v>
      </c>
      <c r="K47" s="48">
        <v>0.65144675925925999</v>
      </c>
      <c r="L47" t="s">
        <v>3</v>
      </c>
      <c r="M47" t="s">
        <v>1390</v>
      </c>
      <c r="N47" t="s">
        <v>1508</v>
      </c>
      <c r="O47" t="s">
        <v>602</v>
      </c>
      <c r="P47" t="s">
        <v>602</v>
      </c>
      <c r="Q47" t="s">
        <v>602</v>
      </c>
      <c r="R47" t="s">
        <v>603</v>
      </c>
      <c r="S47" t="s">
        <v>602</v>
      </c>
      <c r="T47" t="s">
        <v>602</v>
      </c>
      <c r="U47" s="47">
        <v>-330</v>
      </c>
    </row>
    <row r="48" spans="1:21" x14ac:dyDescent="0.2">
      <c r="A48" s="49">
        <f t="shared" si="0"/>
        <v>5000503469</v>
      </c>
      <c r="B48" s="46">
        <v>43895</v>
      </c>
      <c r="C48" t="s">
        <v>1385</v>
      </c>
      <c r="D48" t="s">
        <v>1500</v>
      </c>
      <c r="E48" t="s">
        <v>1387</v>
      </c>
      <c r="F48" s="47">
        <v>-1</v>
      </c>
      <c r="G48" t="s">
        <v>1388</v>
      </c>
      <c r="H48" t="s">
        <v>1509</v>
      </c>
      <c r="I48" t="s">
        <v>1347</v>
      </c>
      <c r="J48" s="46">
        <v>43895</v>
      </c>
      <c r="K48" s="48">
        <v>0.65140046296295995</v>
      </c>
      <c r="L48" t="s">
        <v>3</v>
      </c>
      <c r="M48" t="s">
        <v>1390</v>
      </c>
      <c r="N48" t="s">
        <v>1510</v>
      </c>
      <c r="O48" t="s">
        <v>602</v>
      </c>
      <c r="P48" t="s">
        <v>602</v>
      </c>
      <c r="Q48" t="s">
        <v>602</v>
      </c>
      <c r="R48" t="s">
        <v>603</v>
      </c>
      <c r="S48" t="s">
        <v>602</v>
      </c>
      <c r="T48" t="s">
        <v>602</v>
      </c>
      <c r="U48" s="47">
        <v>-55</v>
      </c>
    </row>
    <row r="49" spans="1:21" x14ac:dyDescent="0.2">
      <c r="A49" s="49">
        <f t="shared" si="0"/>
        <v>6000028706</v>
      </c>
      <c r="B49" s="46">
        <v>43895</v>
      </c>
      <c r="C49" t="s">
        <v>1385</v>
      </c>
      <c r="D49" t="s">
        <v>1511</v>
      </c>
      <c r="E49" t="s">
        <v>1387</v>
      </c>
      <c r="F49" s="47">
        <v>-2</v>
      </c>
      <c r="G49" t="s">
        <v>1388</v>
      </c>
      <c r="H49" t="s">
        <v>1512</v>
      </c>
      <c r="I49" t="s">
        <v>1350</v>
      </c>
      <c r="J49" s="46">
        <v>43895</v>
      </c>
      <c r="K49" s="48">
        <v>0.45313657407406999</v>
      </c>
      <c r="L49" t="s">
        <v>3</v>
      </c>
      <c r="M49" t="s">
        <v>1390</v>
      </c>
      <c r="N49" t="s">
        <v>1513</v>
      </c>
      <c r="O49" t="s">
        <v>602</v>
      </c>
      <c r="P49" t="s">
        <v>602</v>
      </c>
      <c r="Q49" t="s">
        <v>602</v>
      </c>
      <c r="R49" t="s">
        <v>603</v>
      </c>
      <c r="S49" t="s">
        <v>602</v>
      </c>
      <c r="T49" t="s">
        <v>602</v>
      </c>
      <c r="U49" s="47">
        <v>-137</v>
      </c>
    </row>
    <row r="50" spans="1:21" x14ac:dyDescent="0.2">
      <c r="A50" s="49">
        <f t="shared" si="0"/>
        <v>5000503486</v>
      </c>
      <c r="B50" s="46">
        <v>43895</v>
      </c>
      <c r="C50" t="s">
        <v>1385</v>
      </c>
      <c r="D50" t="s">
        <v>1514</v>
      </c>
      <c r="E50" t="s">
        <v>1387</v>
      </c>
      <c r="F50" s="47">
        <v>-10</v>
      </c>
      <c r="G50" t="s">
        <v>1388</v>
      </c>
      <c r="H50" t="s">
        <v>1515</v>
      </c>
      <c r="I50" t="s">
        <v>1348</v>
      </c>
      <c r="J50" s="46">
        <v>43895</v>
      </c>
      <c r="K50" s="48">
        <v>0.45534722222222002</v>
      </c>
      <c r="L50" t="s">
        <v>3</v>
      </c>
      <c r="M50" t="s">
        <v>1390</v>
      </c>
      <c r="N50" t="s">
        <v>1516</v>
      </c>
      <c r="O50" t="s">
        <v>602</v>
      </c>
      <c r="P50" t="s">
        <v>602</v>
      </c>
      <c r="Q50" t="s">
        <v>602</v>
      </c>
      <c r="R50" t="s">
        <v>603</v>
      </c>
      <c r="S50" t="s">
        <v>602</v>
      </c>
      <c r="T50" t="s">
        <v>602</v>
      </c>
      <c r="U50" s="47">
        <v>-715</v>
      </c>
    </row>
    <row r="51" spans="1:21" x14ac:dyDescent="0.2">
      <c r="A51" s="49">
        <f t="shared" si="0"/>
        <v>5000499431</v>
      </c>
      <c r="B51" s="46">
        <v>43895</v>
      </c>
      <c r="C51" t="s">
        <v>1385</v>
      </c>
      <c r="D51" t="s">
        <v>1517</v>
      </c>
      <c r="E51" t="s">
        <v>1387</v>
      </c>
      <c r="F51" s="47">
        <v>-2</v>
      </c>
      <c r="G51" t="s">
        <v>1388</v>
      </c>
      <c r="H51" t="s">
        <v>1518</v>
      </c>
      <c r="I51" t="s">
        <v>1343</v>
      </c>
      <c r="J51" s="46">
        <v>43895</v>
      </c>
      <c r="K51" s="48">
        <v>0.45613425925925999</v>
      </c>
      <c r="L51" t="s">
        <v>3</v>
      </c>
      <c r="M51" t="s">
        <v>1390</v>
      </c>
      <c r="N51" t="s">
        <v>1519</v>
      </c>
      <c r="O51" t="s">
        <v>602</v>
      </c>
      <c r="P51" t="s">
        <v>602</v>
      </c>
      <c r="Q51" t="s">
        <v>602</v>
      </c>
      <c r="R51" t="s">
        <v>603</v>
      </c>
      <c r="S51" t="s">
        <v>602</v>
      </c>
      <c r="T51" t="s">
        <v>602</v>
      </c>
      <c r="U51" s="47">
        <v>-153</v>
      </c>
    </row>
    <row r="52" spans="1:21" x14ac:dyDescent="0.2">
      <c r="A52" s="49">
        <f t="shared" si="0"/>
        <v>5000503489</v>
      </c>
      <c r="B52" s="46">
        <v>43895</v>
      </c>
      <c r="C52" t="s">
        <v>1385</v>
      </c>
      <c r="D52" t="s">
        <v>1517</v>
      </c>
      <c r="E52" t="s">
        <v>1387</v>
      </c>
      <c r="F52" s="47">
        <v>-2</v>
      </c>
      <c r="G52" t="s">
        <v>1388</v>
      </c>
      <c r="H52" t="s">
        <v>1520</v>
      </c>
      <c r="I52" t="s">
        <v>1343</v>
      </c>
      <c r="J52" s="46">
        <v>43895</v>
      </c>
      <c r="K52" s="48">
        <v>0.45615740740741001</v>
      </c>
      <c r="L52" t="s">
        <v>3</v>
      </c>
      <c r="M52" t="s">
        <v>1390</v>
      </c>
      <c r="N52" t="s">
        <v>1521</v>
      </c>
      <c r="O52" t="s">
        <v>602</v>
      </c>
      <c r="P52" t="s">
        <v>602</v>
      </c>
      <c r="Q52" t="s">
        <v>602</v>
      </c>
      <c r="R52" t="s">
        <v>603</v>
      </c>
      <c r="S52" t="s">
        <v>602</v>
      </c>
      <c r="T52" t="s">
        <v>602</v>
      </c>
      <c r="U52" s="47">
        <v>-153</v>
      </c>
    </row>
    <row r="53" spans="1:21" x14ac:dyDescent="0.2">
      <c r="A53" s="49">
        <f t="shared" si="0"/>
        <v>6000028987</v>
      </c>
      <c r="B53" s="46">
        <v>43895</v>
      </c>
      <c r="C53" t="s">
        <v>1385</v>
      </c>
      <c r="D53" t="s">
        <v>1522</v>
      </c>
      <c r="E53" t="s">
        <v>1387</v>
      </c>
      <c r="F53" s="47">
        <v>-4</v>
      </c>
      <c r="G53" t="s">
        <v>1388</v>
      </c>
      <c r="H53" t="s">
        <v>1523</v>
      </c>
      <c r="I53" t="s">
        <v>1351</v>
      </c>
      <c r="J53" s="46">
        <v>43895</v>
      </c>
      <c r="K53" s="48">
        <v>0.53729166666667005</v>
      </c>
      <c r="L53" t="s">
        <v>3</v>
      </c>
      <c r="M53" t="s">
        <v>1390</v>
      </c>
      <c r="N53" t="s">
        <v>1524</v>
      </c>
      <c r="O53" t="s">
        <v>602</v>
      </c>
      <c r="P53" t="s">
        <v>602</v>
      </c>
      <c r="Q53" t="s">
        <v>602</v>
      </c>
      <c r="R53" t="s">
        <v>603</v>
      </c>
      <c r="S53" t="s">
        <v>602</v>
      </c>
      <c r="T53" t="s">
        <v>602</v>
      </c>
      <c r="U53" s="47">
        <v>-82</v>
      </c>
    </row>
    <row r="54" spans="1:21" x14ac:dyDescent="0.2">
      <c r="B54" s="46"/>
      <c r="F54" s="47"/>
      <c r="J54" s="46"/>
      <c r="K54" s="48"/>
      <c r="O54" t="s">
        <v>602</v>
      </c>
      <c r="P54" t="s">
        <v>602</v>
      </c>
      <c r="Q54" t="s">
        <v>602</v>
      </c>
      <c r="R54" t="s">
        <v>603</v>
      </c>
      <c r="S54" t="s">
        <v>602</v>
      </c>
      <c r="T54" t="s">
        <v>602</v>
      </c>
      <c r="U54" s="47">
        <v>-384</v>
      </c>
    </row>
    <row r="55" spans="1:21" x14ac:dyDescent="0.2">
      <c r="B55" s="46"/>
      <c r="F55" s="47"/>
      <c r="J55" s="46"/>
      <c r="K55" s="48"/>
      <c r="O55" t="s">
        <v>602</v>
      </c>
      <c r="P55" t="s">
        <v>602</v>
      </c>
      <c r="Q55" t="s">
        <v>602</v>
      </c>
      <c r="R55" t="s">
        <v>603</v>
      </c>
      <c r="S55" t="s">
        <v>602</v>
      </c>
      <c r="T55" t="s">
        <v>602</v>
      </c>
      <c r="U55" s="47">
        <v>-768</v>
      </c>
    </row>
    <row r="56" spans="1:21" x14ac:dyDescent="0.2">
      <c r="B56" s="46"/>
      <c r="F56" s="47"/>
      <c r="J56" s="46"/>
      <c r="K56" s="48"/>
      <c r="O56" t="s">
        <v>602</v>
      </c>
      <c r="P56" t="s">
        <v>602</v>
      </c>
      <c r="Q56" t="s">
        <v>602</v>
      </c>
      <c r="R56" t="s">
        <v>603</v>
      </c>
      <c r="S56" t="s">
        <v>602</v>
      </c>
      <c r="T56" t="s">
        <v>602</v>
      </c>
      <c r="U56" s="47">
        <v>-323</v>
      </c>
    </row>
    <row r="57" spans="1:21" x14ac:dyDescent="0.2">
      <c r="B57" s="46"/>
      <c r="F57" s="47"/>
      <c r="J57" s="46"/>
      <c r="K57" s="48"/>
      <c r="O57" t="s">
        <v>602</v>
      </c>
      <c r="P57" t="s">
        <v>602</v>
      </c>
      <c r="Q57" t="s">
        <v>602</v>
      </c>
      <c r="R57" t="s">
        <v>603</v>
      </c>
      <c r="S57" t="s">
        <v>602</v>
      </c>
      <c r="T57" t="s">
        <v>602</v>
      </c>
      <c r="U57" s="47">
        <v>-807</v>
      </c>
    </row>
    <row r="58" spans="1:21" x14ac:dyDescent="0.2">
      <c r="B58" s="46"/>
      <c r="F58" s="47"/>
      <c r="J58" s="46"/>
      <c r="K58" s="48"/>
      <c r="O58" t="s">
        <v>602</v>
      </c>
      <c r="P58" t="s">
        <v>602</v>
      </c>
      <c r="Q58" t="s">
        <v>602</v>
      </c>
      <c r="R58" t="s">
        <v>603</v>
      </c>
      <c r="S58" t="s">
        <v>602</v>
      </c>
      <c r="T58" t="s">
        <v>602</v>
      </c>
      <c r="U58" s="47">
        <v>-161</v>
      </c>
    </row>
    <row r="59" spans="1:21" x14ac:dyDescent="0.2">
      <c r="B59" s="46"/>
      <c r="F59" s="47"/>
      <c r="J59" s="46"/>
      <c r="K59" s="48"/>
      <c r="O59" t="s">
        <v>602</v>
      </c>
      <c r="P59" t="s">
        <v>602</v>
      </c>
      <c r="Q59" t="s">
        <v>602</v>
      </c>
      <c r="R59" t="s">
        <v>603</v>
      </c>
      <c r="S59" t="s">
        <v>602</v>
      </c>
      <c r="T59" t="s">
        <v>602</v>
      </c>
      <c r="U59" s="47">
        <v>-161</v>
      </c>
    </row>
    <row r="60" spans="1:21" x14ac:dyDescent="0.2">
      <c r="B60" s="46"/>
      <c r="F60" s="47"/>
      <c r="J60" s="46"/>
      <c r="K60" s="48"/>
      <c r="O60" t="s">
        <v>602</v>
      </c>
      <c r="P60" t="s">
        <v>602</v>
      </c>
      <c r="Q60" t="s">
        <v>602</v>
      </c>
      <c r="R60" t="s">
        <v>603</v>
      </c>
      <c r="S60" t="s">
        <v>602</v>
      </c>
      <c r="T60" t="s">
        <v>602</v>
      </c>
      <c r="U60" s="47">
        <v>-81</v>
      </c>
    </row>
    <row r="61" spans="1:21" x14ac:dyDescent="0.2">
      <c r="B61" s="46"/>
      <c r="F61" s="47"/>
      <c r="J61" s="46"/>
      <c r="K61" s="48"/>
      <c r="O61" t="s">
        <v>602</v>
      </c>
      <c r="P61" t="s">
        <v>602</v>
      </c>
      <c r="Q61" t="s">
        <v>602</v>
      </c>
      <c r="R61" t="s">
        <v>603</v>
      </c>
      <c r="S61" t="s">
        <v>602</v>
      </c>
      <c r="T61" t="s">
        <v>602</v>
      </c>
      <c r="U61" s="47">
        <v>-807</v>
      </c>
    </row>
    <row r="62" spans="1:21" x14ac:dyDescent="0.2">
      <c r="B62" s="46"/>
      <c r="F62" s="47"/>
      <c r="J62" s="46"/>
      <c r="K62" s="48"/>
      <c r="O62" t="s">
        <v>602</v>
      </c>
      <c r="P62" t="s">
        <v>602</v>
      </c>
      <c r="Q62" t="s">
        <v>602</v>
      </c>
      <c r="R62" t="s">
        <v>603</v>
      </c>
      <c r="S62" t="s">
        <v>602</v>
      </c>
      <c r="T62" t="s">
        <v>602</v>
      </c>
      <c r="U62" s="47">
        <v>-807</v>
      </c>
    </row>
    <row r="63" spans="1:21" x14ac:dyDescent="0.2">
      <c r="B63" s="46"/>
      <c r="F63" s="47"/>
      <c r="J63" s="46"/>
      <c r="K63" s="48"/>
      <c r="O63" t="s">
        <v>602</v>
      </c>
      <c r="P63" t="s">
        <v>602</v>
      </c>
      <c r="Q63" t="s">
        <v>602</v>
      </c>
      <c r="R63" t="s">
        <v>603</v>
      </c>
      <c r="S63" t="s">
        <v>602</v>
      </c>
      <c r="T63" t="s">
        <v>602</v>
      </c>
      <c r="U63" s="47">
        <v>-403</v>
      </c>
    </row>
    <row r="64" spans="1:21" x14ac:dyDescent="0.2">
      <c r="B64" s="46"/>
      <c r="F64" s="47"/>
      <c r="J64" s="46"/>
      <c r="K64" s="48"/>
      <c r="O64" t="s">
        <v>602</v>
      </c>
      <c r="P64" t="s">
        <v>602</v>
      </c>
      <c r="Q64" t="s">
        <v>602</v>
      </c>
      <c r="R64" t="s">
        <v>603</v>
      </c>
      <c r="S64" t="s">
        <v>602</v>
      </c>
      <c r="T64" t="s">
        <v>602</v>
      </c>
      <c r="U64" s="47">
        <v>-323</v>
      </c>
    </row>
    <row r="65" spans="2:21" x14ac:dyDescent="0.2">
      <c r="B65" s="46"/>
      <c r="F65" s="47"/>
      <c r="J65" s="46"/>
      <c r="K65" s="48"/>
      <c r="O65" t="s">
        <v>602</v>
      </c>
      <c r="P65" t="s">
        <v>602</v>
      </c>
      <c r="Q65" t="s">
        <v>602</v>
      </c>
      <c r="R65" t="s">
        <v>603</v>
      </c>
      <c r="S65" t="s">
        <v>602</v>
      </c>
      <c r="T65" t="s">
        <v>602</v>
      </c>
      <c r="U65" s="47">
        <v>-726</v>
      </c>
    </row>
    <row r="66" spans="2:21" x14ac:dyDescent="0.2">
      <c r="B66" s="46"/>
      <c r="F66" s="47"/>
      <c r="J66" s="46"/>
      <c r="K66" s="48"/>
      <c r="O66" t="s">
        <v>602</v>
      </c>
      <c r="P66" t="s">
        <v>602</v>
      </c>
      <c r="Q66" t="s">
        <v>602</v>
      </c>
      <c r="R66" t="s">
        <v>603</v>
      </c>
      <c r="S66" t="s">
        <v>602</v>
      </c>
      <c r="T66" t="s">
        <v>602</v>
      </c>
      <c r="U66" s="47">
        <v>-161</v>
      </c>
    </row>
    <row r="67" spans="2:21" x14ac:dyDescent="0.2">
      <c r="B67" s="46"/>
      <c r="F67" s="47"/>
      <c r="J67" s="46"/>
      <c r="K67" s="48"/>
      <c r="O67" t="s">
        <v>602</v>
      </c>
      <c r="P67" t="s">
        <v>602</v>
      </c>
      <c r="Q67" t="s">
        <v>602</v>
      </c>
      <c r="R67" t="s">
        <v>603</v>
      </c>
      <c r="S67" t="s">
        <v>602</v>
      </c>
      <c r="T67" t="s">
        <v>602</v>
      </c>
      <c r="U67" s="47">
        <v>-323</v>
      </c>
    </row>
    <row r="68" spans="2:21" x14ac:dyDescent="0.2">
      <c r="B68" s="46"/>
      <c r="F68" s="47"/>
      <c r="J68" s="46"/>
      <c r="K68" s="48"/>
      <c r="O68" t="s">
        <v>602</v>
      </c>
      <c r="P68" t="s">
        <v>602</v>
      </c>
      <c r="Q68" t="s">
        <v>602</v>
      </c>
      <c r="R68" t="s">
        <v>603</v>
      </c>
      <c r="S68" t="s">
        <v>602</v>
      </c>
      <c r="T68" t="s">
        <v>602</v>
      </c>
      <c r="U68" s="47">
        <v>-565</v>
      </c>
    </row>
    <row r="69" spans="2:21" x14ac:dyDescent="0.2">
      <c r="B69" s="46"/>
      <c r="F69" s="47"/>
      <c r="J69" s="46"/>
      <c r="K69" s="48"/>
      <c r="O69" t="s">
        <v>602</v>
      </c>
      <c r="P69" t="s">
        <v>602</v>
      </c>
      <c r="Q69" t="s">
        <v>602</v>
      </c>
      <c r="R69" t="s">
        <v>603</v>
      </c>
      <c r="S69" t="s">
        <v>602</v>
      </c>
      <c r="T69" t="s">
        <v>602</v>
      </c>
      <c r="U69" s="47">
        <v>-807</v>
      </c>
    </row>
    <row r="70" spans="2:21" x14ac:dyDescent="0.2">
      <c r="B70" s="46"/>
      <c r="F70" s="47"/>
      <c r="J70" s="46"/>
      <c r="K70" s="48"/>
      <c r="O70" t="s">
        <v>602</v>
      </c>
      <c r="P70" t="s">
        <v>602</v>
      </c>
      <c r="Q70" t="s">
        <v>602</v>
      </c>
      <c r="R70" t="s">
        <v>603</v>
      </c>
      <c r="S70" t="s">
        <v>602</v>
      </c>
      <c r="T70" t="s">
        <v>602</v>
      </c>
      <c r="U70" s="47">
        <v>-726</v>
      </c>
    </row>
    <row r="71" spans="2:21" x14ac:dyDescent="0.2">
      <c r="B71" s="46"/>
      <c r="F71" s="47"/>
      <c r="J71" s="46"/>
      <c r="K71" s="48"/>
      <c r="O71" t="s">
        <v>602</v>
      </c>
      <c r="P71" t="s">
        <v>602</v>
      </c>
      <c r="Q71" t="s">
        <v>602</v>
      </c>
      <c r="R71" t="s">
        <v>603</v>
      </c>
      <c r="S71" t="s">
        <v>602</v>
      </c>
      <c r="T71" t="s">
        <v>602</v>
      </c>
      <c r="U71" s="47">
        <v>-323</v>
      </c>
    </row>
    <row r="72" spans="2:21" x14ac:dyDescent="0.2">
      <c r="B72" s="46"/>
      <c r="F72" s="47"/>
      <c r="J72" s="46"/>
      <c r="K72" s="48"/>
      <c r="O72" t="s">
        <v>602</v>
      </c>
      <c r="P72" t="s">
        <v>602</v>
      </c>
      <c r="Q72" t="s">
        <v>602</v>
      </c>
      <c r="R72" t="s">
        <v>603</v>
      </c>
      <c r="S72" t="s">
        <v>602</v>
      </c>
      <c r="T72" t="s">
        <v>602</v>
      </c>
      <c r="U72" s="47">
        <v>-242</v>
      </c>
    </row>
    <row r="73" spans="2:21" x14ac:dyDescent="0.2">
      <c r="B73" s="46"/>
      <c r="F73" s="47"/>
      <c r="J73" s="46"/>
      <c r="K73" s="48"/>
      <c r="O73" t="s">
        <v>602</v>
      </c>
      <c r="P73" t="s">
        <v>602</v>
      </c>
      <c r="Q73" t="s">
        <v>602</v>
      </c>
      <c r="R73" t="s">
        <v>603</v>
      </c>
      <c r="S73" t="s">
        <v>602</v>
      </c>
      <c r="T73" t="s">
        <v>602</v>
      </c>
      <c r="U73" s="47">
        <v>-323</v>
      </c>
    </row>
    <row r="74" spans="2:21" x14ac:dyDescent="0.2">
      <c r="B74" s="46"/>
      <c r="F74" s="47"/>
      <c r="J74" s="46"/>
      <c r="K74" s="48"/>
      <c r="O74" t="s">
        <v>602</v>
      </c>
      <c r="P74" t="s">
        <v>602</v>
      </c>
      <c r="Q74" t="s">
        <v>602</v>
      </c>
      <c r="R74" t="s">
        <v>603</v>
      </c>
      <c r="S74" t="s">
        <v>602</v>
      </c>
      <c r="T74" t="s">
        <v>602</v>
      </c>
      <c r="U74" s="47">
        <v>-484</v>
      </c>
    </row>
    <row r="75" spans="2:21" x14ac:dyDescent="0.2">
      <c r="B75" s="46"/>
      <c r="F75" s="47"/>
      <c r="J75" s="46"/>
      <c r="K75" s="48"/>
      <c r="O75" t="s">
        <v>602</v>
      </c>
      <c r="P75" t="s">
        <v>602</v>
      </c>
      <c r="Q75" t="s">
        <v>602</v>
      </c>
      <c r="R75" t="s">
        <v>603</v>
      </c>
      <c r="S75" t="s">
        <v>602</v>
      </c>
      <c r="T75" t="s">
        <v>602</v>
      </c>
      <c r="U75" s="47">
        <v>-173</v>
      </c>
    </row>
    <row r="76" spans="2:21" x14ac:dyDescent="0.2">
      <c r="B76" s="46"/>
      <c r="F76" s="47"/>
      <c r="J76" s="46"/>
      <c r="K76" s="48"/>
      <c r="O76" t="s">
        <v>602</v>
      </c>
      <c r="P76" t="s">
        <v>602</v>
      </c>
      <c r="Q76" t="s">
        <v>602</v>
      </c>
      <c r="R76" t="s">
        <v>603</v>
      </c>
      <c r="S76" t="s">
        <v>602</v>
      </c>
      <c r="T76" t="s">
        <v>602</v>
      </c>
      <c r="U76" s="47">
        <v>-260</v>
      </c>
    </row>
    <row r="77" spans="2:21" x14ac:dyDescent="0.2">
      <c r="B77" s="46"/>
      <c r="F77" s="47"/>
      <c r="J77" s="46"/>
      <c r="K77" s="48"/>
      <c r="O77" t="s">
        <v>602</v>
      </c>
      <c r="P77" t="s">
        <v>602</v>
      </c>
      <c r="Q77" t="s">
        <v>602</v>
      </c>
      <c r="R77" t="s">
        <v>603</v>
      </c>
      <c r="S77" t="s">
        <v>602</v>
      </c>
      <c r="T77" t="s">
        <v>602</v>
      </c>
      <c r="U77" s="47">
        <v>-174</v>
      </c>
    </row>
    <row r="78" spans="2:21" x14ac:dyDescent="0.2">
      <c r="B78" s="46"/>
      <c r="F78" s="47"/>
      <c r="J78" s="46"/>
      <c r="K78" s="48"/>
      <c r="O78" t="s">
        <v>602</v>
      </c>
      <c r="P78" t="s">
        <v>602</v>
      </c>
      <c r="Q78" t="s">
        <v>602</v>
      </c>
      <c r="R78" t="s">
        <v>603</v>
      </c>
      <c r="S78" t="s">
        <v>602</v>
      </c>
      <c r="T78" t="s">
        <v>602</v>
      </c>
      <c r="U78" s="47">
        <v>-94</v>
      </c>
    </row>
    <row r="79" spans="2:21" x14ac:dyDescent="0.2">
      <c r="B79" s="46"/>
      <c r="F79" s="47"/>
      <c r="J79" s="46"/>
      <c r="K79" s="48"/>
      <c r="O79" t="s">
        <v>602</v>
      </c>
      <c r="P79" t="s">
        <v>602</v>
      </c>
      <c r="Q79" t="s">
        <v>602</v>
      </c>
      <c r="R79" t="s">
        <v>603</v>
      </c>
      <c r="S79" t="s">
        <v>602</v>
      </c>
      <c r="T79" t="s">
        <v>602</v>
      </c>
      <c r="U79" s="47">
        <v>-244</v>
      </c>
    </row>
    <row r="80" spans="2:21" x14ac:dyDescent="0.2">
      <c r="B80" s="46"/>
      <c r="F80" s="47"/>
      <c r="J80" s="46"/>
      <c r="K80" s="48"/>
      <c r="O80" t="s">
        <v>602</v>
      </c>
      <c r="P80" t="s">
        <v>602</v>
      </c>
      <c r="Q80" t="s">
        <v>602</v>
      </c>
      <c r="R80" t="s">
        <v>603</v>
      </c>
      <c r="S80" t="s">
        <v>602</v>
      </c>
      <c r="T80" t="s">
        <v>602</v>
      </c>
      <c r="U80" s="47">
        <v>-251</v>
      </c>
    </row>
    <row r="81" spans="2:21" x14ac:dyDescent="0.2">
      <c r="B81" s="46"/>
      <c r="F81" s="47"/>
      <c r="J81" s="46"/>
      <c r="K81" s="48"/>
      <c r="O81" t="s">
        <v>602</v>
      </c>
      <c r="P81" t="s">
        <v>602</v>
      </c>
      <c r="Q81" t="s">
        <v>602</v>
      </c>
      <c r="R81" t="s">
        <v>603</v>
      </c>
      <c r="S81" t="s">
        <v>602</v>
      </c>
      <c r="T81" t="s">
        <v>602</v>
      </c>
      <c r="U81" s="47">
        <v>-131</v>
      </c>
    </row>
    <row r="82" spans="2:21" x14ac:dyDescent="0.2">
      <c r="B82" s="46"/>
      <c r="F82" s="47"/>
      <c r="J82" s="46"/>
      <c r="K82" s="48"/>
      <c r="O82" t="s">
        <v>602</v>
      </c>
      <c r="P82" t="s">
        <v>602</v>
      </c>
      <c r="Q82" t="s">
        <v>602</v>
      </c>
      <c r="R82" t="s">
        <v>603</v>
      </c>
      <c r="S82" t="s">
        <v>602</v>
      </c>
      <c r="T82" t="s">
        <v>602</v>
      </c>
      <c r="U82" s="47">
        <v>-392</v>
      </c>
    </row>
    <row r="83" spans="2:21" x14ac:dyDescent="0.2">
      <c r="B83" s="46"/>
      <c r="F83" s="47"/>
      <c r="J83" s="46"/>
      <c r="K83" s="48"/>
      <c r="O83" t="s">
        <v>602</v>
      </c>
      <c r="P83" t="s">
        <v>602</v>
      </c>
      <c r="Q83" t="s">
        <v>602</v>
      </c>
      <c r="R83" t="s">
        <v>603</v>
      </c>
      <c r="S83" t="s">
        <v>602</v>
      </c>
      <c r="T83" t="s">
        <v>602</v>
      </c>
      <c r="U83" s="47">
        <v>-136</v>
      </c>
    </row>
    <row r="84" spans="2:21" x14ac:dyDescent="0.2">
      <c r="B84" s="46"/>
      <c r="F84" s="47"/>
      <c r="J84" s="46"/>
      <c r="K84" s="48"/>
      <c r="O84" t="s">
        <v>602</v>
      </c>
      <c r="P84" t="s">
        <v>602</v>
      </c>
      <c r="Q84" t="s">
        <v>602</v>
      </c>
      <c r="R84" t="s">
        <v>603</v>
      </c>
      <c r="S84" t="s">
        <v>602</v>
      </c>
      <c r="T84" t="s">
        <v>602</v>
      </c>
      <c r="U84" s="47">
        <v>-407</v>
      </c>
    </row>
    <row r="85" spans="2:21" x14ac:dyDescent="0.2">
      <c r="B85" s="46"/>
      <c r="F85" s="47"/>
      <c r="J85" s="46"/>
      <c r="K85" s="48"/>
      <c r="O85" t="s">
        <v>602</v>
      </c>
      <c r="P85" t="s">
        <v>602</v>
      </c>
      <c r="Q85" t="s">
        <v>602</v>
      </c>
      <c r="R85" t="s">
        <v>603</v>
      </c>
      <c r="S85" t="s">
        <v>602</v>
      </c>
      <c r="T85" t="s">
        <v>602</v>
      </c>
      <c r="U85" s="47">
        <v>-136</v>
      </c>
    </row>
    <row r="86" spans="2:21" x14ac:dyDescent="0.2">
      <c r="B86" s="46"/>
      <c r="F86" s="47"/>
      <c r="J86" s="46"/>
      <c r="K86" s="48"/>
      <c r="O86" t="s">
        <v>602</v>
      </c>
      <c r="P86" t="s">
        <v>602</v>
      </c>
      <c r="Q86" t="s">
        <v>602</v>
      </c>
      <c r="R86" t="s">
        <v>603</v>
      </c>
      <c r="S86" t="s">
        <v>602</v>
      </c>
      <c r="T86" t="s">
        <v>602</v>
      </c>
      <c r="U86" s="47">
        <v>-214</v>
      </c>
    </row>
    <row r="87" spans="2:21" x14ac:dyDescent="0.2">
      <c r="B87" s="46"/>
      <c r="F87" s="47"/>
      <c r="J87" s="46"/>
      <c r="K87" s="48"/>
      <c r="O87" t="s">
        <v>602</v>
      </c>
      <c r="P87" t="s">
        <v>602</v>
      </c>
      <c r="Q87" t="s">
        <v>602</v>
      </c>
      <c r="R87" t="s">
        <v>603</v>
      </c>
      <c r="S87" t="s">
        <v>602</v>
      </c>
      <c r="T87" t="s">
        <v>602</v>
      </c>
      <c r="U87" s="47">
        <v>-275</v>
      </c>
    </row>
    <row r="88" spans="2:21" x14ac:dyDescent="0.2">
      <c r="B88" s="46"/>
      <c r="F88" s="47"/>
      <c r="J88" s="46"/>
      <c r="K88" s="48"/>
      <c r="O88" t="s">
        <v>602</v>
      </c>
      <c r="P88" t="s">
        <v>602</v>
      </c>
      <c r="Q88" t="s">
        <v>602</v>
      </c>
      <c r="R88" t="s">
        <v>603</v>
      </c>
      <c r="S88" t="s">
        <v>602</v>
      </c>
      <c r="T88" t="s">
        <v>602</v>
      </c>
      <c r="U88" s="47">
        <v>-275</v>
      </c>
    </row>
    <row r="89" spans="2:21" x14ac:dyDescent="0.2">
      <c r="B89" s="46"/>
      <c r="F89" s="47"/>
      <c r="J89" s="46"/>
      <c r="K89" s="48"/>
      <c r="O89" t="s">
        <v>602</v>
      </c>
      <c r="P89" t="s">
        <v>602</v>
      </c>
      <c r="Q89" t="s">
        <v>602</v>
      </c>
      <c r="R89" t="s">
        <v>603</v>
      </c>
      <c r="S89" t="s">
        <v>602</v>
      </c>
      <c r="T89" t="s">
        <v>602</v>
      </c>
      <c r="U89" s="47">
        <v>-275</v>
      </c>
    </row>
    <row r="90" spans="2:21" x14ac:dyDescent="0.2">
      <c r="B90" s="46"/>
      <c r="F90" s="47"/>
      <c r="J90" s="46"/>
      <c r="K90" s="48"/>
      <c r="O90" t="s">
        <v>602</v>
      </c>
      <c r="P90" t="s">
        <v>602</v>
      </c>
      <c r="Q90" t="s">
        <v>602</v>
      </c>
      <c r="R90" t="s">
        <v>603</v>
      </c>
      <c r="S90" t="s">
        <v>602</v>
      </c>
      <c r="T90" t="s">
        <v>602</v>
      </c>
      <c r="U90" s="47">
        <v>-275</v>
      </c>
    </row>
    <row r="91" spans="2:21" x14ac:dyDescent="0.2">
      <c r="B91" s="46"/>
      <c r="F91" s="47"/>
      <c r="J91" s="46"/>
      <c r="K91" s="48"/>
      <c r="O91" t="s">
        <v>602</v>
      </c>
      <c r="P91" t="s">
        <v>602</v>
      </c>
      <c r="Q91" t="s">
        <v>602</v>
      </c>
      <c r="R91" t="s">
        <v>603</v>
      </c>
      <c r="S91" t="s">
        <v>602</v>
      </c>
      <c r="T91" t="s">
        <v>602</v>
      </c>
      <c r="U91" s="47">
        <v>-422</v>
      </c>
    </row>
    <row r="92" spans="2:21" x14ac:dyDescent="0.2">
      <c r="B92" s="46"/>
      <c r="F92" s="47"/>
      <c r="J92" s="46"/>
      <c r="K92" s="48"/>
      <c r="O92" t="s">
        <v>602</v>
      </c>
      <c r="P92" t="s">
        <v>602</v>
      </c>
      <c r="Q92" t="s">
        <v>602</v>
      </c>
      <c r="R92" t="s">
        <v>603</v>
      </c>
      <c r="S92" t="s">
        <v>602</v>
      </c>
      <c r="T92" t="s">
        <v>602</v>
      </c>
      <c r="U92" s="47">
        <v>-282</v>
      </c>
    </row>
    <row r="93" spans="2:21" x14ac:dyDescent="0.2">
      <c r="B93" s="46"/>
      <c r="F93" s="47"/>
      <c r="J93" s="46"/>
      <c r="K93" s="48"/>
      <c r="O93" t="s">
        <v>602</v>
      </c>
      <c r="P93" t="s">
        <v>602</v>
      </c>
      <c r="Q93" t="s">
        <v>602</v>
      </c>
      <c r="R93" t="s">
        <v>603</v>
      </c>
      <c r="S93" t="s">
        <v>602</v>
      </c>
      <c r="T93" t="s">
        <v>602</v>
      </c>
      <c r="U93" s="47">
        <v>-132</v>
      </c>
    </row>
    <row r="94" spans="2:21" x14ac:dyDescent="0.2">
      <c r="B94" s="46"/>
      <c r="F94" s="47"/>
      <c r="J94" s="46"/>
      <c r="K94" s="48"/>
      <c r="O94" t="s">
        <v>602</v>
      </c>
      <c r="P94" t="s">
        <v>602</v>
      </c>
      <c r="Q94" t="s">
        <v>602</v>
      </c>
      <c r="R94" t="s">
        <v>603</v>
      </c>
      <c r="S94" t="s">
        <v>602</v>
      </c>
      <c r="T94" t="s">
        <v>602</v>
      </c>
      <c r="U94" s="47">
        <v>-132</v>
      </c>
    </row>
    <row r="95" spans="2:21" x14ac:dyDescent="0.2">
      <c r="B95" s="46"/>
      <c r="F95" s="47"/>
      <c r="J95" s="46"/>
      <c r="K95" s="48"/>
      <c r="O95" t="s">
        <v>602</v>
      </c>
      <c r="P95" t="s">
        <v>602</v>
      </c>
      <c r="Q95" t="s">
        <v>602</v>
      </c>
      <c r="R95" t="s">
        <v>603</v>
      </c>
      <c r="S95" t="s">
        <v>602</v>
      </c>
      <c r="T95" t="s">
        <v>602</v>
      </c>
      <c r="U95" s="47">
        <v>-396</v>
      </c>
    </row>
    <row r="96" spans="2:21" x14ac:dyDescent="0.2">
      <c r="B96" s="46"/>
      <c r="F96" s="47"/>
      <c r="J96" s="46"/>
      <c r="K96" s="48"/>
      <c r="O96" t="s">
        <v>602</v>
      </c>
      <c r="P96" t="s">
        <v>602</v>
      </c>
      <c r="Q96" t="s">
        <v>602</v>
      </c>
      <c r="R96" t="s">
        <v>603</v>
      </c>
      <c r="S96" t="s">
        <v>602</v>
      </c>
      <c r="T96" t="s">
        <v>602</v>
      </c>
      <c r="U96" s="47">
        <v>-401</v>
      </c>
    </row>
    <row r="97" spans="2:21" x14ac:dyDescent="0.2">
      <c r="B97" s="46"/>
      <c r="F97" s="47"/>
      <c r="J97" s="46"/>
      <c r="K97" s="48"/>
      <c r="O97" t="s">
        <v>602</v>
      </c>
      <c r="P97" t="s">
        <v>602</v>
      </c>
      <c r="Q97" t="s">
        <v>602</v>
      </c>
      <c r="R97" t="s">
        <v>603</v>
      </c>
      <c r="S97" t="s">
        <v>602</v>
      </c>
      <c r="T97" t="s">
        <v>602</v>
      </c>
      <c r="U97" s="47">
        <v>-133</v>
      </c>
    </row>
    <row r="98" spans="2:21" x14ac:dyDescent="0.2">
      <c r="B98" s="46"/>
      <c r="F98" s="47"/>
      <c r="J98" s="46"/>
      <c r="K98" s="48"/>
      <c r="O98" t="s">
        <v>602</v>
      </c>
      <c r="P98" t="s">
        <v>602</v>
      </c>
      <c r="Q98" t="s">
        <v>602</v>
      </c>
      <c r="R98" t="s">
        <v>603</v>
      </c>
      <c r="S98" t="s">
        <v>602</v>
      </c>
      <c r="T98" t="s">
        <v>602</v>
      </c>
      <c r="U98" s="47">
        <v>-134</v>
      </c>
    </row>
    <row r="99" spans="2:21" x14ac:dyDescent="0.2">
      <c r="B99" s="46"/>
      <c r="F99" s="47"/>
      <c r="J99" s="46"/>
      <c r="K99" s="48"/>
      <c r="O99" t="s">
        <v>602</v>
      </c>
      <c r="P99" t="s">
        <v>602</v>
      </c>
      <c r="Q99" t="s">
        <v>602</v>
      </c>
      <c r="R99" t="s">
        <v>603</v>
      </c>
      <c r="S99" t="s">
        <v>602</v>
      </c>
      <c r="T99" t="s">
        <v>602</v>
      </c>
      <c r="U99" s="47">
        <v>-134</v>
      </c>
    </row>
    <row r="100" spans="2:21" x14ac:dyDescent="0.2">
      <c r="B100" s="46"/>
      <c r="F100" s="47"/>
      <c r="J100" s="46"/>
      <c r="K100" s="48"/>
      <c r="O100" t="s">
        <v>602</v>
      </c>
      <c r="P100" t="s">
        <v>602</v>
      </c>
      <c r="Q100" t="s">
        <v>602</v>
      </c>
      <c r="R100" t="s">
        <v>603</v>
      </c>
      <c r="S100" t="s">
        <v>602</v>
      </c>
      <c r="T100" t="s">
        <v>602</v>
      </c>
      <c r="U100" s="47">
        <v>-134</v>
      </c>
    </row>
    <row r="101" spans="2:21" x14ac:dyDescent="0.2">
      <c r="B101" s="46"/>
      <c r="F101" s="47"/>
      <c r="J101" s="46"/>
      <c r="K101" s="48"/>
      <c r="O101" t="s">
        <v>602</v>
      </c>
      <c r="P101" t="s">
        <v>602</v>
      </c>
      <c r="Q101" t="s">
        <v>602</v>
      </c>
      <c r="R101" t="s">
        <v>603</v>
      </c>
      <c r="S101" t="s">
        <v>602</v>
      </c>
      <c r="T101" t="s">
        <v>602</v>
      </c>
      <c r="U101" s="47">
        <v>-134</v>
      </c>
    </row>
    <row r="102" spans="2:21" x14ac:dyDescent="0.2">
      <c r="B102" s="46"/>
      <c r="F102" s="47"/>
      <c r="J102" s="46"/>
      <c r="K102" s="48"/>
      <c r="O102" t="s">
        <v>602</v>
      </c>
      <c r="P102" t="s">
        <v>602</v>
      </c>
      <c r="Q102" t="s">
        <v>602</v>
      </c>
      <c r="R102" t="s">
        <v>603</v>
      </c>
      <c r="S102" t="s">
        <v>602</v>
      </c>
      <c r="T102" t="s">
        <v>602</v>
      </c>
      <c r="U102" s="47">
        <v>-134</v>
      </c>
    </row>
    <row r="103" spans="2:21" x14ac:dyDescent="0.2">
      <c r="B103" s="46"/>
      <c r="F103" s="47"/>
      <c r="J103" s="46"/>
      <c r="K103" s="48"/>
      <c r="O103" t="s">
        <v>602</v>
      </c>
      <c r="P103" t="s">
        <v>602</v>
      </c>
      <c r="Q103" t="s">
        <v>602</v>
      </c>
      <c r="R103" t="s">
        <v>603</v>
      </c>
      <c r="S103" t="s">
        <v>602</v>
      </c>
      <c r="T103" t="s">
        <v>602</v>
      </c>
      <c r="U103" s="47">
        <v>-134</v>
      </c>
    </row>
    <row r="104" spans="2:21" x14ac:dyDescent="0.2">
      <c r="B104" s="46"/>
      <c r="F104" s="47"/>
      <c r="J104" s="46"/>
      <c r="K104" s="48"/>
      <c r="O104" t="s">
        <v>602</v>
      </c>
      <c r="P104" t="s">
        <v>602</v>
      </c>
      <c r="Q104" t="s">
        <v>602</v>
      </c>
      <c r="R104" t="s">
        <v>603</v>
      </c>
      <c r="S104" t="s">
        <v>602</v>
      </c>
      <c r="T104" t="s">
        <v>602</v>
      </c>
      <c r="U104" s="47">
        <v>-134</v>
      </c>
    </row>
    <row r="105" spans="2:21" x14ac:dyDescent="0.2">
      <c r="B105" s="46"/>
      <c r="F105" s="47"/>
      <c r="J105" s="46"/>
      <c r="K105" s="48"/>
      <c r="O105" t="s">
        <v>602</v>
      </c>
      <c r="P105" t="s">
        <v>602</v>
      </c>
      <c r="Q105" t="s">
        <v>602</v>
      </c>
      <c r="R105" t="s">
        <v>603</v>
      </c>
      <c r="S105" t="s">
        <v>602</v>
      </c>
      <c r="T105" t="s">
        <v>602</v>
      </c>
      <c r="U105" s="47">
        <v>-134</v>
      </c>
    </row>
    <row r="106" spans="2:21" x14ac:dyDescent="0.2">
      <c r="B106" s="46"/>
      <c r="F106" s="47"/>
      <c r="J106" s="46"/>
      <c r="K106" s="48"/>
      <c r="O106" t="s">
        <v>602</v>
      </c>
      <c r="P106" t="s">
        <v>602</v>
      </c>
      <c r="Q106" t="s">
        <v>602</v>
      </c>
      <c r="R106" t="s">
        <v>603</v>
      </c>
      <c r="S106" t="s">
        <v>602</v>
      </c>
      <c r="T106" t="s">
        <v>602</v>
      </c>
      <c r="U106" s="47">
        <v>-134</v>
      </c>
    </row>
    <row r="107" spans="2:21" x14ac:dyDescent="0.2">
      <c r="B107" s="46"/>
      <c r="F107" s="47"/>
      <c r="J107" s="46"/>
      <c r="K107" s="48"/>
      <c r="O107" t="s">
        <v>602</v>
      </c>
      <c r="P107" t="s">
        <v>602</v>
      </c>
      <c r="Q107" t="s">
        <v>602</v>
      </c>
      <c r="R107" t="s">
        <v>603</v>
      </c>
      <c r="S107" t="s">
        <v>602</v>
      </c>
      <c r="T107" t="s">
        <v>602</v>
      </c>
      <c r="U107" s="47">
        <v>-134</v>
      </c>
    </row>
    <row r="108" spans="2:21" x14ac:dyDescent="0.2">
      <c r="B108" s="46"/>
      <c r="F108" s="47"/>
      <c r="J108" s="46"/>
      <c r="K108" s="48"/>
      <c r="O108" t="s">
        <v>602</v>
      </c>
      <c r="P108" t="s">
        <v>602</v>
      </c>
      <c r="Q108" t="s">
        <v>602</v>
      </c>
      <c r="R108" t="s">
        <v>603</v>
      </c>
      <c r="S108" t="s">
        <v>602</v>
      </c>
      <c r="T108" t="s">
        <v>602</v>
      </c>
      <c r="U108" s="47">
        <v>-134</v>
      </c>
    </row>
    <row r="109" spans="2:21" x14ac:dyDescent="0.2">
      <c r="B109" s="46"/>
      <c r="F109" s="47"/>
      <c r="J109" s="46"/>
      <c r="K109" s="48"/>
      <c r="O109" t="s">
        <v>602</v>
      </c>
      <c r="P109" t="s">
        <v>602</v>
      </c>
      <c r="Q109" t="s">
        <v>602</v>
      </c>
      <c r="R109" t="s">
        <v>603</v>
      </c>
      <c r="S109" t="s">
        <v>602</v>
      </c>
      <c r="T109" t="s">
        <v>602</v>
      </c>
      <c r="U109" s="47">
        <v>-134</v>
      </c>
    </row>
    <row r="110" spans="2:21" x14ac:dyDescent="0.2">
      <c r="B110" s="46"/>
      <c r="F110" s="47"/>
      <c r="J110" s="46"/>
      <c r="K110" s="48"/>
      <c r="O110" t="s">
        <v>602</v>
      </c>
      <c r="P110" t="s">
        <v>602</v>
      </c>
      <c r="Q110" t="s">
        <v>602</v>
      </c>
      <c r="R110" t="s">
        <v>603</v>
      </c>
      <c r="S110" t="s">
        <v>602</v>
      </c>
      <c r="T110" t="s">
        <v>602</v>
      </c>
      <c r="U110" s="47">
        <v>-134</v>
      </c>
    </row>
    <row r="111" spans="2:21" x14ac:dyDescent="0.2">
      <c r="B111" s="46"/>
      <c r="F111" s="47"/>
      <c r="J111" s="46"/>
      <c r="K111" s="48"/>
      <c r="O111" t="s">
        <v>602</v>
      </c>
      <c r="P111" t="s">
        <v>602</v>
      </c>
      <c r="Q111" t="s">
        <v>602</v>
      </c>
      <c r="R111" t="s">
        <v>603</v>
      </c>
      <c r="S111" t="s">
        <v>602</v>
      </c>
      <c r="T111" t="s">
        <v>602</v>
      </c>
      <c r="U111" s="47">
        <v>-134</v>
      </c>
    </row>
    <row r="112" spans="2:21" x14ac:dyDescent="0.2">
      <c r="B112" s="46"/>
      <c r="F112" s="47"/>
      <c r="J112" s="46"/>
      <c r="K112" s="48"/>
      <c r="O112" t="s">
        <v>602</v>
      </c>
      <c r="P112" t="s">
        <v>602</v>
      </c>
      <c r="Q112" t="s">
        <v>602</v>
      </c>
      <c r="R112" t="s">
        <v>603</v>
      </c>
      <c r="S112" t="s">
        <v>602</v>
      </c>
      <c r="T112" t="s">
        <v>602</v>
      </c>
      <c r="U112" s="47">
        <v>-139</v>
      </c>
    </row>
    <row r="113" spans="2:21" x14ac:dyDescent="0.2">
      <c r="B113" s="46"/>
      <c r="F113" s="47"/>
      <c r="J113" s="46"/>
      <c r="K113" s="48"/>
      <c r="O113" t="s">
        <v>602</v>
      </c>
      <c r="P113" t="s">
        <v>602</v>
      </c>
      <c r="Q113" t="s">
        <v>602</v>
      </c>
      <c r="R113" t="s">
        <v>603</v>
      </c>
      <c r="S113" t="s">
        <v>602</v>
      </c>
      <c r="T113" t="s">
        <v>602</v>
      </c>
      <c r="U113" s="47">
        <v>-139</v>
      </c>
    </row>
    <row r="114" spans="2:21" x14ac:dyDescent="0.2">
      <c r="B114" s="46"/>
      <c r="F114" s="47"/>
      <c r="J114" s="46"/>
      <c r="K114" s="48"/>
      <c r="O114" t="s">
        <v>602</v>
      </c>
      <c r="P114" t="s">
        <v>602</v>
      </c>
      <c r="Q114" t="s">
        <v>602</v>
      </c>
      <c r="R114" t="s">
        <v>603</v>
      </c>
      <c r="S114" t="s">
        <v>602</v>
      </c>
      <c r="T114" t="s">
        <v>602</v>
      </c>
      <c r="U114" s="47">
        <v>-139</v>
      </c>
    </row>
    <row r="115" spans="2:21" x14ac:dyDescent="0.2">
      <c r="B115" s="46"/>
      <c r="F115" s="47"/>
      <c r="J115" s="46"/>
      <c r="K115" s="48"/>
      <c r="O115" t="s">
        <v>602</v>
      </c>
      <c r="P115" t="s">
        <v>602</v>
      </c>
      <c r="Q115" t="s">
        <v>602</v>
      </c>
      <c r="R115" t="s">
        <v>603</v>
      </c>
      <c r="S115" t="s">
        <v>602</v>
      </c>
      <c r="T115" t="s">
        <v>602</v>
      </c>
      <c r="U115" s="47">
        <v>-139</v>
      </c>
    </row>
    <row r="116" spans="2:21" x14ac:dyDescent="0.2">
      <c r="B116" s="46"/>
      <c r="F116" s="47"/>
      <c r="J116" s="46"/>
      <c r="K116" s="48"/>
      <c r="O116" t="s">
        <v>602</v>
      </c>
      <c r="P116" t="s">
        <v>602</v>
      </c>
      <c r="Q116" t="s">
        <v>602</v>
      </c>
      <c r="R116" t="s">
        <v>603</v>
      </c>
      <c r="S116" t="s">
        <v>602</v>
      </c>
      <c r="T116" t="s">
        <v>602</v>
      </c>
      <c r="U116" s="47">
        <v>-136</v>
      </c>
    </row>
    <row r="117" spans="2:21" x14ac:dyDescent="0.2">
      <c r="B117" s="46"/>
      <c r="F117" s="47"/>
      <c r="J117" s="46"/>
      <c r="K117" s="48"/>
      <c r="O117" t="s">
        <v>602</v>
      </c>
      <c r="P117" t="s">
        <v>602</v>
      </c>
      <c r="Q117" t="s">
        <v>602</v>
      </c>
      <c r="R117" t="s">
        <v>603</v>
      </c>
      <c r="S117" t="s">
        <v>602</v>
      </c>
      <c r="T117" t="s">
        <v>602</v>
      </c>
      <c r="U117" s="47">
        <v>-271</v>
      </c>
    </row>
    <row r="118" spans="2:21" x14ac:dyDescent="0.2">
      <c r="B118" s="46"/>
      <c r="F118" s="47"/>
      <c r="J118" s="46"/>
      <c r="K118" s="48"/>
      <c r="O118" t="s">
        <v>602</v>
      </c>
      <c r="P118" t="s">
        <v>602</v>
      </c>
      <c r="Q118" t="s">
        <v>602</v>
      </c>
      <c r="R118" t="s">
        <v>603</v>
      </c>
      <c r="S118" t="s">
        <v>602</v>
      </c>
      <c r="T118" t="s">
        <v>602</v>
      </c>
      <c r="U118" s="47">
        <v>-132</v>
      </c>
    </row>
    <row r="119" spans="2:21" x14ac:dyDescent="0.2">
      <c r="B119" s="46"/>
      <c r="F119" s="47"/>
      <c r="J119" s="46"/>
      <c r="K119" s="48"/>
      <c r="O119" t="s">
        <v>602</v>
      </c>
      <c r="P119" t="s">
        <v>602</v>
      </c>
      <c r="Q119" t="s">
        <v>602</v>
      </c>
      <c r="R119" t="s">
        <v>603</v>
      </c>
      <c r="S119" t="s">
        <v>602</v>
      </c>
      <c r="T119" t="s">
        <v>602</v>
      </c>
      <c r="U119" s="47">
        <v>-135</v>
      </c>
    </row>
    <row r="120" spans="2:21" x14ac:dyDescent="0.2">
      <c r="B120" s="46"/>
      <c r="F120" s="47"/>
      <c r="J120" s="46"/>
      <c r="K120" s="48"/>
      <c r="O120" t="s">
        <v>602</v>
      </c>
      <c r="P120" t="s">
        <v>602</v>
      </c>
      <c r="Q120" t="s">
        <v>602</v>
      </c>
      <c r="R120" t="s">
        <v>603</v>
      </c>
      <c r="S120" t="s">
        <v>602</v>
      </c>
      <c r="T120" t="s">
        <v>602</v>
      </c>
      <c r="U120" s="47">
        <v>-270</v>
      </c>
    </row>
    <row r="121" spans="2:21" x14ac:dyDescent="0.2">
      <c r="B121" s="46"/>
      <c r="F121" s="47"/>
      <c r="J121" s="46"/>
      <c r="K121" s="48"/>
      <c r="O121" t="s">
        <v>602</v>
      </c>
      <c r="P121" t="s">
        <v>602</v>
      </c>
      <c r="Q121" t="s">
        <v>602</v>
      </c>
      <c r="R121" t="s">
        <v>603</v>
      </c>
      <c r="S121" t="s">
        <v>602</v>
      </c>
      <c r="T121" t="s">
        <v>602</v>
      </c>
      <c r="U121" s="47">
        <v>-270</v>
      </c>
    </row>
    <row r="122" spans="2:21" x14ac:dyDescent="0.2">
      <c r="B122" s="46"/>
      <c r="F122" s="47"/>
      <c r="J122" s="46"/>
      <c r="K122" s="48"/>
      <c r="O122" t="s">
        <v>602</v>
      </c>
      <c r="P122" t="s">
        <v>602</v>
      </c>
      <c r="Q122" t="s">
        <v>602</v>
      </c>
      <c r="R122" t="s">
        <v>603</v>
      </c>
      <c r="S122" t="s">
        <v>602</v>
      </c>
      <c r="T122" t="s">
        <v>602</v>
      </c>
      <c r="U122" s="47">
        <v>-416</v>
      </c>
    </row>
    <row r="123" spans="2:21" x14ac:dyDescent="0.2">
      <c r="B123" s="46"/>
      <c r="F123" s="47"/>
      <c r="J123" s="46"/>
      <c r="K123" s="48"/>
      <c r="O123" t="s">
        <v>602</v>
      </c>
      <c r="P123" t="s">
        <v>602</v>
      </c>
      <c r="Q123" t="s">
        <v>602</v>
      </c>
      <c r="R123" t="s">
        <v>603</v>
      </c>
      <c r="S123" t="s">
        <v>602</v>
      </c>
      <c r="T123" t="s">
        <v>602</v>
      </c>
      <c r="U123" s="47">
        <v>-142</v>
      </c>
    </row>
    <row r="124" spans="2:21" x14ac:dyDescent="0.2">
      <c r="B124" s="46"/>
      <c r="F124" s="47"/>
      <c r="J124" s="46"/>
      <c r="K124" s="48"/>
      <c r="O124" t="s">
        <v>602</v>
      </c>
      <c r="P124" t="s">
        <v>602</v>
      </c>
      <c r="Q124" t="s">
        <v>602</v>
      </c>
      <c r="R124" t="s">
        <v>603</v>
      </c>
      <c r="S124" t="s">
        <v>602</v>
      </c>
      <c r="T124" t="s">
        <v>602</v>
      </c>
      <c r="U124" s="47">
        <v>-146</v>
      </c>
    </row>
    <row r="125" spans="2:21" x14ac:dyDescent="0.2">
      <c r="B125" s="46"/>
      <c r="F125" s="47"/>
      <c r="J125" s="46"/>
      <c r="K125" s="48"/>
      <c r="O125" t="s">
        <v>602</v>
      </c>
      <c r="P125" t="s">
        <v>602</v>
      </c>
      <c r="Q125" t="s">
        <v>602</v>
      </c>
      <c r="R125" t="s">
        <v>603</v>
      </c>
      <c r="S125" t="s">
        <v>602</v>
      </c>
      <c r="T125" t="s">
        <v>602</v>
      </c>
      <c r="U125" s="47">
        <v>-147</v>
      </c>
    </row>
    <row r="126" spans="2:21" x14ac:dyDescent="0.2">
      <c r="B126" s="46"/>
      <c r="F126" s="47"/>
      <c r="J126" s="46"/>
      <c r="K126" s="48"/>
      <c r="O126" t="s">
        <v>602</v>
      </c>
      <c r="P126" t="s">
        <v>602</v>
      </c>
      <c r="Q126" t="s">
        <v>602</v>
      </c>
      <c r="R126" t="s">
        <v>603</v>
      </c>
      <c r="S126" t="s">
        <v>602</v>
      </c>
      <c r="T126" t="s">
        <v>602</v>
      </c>
      <c r="U126" s="47">
        <v>-377</v>
      </c>
    </row>
    <row r="127" spans="2:21" x14ac:dyDescent="0.2">
      <c r="B127" s="46"/>
      <c r="F127" s="47"/>
      <c r="J127" s="46"/>
      <c r="K127" s="48"/>
      <c r="O127" t="s">
        <v>602</v>
      </c>
      <c r="P127" t="s">
        <v>602</v>
      </c>
      <c r="Q127" t="s">
        <v>602</v>
      </c>
      <c r="R127" t="s">
        <v>603</v>
      </c>
      <c r="S127" t="s">
        <v>602</v>
      </c>
      <c r="T127" t="s">
        <v>602</v>
      </c>
      <c r="U127" s="47">
        <v>-1586</v>
      </c>
    </row>
    <row r="128" spans="2:21" x14ac:dyDescent="0.2">
      <c r="B128" s="46"/>
      <c r="F128" s="47"/>
      <c r="J128" s="46"/>
      <c r="K128" s="48"/>
      <c r="O128" t="s">
        <v>602</v>
      </c>
      <c r="P128" t="s">
        <v>602</v>
      </c>
      <c r="Q128" t="s">
        <v>602</v>
      </c>
      <c r="R128" t="s">
        <v>603</v>
      </c>
      <c r="S128" t="s">
        <v>602</v>
      </c>
      <c r="T128" t="s">
        <v>602</v>
      </c>
      <c r="U128" s="47">
        <v>-321</v>
      </c>
    </row>
    <row r="129" spans="2:21" x14ac:dyDescent="0.2">
      <c r="B129" s="46"/>
      <c r="F129" s="47"/>
      <c r="J129" s="46"/>
      <c r="K129" s="48"/>
      <c r="O129" t="s">
        <v>602</v>
      </c>
      <c r="P129" t="s">
        <v>602</v>
      </c>
      <c r="Q129" t="s">
        <v>602</v>
      </c>
      <c r="R129" t="s">
        <v>603</v>
      </c>
      <c r="S129" t="s">
        <v>602</v>
      </c>
      <c r="T129" t="s">
        <v>602</v>
      </c>
      <c r="U129" s="47">
        <v>-1605</v>
      </c>
    </row>
    <row r="130" spans="2:21" x14ac:dyDescent="0.2">
      <c r="B130" s="46"/>
      <c r="F130" s="47"/>
      <c r="J130" s="46"/>
      <c r="K130" s="48"/>
      <c r="O130" t="s">
        <v>602</v>
      </c>
      <c r="P130" t="s">
        <v>602</v>
      </c>
      <c r="Q130" t="s">
        <v>602</v>
      </c>
      <c r="R130" t="s">
        <v>603</v>
      </c>
      <c r="S130" t="s">
        <v>602</v>
      </c>
      <c r="T130" t="s">
        <v>602</v>
      </c>
      <c r="U130" s="47">
        <v>-164</v>
      </c>
    </row>
    <row r="131" spans="2:21" x14ac:dyDescent="0.2">
      <c r="B131" s="46"/>
      <c r="F131" s="47"/>
      <c r="J131" s="46"/>
      <c r="K131" s="48"/>
      <c r="O131" t="s">
        <v>602</v>
      </c>
      <c r="P131" t="s">
        <v>602</v>
      </c>
      <c r="Q131" t="s">
        <v>602</v>
      </c>
      <c r="R131" t="s">
        <v>603</v>
      </c>
      <c r="S131" t="s">
        <v>602</v>
      </c>
      <c r="T131" t="s">
        <v>602</v>
      </c>
      <c r="U131" s="47">
        <v>-164</v>
      </c>
    </row>
    <row r="132" spans="2:21" x14ac:dyDescent="0.2">
      <c r="B132" s="46"/>
      <c r="F132" s="47"/>
      <c r="J132" s="46"/>
      <c r="K132" s="48"/>
      <c r="O132" t="s">
        <v>602</v>
      </c>
      <c r="P132" t="s">
        <v>602</v>
      </c>
      <c r="Q132" t="s">
        <v>602</v>
      </c>
      <c r="R132" t="s">
        <v>603</v>
      </c>
      <c r="S132" t="s">
        <v>602</v>
      </c>
      <c r="T132" t="s">
        <v>602</v>
      </c>
      <c r="U132" s="47">
        <v>-12</v>
      </c>
    </row>
    <row r="133" spans="2:21" x14ac:dyDescent="0.2">
      <c r="B133" s="46"/>
      <c r="F133" s="47"/>
      <c r="J133" s="46"/>
      <c r="K133" s="48"/>
      <c r="O133" t="s">
        <v>602</v>
      </c>
      <c r="P133" t="s">
        <v>602</v>
      </c>
      <c r="Q133" t="s">
        <v>602</v>
      </c>
      <c r="R133" t="s">
        <v>603</v>
      </c>
      <c r="S133" t="s">
        <v>602</v>
      </c>
      <c r="T133" t="s">
        <v>602</v>
      </c>
      <c r="U133" s="47">
        <v>-29</v>
      </c>
    </row>
    <row r="134" spans="2:21" x14ac:dyDescent="0.2">
      <c r="B134" s="46"/>
      <c r="F134" s="47"/>
      <c r="J134" s="46"/>
      <c r="K134" s="48"/>
      <c r="O134" t="s">
        <v>602</v>
      </c>
      <c r="P134" t="s">
        <v>602</v>
      </c>
      <c r="Q134" t="s">
        <v>602</v>
      </c>
      <c r="R134" t="s">
        <v>603</v>
      </c>
      <c r="S134" t="s">
        <v>602</v>
      </c>
      <c r="T134" t="s">
        <v>602</v>
      </c>
      <c r="U134" s="47">
        <v>-116</v>
      </c>
    </row>
    <row r="135" spans="2:21" x14ac:dyDescent="0.2">
      <c r="B135" s="46"/>
      <c r="F135" s="47"/>
      <c r="J135" s="46"/>
      <c r="K135" s="48"/>
      <c r="O135" t="s">
        <v>602</v>
      </c>
      <c r="P135" t="s">
        <v>602</v>
      </c>
      <c r="Q135" t="s">
        <v>602</v>
      </c>
      <c r="R135" t="s">
        <v>603</v>
      </c>
      <c r="S135" t="s">
        <v>602</v>
      </c>
      <c r="T135" t="s">
        <v>602</v>
      </c>
      <c r="U135" s="47">
        <v>-29</v>
      </c>
    </row>
    <row r="136" spans="2:21" x14ac:dyDescent="0.2">
      <c r="B136" s="46"/>
      <c r="F136" s="47"/>
      <c r="J136" s="46"/>
      <c r="K136" s="48"/>
      <c r="O136" t="s">
        <v>602</v>
      </c>
      <c r="P136" t="s">
        <v>602</v>
      </c>
      <c r="Q136" t="s">
        <v>602</v>
      </c>
      <c r="R136" t="s">
        <v>603</v>
      </c>
      <c r="S136" t="s">
        <v>602</v>
      </c>
      <c r="T136" t="s">
        <v>602</v>
      </c>
      <c r="U136" s="47">
        <v>-12</v>
      </c>
    </row>
    <row r="137" spans="2:21" x14ac:dyDescent="0.2">
      <c r="B137" s="46"/>
      <c r="F137" s="47"/>
      <c r="J137" s="46"/>
      <c r="K137" s="48"/>
      <c r="O137" t="s">
        <v>602</v>
      </c>
      <c r="P137" t="s">
        <v>602</v>
      </c>
      <c r="Q137" t="s">
        <v>602</v>
      </c>
      <c r="R137" t="s">
        <v>603</v>
      </c>
      <c r="S137" t="s">
        <v>602</v>
      </c>
      <c r="T137" t="s">
        <v>602</v>
      </c>
      <c r="U137" s="47">
        <v>-6</v>
      </c>
    </row>
    <row r="138" spans="2:21" x14ac:dyDescent="0.2">
      <c r="B138" s="46"/>
      <c r="F138" s="47"/>
      <c r="J138" s="46"/>
      <c r="K138" s="48"/>
      <c r="O138" t="s">
        <v>602</v>
      </c>
      <c r="P138" t="s">
        <v>602</v>
      </c>
      <c r="Q138" t="s">
        <v>602</v>
      </c>
      <c r="R138" t="s">
        <v>603</v>
      </c>
      <c r="S138" t="s">
        <v>602</v>
      </c>
      <c r="T138" t="s">
        <v>602</v>
      </c>
      <c r="U138" s="47">
        <v>-17</v>
      </c>
    </row>
    <row r="139" spans="2:21" x14ac:dyDescent="0.2">
      <c r="B139" s="46"/>
      <c r="F139" s="47"/>
      <c r="J139" s="46"/>
      <c r="K139" s="48"/>
      <c r="O139" t="s">
        <v>602</v>
      </c>
      <c r="P139" t="s">
        <v>602</v>
      </c>
      <c r="Q139" t="s">
        <v>602</v>
      </c>
      <c r="R139" t="s">
        <v>603</v>
      </c>
      <c r="S139" t="s">
        <v>602</v>
      </c>
      <c r="T139" t="s">
        <v>602</v>
      </c>
      <c r="U139" s="47">
        <v>-116</v>
      </c>
    </row>
    <row r="140" spans="2:21" x14ac:dyDescent="0.2">
      <c r="B140" s="46"/>
      <c r="F140" s="47"/>
      <c r="J140" s="46"/>
      <c r="K140" s="48"/>
      <c r="O140" t="s">
        <v>602</v>
      </c>
      <c r="P140" t="s">
        <v>602</v>
      </c>
      <c r="Q140" t="s">
        <v>602</v>
      </c>
      <c r="R140" t="s">
        <v>603</v>
      </c>
      <c r="S140" t="s">
        <v>602</v>
      </c>
      <c r="T140" t="s">
        <v>602</v>
      </c>
      <c r="U140" s="47">
        <v>-29</v>
      </c>
    </row>
    <row r="141" spans="2:21" x14ac:dyDescent="0.2">
      <c r="B141" s="46"/>
      <c r="F141" s="47"/>
      <c r="J141" s="46"/>
      <c r="K141" s="48"/>
      <c r="O141" t="s">
        <v>602</v>
      </c>
      <c r="P141" t="s">
        <v>602</v>
      </c>
      <c r="Q141" t="s">
        <v>602</v>
      </c>
      <c r="R141" t="s">
        <v>603</v>
      </c>
      <c r="S141" t="s">
        <v>602</v>
      </c>
      <c r="T141" t="s">
        <v>602</v>
      </c>
      <c r="U141" s="47">
        <v>-29</v>
      </c>
    </row>
    <row r="142" spans="2:21" x14ac:dyDescent="0.2">
      <c r="B142" s="46"/>
      <c r="F142" s="47"/>
      <c r="J142" s="46"/>
      <c r="K142" s="48"/>
      <c r="O142" t="s">
        <v>602</v>
      </c>
      <c r="P142" t="s">
        <v>602</v>
      </c>
      <c r="Q142" t="s">
        <v>602</v>
      </c>
      <c r="R142" t="s">
        <v>603</v>
      </c>
      <c r="S142" t="s">
        <v>602</v>
      </c>
      <c r="T142" t="s">
        <v>602</v>
      </c>
      <c r="U142" s="47">
        <v>-17</v>
      </c>
    </row>
    <row r="143" spans="2:21" x14ac:dyDescent="0.2">
      <c r="B143" s="46"/>
      <c r="F143" s="47"/>
      <c r="J143" s="46"/>
      <c r="K143" s="48"/>
      <c r="O143" t="s">
        <v>602</v>
      </c>
      <c r="P143" t="s">
        <v>602</v>
      </c>
      <c r="Q143" t="s">
        <v>602</v>
      </c>
      <c r="R143" t="s">
        <v>603</v>
      </c>
      <c r="S143" t="s">
        <v>602</v>
      </c>
      <c r="T143" t="s">
        <v>602</v>
      </c>
      <c r="U143" s="47">
        <v>-41</v>
      </c>
    </row>
    <row r="144" spans="2:21" x14ac:dyDescent="0.2">
      <c r="B144" s="46"/>
      <c r="F144" s="47"/>
      <c r="J144" s="46"/>
      <c r="K144" s="48"/>
      <c r="O144" t="s">
        <v>602</v>
      </c>
      <c r="P144" t="s">
        <v>602</v>
      </c>
      <c r="Q144" t="s">
        <v>602</v>
      </c>
      <c r="R144" t="s">
        <v>603</v>
      </c>
      <c r="S144" t="s">
        <v>602</v>
      </c>
      <c r="T144" t="s">
        <v>602</v>
      </c>
      <c r="U144" s="47">
        <v>-17</v>
      </c>
    </row>
    <row r="145" spans="2:21" x14ac:dyDescent="0.2">
      <c r="B145" s="46"/>
      <c r="F145" s="47"/>
      <c r="J145" s="46"/>
      <c r="K145" s="48"/>
      <c r="O145" t="s">
        <v>602</v>
      </c>
      <c r="P145" t="s">
        <v>602</v>
      </c>
      <c r="Q145" t="s">
        <v>602</v>
      </c>
      <c r="R145" t="s">
        <v>603</v>
      </c>
      <c r="S145" t="s">
        <v>602</v>
      </c>
      <c r="T145" t="s">
        <v>602</v>
      </c>
      <c r="U145" s="47">
        <v>-116</v>
      </c>
    </row>
    <row r="146" spans="2:21" x14ac:dyDescent="0.2">
      <c r="B146" s="46"/>
      <c r="F146" s="47"/>
      <c r="J146" s="46"/>
      <c r="K146" s="48"/>
      <c r="O146" t="s">
        <v>602</v>
      </c>
      <c r="P146" t="s">
        <v>602</v>
      </c>
      <c r="Q146" t="s">
        <v>602</v>
      </c>
      <c r="R146" t="s">
        <v>603</v>
      </c>
      <c r="S146" t="s">
        <v>602</v>
      </c>
      <c r="T146" t="s">
        <v>602</v>
      </c>
      <c r="U146" s="47">
        <v>-29</v>
      </c>
    </row>
    <row r="147" spans="2:21" x14ac:dyDescent="0.2">
      <c r="B147" s="46"/>
      <c r="F147" s="47"/>
      <c r="J147" s="46"/>
      <c r="K147" s="48"/>
      <c r="O147" t="s">
        <v>602</v>
      </c>
      <c r="P147" t="s">
        <v>602</v>
      </c>
      <c r="Q147" t="s">
        <v>602</v>
      </c>
      <c r="R147" t="s">
        <v>603</v>
      </c>
      <c r="S147" t="s">
        <v>602</v>
      </c>
      <c r="T147" t="s">
        <v>602</v>
      </c>
      <c r="U147" s="47">
        <v>-116</v>
      </c>
    </row>
    <row r="148" spans="2:21" x14ac:dyDescent="0.2">
      <c r="B148" s="46"/>
      <c r="F148" s="47"/>
      <c r="J148" s="46"/>
      <c r="K148" s="48"/>
      <c r="O148" t="s">
        <v>602</v>
      </c>
      <c r="P148" t="s">
        <v>602</v>
      </c>
      <c r="Q148" t="s">
        <v>602</v>
      </c>
      <c r="R148" t="s">
        <v>603</v>
      </c>
      <c r="S148" t="s">
        <v>602</v>
      </c>
      <c r="T148" t="s">
        <v>602</v>
      </c>
      <c r="U148" s="47">
        <v>-46</v>
      </c>
    </row>
    <row r="149" spans="2:21" x14ac:dyDescent="0.2">
      <c r="B149" s="46"/>
      <c r="F149" s="47"/>
      <c r="J149" s="46"/>
      <c r="K149" s="48"/>
      <c r="O149" t="s">
        <v>602</v>
      </c>
      <c r="P149" t="s">
        <v>602</v>
      </c>
      <c r="Q149" t="s">
        <v>602</v>
      </c>
      <c r="R149" t="s">
        <v>603</v>
      </c>
      <c r="S149" t="s">
        <v>602</v>
      </c>
      <c r="T149" t="s">
        <v>602</v>
      </c>
      <c r="U149" s="47">
        <v>-116</v>
      </c>
    </row>
    <row r="150" spans="2:21" x14ac:dyDescent="0.2">
      <c r="B150" s="46"/>
      <c r="F150" s="47"/>
      <c r="J150" s="46"/>
      <c r="K150" s="48"/>
      <c r="O150" t="s">
        <v>602</v>
      </c>
      <c r="P150" t="s">
        <v>602</v>
      </c>
      <c r="Q150" t="s">
        <v>602</v>
      </c>
      <c r="R150" t="s">
        <v>603</v>
      </c>
      <c r="S150" t="s">
        <v>602</v>
      </c>
      <c r="T150" t="s">
        <v>602</v>
      </c>
      <c r="U150" s="47">
        <v>-46</v>
      </c>
    </row>
    <row r="151" spans="2:21" x14ac:dyDescent="0.2">
      <c r="B151" s="46"/>
      <c r="F151" s="47"/>
      <c r="J151" s="46"/>
      <c r="K151" s="48"/>
      <c r="O151" t="s">
        <v>602</v>
      </c>
      <c r="P151" t="s">
        <v>602</v>
      </c>
      <c r="Q151" t="s">
        <v>602</v>
      </c>
      <c r="R151" t="s">
        <v>603</v>
      </c>
      <c r="S151" t="s">
        <v>602</v>
      </c>
      <c r="T151" t="s">
        <v>602</v>
      </c>
      <c r="U151" s="47">
        <v>-116</v>
      </c>
    </row>
    <row r="152" spans="2:21" x14ac:dyDescent="0.2">
      <c r="B152" s="46"/>
      <c r="F152" s="47"/>
      <c r="J152" s="46"/>
      <c r="K152" s="48"/>
      <c r="O152" t="s">
        <v>602</v>
      </c>
      <c r="P152" t="s">
        <v>602</v>
      </c>
      <c r="Q152" t="s">
        <v>602</v>
      </c>
      <c r="R152" t="s">
        <v>603</v>
      </c>
      <c r="S152" t="s">
        <v>602</v>
      </c>
      <c r="T152" t="s">
        <v>602</v>
      </c>
      <c r="U152" s="47">
        <v>-52</v>
      </c>
    </row>
    <row r="153" spans="2:21" x14ac:dyDescent="0.2">
      <c r="B153" s="46"/>
      <c r="F153" s="47"/>
      <c r="J153" s="46"/>
      <c r="K153" s="48"/>
      <c r="O153" t="s">
        <v>602</v>
      </c>
      <c r="P153" t="s">
        <v>602</v>
      </c>
      <c r="Q153" t="s">
        <v>602</v>
      </c>
      <c r="R153" t="s">
        <v>603</v>
      </c>
      <c r="S153" t="s">
        <v>602</v>
      </c>
      <c r="T153" t="s">
        <v>602</v>
      </c>
      <c r="U153" s="47">
        <v>-58</v>
      </c>
    </row>
    <row r="154" spans="2:21" x14ac:dyDescent="0.2">
      <c r="B154" s="46"/>
      <c r="F154" s="47"/>
      <c r="J154" s="46"/>
      <c r="K154" s="48"/>
      <c r="O154" t="s">
        <v>602</v>
      </c>
      <c r="P154" t="s">
        <v>602</v>
      </c>
      <c r="Q154" t="s">
        <v>602</v>
      </c>
      <c r="R154" t="s">
        <v>603</v>
      </c>
      <c r="S154" t="s">
        <v>602</v>
      </c>
      <c r="T154" t="s">
        <v>602</v>
      </c>
      <c r="U154" s="47">
        <v>-116</v>
      </c>
    </row>
    <row r="155" spans="2:21" x14ac:dyDescent="0.2">
      <c r="B155" s="46"/>
      <c r="F155" s="47"/>
      <c r="J155" s="46"/>
      <c r="K155" s="48"/>
      <c r="O155" t="s">
        <v>602</v>
      </c>
      <c r="P155" t="s">
        <v>602</v>
      </c>
      <c r="Q155" t="s">
        <v>602</v>
      </c>
      <c r="R155" t="s">
        <v>603</v>
      </c>
      <c r="S155" t="s">
        <v>602</v>
      </c>
      <c r="T155" t="s">
        <v>602</v>
      </c>
      <c r="U155" s="47">
        <v>-23</v>
      </c>
    </row>
    <row r="156" spans="2:21" x14ac:dyDescent="0.2">
      <c r="B156" s="46"/>
      <c r="F156" s="47"/>
      <c r="J156" s="46"/>
      <c r="K156" s="48"/>
      <c r="O156" t="s">
        <v>602</v>
      </c>
      <c r="P156" t="s">
        <v>602</v>
      </c>
      <c r="Q156" t="s">
        <v>602</v>
      </c>
      <c r="R156" t="s">
        <v>603</v>
      </c>
      <c r="S156" t="s">
        <v>602</v>
      </c>
      <c r="T156" t="s">
        <v>602</v>
      </c>
      <c r="U156" s="47">
        <v>-46</v>
      </c>
    </row>
    <row r="157" spans="2:21" x14ac:dyDescent="0.2">
      <c r="B157" s="46"/>
      <c r="F157" s="47"/>
      <c r="J157" s="46"/>
      <c r="K157" s="48"/>
      <c r="O157" t="s">
        <v>602</v>
      </c>
      <c r="P157" t="s">
        <v>602</v>
      </c>
      <c r="Q157" t="s">
        <v>602</v>
      </c>
      <c r="R157" t="s">
        <v>603</v>
      </c>
      <c r="S157" t="s">
        <v>602</v>
      </c>
      <c r="T157" t="s">
        <v>602</v>
      </c>
      <c r="U157" s="47">
        <v>-116</v>
      </c>
    </row>
    <row r="158" spans="2:21" x14ac:dyDescent="0.2">
      <c r="B158" s="46"/>
      <c r="F158" s="47"/>
      <c r="J158" s="46"/>
      <c r="K158" s="48"/>
      <c r="O158" t="s">
        <v>602</v>
      </c>
      <c r="P158" t="s">
        <v>602</v>
      </c>
      <c r="Q158" t="s">
        <v>602</v>
      </c>
      <c r="R158" t="s">
        <v>603</v>
      </c>
      <c r="S158" t="s">
        <v>602</v>
      </c>
      <c r="T158" t="s">
        <v>602</v>
      </c>
      <c r="U158" s="47">
        <v>-64</v>
      </c>
    </row>
    <row r="159" spans="2:21" x14ac:dyDescent="0.2">
      <c r="B159" s="46"/>
      <c r="F159" s="47"/>
      <c r="J159" s="46"/>
      <c r="K159" s="48"/>
      <c r="O159" t="s">
        <v>602</v>
      </c>
      <c r="P159" t="s">
        <v>602</v>
      </c>
      <c r="Q159" t="s">
        <v>602</v>
      </c>
      <c r="R159" t="s">
        <v>603</v>
      </c>
      <c r="S159" t="s">
        <v>602</v>
      </c>
      <c r="T159" t="s">
        <v>602</v>
      </c>
      <c r="U159" s="47">
        <v>-29</v>
      </c>
    </row>
    <row r="160" spans="2:21" x14ac:dyDescent="0.2">
      <c r="B160" s="46"/>
      <c r="F160" s="47"/>
      <c r="J160" s="46"/>
      <c r="K160" s="48"/>
      <c r="O160" t="s">
        <v>602</v>
      </c>
      <c r="P160" t="s">
        <v>602</v>
      </c>
      <c r="Q160" t="s">
        <v>602</v>
      </c>
      <c r="R160" t="s">
        <v>603</v>
      </c>
      <c r="S160" t="s">
        <v>602</v>
      </c>
      <c r="T160" t="s">
        <v>602</v>
      </c>
      <c r="U160" s="47">
        <v>-6</v>
      </c>
    </row>
    <row r="161" spans="2:21" x14ac:dyDescent="0.2">
      <c r="B161" s="46"/>
      <c r="F161" s="47"/>
      <c r="J161" s="46"/>
      <c r="K161" s="48"/>
      <c r="O161" t="s">
        <v>602</v>
      </c>
      <c r="P161" t="s">
        <v>602</v>
      </c>
      <c r="Q161" t="s">
        <v>602</v>
      </c>
      <c r="R161" t="s">
        <v>603</v>
      </c>
      <c r="S161" t="s">
        <v>602</v>
      </c>
      <c r="T161" t="s">
        <v>602</v>
      </c>
      <c r="U161" s="47">
        <v>-12</v>
      </c>
    </row>
    <row r="162" spans="2:21" x14ac:dyDescent="0.2">
      <c r="B162" s="46"/>
      <c r="F162" s="47"/>
      <c r="J162" s="46"/>
      <c r="K162" s="48"/>
      <c r="O162" t="s">
        <v>602</v>
      </c>
      <c r="P162" t="s">
        <v>602</v>
      </c>
      <c r="Q162" t="s">
        <v>602</v>
      </c>
      <c r="R162" t="s">
        <v>603</v>
      </c>
      <c r="S162" t="s">
        <v>602</v>
      </c>
      <c r="T162" t="s">
        <v>602</v>
      </c>
      <c r="U162" s="47">
        <v>-12</v>
      </c>
    </row>
    <row r="163" spans="2:21" x14ac:dyDescent="0.2">
      <c r="B163" s="46"/>
      <c r="F163" s="47"/>
      <c r="J163" s="46"/>
      <c r="K163" s="48"/>
      <c r="O163" t="s">
        <v>602</v>
      </c>
      <c r="P163" t="s">
        <v>602</v>
      </c>
      <c r="Q163" t="s">
        <v>602</v>
      </c>
      <c r="R163" t="s">
        <v>603</v>
      </c>
      <c r="S163" t="s">
        <v>602</v>
      </c>
      <c r="T163" t="s">
        <v>602</v>
      </c>
      <c r="U163" s="47">
        <v>-17</v>
      </c>
    </row>
    <row r="164" spans="2:21" x14ac:dyDescent="0.2">
      <c r="B164" s="46"/>
      <c r="F164" s="47"/>
      <c r="J164" s="46"/>
      <c r="K164" s="48"/>
      <c r="O164" t="s">
        <v>602</v>
      </c>
      <c r="P164" t="s">
        <v>602</v>
      </c>
      <c r="Q164" t="s">
        <v>602</v>
      </c>
      <c r="R164" t="s">
        <v>603</v>
      </c>
      <c r="S164" t="s">
        <v>602</v>
      </c>
      <c r="T164" t="s">
        <v>602</v>
      </c>
      <c r="U164" s="47">
        <v>-23</v>
      </c>
    </row>
    <row r="165" spans="2:21" x14ac:dyDescent="0.2">
      <c r="B165" s="46"/>
      <c r="F165" s="47"/>
      <c r="J165" s="46"/>
      <c r="K165" s="48"/>
      <c r="O165" t="s">
        <v>602</v>
      </c>
      <c r="P165" t="s">
        <v>602</v>
      </c>
      <c r="Q165" t="s">
        <v>602</v>
      </c>
      <c r="R165" t="s">
        <v>603</v>
      </c>
      <c r="S165" t="s">
        <v>602</v>
      </c>
      <c r="T165" t="s">
        <v>602</v>
      </c>
      <c r="U165" s="47">
        <v>-58</v>
      </c>
    </row>
    <row r="166" spans="2:21" x14ac:dyDescent="0.2">
      <c r="B166" s="46"/>
      <c r="F166" s="47"/>
      <c r="J166" s="46"/>
      <c r="K166" s="48"/>
      <c r="O166" t="s">
        <v>602</v>
      </c>
      <c r="P166" t="s">
        <v>602</v>
      </c>
      <c r="Q166" t="s">
        <v>602</v>
      </c>
      <c r="R166" t="s">
        <v>603</v>
      </c>
      <c r="S166" t="s">
        <v>602</v>
      </c>
      <c r="T166" t="s">
        <v>602</v>
      </c>
      <c r="U166" s="47">
        <v>-41</v>
      </c>
    </row>
    <row r="167" spans="2:21" x14ac:dyDescent="0.2">
      <c r="B167" s="46"/>
      <c r="F167" s="47"/>
      <c r="J167" s="46"/>
      <c r="K167" s="48"/>
      <c r="O167" t="s">
        <v>602</v>
      </c>
      <c r="P167" t="s">
        <v>602</v>
      </c>
      <c r="Q167" t="s">
        <v>602</v>
      </c>
      <c r="R167" t="s">
        <v>603</v>
      </c>
      <c r="S167" t="s">
        <v>602</v>
      </c>
      <c r="T167" t="s">
        <v>602</v>
      </c>
      <c r="U167" s="47">
        <v>-29</v>
      </c>
    </row>
    <row r="168" spans="2:21" x14ac:dyDescent="0.2">
      <c r="B168" s="46"/>
      <c r="F168" s="47"/>
      <c r="J168" s="46"/>
      <c r="K168" s="48"/>
      <c r="O168" t="s">
        <v>602</v>
      </c>
      <c r="P168" t="s">
        <v>602</v>
      </c>
      <c r="Q168" t="s">
        <v>602</v>
      </c>
      <c r="R168" t="s">
        <v>603</v>
      </c>
      <c r="S168" t="s">
        <v>602</v>
      </c>
      <c r="T168" t="s">
        <v>602</v>
      </c>
      <c r="U168" s="47">
        <v>-29</v>
      </c>
    </row>
    <row r="169" spans="2:21" x14ac:dyDescent="0.2">
      <c r="B169" s="46"/>
      <c r="F169" s="47"/>
      <c r="J169" s="46"/>
      <c r="K169" s="48"/>
      <c r="O169" t="s">
        <v>602</v>
      </c>
      <c r="P169" t="s">
        <v>602</v>
      </c>
      <c r="Q169" t="s">
        <v>602</v>
      </c>
      <c r="R169" t="s">
        <v>603</v>
      </c>
      <c r="S169" t="s">
        <v>602</v>
      </c>
      <c r="T169" t="s">
        <v>602</v>
      </c>
      <c r="U169" s="47">
        <v>-12</v>
      </c>
    </row>
    <row r="170" spans="2:21" x14ac:dyDescent="0.2">
      <c r="B170" s="46"/>
      <c r="F170" s="47"/>
      <c r="J170" s="46"/>
      <c r="K170" s="48"/>
      <c r="O170" t="s">
        <v>602</v>
      </c>
      <c r="P170" t="s">
        <v>602</v>
      </c>
      <c r="Q170" t="s">
        <v>602</v>
      </c>
      <c r="R170" t="s">
        <v>603</v>
      </c>
      <c r="S170" t="s">
        <v>602</v>
      </c>
      <c r="T170" t="s">
        <v>602</v>
      </c>
      <c r="U170" s="47">
        <v>-41</v>
      </c>
    </row>
    <row r="171" spans="2:21" x14ac:dyDescent="0.2">
      <c r="B171" s="46"/>
      <c r="F171" s="47"/>
      <c r="J171" s="46"/>
      <c r="K171" s="48"/>
      <c r="O171" t="s">
        <v>602</v>
      </c>
      <c r="P171" t="s">
        <v>602</v>
      </c>
      <c r="Q171" t="s">
        <v>602</v>
      </c>
      <c r="R171" t="s">
        <v>603</v>
      </c>
      <c r="S171" t="s">
        <v>602</v>
      </c>
      <c r="T171" t="s">
        <v>602</v>
      </c>
      <c r="U171" s="47">
        <v>-41</v>
      </c>
    </row>
    <row r="172" spans="2:21" x14ac:dyDescent="0.2">
      <c r="B172" s="46"/>
      <c r="F172" s="47"/>
      <c r="J172" s="46"/>
      <c r="K172" s="48"/>
      <c r="O172" t="s">
        <v>602</v>
      </c>
      <c r="P172" t="s">
        <v>602</v>
      </c>
      <c r="Q172" t="s">
        <v>602</v>
      </c>
      <c r="R172" t="s">
        <v>603</v>
      </c>
      <c r="S172" t="s">
        <v>602</v>
      </c>
      <c r="T172" t="s">
        <v>602</v>
      </c>
      <c r="U172" s="47">
        <v>-35</v>
      </c>
    </row>
    <row r="173" spans="2:21" x14ac:dyDescent="0.2">
      <c r="B173" s="46"/>
      <c r="F173" s="47"/>
      <c r="J173" s="46"/>
      <c r="K173" s="48"/>
      <c r="O173" t="s">
        <v>602</v>
      </c>
      <c r="P173" t="s">
        <v>602</v>
      </c>
      <c r="Q173" t="s">
        <v>602</v>
      </c>
      <c r="R173" t="s">
        <v>603</v>
      </c>
      <c r="S173" t="s">
        <v>602</v>
      </c>
      <c r="T173" t="s">
        <v>602</v>
      </c>
      <c r="U173" s="47">
        <v>-6</v>
      </c>
    </row>
    <row r="174" spans="2:21" x14ac:dyDescent="0.2">
      <c r="B174" s="46"/>
      <c r="F174" s="47"/>
      <c r="J174" s="46"/>
      <c r="K174" s="48"/>
      <c r="O174" t="s">
        <v>602</v>
      </c>
      <c r="P174" t="s">
        <v>602</v>
      </c>
      <c r="Q174" t="s">
        <v>602</v>
      </c>
      <c r="R174" t="s">
        <v>603</v>
      </c>
      <c r="S174" t="s">
        <v>602</v>
      </c>
      <c r="T174" t="s">
        <v>602</v>
      </c>
      <c r="U174" s="47">
        <v>-52</v>
      </c>
    </row>
    <row r="175" spans="2:21" x14ac:dyDescent="0.2">
      <c r="B175" s="46"/>
      <c r="F175" s="47"/>
      <c r="J175" s="46"/>
      <c r="K175" s="48"/>
      <c r="O175" t="s">
        <v>602</v>
      </c>
      <c r="P175" t="s">
        <v>602</v>
      </c>
      <c r="Q175" t="s">
        <v>602</v>
      </c>
      <c r="R175" t="s">
        <v>603</v>
      </c>
      <c r="S175" t="s">
        <v>602</v>
      </c>
      <c r="T175" t="s">
        <v>602</v>
      </c>
      <c r="U175" s="47">
        <v>-12</v>
      </c>
    </row>
    <row r="176" spans="2:21" x14ac:dyDescent="0.2">
      <c r="B176" s="46"/>
      <c r="F176" s="47"/>
      <c r="J176" s="46"/>
      <c r="K176" s="48"/>
      <c r="O176" t="s">
        <v>602</v>
      </c>
      <c r="P176" t="s">
        <v>602</v>
      </c>
      <c r="Q176" t="s">
        <v>602</v>
      </c>
      <c r="R176" t="s">
        <v>603</v>
      </c>
      <c r="S176" t="s">
        <v>602</v>
      </c>
      <c r="T176" t="s">
        <v>602</v>
      </c>
      <c r="U176" s="47">
        <v>-6</v>
      </c>
    </row>
    <row r="177" spans="2:21" x14ac:dyDescent="0.2">
      <c r="B177" s="46"/>
      <c r="F177" s="47"/>
      <c r="J177" s="46"/>
      <c r="K177" s="48"/>
      <c r="O177" t="s">
        <v>602</v>
      </c>
      <c r="P177" t="s">
        <v>602</v>
      </c>
      <c r="Q177" t="s">
        <v>602</v>
      </c>
      <c r="R177" t="s">
        <v>603</v>
      </c>
      <c r="S177" t="s">
        <v>602</v>
      </c>
      <c r="T177" t="s">
        <v>602</v>
      </c>
      <c r="U177" s="47">
        <v>-35</v>
      </c>
    </row>
    <row r="178" spans="2:21" x14ac:dyDescent="0.2">
      <c r="B178" s="46"/>
      <c r="F178" s="47"/>
      <c r="J178" s="46"/>
      <c r="K178" s="48"/>
      <c r="O178" t="s">
        <v>602</v>
      </c>
      <c r="P178" t="s">
        <v>602</v>
      </c>
      <c r="Q178" t="s">
        <v>602</v>
      </c>
      <c r="R178" t="s">
        <v>603</v>
      </c>
      <c r="S178" t="s">
        <v>602</v>
      </c>
      <c r="T178" t="s">
        <v>602</v>
      </c>
      <c r="U178" s="47">
        <v>-52</v>
      </c>
    </row>
    <row r="179" spans="2:21" x14ac:dyDescent="0.2">
      <c r="B179" s="46"/>
      <c r="F179" s="47"/>
      <c r="J179" s="46"/>
      <c r="K179" s="48"/>
      <c r="O179" t="s">
        <v>602</v>
      </c>
      <c r="P179" t="s">
        <v>602</v>
      </c>
      <c r="Q179" t="s">
        <v>602</v>
      </c>
      <c r="R179" t="s">
        <v>603</v>
      </c>
      <c r="S179" t="s">
        <v>602</v>
      </c>
      <c r="T179" t="s">
        <v>602</v>
      </c>
      <c r="U179" s="47">
        <v>-29</v>
      </c>
    </row>
    <row r="180" spans="2:21" x14ac:dyDescent="0.2">
      <c r="B180" s="46"/>
      <c r="F180" s="47"/>
      <c r="J180" s="46"/>
      <c r="K180" s="48"/>
      <c r="O180" t="s">
        <v>602</v>
      </c>
      <c r="P180" t="s">
        <v>602</v>
      </c>
      <c r="Q180" t="s">
        <v>602</v>
      </c>
      <c r="R180" t="s">
        <v>603</v>
      </c>
      <c r="S180" t="s">
        <v>602</v>
      </c>
      <c r="T180" t="s">
        <v>602</v>
      </c>
      <c r="U180" s="47">
        <v>-17</v>
      </c>
    </row>
    <row r="181" spans="2:21" x14ac:dyDescent="0.2">
      <c r="B181" s="46"/>
      <c r="F181" s="47"/>
      <c r="J181" s="46"/>
      <c r="K181" s="48"/>
      <c r="O181" t="s">
        <v>602</v>
      </c>
      <c r="P181" t="s">
        <v>602</v>
      </c>
      <c r="Q181" t="s">
        <v>602</v>
      </c>
      <c r="R181" t="s">
        <v>603</v>
      </c>
      <c r="S181" t="s">
        <v>602</v>
      </c>
      <c r="T181" t="s">
        <v>602</v>
      </c>
      <c r="U181" s="47">
        <v>-17</v>
      </c>
    </row>
    <row r="182" spans="2:21" x14ac:dyDescent="0.2">
      <c r="B182" s="46"/>
      <c r="F182" s="47"/>
      <c r="J182" s="46"/>
      <c r="K182" s="48"/>
      <c r="O182" t="s">
        <v>602</v>
      </c>
      <c r="P182" t="s">
        <v>602</v>
      </c>
      <c r="Q182" t="s">
        <v>602</v>
      </c>
      <c r="R182" t="s">
        <v>603</v>
      </c>
      <c r="S182" t="s">
        <v>602</v>
      </c>
      <c r="T182" t="s">
        <v>602</v>
      </c>
      <c r="U182" s="47">
        <v>-12</v>
      </c>
    </row>
    <row r="183" spans="2:21" x14ac:dyDescent="0.2">
      <c r="B183" s="46"/>
      <c r="F183" s="47"/>
      <c r="J183" s="46"/>
      <c r="K183" s="48"/>
      <c r="O183" t="s">
        <v>602</v>
      </c>
      <c r="P183" t="s">
        <v>602</v>
      </c>
      <c r="Q183" t="s">
        <v>602</v>
      </c>
      <c r="R183" t="s">
        <v>603</v>
      </c>
      <c r="S183" t="s">
        <v>602</v>
      </c>
      <c r="T183" t="s">
        <v>602</v>
      </c>
      <c r="U183" s="47">
        <v>-6</v>
      </c>
    </row>
    <row r="184" spans="2:21" x14ac:dyDescent="0.2">
      <c r="B184" s="46"/>
      <c r="F184" s="47"/>
      <c r="J184" s="46"/>
      <c r="K184" s="48"/>
      <c r="O184" t="s">
        <v>602</v>
      </c>
      <c r="P184" t="s">
        <v>602</v>
      </c>
      <c r="Q184" t="s">
        <v>602</v>
      </c>
      <c r="R184" t="s">
        <v>603</v>
      </c>
      <c r="S184" t="s">
        <v>602</v>
      </c>
      <c r="T184" t="s">
        <v>602</v>
      </c>
      <c r="U184" s="47">
        <v>-12</v>
      </c>
    </row>
    <row r="185" spans="2:21" x14ac:dyDescent="0.2">
      <c r="B185" s="46"/>
      <c r="F185" s="47"/>
      <c r="J185" s="46"/>
      <c r="K185" s="48"/>
      <c r="O185" t="s">
        <v>602</v>
      </c>
      <c r="P185" t="s">
        <v>602</v>
      </c>
      <c r="Q185" t="s">
        <v>602</v>
      </c>
      <c r="R185" t="s">
        <v>603</v>
      </c>
      <c r="S185" t="s">
        <v>602</v>
      </c>
      <c r="T185" t="s">
        <v>602</v>
      </c>
      <c r="U185" s="47">
        <v>-23</v>
      </c>
    </row>
    <row r="186" spans="2:21" x14ac:dyDescent="0.2">
      <c r="B186" s="46"/>
      <c r="F186" s="47"/>
      <c r="J186" s="46"/>
      <c r="K186" s="48"/>
      <c r="O186" t="s">
        <v>602</v>
      </c>
      <c r="P186" t="s">
        <v>602</v>
      </c>
      <c r="Q186" t="s">
        <v>602</v>
      </c>
      <c r="R186" t="s">
        <v>603</v>
      </c>
      <c r="S186" t="s">
        <v>602</v>
      </c>
      <c r="T186" t="s">
        <v>602</v>
      </c>
      <c r="U186" s="47">
        <v>-29</v>
      </c>
    </row>
    <row r="187" spans="2:21" x14ac:dyDescent="0.2">
      <c r="B187" s="46"/>
      <c r="F187" s="47"/>
      <c r="J187" s="46"/>
      <c r="K187" s="48"/>
      <c r="O187" t="s">
        <v>602</v>
      </c>
      <c r="P187" t="s">
        <v>602</v>
      </c>
      <c r="Q187" t="s">
        <v>602</v>
      </c>
      <c r="R187" t="s">
        <v>603</v>
      </c>
      <c r="S187" t="s">
        <v>602</v>
      </c>
      <c r="T187" t="s">
        <v>602</v>
      </c>
      <c r="U187" s="47">
        <v>-12</v>
      </c>
    </row>
    <row r="188" spans="2:21" x14ac:dyDescent="0.2">
      <c r="B188" s="46"/>
      <c r="F188" s="47"/>
      <c r="J188" s="46"/>
      <c r="K188" s="48"/>
      <c r="O188" t="s">
        <v>602</v>
      </c>
      <c r="P188" t="s">
        <v>602</v>
      </c>
      <c r="Q188" t="s">
        <v>602</v>
      </c>
      <c r="R188" t="s">
        <v>603</v>
      </c>
      <c r="S188" t="s">
        <v>602</v>
      </c>
      <c r="T188" t="s">
        <v>602</v>
      </c>
      <c r="U188" s="47">
        <v>-17</v>
      </c>
    </row>
    <row r="189" spans="2:21" x14ac:dyDescent="0.2">
      <c r="B189" s="46"/>
      <c r="F189" s="47"/>
      <c r="J189" s="46"/>
      <c r="K189" s="48"/>
      <c r="O189" t="s">
        <v>602</v>
      </c>
      <c r="P189" t="s">
        <v>602</v>
      </c>
      <c r="Q189" t="s">
        <v>602</v>
      </c>
      <c r="R189" t="s">
        <v>603</v>
      </c>
      <c r="S189" t="s">
        <v>602</v>
      </c>
      <c r="T189" t="s">
        <v>602</v>
      </c>
      <c r="U189" s="47">
        <v>-17</v>
      </c>
    </row>
    <row r="190" spans="2:21" x14ac:dyDescent="0.2">
      <c r="B190" s="46"/>
      <c r="F190" s="47"/>
      <c r="J190" s="46"/>
      <c r="K190" s="48"/>
      <c r="O190" t="s">
        <v>602</v>
      </c>
      <c r="P190" t="s">
        <v>602</v>
      </c>
      <c r="Q190" t="s">
        <v>602</v>
      </c>
      <c r="R190" t="s">
        <v>603</v>
      </c>
      <c r="S190" t="s">
        <v>602</v>
      </c>
      <c r="T190" t="s">
        <v>602</v>
      </c>
      <c r="U190" s="47">
        <v>-116</v>
      </c>
    </row>
    <row r="191" spans="2:21" x14ac:dyDescent="0.2">
      <c r="B191" s="46"/>
      <c r="F191" s="47"/>
      <c r="J191" s="46"/>
      <c r="K191" s="48"/>
      <c r="O191" t="s">
        <v>602</v>
      </c>
      <c r="P191" t="s">
        <v>602</v>
      </c>
      <c r="Q191" t="s">
        <v>602</v>
      </c>
      <c r="R191" t="s">
        <v>603</v>
      </c>
      <c r="S191" t="s">
        <v>602</v>
      </c>
      <c r="T191" t="s">
        <v>602</v>
      </c>
      <c r="U191" s="47">
        <v>-116</v>
      </c>
    </row>
    <row r="192" spans="2:21" x14ac:dyDescent="0.2">
      <c r="B192" s="46"/>
      <c r="F192" s="47"/>
      <c r="J192" s="46"/>
      <c r="K192" s="48"/>
      <c r="O192" t="s">
        <v>602</v>
      </c>
      <c r="P192" t="s">
        <v>602</v>
      </c>
      <c r="Q192" t="s">
        <v>602</v>
      </c>
      <c r="R192" t="s">
        <v>603</v>
      </c>
      <c r="S192" t="s">
        <v>602</v>
      </c>
      <c r="T192" t="s">
        <v>602</v>
      </c>
      <c r="U192" s="47">
        <v>-6</v>
      </c>
    </row>
    <row r="193" spans="2:21" x14ac:dyDescent="0.2">
      <c r="B193" s="46"/>
      <c r="F193" s="47"/>
      <c r="J193" s="46"/>
      <c r="K193" s="48"/>
      <c r="O193" t="s">
        <v>602</v>
      </c>
      <c r="P193" t="s">
        <v>602</v>
      </c>
      <c r="Q193" t="s">
        <v>602</v>
      </c>
      <c r="R193" t="s">
        <v>603</v>
      </c>
      <c r="S193" t="s">
        <v>602</v>
      </c>
      <c r="T193" t="s">
        <v>602</v>
      </c>
      <c r="U193" s="47">
        <v>-58</v>
      </c>
    </row>
    <row r="194" spans="2:21" x14ac:dyDescent="0.2">
      <c r="B194" s="46"/>
      <c r="F194" s="47"/>
      <c r="J194" s="46"/>
      <c r="K194" s="48"/>
      <c r="O194" t="s">
        <v>602</v>
      </c>
      <c r="P194" t="s">
        <v>602</v>
      </c>
      <c r="Q194" t="s">
        <v>602</v>
      </c>
      <c r="R194" t="s">
        <v>603</v>
      </c>
      <c r="S194" t="s">
        <v>602</v>
      </c>
      <c r="T194" t="s">
        <v>602</v>
      </c>
      <c r="U194" s="47">
        <v>-116</v>
      </c>
    </row>
    <row r="195" spans="2:21" x14ac:dyDescent="0.2">
      <c r="B195" s="46"/>
      <c r="F195" s="47"/>
      <c r="J195" s="46"/>
      <c r="K195" s="48"/>
      <c r="O195" t="s">
        <v>602</v>
      </c>
      <c r="P195" t="s">
        <v>602</v>
      </c>
      <c r="Q195" t="s">
        <v>602</v>
      </c>
      <c r="R195" t="s">
        <v>603</v>
      </c>
      <c r="S195" t="s">
        <v>602</v>
      </c>
      <c r="T195" t="s">
        <v>602</v>
      </c>
      <c r="U195" s="47">
        <v>-116</v>
      </c>
    </row>
    <row r="196" spans="2:21" x14ac:dyDescent="0.2">
      <c r="B196" s="46"/>
      <c r="F196" s="47"/>
      <c r="J196" s="46"/>
      <c r="K196" s="48"/>
      <c r="O196" t="s">
        <v>602</v>
      </c>
      <c r="P196" t="s">
        <v>602</v>
      </c>
      <c r="Q196" t="s">
        <v>602</v>
      </c>
      <c r="R196" t="s">
        <v>603</v>
      </c>
      <c r="S196" t="s">
        <v>602</v>
      </c>
      <c r="T196" t="s">
        <v>602</v>
      </c>
      <c r="U196" s="47">
        <v>-35</v>
      </c>
    </row>
    <row r="197" spans="2:21" x14ac:dyDescent="0.2">
      <c r="B197" s="46"/>
      <c r="F197" s="47"/>
      <c r="J197" s="46"/>
      <c r="K197" s="48"/>
      <c r="O197" t="s">
        <v>602</v>
      </c>
      <c r="P197" t="s">
        <v>602</v>
      </c>
      <c r="Q197" t="s">
        <v>602</v>
      </c>
      <c r="R197" t="s">
        <v>603</v>
      </c>
      <c r="S197" t="s">
        <v>602</v>
      </c>
      <c r="T197" t="s">
        <v>602</v>
      </c>
      <c r="U197" s="47">
        <v>-58</v>
      </c>
    </row>
    <row r="198" spans="2:21" x14ac:dyDescent="0.2">
      <c r="B198" s="46"/>
      <c r="F198" s="47"/>
      <c r="J198" s="46"/>
      <c r="K198" s="48"/>
      <c r="O198" t="s">
        <v>602</v>
      </c>
      <c r="P198" t="s">
        <v>602</v>
      </c>
      <c r="Q198" t="s">
        <v>602</v>
      </c>
      <c r="R198" t="s">
        <v>603</v>
      </c>
      <c r="S198" t="s">
        <v>602</v>
      </c>
      <c r="T198" t="s">
        <v>602</v>
      </c>
      <c r="U198" s="47">
        <v>-6</v>
      </c>
    </row>
    <row r="199" spans="2:21" x14ac:dyDescent="0.2">
      <c r="B199" s="46"/>
      <c r="F199" s="47"/>
      <c r="J199" s="46"/>
      <c r="K199" s="48"/>
      <c r="O199" t="s">
        <v>602</v>
      </c>
      <c r="P199" t="s">
        <v>602</v>
      </c>
      <c r="Q199" t="s">
        <v>602</v>
      </c>
      <c r="R199" t="s">
        <v>603</v>
      </c>
      <c r="S199" t="s">
        <v>602</v>
      </c>
      <c r="T199" t="s">
        <v>602</v>
      </c>
      <c r="U199" s="47">
        <v>-6</v>
      </c>
    </row>
    <row r="200" spans="2:21" x14ac:dyDescent="0.2">
      <c r="B200" s="46"/>
      <c r="F200" s="47"/>
      <c r="J200" s="46"/>
      <c r="K200" s="48"/>
      <c r="O200" t="s">
        <v>602</v>
      </c>
      <c r="P200" t="s">
        <v>602</v>
      </c>
      <c r="Q200" t="s">
        <v>602</v>
      </c>
      <c r="R200" t="s">
        <v>603</v>
      </c>
      <c r="S200" t="s">
        <v>602</v>
      </c>
      <c r="T200" t="s">
        <v>602</v>
      </c>
      <c r="U200" s="47">
        <v>-116</v>
      </c>
    </row>
    <row r="201" spans="2:21" x14ac:dyDescent="0.2">
      <c r="B201" s="46"/>
      <c r="F201" s="47"/>
      <c r="J201" s="46"/>
      <c r="K201" s="48"/>
      <c r="O201" t="s">
        <v>602</v>
      </c>
      <c r="P201" t="s">
        <v>602</v>
      </c>
      <c r="Q201" t="s">
        <v>602</v>
      </c>
      <c r="R201" t="s">
        <v>603</v>
      </c>
      <c r="S201" t="s">
        <v>602</v>
      </c>
      <c r="T201" t="s">
        <v>602</v>
      </c>
      <c r="U201" s="47">
        <v>-58</v>
      </c>
    </row>
    <row r="202" spans="2:21" x14ac:dyDescent="0.2">
      <c r="B202" s="46"/>
      <c r="F202" s="47"/>
      <c r="J202" s="46"/>
      <c r="K202" s="48"/>
      <c r="O202" t="s">
        <v>602</v>
      </c>
      <c r="P202" t="s">
        <v>602</v>
      </c>
      <c r="Q202" t="s">
        <v>602</v>
      </c>
      <c r="R202" t="s">
        <v>603</v>
      </c>
      <c r="S202" t="s">
        <v>602</v>
      </c>
      <c r="T202" t="s">
        <v>602</v>
      </c>
      <c r="U202" s="47">
        <v>-116</v>
      </c>
    </row>
    <row r="203" spans="2:21" x14ac:dyDescent="0.2">
      <c r="B203" s="46"/>
      <c r="F203" s="47"/>
      <c r="J203" s="46"/>
      <c r="K203" s="48"/>
      <c r="O203" t="s">
        <v>602</v>
      </c>
      <c r="P203" t="s">
        <v>602</v>
      </c>
      <c r="Q203" t="s">
        <v>602</v>
      </c>
      <c r="R203" t="s">
        <v>603</v>
      </c>
      <c r="S203" t="s">
        <v>602</v>
      </c>
      <c r="T203" t="s">
        <v>602</v>
      </c>
      <c r="U203" s="47">
        <v>-116</v>
      </c>
    </row>
    <row r="204" spans="2:21" x14ac:dyDescent="0.2">
      <c r="B204" s="46"/>
      <c r="F204" s="47"/>
      <c r="J204" s="46"/>
      <c r="K204" s="48"/>
      <c r="O204" t="s">
        <v>602</v>
      </c>
      <c r="P204" t="s">
        <v>602</v>
      </c>
      <c r="Q204" t="s">
        <v>602</v>
      </c>
      <c r="R204" t="s">
        <v>603</v>
      </c>
      <c r="S204" t="s">
        <v>602</v>
      </c>
      <c r="T204" t="s">
        <v>602</v>
      </c>
      <c r="U204" s="47">
        <v>-116</v>
      </c>
    </row>
    <row r="205" spans="2:21" x14ac:dyDescent="0.2">
      <c r="B205" s="46"/>
      <c r="F205" s="47"/>
      <c r="J205" s="46"/>
      <c r="K205" s="48"/>
      <c r="O205" t="s">
        <v>602</v>
      </c>
      <c r="P205" t="s">
        <v>602</v>
      </c>
      <c r="Q205" t="s">
        <v>602</v>
      </c>
      <c r="R205" t="s">
        <v>603</v>
      </c>
      <c r="S205" t="s">
        <v>602</v>
      </c>
      <c r="T205" t="s">
        <v>602</v>
      </c>
      <c r="U205" s="47">
        <v>-58</v>
      </c>
    </row>
    <row r="206" spans="2:21" x14ac:dyDescent="0.2">
      <c r="B206" s="46"/>
      <c r="F206" s="47"/>
      <c r="J206" s="46"/>
      <c r="K206" s="48"/>
      <c r="O206" t="s">
        <v>602</v>
      </c>
      <c r="P206" t="s">
        <v>602</v>
      </c>
      <c r="Q206" t="s">
        <v>602</v>
      </c>
      <c r="R206" t="s">
        <v>603</v>
      </c>
      <c r="S206" t="s">
        <v>602</v>
      </c>
      <c r="T206" t="s">
        <v>602</v>
      </c>
      <c r="U206" s="47">
        <v>-23</v>
      </c>
    </row>
    <row r="207" spans="2:21" x14ac:dyDescent="0.2">
      <c r="B207" s="46"/>
      <c r="F207" s="47"/>
      <c r="J207" s="46"/>
      <c r="K207" s="48"/>
      <c r="O207" t="s">
        <v>602</v>
      </c>
      <c r="P207" t="s">
        <v>602</v>
      </c>
      <c r="Q207" t="s">
        <v>602</v>
      </c>
      <c r="R207" t="s">
        <v>603</v>
      </c>
      <c r="S207" t="s">
        <v>602</v>
      </c>
      <c r="T207" t="s">
        <v>602</v>
      </c>
      <c r="U207" s="47">
        <v>-17</v>
      </c>
    </row>
    <row r="208" spans="2:21" x14ac:dyDescent="0.2">
      <c r="B208" s="46"/>
      <c r="F208" s="47"/>
      <c r="J208" s="46"/>
      <c r="K208" s="48"/>
      <c r="O208" t="s">
        <v>602</v>
      </c>
      <c r="P208" t="s">
        <v>602</v>
      </c>
      <c r="Q208" t="s">
        <v>602</v>
      </c>
      <c r="R208" t="s">
        <v>603</v>
      </c>
      <c r="S208" t="s">
        <v>602</v>
      </c>
      <c r="T208" t="s">
        <v>602</v>
      </c>
      <c r="U208" s="47">
        <v>-52</v>
      </c>
    </row>
    <row r="209" spans="2:21" x14ac:dyDescent="0.2">
      <c r="B209" s="46"/>
      <c r="F209" s="47"/>
      <c r="J209" s="46"/>
      <c r="K209" s="48"/>
      <c r="O209" t="s">
        <v>602</v>
      </c>
      <c r="P209" t="s">
        <v>602</v>
      </c>
      <c r="Q209" t="s">
        <v>602</v>
      </c>
      <c r="R209" t="s">
        <v>603</v>
      </c>
      <c r="S209" t="s">
        <v>602</v>
      </c>
      <c r="T209" t="s">
        <v>602</v>
      </c>
      <c r="U209" s="47">
        <v>-12</v>
      </c>
    </row>
    <row r="210" spans="2:21" x14ac:dyDescent="0.2">
      <c r="B210" s="46"/>
      <c r="F210" s="47"/>
      <c r="J210" s="46"/>
      <c r="K210" s="48"/>
      <c r="O210" t="s">
        <v>602</v>
      </c>
      <c r="P210" t="s">
        <v>602</v>
      </c>
      <c r="Q210" t="s">
        <v>602</v>
      </c>
      <c r="R210" t="s">
        <v>603</v>
      </c>
      <c r="S210" t="s">
        <v>602</v>
      </c>
      <c r="T210" t="s">
        <v>602</v>
      </c>
      <c r="U210" s="47">
        <v>-23</v>
      </c>
    </row>
    <row r="211" spans="2:21" x14ac:dyDescent="0.2">
      <c r="B211" s="46"/>
      <c r="F211" s="47"/>
      <c r="J211" s="46"/>
      <c r="K211" s="48"/>
      <c r="O211" t="s">
        <v>602</v>
      </c>
      <c r="P211" t="s">
        <v>602</v>
      </c>
      <c r="Q211" t="s">
        <v>602</v>
      </c>
      <c r="R211" t="s">
        <v>603</v>
      </c>
      <c r="S211" t="s">
        <v>602</v>
      </c>
      <c r="T211" t="s">
        <v>602</v>
      </c>
      <c r="U211" s="47">
        <v>-17</v>
      </c>
    </row>
    <row r="212" spans="2:21" x14ac:dyDescent="0.2">
      <c r="B212" s="46"/>
      <c r="F212" s="47"/>
      <c r="J212" s="46"/>
      <c r="K212" s="48"/>
      <c r="O212" t="s">
        <v>602</v>
      </c>
      <c r="P212" t="s">
        <v>602</v>
      </c>
      <c r="Q212" t="s">
        <v>602</v>
      </c>
      <c r="R212" t="s">
        <v>603</v>
      </c>
      <c r="S212" t="s">
        <v>602</v>
      </c>
      <c r="T212" t="s">
        <v>602</v>
      </c>
      <c r="U212" s="47">
        <v>-29</v>
      </c>
    </row>
    <row r="213" spans="2:21" x14ac:dyDescent="0.2">
      <c r="B213" s="46"/>
      <c r="F213" s="47"/>
      <c r="J213" s="46"/>
      <c r="K213" s="48"/>
      <c r="O213" t="s">
        <v>602</v>
      </c>
      <c r="P213" t="s">
        <v>602</v>
      </c>
      <c r="Q213" t="s">
        <v>602</v>
      </c>
      <c r="R213" t="s">
        <v>603</v>
      </c>
      <c r="S213" t="s">
        <v>602</v>
      </c>
      <c r="T213" t="s">
        <v>602</v>
      </c>
      <c r="U213" s="47">
        <v>-12</v>
      </c>
    </row>
    <row r="214" spans="2:21" x14ac:dyDescent="0.2">
      <c r="B214" s="46"/>
      <c r="F214" s="47"/>
      <c r="J214" s="46"/>
      <c r="K214" s="48"/>
      <c r="O214" t="s">
        <v>602</v>
      </c>
      <c r="P214" t="s">
        <v>602</v>
      </c>
      <c r="Q214" t="s">
        <v>602</v>
      </c>
      <c r="R214" t="s">
        <v>603</v>
      </c>
      <c r="S214" t="s">
        <v>602</v>
      </c>
      <c r="T214" t="s">
        <v>602</v>
      </c>
      <c r="U214" s="47">
        <v>-35</v>
      </c>
    </row>
    <row r="215" spans="2:21" x14ac:dyDescent="0.2">
      <c r="B215" s="46"/>
      <c r="F215" s="47"/>
      <c r="J215" s="46"/>
      <c r="K215" s="48"/>
      <c r="O215" t="s">
        <v>602</v>
      </c>
      <c r="P215" t="s">
        <v>602</v>
      </c>
      <c r="Q215" t="s">
        <v>602</v>
      </c>
      <c r="R215" t="s">
        <v>603</v>
      </c>
      <c r="S215" t="s">
        <v>602</v>
      </c>
      <c r="T215" t="s">
        <v>602</v>
      </c>
      <c r="U215" s="47">
        <v>-29</v>
      </c>
    </row>
    <row r="216" spans="2:21" x14ac:dyDescent="0.2">
      <c r="B216" s="46"/>
      <c r="F216" s="47"/>
      <c r="J216" s="46"/>
      <c r="K216" s="48"/>
      <c r="O216" t="s">
        <v>602</v>
      </c>
      <c r="P216" t="s">
        <v>602</v>
      </c>
      <c r="Q216" t="s">
        <v>602</v>
      </c>
      <c r="R216" t="s">
        <v>603</v>
      </c>
      <c r="S216" t="s">
        <v>602</v>
      </c>
      <c r="T216" t="s">
        <v>602</v>
      </c>
      <c r="U216" s="47">
        <v>-35</v>
      </c>
    </row>
    <row r="217" spans="2:21" x14ac:dyDescent="0.2">
      <c r="B217" s="46"/>
      <c r="F217" s="47"/>
      <c r="J217" s="46"/>
      <c r="K217" s="48"/>
      <c r="O217" t="s">
        <v>602</v>
      </c>
      <c r="P217" t="s">
        <v>602</v>
      </c>
      <c r="Q217" t="s">
        <v>602</v>
      </c>
      <c r="R217" t="s">
        <v>603</v>
      </c>
      <c r="S217" t="s">
        <v>602</v>
      </c>
      <c r="T217" t="s">
        <v>602</v>
      </c>
      <c r="U217" s="47">
        <v>-41</v>
      </c>
    </row>
    <row r="218" spans="2:21" x14ac:dyDescent="0.2">
      <c r="B218" s="46"/>
      <c r="F218" s="47"/>
      <c r="J218" s="46"/>
      <c r="K218" s="48"/>
      <c r="O218" t="s">
        <v>602</v>
      </c>
      <c r="P218" t="s">
        <v>602</v>
      </c>
      <c r="Q218" t="s">
        <v>602</v>
      </c>
      <c r="R218" t="s">
        <v>603</v>
      </c>
      <c r="S218" t="s">
        <v>602</v>
      </c>
      <c r="T218" t="s">
        <v>602</v>
      </c>
      <c r="U218" s="47">
        <v>-46</v>
      </c>
    </row>
    <row r="219" spans="2:21" x14ac:dyDescent="0.2">
      <c r="B219" s="46"/>
      <c r="F219" s="47"/>
      <c r="J219" s="46"/>
      <c r="K219" s="48"/>
      <c r="O219" t="s">
        <v>602</v>
      </c>
      <c r="P219" t="s">
        <v>602</v>
      </c>
      <c r="Q219" t="s">
        <v>602</v>
      </c>
      <c r="R219" t="s">
        <v>603</v>
      </c>
      <c r="S219" t="s">
        <v>602</v>
      </c>
      <c r="T219" t="s">
        <v>602</v>
      </c>
      <c r="U219" s="47">
        <v>-12</v>
      </c>
    </row>
    <row r="220" spans="2:21" x14ac:dyDescent="0.2">
      <c r="B220" s="46"/>
      <c r="F220" s="47"/>
      <c r="J220" s="46"/>
      <c r="K220" s="48"/>
      <c r="O220" t="s">
        <v>602</v>
      </c>
      <c r="P220" t="s">
        <v>602</v>
      </c>
      <c r="Q220" t="s">
        <v>602</v>
      </c>
      <c r="R220" t="s">
        <v>603</v>
      </c>
      <c r="S220" t="s">
        <v>602</v>
      </c>
      <c r="T220" t="s">
        <v>602</v>
      </c>
      <c r="U220" s="47">
        <v>-17</v>
      </c>
    </row>
    <row r="221" spans="2:21" x14ac:dyDescent="0.2">
      <c r="B221" s="46"/>
      <c r="F221" s="47"/>
      <c r="J221" s="46"/>
      <c r="K221" s="48"/>
      <c r="O221" t="s">
        <v>602</v>
      </c>
      <c r="P221" t="s">
        <v>602</v>
      </c>
      <c r="Q221" t="s">
        <v>602</v>
      </c>
      <c r="R221" t="s">
        <v>603</v>
      </c>
      <c r="S221" t="s">
        <v>602</v>
      </c>
      <c r="T221" t="s">
        <v>602</v>
      </c>
      <c r="U221" s="47">
        <v>-52</v>
      </c>
    </row>
    <row r="222" spans="2:21" x14ac:dyDescent="0.2">
      <c r="B222" s="46"/>
      <c r="F222" s="47"/>
      <c r="J222" s="46"/>
      <c r="K222" s="48"/>
      <c r="O222" t="s">
        <v>602</v>
      </c>
      <c r="P222" t="s">
        <v>602</v>
      </c>
      <c r="Q222" t="s">
        <v>602</v>
      </c>
      <c r="R222" t="s">
        <v>603</v>
      </c>
      <c r="S222" t="s">
        <v>602</v>
      </c>
      <c r="T222" t="s">
        <v>602</v>
      </c>
      <c r="U222" s="47">
        <v>-58</v>
      </c>
    </row>
    <row r="223" spans="2:21" x14ac:dyDescent="0.2">
      <c r="B223" s="46"/>
      <c r="F223" s="47"/>
      <c r="J223" s="46"/>
      <c r="K223" s="48"/>
      <c r="O223" t="s">
        <v>602</v>
      </c>
      <c r="P223" t="s">
        <v>602</v>
      </c>
      <c r="Q223" t="s">
        <v>602</v>
      </c>
      <c r="R223" t="s">
        <v>603</v>
      </c>
      <c r="S223" t="s">
        <v>602</v>
      </c>
      <c r="T223" t="s">
        <v>602</v>
      </c>
      <c r="U223" s="47">
        <v>-29</v>
      </c>
    </row>
    <row r="224" spans="2:21" x14ac:dyDescent="0.2">
      <c r="B224" s="46"/>
      <c r="F224" s="47"/>
      <c r="J224" s="46"/>
      <c r="K224" s="48"/>
      <c r="O224" t="s">
        <v>602</v>
      </c>
      <c r="P224" t="s">
        <v>602</v>
      </c>
      <c r="Q224" t="s">
        <v>602</v>
      </c>
      <c r="R224" t="s">
        <v>603</v>
      </c>
      <c r="S224" t="s">
        <v>602</v>
      </c>
      <c r="T224" t="s">
        <v>602</v>
      </c>
      <c r="U224" s="47">
        <v>-58</v>
      </c>
    </row>
    <row r="225" spans="2:21" x14ac:dyDescent="0.2">
      <c r="B225" s="46"/>
      <c r="F225" s="47"/>
      <c r="J225" s="46"/>
      <c r="K225" s="48"/>
      <c r="O225" t="s">
        <v>602</v>
      </c>
      <c r="P225" t="s">
        <v>602</v>
      </c>
      <c r="Q225" t="s">
        <v>602</v>
      </c>
      <c r="R225" t="s">
        <v>603</v>
      </c>
      <c r="S225" t="s">
        <v>602</v>
      </c>
      <c r="T225" t="s">
        <v>602</v>
      </c>
      <c r="U225" s="47">
        <v>-52</v>
      </c>
    </row>
    <row r="226" spans="2:21" x14ac:dyDescent="0.2">
      <c r="B226" s="46"/>
      <c r="F226" s="47"/>
      <c r="J226" s="46"/>
      <c r="K226" s="48"/>
      <c r="O226" t="s">
        <v>602</v>
      </c>
      <c r="P226" t="s">
        <v>602</v>
      </c>
      <c r="Q226" t="s">
        <v>602</v>
      </c>
      <c r="R226" t="s">
        <v>603</v>
      </c>
      <c r="S226" t="s">
        <v>602</v>
      </c>
      <c r="T226" t="s">
        <v>602</v>
      </c>
      <c r="U226" s="47">
        <v>-6</v>
      </c>
    </row>
    <row r="227" spans="2:21" x14ac:dyDescent="0.2">
      <c r="B227" s="46"/>
      <c r="F227" s="47"/>
      <c r="J227" s="46"/>
      <c r="K227" s="48"/>
      <c r="O227" t="s">
        <v>602</v>
      </c>
      <c r="P227" t="s">
        <v>602</v>
      </c>
      <c r="Q227" t="s">
        <v>602</v>
      </c>
      <c r="R227" t="s">
        <v>603</v>
      </c>
      <c r="S227" t="s">
        <v>602</v>
      </c>
      <c r="T227" t="s">
        <v>602</v>
      </c>
      <c r="U227" s="47">
        <v>-58</v>
      </c>
    </row>
    <row r="228" spans="2:21" x14ac:dyDescent="0.2">
      <c r="B228" s="46"/>
      <c r="F228" s="47"/>
      <c r="J228" s="46"/>
      <c r="K228" s="48"/>
      <c r="O228" t="s">
        <v>602</v>
      </c>
      <c r="P228" t="s">
        <v>602</v>
      </c>
      <c r="Q228" t="s">
        <v>602</v>
      </c>
      <c r="R228" t="s">
        <v>603</v>
      </c>
      <c r="S228" t="s">
        <v>602</v>
      </c>
      <c r="T228" t="s">
        <v>602</v>
      </c>
      <c r="U228" s="47">
        <v>-58</v>
      </c>
    </row>
    <row r="229" spans="2:21" x14ac:dyDescent="0.2">
      <c r="B229" s="46"/>
      <c r="F229" s="47"/>
      <c r="J229" s="46"/>
      <c r="K229" s="48"/>
      <c r="O229" t="s">
        <v>602</v>
      </c>
      <c r="P229" t="s">
        <v>602</v>
      </c>
      <c r="Q229" t="s">
        <v>602</v>
      </c>
      <c r="R229" t="s">
        <v>603</v>
      </c>
      <c r="S229" t="s">
        <v>602</v>
      </c>
      <c r="T229" t="s">
        <v>602</v>
      </c>
      <c r="U229" s="47">
        <v>-29</v>
      </c>
    </row>
    <row r="230" spans="2:21" x14ac:dyDescent="0.2">
      <c r="B230" s="46"/>
      <c r="F230" s="47"/>
      <c r="J230" s="46"/>
      <c r="K230" s="48"/>
      <c r="O230" t="s">
        <v>602</v>
      </c>
      <c r="P230" t="s">
        <v>602</v>
      </c>
      <c r="Q230" t="s">
        <v>602</v>
      </c>
      <c r="R230" t="s">
        <v>603</v>
      </c>
      <c r="S230" t="s">
        <v>602</v>
      </c>
      <c r="T230" t="s">
        <v>602</v>
      </c>
      <c r="U230" s="47">
        <v>-116</v>
      </c>
    </row>
    <row r="231" spans="2:21" x14ac:dyDescent="0.2">
      <c r="B231" s="46"/>
      <c r="F231" s="47"/>
      <c r="J231" s="46"/>
      <c r="K231" s="48"/>
      <c r="O231" t="s">
        <v>602</v>
      </c>
      <c r="P231" t="s">
        <v>602</v>
      </c>
      <c r="Q231" t="s">
        <v>602</v>
      </c>
      <c r="R231" t="s">
        <v>603</v>
      </c>
      <c r="S231" t="s">
        <v>602</v>
      </c>
      <c r="T231" t="s">
        <v>602</v>
      </c>
      <c r="U231" s="47">
        <v>-116</v>
      </c>
    </row>
    <row r="232" spans="2:21" x14ac:dyDescent="0.2">
      <c r="B232" s="46"/>
      <c r="F232" s="47"/>
      <c r="J232" s="46"/>
      <c r="K232" s="48"/>
      <c r="O232" t="s">
        <v>602</v>
      </c>
      <c r="P232" t="s">
        <v>602</v>
      </c>
      <c r="Q232" t="s">
        <v>602</v>
      </c>
      <c r="R232" t="s">
        <v>603</v>
      </c>
      <c r="S232" t="s">
        <v>602</v>
      </c>
      <c r="T232" t="s">
        <v>602</v>
      </c>
      <c r="U232" s="47">
        <v>-58</v>
      </c>
    </row>
    <row r="233" spans="2:21" x14ac:dyDescent="0.2">
      <c r="B233" s="46"/>
      <c r="F233" s="47"/>
      <c r="J233" s="46"/>
      <c r="K233" s="48"/>
      <c r="O233" t="s">
        <v>602</v>
      </c>
      <c r="P233" t="s">
        <v>602</v>
      </c>
      <c r="Q233" t="s">
        <v>602</v>
      </c>
      <c r="R233" t="s">
        <v>603</v>
      </c>
      <c r="S233" t="s">
        <v>602</v>
      </c>
      <c r="T233" t="s">
        <v>602</v>
      </c>
      <c r="U233" s="47">
        <v>-58</v>
      </c>
    </row>
    <row r="234" spans="2:21" x14ac:dyDescent="0.2">
      <c r="B234" s="46"/>
      <c r="F234" s="47"/>
      <c r="J234" s="46"/>
      <c r="K234" s="48"/>
      <c r="O234" t="s">
        <v>602</v>
      </c>
      <c r="P234" t="s">
        <v>602</v>
      </c>
      <c r="Q234" t="s">
        <v>602</v>
      </c>
      <c r="R234" t="s">
        <v>603</v>
      </c>
      <c r="S234" t="s">
        <v>602</v>
      </c>
      <c r="T234" t="s">
        <v>602</v>
      </c>
      <c r="U234" s="47">
        <v>-41</v>
      </c>
    </row>
    <row r="235" spans="2:21" x14ac:dyDescent="0.2">
      <c r="B235" s="46"/>
      <c r="F235" s="47"/>
      <c r="J235" s="46"/>
      <c r="K235" s="48"/>
      <c r="O235" t="s">
        <v>602</v>
      </c>
      <c r="P235" t="s">
        <v>602</v>
      </c>
      <c r="Q235" t="s">
        <v>602</v>
      </c>
      <c r="R235" t="s">
        <v>603</v>
      </c>
      <c r="S235" t="s">
        <v>602</v>
      </c>
      <c r="T235" t="s">
        <v>602</v>
      </c>
      <c r="U235" s="47">
        <v>-41</v>
      </c>
    </row>
    <row r="236" spans="2:21" x14ac:dyDescent="0.2">
      <c r="B236" s="46"/>
      <c r="F236" s="47"/>
      <c r="J236" s="46"/>
      <c r="K236" s="48"/>
      <c r="O236" t="s">
        <v>602</v>
      </c>
      <c r="P236" t="s">
        <v>602</v>
      </c>
      <c r="Q236" t="s">
        <v>602</v>
      </c>
      <c r="R236" t="s">
        <v>603</v>
      </c>
      <c r="S236" t="s">
        <v>602</v>
      </c>
      <c r="T236" t="s">
        <v>602</v>
      </c>
      <c r="U236" s="47">
        <v>-58</v>
      </c>
    </row>
    <row r="237" spans="2:21" x14ac:dyDescent="0.2">
      <c r="B237" s="46"/>
      <c r="F237" s="47"/>
      <c r="J237" s="46"/>
      <c r="K237" s="48"/>
      <c r="O237" t="s">
        <v>602</v>
      </c>
      <c r="P237" t="s">
        <v>602</v>
      </c>
      <c r="Q237" t="s">
        <v>602</v>
      </c>
      <c r="R237" t="s">
        <v>603</v>
      </c>
      <c r="S237" t="s">
        <v>602</v>
      </c>
      <c r="T237" t="s">
        <v>602</v>
      </c>
      <c r="U237" s="47">
        <v>-58</v>
      </c>
    </row>
    <row r="238" spans="2:21" x14ac:dyDescent="0.2">
      <c r="B238" s="46"/>
      <c r="F238" s="47"/>
      <c r="J238" s="46"/>
      <c r="K238" s="48"/>
      <c r="O238" t="s">
        <v>602</v>
      </c>
      <c r="P238" t="s">
        <v>602</v>
      </c>
      <c r="Q238" t="s">
        <v>602</v>
      </c>
      <c r="R238" t="s">
        <v>603</v>
      </c>
      <c r="S238" t="s">
        <v>602</v>
      </c>
      <c r="T238" t="s">
        <v>602</v>
      </c>
      <c r="U238" s="47">
        <v>-58</v>
      </c>
    </row>
    <row r="239" spans="2:21" x14ac:dyDescent="0.2">
      <c r="B239" s="46"/>
      <c r="F239" s="47"/>
      <c r="J239" s="46"/>
      <c r="K239" s="48"/>
      <c r="O239" t="s">
        <v>602</v>
      </c>
      <c r="P239" t="s">
        <v>602</v>
      </c>
      <c r="Q239" t="s">
        <v>602</v>
      </c>
      <c r="R239" t="s">
        <v>603</v>
      </c>
      <c r="S239" t="s">
        <v>602</v>
      </c>
      <c r="T239" t="s">
        <v>602</v>
      </c>
      <c r="U239" s="47">
        <v>-58</v>
      </c>
    </row>
    <row r="240" spans="2:21" x14ac:dyDescent="0.2">
      <c r="B240" s="46"/>
      <c r="F240" s="47"/>
      <c r="J240" s="46"/>
      <c r="K240" s="48"/>
      <c r="O240" t="s">
        <v>602</v>
      </c>
      <c r="P240" t="s">
        <v>602</v>
      </c>
      <c r="Q240" t="s">
        <v>602</v>
      </c>
      <c r="R240" t="s">
        <v>603</v>
      </c>
      <c r="S240" t="s">
        <v>602</v>
      </c>
      <c r="T240" t="s">
        <v>602</v>
      </c>
      <c r="U240" s="47">
        <v>-93</v>
      </c>
    </row>
    <row r="241" spans="2:21" x14ac:dyDescent="0.2">
      <c r="B241" s="46"/>
      <c r="F241" s="47"/>
      <c r="J241" s="46"/>
      <c r="K241" s="48"/>
      <c r="O241" t="s">
        <v>602</v>
      </c>
      <c r="P241" t="s">
        <v>602</v>
      </c>
      <c r="Q241" t="s">
        <v>602</v>
      </c>
      <c r="R241" t="s">
        <v>603</v>
      </c>
      <c r="S241" t="s">
        <v>602</v>
      </c>
      <c r="T241" t="s">
        <v>602</v>
      </c>
      <c r="U241" s="47">
        <v>-58</v>
      </c>
    </row>
    <row r="242" spans="2:21" x14ac:dyDescent="0.2">
      <c r="B242" s="46"/>
      <c r="F242" s="47"/>
      <c r="J242" s="46"/>
      <c r="K242" s="48"/>
      <c r="O242" t="s">
        <v>602</v>
      </c>
      <c r="P242" t="s">
        <v>602</v>
      </c>
      <c r="Q242" t="s">
        <v>602</v>
      </c>
      <c r="R242" t="s">
        <v>603</v>
      </c>
      <c r="S242" t="s">
        <v>602</v>
      </c>
      <c r="T242" t="s">
        <v>602</v>
      </c>
      <c r="U242" s="47">
        <v>-52</v>
      </c>
    </row>
    <row r="243" spans="2:21" x14ac:dyDescent="0.2">
      <c r="B243" s="46"/>
      <c r="F243" s="47"/>
      <c r="J243" s="46"/>
      <c r="K243" s="48"/>
      <c r="O243" t="s">
        <v>602</v>
      </c>
      <c r="P243" t="s">
        <v>602</v>
      </c>
      <c r="Q243" t="s">
        <v>602</v>
      </c>
      <c r="R243" t="s">
        <v>603</v>
      </c>
      <c r="S243" t="s">
        <v>602</v>
      </c>
      <c r="T243" t="s">
        <v>602</v>
      </c>
      <c r="U243" s="47">
        <v>-29</v>
      </c>
    </row>
    <row r="244" spans="2:21" x14ac:dyDescent="0.2">
      <c r="B244" s="46"/>
      <c r="F244" s="47"/>
      <c r="J244" s="46"/>
      <c r="K244" s="48"/>
      <c r="O244" t="s">
        <v>602</v>
      </c>
      <c r="P244" t="s">
        <v>602</v>
      </c>
      <c r="Q244" t="s">
        <v>602</v>
      </c>
      <c r="R244" t="s">
        <v>603</v>
      </c>
      <c r="S244" t="s">
        <v>602</v>
      </c>
      <c r="T244" t="s">
        <v>602</v>
      </c>
      <c r="U244" s="47">
        <v>-29</v>
      </c>
    </row>
    <row r="245" spans="2:21" x14ac:dyDescent="0.2">
      <c r="B245" s="46"/>
      <c r="F245" s="47"/>
      <c r="J245" s="46"/>
      <c r="K245" s="48"/>
      <c r="O245" t="s">
        <v>602</v>
      </c>
      <c r="P245" t="s">
        <v>602</v>
      </c>
      <c r="Q245" t="s">
        <v>602</v>
      </c>
      <c r="R245" t="s">
        <v>603</v>
      </c>
      <c r="S245" t="s">
        <v>602</v>
      </c>
      <c r="T245" t="s">
        <v>602</v>
      </c>
      <c r="U245" s="47">
        <v>-17</v>
      </c>
    </row>
    <row r="246" spans="2:21" x14ac:dyDescent="0.2">
      <c r="B246" s="46"/>
      <c r="F246" s="47"/>
      <c r="J246" s="46"/>
      <c r="K246" s="48"/>
      <c r="O246" t="s">
        <v>602</v>
      </c>
      <c r="P246" t="s">
        <v>602</v>
      </c>
      <c r="Q246" t="s">
        <v>602</v>
      </c>
      <c r="R246" t="s">
        <v>603</v>
      </c>
      <c r="S246" t="s">
        <v>602</v>
      </c>
      <c r="T246" t="s">
        <v>602</v>
      </c>
      <c r="U246" s="47">
        <v>-6</v>
      </c>
    </row>
    <row r="247" spans="2:21" x14ac:dyDescent="0.2">
      <c r="B247" s="46"/>
      <c r="F247" s="47"/>
      <c r="J247" s="46"/>
      <c r="K247" s="48"/>
      <c r="O247" t="s">
        <v>602</v>
      </c>
      <c r="P247" t="s">
        <v>602</v>
      </c>
      <c r="Q247" t="s">
        <v>602</v>
      </c>
      <c r="R247" t="s">
        <v>603</v>
      </c>
      <c r="S247" t="s">
        <v>602</v>
      </c>
      <c r="T247" t="s">
        <v>602</v>
      </c>
      <c r="U247" s="47">
        <v>-58</v>
      </c>
    </row>
    <row r="248" spans="2:21" x14ac:dyDescent="0.2">
      <c r="B248" s="46"/>
      <c r="F248" s="47"/>
      <c r="J248" s="46"/>
      <c r="K248" s="48"/>
      <c r="O248" t="s">
        <v>602</v>
      </c>
      <c r="P248" t="s">
        <v>602</v>
      </c>
      <c r="Q248" t="s">
        <v>602</v>
      </c>
      <c r="R248" t="s">
        <v>603</v>
      </c>
      <c r="S248" t="s">
        <v>602</v>
      </c>
      <c r="T248" t="s">
        <v>602</v>
      </c>
      <c r="U248" s="47">
        <v>-29</v>
      </c>
    </row>
    <row r="249" spans="2:21" x14ac:dyDescent="0.2">
      <c r="B249" s="46"/>
      <c r="F249" s="47"/>
      <c r="J249" s="46"/>
      <c r="K249" s="48"/>
      <c r="O249" t="s">
        <v>602</v>
      </c>
      <c r="P249" t="s">
        <v>602</v>
      </c>
      <c r="Q249" t="s">
        <v>602</v>
      </c>
      <c r="R249" t="s">
        <v>603</v>
      </c>
      <c r="S249" t="s">
        <v>602</v>
      </c>
      <c r="T249" t="s">
        <v>602</v>
      </c>
      <c r="U249" s="47">
        <v>-6</v>
      </c>
    </row>
    <row r="250" spans="2:21" x14ac:dyDescent="0.2">
      <c r="B250" s="46"/>
      <c r="F250" s="47"/>
      <c r="J250" s="46"/>
      <c r="K250" s="48"/>
      <c r="O250" t="s">
        <v>602</v>
      </c>
      <c r="P250" t="s">
        <v>602</v>
      </c>
      <c r="Q250" t="s">
        <v>602</v>
      </c>
      <c r="R250" t="s">
        <v>603</v>
      </c>
      <c r="S250" t="s">
        <v>602</v>
      </c>
      <c r="T250" t="s">
        <v>602</v>
      </c>
      <c r="U250" s="47">
        <v>-116</v>
      </c>
    </row>
    <row r="251" spans="2:21" x14ac:dyDescent="0.2">
      <c r="B251" s="46"/>
      <c r="F251" s="47"/>
      <c r="J251" s="46"/>
      <c r="K251" s="48"/>
      <c r="O251" t="s">
        <v>602</v>
      </c>
      <c r="P251" t="s">
        <v>602</v>
      </c>
      <c r="Q251" t="s">
        <v>602</v>
      </c>
      <c r="R251" t="s">
        <v>603</v>
      </c>
      <c r="S251" t="s">
        <v>602</v>
      </c>
      <c r="T251" t="s">
        <v>602</v>
      </c>
      <c r="U251" s="47">
        <v>-29</v>
      </c>
    </row>
    <row r="252" spans="2:21" x14ac:dyDescent="0.2">
      <c r="B252" s="46"/>
      <c r="F252" s="47"/>
      <c r="J252" s="46"/>
      <c r="K252" s="48"/>
      <c r="O252" t="s">
        <v>602</v>
      </c>
      <c r="P252" t="s">
        <v>602</v>
      </c>
      <c r="Q252" t="s">
        <v>602</v>
      </c>
      <c r="R252" t="s">
        <v>603</v>
      </c>
      <c r="S252" t="s">
        <v>602</v>
      </c>
      <c r="T252" t="s">
        <v>602</v>
      </c>
      <c r="U252" s="47">
        <v>-52</v>
      </c>
    </row>
    <row r="253" spans="2:21" x14ac:dyDescent="0.2">
      <c r="B253" s="46"/>
      <c r="F253" s="47"/>
      <c r="J253" s="46"/>
      <c r="K253" s="48"/>
      <c r="O253" t="s">
        <v>602</v>
      </c>
      <c r="P253" t="s">
        <v>602</v>
      </c>
      <c r="Q253" t="s">
        <v>602</v>
      </c>
      <c r="R253" t="s">
        <v>603</v>
      </c>
      <c r="S253" t="s">
        <v>602</v>
      </c>
      <c r="T253" t="s">
        <v>602</v>
      </c>
      <c r="U253" s="47">
        <v>-6</v>
      </c>
    </row>
    <row r="254" spans="2:21" x14ac:dyDescent="0.2">
      <c r="B254" s="46"/>
      <c r="F254" s="47"/>
      <c r="J254" s="46"/>
      <c r="K254" s="48"/>
      <c r="O254" t="s">
        <v>602</v>
      </c>
      <c r="P254" t="s">
        <v>602</v>
      </c>
      <c r="Q254" t="s">
        <v>602</v>
      </c>
      <c r="R254" t="s">
        <v>603</v>
      </c>
      <c r="S254" t="s">
        <v>602</v>
      </c>
      <c r="T254" t="s">
        <v>602</v>
      </c>
      <c r="U254" s="47">
        <v>-116</v>
      </c>
    </row>
    <row r="255" spans="2:21" x14ac:dyDescent="0.2">
      <c r="B255" s="46"/>
      <c r="F255" s="47"/>
      <c r="J255" s="46"/>
      <c r="K255" s="48"/>
      <c r="O255" t="s">
        <v>602</v>
      </c>
      <c r="P255" t="s">
        <v>602</v>
      </c>
      <c r="Q255" t="s">
        <v>602</v>
      </c>
      <c r="R255" t="s">
        <v>603</v>
      </c>
      <c r="S255" t="s">
        <v>602</v>
      </c>
      <c r="T255" t="s">
        <v>602</v>
      </c>
      <c r="U255" s="47">
        <v>-17</v>
      </c>
    </row>
    <row r="256" spans="2:21" x14ac:dyDescent="0.2">
      <c r="B256" s="46"/>
      <c r="F256" s="47"/>
      <c r="J256" s="46"/>
      <c r="K256" s="48"/>
      <c r="O256" t="s">
        <v>602</v>
      </c>
      <c r="P256" t="s">
        <v>602</v>
      </c>
      <c r="Q256" t="s">
        <v>602</v>
      </c>
      <c r="R256" t="s">
        <v>603</v>
      </c>
      <c r="S256" t="s">
        <v>602</v>
      </c>
      <c r="T256" t="s">
        <v>602</v>
      </c>
      <c r="U256" s="47">
        <v>-58</v>
      </c>
    </row>
    <row r="257" spans="2:21" x14ac:dyDescent="0.2">
      <c r="B257" s="46"/>
      <c r="F257" s="47"/>
      <c r="J257" s="46"/>
      <c r="K257" s="48"/>
      <c r="O257" t="s">
        <v>602</v>
      </c>
      <c r="P257" t="s">
        <v>602</v>
      </c>
      <c r="Q257" t="s">
        <v>602</v>
      </c>
      <c r="R257" t="s">
        <v>603</v>
      </c>
      <c r="S257" t="s">
        <v>602</v>
      </c>
      <c r="T257" t="s">
        <v>602</v>
      </c>
      <c r="U257" s="47">
        <v>-12</v>
      </c>
    </row>
    <row r="258" spans="2:21" x14ac:dyDescent="0.2">
      <c r="B258" s="46"/>
      <c r="F258" s="47"/>
      <c r="J258" s="46"/>
      <c r="K258" s="48"/>
      <c r="O258" t="s">
        <v>602</v>
      </c>
      <c r="P258" t="s">
        <v>602</v>
      </c>
      <c r="Q258" t="s">
        <v>602</v>
      </c>
      <c r="R258" t="s">
        <v>603</v>
      </c>
      <c r="S258" t="s">
        <v>602</v>
      </c>
      <c r="T258" t="s">
        <v>602</v>
      </c>
      <c r="U258" s="47">
        <v>-17</v>
      </c>
    </row>
    <row r="259" spans="2:21" x14ac:dyDescent="0.2">
      <c r="B259" s="46"/>
      <c r="F259" s="47"/>
      <c r="J259" s="46"/>
      <c r="K259" s="48"/>
      <c r="O259" t="s">
        <v>602</v>
      </c>
      <c r="P259" t="s">
        <v>602</v>
      </c>
      <c r="Q259" t="s">
        <v>602</v>
      </c>
      <c r="R259" t="s">
        <v>603</v>
      </c>
      <c r="S259" t="s">
        <v>602</v>
      </c>
      <c r="T259" t="s">
        <v>602</v>
      </c>
      <c r="U259" s="47">
        <v>-35</v>
      </c>
    </row>
    <row r="260" spans="2:21" x14ac:dyDescent="0.2">
      <c r="B260" s="46"/>
      <c r="F260" s="47"/>
      <c r="J260" s="46"/>
      <c r="K260" s="48"/>
      <c r="O260" t="s">
        <v>602</v>
      </c>
      <c r="P260" t="s">
        <v>602</v>
      </c>
      <c r="Q260" t="s">
        <v>602</v>
      </c>
      <c r="R260" t="s">
        <v>603</v>
      </c>
      <c r="S260" t="s">
        <v>602</v>
      </c>
      <c r="T260" t="s">
        <v>602</v>
      </c>
      <c r="U260" s="47">
        <v>-58</v>
      </c>
    </row>
    <row r="261" spans="2:21" x14ac:dyDescent="0.2">
      <c r="B261" s="46"/>
      <c r="F261" s="47"/>
      <c r="J261" s="46"/>
      <c r="K261" s="48"/>
      <c r="O261" t="s">
        <v>602</v>
      </c>
      <c r="P261" t="s">
        <v>602</v>
      </c>
      <c r="Q261" t="s">
        <v>602</v>
      </c>
      <c r="R261" t="s">
        <v>603</v>
      </c>
      <c r="S261" t="s">
        <v>602</v>
      </c>
      <c r="T261" t="s">
        <v>602</v>
      </c>
      <c r="U261" s="47">
        <v>-23</v>
      </c>
    </row>
    <row r="262" spans="2:21" x14ac:dyDescent="0.2">
      <c r="B262" s="46"/>
      <c r="F262" s="47"/>
      <c r="J262" s="46"/>
      <c r="K262" s="48"/>
      <c r="O262" t="s">
        <v>602</v>
      </c>
      <c r="P262" t="s">
        <v>602</v>
      </c>
      <c r="Q262" t="s">
        <v>602</v>
      </c>
      <c r="R262" t="s">
        <v>603</v>
      </c>
      <c r="S262" t="s">
        <v>602</v>
      </c>
      <c r="T262" t="s">
        <v>602</v>
      </c>
      <c r="U262" s="47">
        <v>-116</v>
      </c>
    </row>
    <row r="263" spans="2:21" x14ac:dyDescent="0.2">
      <c r="B263" s="46"/>
      <c r="F263" s="47"/>
      <c r="J263" s="46"/>
      <c r="K263" s="48"/>
      <c r="O263" t="s">
        <v>602</v>
      </c>
      <c r="P263" t="s">
        <v>602</v>
      </c>
      <c r="Q263" t="s">
        <v>602</v>
      </c>
      <c r="R263" t="s">
        <v>603</v>
      </c>
      <c r="S263" t="s">
        <v>602</v>
      </c>
      <c r="T263" t="s">
        <v>602</v>
      </c>
      <c r="U263" s="47">
        <v>-17</v>
      </c>
    </row>
    <row r="264" spans="2:21" x14ac:dyDescent="0.2">
      <c r="B264" s="46"/>
      <c r="F264" s="47"/>
      <c r="J264" s="46"/>
      <c r="K264" s="48"/>
      <c r="O264" t="s">
        <v>602</v>
      </c>
      <c r="P264" t="s">
        <v>602</v>
      </c>
      <c r="Q264" t="s">
        <v>602</v>
      </c>
      <c r="R264" t="s">
        <v>603</v>
      </c>
      <c r="S264" t="s">
        <v>602</v>
      </c>
      <c r="T264" t="s">
        <v>602</v>
      </c>
      <c r="U264" s="47">
        <v>-116</v>
      </c>
    </row>
    <row r="265" spans="2:21" x14ac:dyDescent="0.2">
      <c r="B265" s="46"/>
      <c r="F265" s="47"/>
      <c r="J265" s="46"/>
      <c r="K265" s="48"/>
      <c r="O265" t="s">
        <v>602</v>
      </c>
      <c r="P265" t="s">
        <v>602</v>
      </c>
      <c r="Q265" t="s">
        <v>602</v>
      </c>
      <c r="R265" t="s">
        <v>603</v>
      </c>
      <c r="S265" t="s">
        <v>602</v>
      </c>
      <c r="T265" t="s">
        <v>602</v>
      </c>
      <c r="U265" s="47">
        <v>-58</v>
      </c>
    </row>
    <row r="266" spans="2:21" x14ac:dyDescent="0.2">
      <c r="B266" s="46"/>
      <c r="F266" s="47"/>
      <c r="J266" s="46"/>
      <c r="K266" s="48"/>
      <c r="O266" t="s">
        <v>602</v>
      </c>
      <c r="P266" t="s">
        <v>602</v>
      </c>
      <c r="Q266" t="s">
        <v>602</v>
      </c>
      <c r="R266" t="s">
        <v>603</v>
      </c>
      <c r="S266" t="s">
        <v>602</v>
      </c>
      <c r="T266" t="s">
        <v>602</v>
      </c>
      <c r="U266" s="47">
        <v>-35</v>
      </c>
    </row>
    <row r="267" spans="2:21" x14ac:dyDescent="0.2">
      <c r="B267" s="46"/>
      <c r="F267" s="47"/>
      <c r="J267" s="46"/>
      <c r="K267" s="48"/>
      <c r="O267" t="s">
        <v>602</v>
      </c>
      <c r="P267" t="s">
        <v>602</v>
      </c>
      <c r="Q267" t="s">
        <v>602</v>
      </c>
      <c r="R267" t="s">
        <v>603</v>
      </c>
      <c r="S267" t="s">
        <v>602</v>
      </c>
      <c r="T267" t="s">
        <v>602</v>
      </c>
      <c r="U267" s="47">
        <v>-41</v>
      </c>
    </row>
    <row r="268" spans="2:21" x14ac:dyDescent="0.2">
      <c r="B268" s="46"/>
      <c r="F268" s="47"/>
      <c r="J268" s="46"/>
      <c r="K268" s="48"/>
      <c r="O268" t="s">
        <v>602</v>
      </c>
      <c r="P268" t="s">
        <v>602</v>
      </c>
      <c r="Q268" t="s">
        <v>602</v>
      </c>
      <c r="R268" t="s">
        <v>603</v>
      </c>
      <c r="S268" t="s">
        <v>602</v>
      </c>
      <c r="T268" t="s">
        <v>602</v>
      </c>
      <c r="U268" s="47">
        <v>-29</v>
      </c>
    </row>
    <row r="269" spans="2:21" x14ac:dyDescent="0.2">
      <c r="B269" s="46"/>
      <c r="F269" s="47"/>
      <c r="J269" s="46"/>
      <c r="K269" s="48"/>
      <c r="O269" t="s">
        <v>602</v>
      </c>
      <c r="P269" t="s">
        <v>602</v>
      </c>
      <c r="Q269" t="s">
        <v>602</v>
      </c>
      <c r="R269" t="s">
        <v>603</v>
      </c>
      <c r="S269" t="s">
        <v>602</v>
      </c>
      <c r="T269" t="s">
        <v>602</v>
      </c>
      <c r="U269" s="47">
        <v>-12</v>
      </c>
    </row>
    <row r="270" spans="2:21" x14ac:dyDescent="0.2">
      <c r="B270" s="46"/>
      <c r="F270" s="47"/>
      <c r="J270" s="46"/>
      <c r="K270" s="48"/>
      <c r="O270" t="s">
        <v>602</v>
      </c>
      <c r="P270" t="s">
        <v>602</v>
      </c>
      <c r="Q270" t="s">
        <v>602</v>
      </c>
      <c r="R270" t="s">
        <v>603</v>
      </c>
      <c r="S270" t="s">
        <v>602</v>
      </c>
      <c r="T270" t="s">
        <v>602</v>
      </c>
      <c r="U270" s="47">
        <v>-6</v>
      </c>
    </row>
    <row r="271" spans="2:21" x14ac:dyDescent="0.2">
      <c r="B271" s="46"/>
      <c r="F271" s="47"/>
      <c r="J271" s="46"/>
      <c r="K271" s="48"/>
      <c r="O271" t="s">
        <v>602</v>
      </c>
      <c r="P271" t="s">
        <v>602</v>
      </c>
      <c r="Q271" t="s">
        <v>602</v>
      </c>
      <c r="R271" t="s">
        <v>603</v>
      </c>
      <c r="S271" t="s">
        <v>602</v>
      </c>
      <c r="T271" t="s">
        <v>602</v>
      </c>
      <c r="U271" s="47">
        <v>-12</v>
      </c>
    </row>
    <row r="272" spans="2:21" x14ac:dyDescent="0.2">
      <c r="B272" s="46"/>
      <c r="F272" s="47"/>
      <c r="J272" s="46"/>
      <c r="K272" s="48"/>
      <c r="O272" t="s">
        <v>602</v>
      </c>
      <c r="P272" t="s">
        <v>602</v>
      </c>
      <c r="Q272" t="s">
        <v>602</v>
      </c>
      <c r="R272" t="s">
        <v>603</v>
      </c>
      <c r="S272" t="s">
        <v>602</v>
      </c>
      <c r="T272" t="s">
        <v>602</v>
      </c>
      <c r="U272" s="47">
        <v>-12</v>
      </c>
    </row>
    <row r="273" spans="2:21" x14ac:dyDescent="0.2">
      <c r="B273" s="46"/>
      <c r="F273" s="47"/>
      <c r="J273" s="46"/>
      <c r="K273" s="48"/>
      <c r="O273" t="s">
        <v>602</v>
      </c>
      <c r="P273" t="s">
        <v>602</v>
      </c>
      <c r="Q273" t="s">
        <v>602</v>
      </c>
      <c r="R273" t="s">
        <v>603</v>
      </c>
      <c r="S273" t="s">
        <v>602</v>
      </c>
      <c r="T273" t="s">
        <v>602</v>
      </c>
      <c r="U273" s="47">
        <v>-58</v>
      </c>
    </row>
    <row r="274" spans="2:21" x14ac:dyDescent="0.2">
      <c r="B274" s="46"/>
      <c r="F274" s="47"/>
      <c r="J274" s="46"/>
      <c r="K274" s="48"/>
      <c r="O274" t="s">
        <v>602</v>
      </c>
      <c r="P274" t="s">
        <v>602</v>
      </c>
      <c r="Q274" t="s">
        <v>602</v>
      </c>
      <c r="R274" t="s">
        <v>603</v>
      </c>
      <c r="S274" t="s">
        <v>602</v>
      </c>
      <c r="T274" t="s">
        <v>602</v>
      </c>
      <c r="U274" s="47">
        <v>-12</v>
      </c>
    </row>
    <row r="275" spans="2:21" x14ac:dyDescent="0.2">
      <c r="B275" s="46"/>
      <c r="F275" s="47"/>
      <c r="J275" s="46"/>
      <c r="K275" s="48"/>
      <c r="O275" t="s">
        <v>602</v>
      </c>
      <c r="P275" t="s">
        <v>602</v>
      </c>
      <c r="Q275" t="s">
        <v>602</v>
      </c>
      <c r="R275" t="s">
        <v>603</v>
      </c>
      <c r="S275" t="s">
        <v>602</v>
      </c>
      <c r="T275" t="s">
        <v>602</v>
      </c>
      <c r="U275" s="47">
        <v>-6</v>
      </c>
    </row>
    <row r="276" spans="2:21" x14ac:dyDescent="0.2">
      <c r="B276" s="46"/>
      <c r="F276" s="47"/>
      <c r="J276" s="46"/>
      <c r="K276" s="48"/>
      <c r="O276" t="s">
        <v>602</v>
      </c>
      <c r="P276" t="s">
        <v>602</v>
      </c>
      <c r="Q276" t="s">
        <v>602</v>
      </c>
      <c r="R276" t="s">
        <v>603</v>
      </c>
      <c r="S276" t="s">
        <v>602</v>
      </c>
      <c r="T276" t="s">
        <v>602</v>
      </c>
      <c r="U276" s="47">
        <v>-58</v>
      </c>
    </row>
    <row r="277" spans="2:21" x14ac:dyDescent="0.2">
      <c r="B277" s="46"/>
      <c r="F277" s="47"/>
      <c r="J277" s="46"/>
      <c r="K277" s="48"/>
      <c r="O277" t="s">
        <v>602</v>
      </c>
      <c r="P277" t="s">
        <v>602</v>
      </c>
      <c r="Q277" t="s">
        <v>602</v>
      </c>
      <c r="R277" t="s">
        <v>603</v>
      </c>
      <c r="S277" t="s">
        <v>602</v>
      </c>
      <c r="T277" t="s">
        <v>602</v>
      </c>
      <c r="U277" s="47">
        <v>-17</v>
      </c>
    </row>
    <row r="278" spans="2:21" x14ac:dyDescent="0.2">
      <c r="B278" s="46"/>
      <c r="F278" s="47"/>
      <c r="J278" s="46"/>
      <c r="K278" s="48"/>
      <c r="O278" t="s">
        <v>602</v>
      </c>
      <c r="P278" t="s">
        <v>602</v>
      </c>
      <c r="Q278" t="s">
        <v>602</v>
      </c>
      <c r="R278" t="s">
        <v>603</v>
      </c>
      <c r="S278" t="s">
        <v>602</v>
      </c>
      <c r="T278" t="s">
        <v>602</v>
      </c>
      <c r="U278" s="47">
        <v>-99</v>
      </c>
    </row>
    <row r="279" spans="2:21" x14ac:dyDescent="0.2">
      <c r="B279" s="46"/>
      <c r="F279" s="47"/>
      <c r="J279" s="46"/>
      <c r="K279" s="48"/>
      <c r="O279" t="s">
        <v>602</v>
      </c>
      <c r="P279" t="s">
        <v>602</v>
      </c>
      <c r="Q279" t="s">
        <v>602</v>
      </c>
      <c r="R279" t="s">
        <v>603</v>
      </c>
      <c r="S279" t="s">
        <v>602</v>
      </c>
      <c r="T279" t="s">
        <v>602</v>
      </c>
      <c r="U279" s="47">
        <v>-23</v>
      </c>
    </row>
    <row r="280" spans="2:21" x14ac:dyDescent="0.2">
      <c r="B280" s="46"/>
      <c r="F280" s="47"/>
      <c r="J280" s="46"/>
      <c r="K280" s="48"/>
      <c r="O280" t="s">
        <v>602</v>
      </c>
      <c r="P280" t="s">
        <v>602</v>
      </c>
      <c r="Q280" t="s">
        <v>602</v>
      </c>
      <c r="R280" t="s">
        <v>603</v>
      </c>
      <c r="S280" t="s">
        <v>602</v>
      </c>
      <c r="T280" t="s">
        <v>602</v>
      </c>
      <c r="U280" s="47">
        <v>-58</v>
      </c>
    </row>
    <row r="281" spans="2:21" x14ac:dyDescent="0.2">
      <c r="B281" s="46"/>
      <c r="F281" s="47"/>
      <c r="J281" s="46"/>
      <c r="K281" s="48"/>
      <c r="O281" t="s">
        <v>602</v>
      </c>
      <c r="P281" t="s">
        <v>602</v>
      </c>
      <c r="Q281" t="s">
        <v>602</v>
      </c>
      <c r="R281" t="s">
        <v>603</v>
      </c>
      <c r="S281" t="s">
        <v>602</v>
      </c>
      <c r="T281" t="s">
        <v>602</v>
      </c>
      <c r="U281" s="47">
        <v>-35</v>
      </c>
    </row>
    <row r="282" spans="2:21" x14ac:dyDescent="0.2">
      <c r="B282" s="46"/>
      <c r="F282" s="47"/>
      <c r="J282" s="46"/>
      <c r="K282" s="48"/>
      <c r="O282" t="s">
        <v>602</v>
      </c>
      <c r="P282" t="s">
        <v>602</v>
      </c>
      <c r="Q282" t="s">
        <v>602</v>
      </c>
      <c r="R282" t="s">
        <v>603</v>
      </c>
      <c r="S282" t="s">
        <v>602</v>
      </c>
      <c r="T282" t="s">
        <v>602</v>
      </c>
      <c r="U282" s="47">
        <v>-58</v>
      </c>
    </row>
    <row r="283" spans="2:21" x14ac:dyDescent="0.2">
      <c r="B283" s="46"/>
      <c r="F283" s="47"/>
      <c r="J283" s="46"/>
      <c r="K283" s="48"/>
      <c r="O283" t="s">
        <v>602</v>
      </c>
      <c r="P283" t="s">
        <v>602</v>
      </c>
      <c r="Q283" t="s">
        <v>602</v>
      </c>
      <c r="R283" t="s">
        <v>603</v>
      </c>
      <c r="S283" t="s">
        <v>602</v>
      </c>
      <c r="T283" t="s">
        <v>602</v>
      </c>
      <c r="U283" s="47">
        <v>-41</v>
      </c>
    </row>
    <row r="284" spans="2:21" x14ac:dyDescent="0.2">
      <c r="B284" s="46"/>
      <c r="F284" s="47"/>
      <c r="J284" s="46"/>
      <c r="K284" s="48"/>
      <c r="O284" t="s">
        <v>602</v>
      </c>
      <c r="P284" t="s">
        <v>602</v>
      </c>
      <c r="Q284" t="s">
        <v>602</v>
      </c>
      <c r="R284" t="s">
        <v>603</v>
      </c>
      <c r="S284" t="s">
        <v>602</v>
      </c>
      <c r="T284" t="s">
        <v>602</v>
      </c>
      <c r="U284" s="47">
        <v>-29</v>
      </c>
    </row>
    <row r="285" spans="2:21" x14ac:dyDescent="0.2">
      <c r="B285" s="46"/>
      <c r="F285" s="47"/>
      <c r="J285" s="46"/>
      <c r="K285" s="48"/>
      <c r="O285" t="s">
        <v>602</v>
      </c>
      <c r="P285" t="s">
        <v>602</v>
      </c>
      <c r="Q285" t="s">
        <v>602</v>
      </c>
      <c r="R285" t="s">
        <v>603</v>
      </c>
      <c r="S285" t="s">
        <v>602</v>
      </c>
      <c r="T285" t="s">
        <v>602</v>
      </c>
      <c r="U285" s="47">
        <v>-6</v>
      </c>
    </row>
    <row r="286" spans="2:21" x14ac:dyDescent="0.2">
      <c r="B286" s="46"/>
      <c r="F286" s="47"/>
      <c r="J286" s="46"/>
      <c r="K286" s="48"/>
      <c r="O286" t="s">
        <v>602</v>
      </c>
      <c r="P286" t="s">
        <v>602</v>
      </c>
      <c r="Q286" t="s">
        <v>602</v>
      </c>
      <c r="R286" t="s">
        <v>603</v>
      </c>
      <c r="S286" t="s">
        <v>602</v>
      </c>
      <c r="T286" t="s">
        <v>602</v>
      </c>
      <c r="U286" s="47">
        <v>-103</v>
      </c>
    </row>
    <row r="287" spans="2:21" x14ac:dyDescent="0.2">
      <c r="B287" s="46"/>
      <c r="F287" s="47"/>
      <c r="J287" s="46"/>
      <c r="K287" s="48"/>
      <c r="O287" t="s">
        <v>602</v>
      </c>
      <c r="P287" t="s">
        <v>602</v>
      </c>
      <c r="Q287" t="s">
        <v>602</v>
      </c>
      <c r="R287" t="s">
        <v>603</v>
      </c>
      <c r="S287" t="s">
        <v>602</v>
      </c>
      <c r="T287" t="s">
        <v>602</v>
      </c>
      <c r="U287" s="47">
        <v>-10</v>
      </c>
    </row>
    <row r="288" spans="2:21" x14ac:dyDescent="0.2">
      <c r="B288" s="46"/>
      <c r="F288" s="47"/>
      <c r="J288" s="46"/>
      <c r="K288" s="48"/>
      <c r="O288" t="s">
        <v>602</v>
      </c>
      <c r="P288" t="s">
        <v>602</v>
      </c>
      <c r="Q288" t="s">
        <v>602</v>
      </c>
      <c r="R288" t="s">
        <v>603</v>
      </c>
      <c r="S288" t="s">
        <v>602</v>
      </c>
      <c r="T288" t="s">
        <v>602</v>
      </c>
      <c r="U288" s="47">
        <v>-26</v>
      </c>
    </row>
    <row r="289" spans="2:21" x14ac:dyDescent="0.2">
      <c r="B289" s="46"/>
      <c r="F289" s="47"/>
      <c r="J289" s="46"/>
      <c r="K289" s="48"/>
      <c r="O289" t="s">
        <v>602</v>
      </c>
      <c r="P289" t="s">
        <v>602</v>
      </c>
      <c r="Q289" t="s">
        <v>602</v>
      </c>
      <c r="R289" t="s">
        <v>603</v>
      </c>
      <c r="S289" t="s">
        <v>602</v>
      </c>
      <c r="T289" t="s">
        <v>602</v>
      </c>
      <c r="U289" s="47">
        <v>-143</v>
      </c>
    </row>
    <row r="290" spans="2:21" x14ac:dyDescent="0.2">
      <c r="B290" s="46"/>
      <c r="F290" s="47"/>
      <c r="J290" s="46"/>
      <c r="K290" s="48"/>
      <c r="O290" t="s">
        <v>602</v>
      </c>
      <c r="P290" t="s">
        <v>602</v>
      </c>
      <c r="Q290" t="s">
        <v>602</v>
      </c>
      <c r="R290" t="s">
        <v>603</v>
      </c>
      <c r="S290" t="s">
        <v>602</v>
      </c>
      <c r="T290" t="s">
        <v>602</v>
      </c>
      <c r="U290" s="47">
        <v>-260</v>
      </c>
    </row>
    <row r="291" spans="2:21" x14ac:dyDescent="0.2">
      <c r="B291" s="46"/>
      <c r="F291" s="47"/>
      <c r="J291" s="46"/>
      <c r="K291" s="48"/>
      <c r="O291" t="s">
        <v>602</v>
      </c>
      <c r="P291" t="s">
        <v>602</v>
      </c>
      <c r="Q291" t="s">
        <v>602</v>
      </c>
      <c r="R291" t="s">
        <v>603</v>
      </c>
      <c r="S291" t="s">
        <v>602</v>
      </c>
      <c r="T291" t="s">
        <v>602</v>
      </c>
      <c r="U291" s="47">
        <v>-130</v>
      </c>
    </row>
    <row r="292" spans="2:21" x14ac:dyDescent="0.2">
      <c r="B292" s="46"/>
      <c r="F292" s="47"/>
      <c r="J292" s="46"/>
      <c r="K292" s="48"/>
      <c r="O292" t="s">
        <v>602</v>
      </c>
      <c r="P292" t="s">
        <v>602</v>
      </c>
      <c r="Q292" t="s">
        <v>602</v>
      </c>
      <c r="R292" t="s">
        <v>603</v>
      </c>
      <c r="S292" t="s">
        <v>602</v>
      </c>
      <c r="T292" t="s">
        <v>602</v>
      </c>
      <c r="U292" s="47">
        <v>-130</v>
      </c>
    </row>
    <row r="293" spans="2:21" x14ac:dyDescent="0.2">
      <c r="B293" s="46"/>
      <c r="F293" s="47"/>
      <c r="J293" s="46"/>
      <c r="K293" s="48"/>
      <c r="O293" t="s">
        <v>602</v>
      </c>
      <c r="P293" t="s">
        <v>602</v>
      </c>
      <c r="Q293" t="s">
        <v>602</v>
      </c>
      <c r="R293" t="s">
        <v>603</v>
      </c>
      <c r="S293" t="s">
        <v>602</v>
      </c>
      <c r="T293" t="s">
        <v>602</v>
      </c>
      <c r="U293" s="47">
        <v>-130</v>
      </c>
    </row>
    <row r="294" spans="2:21" x14ac:dyDescent="0.2">
      <c r="B294" s="46"/>
      <c r="F294" s="47"/>
      <c r="J294" s="46"/>
      <c r="K294" s="48"/>
      <c r="O294" t="s">
        <v>602</v>
      </c>
      <c r="P294" t="s">
        <v>602</v>
      </c>
      <c r="Q294" t="s">
        <v>602</v>
      </c>
      <c r="R294" t="s">
        <v>603</v>
      </c>
      <c r="S294" t="s">
        <v>602</v>
      </c>
      <c r="T294" t="s">
        <v>602</v>
      </c>
      <c r="U294" s="47">
        <v>-260</v>
      </c>
    </row>
    <row r="295" spans="2:21" x14ac:dyDescent="0.2">
      <c r="B295" s="46"/>
      <c r="F295" s="47"/>
      <c r="J295" s="46"/>
      <c r="K295" s="48"/>
      <c r="O295" t="s">
        <v>602</v>
      </c>
      <c r="P295" t="s">
        <v>602</v>
      </c>
      <c r="Q295" t="s">
        <v>602</v>
      </c>
      <c r="R295" t="s">
        <v>603</v>
      </c>
      <c r="S295" t="s">
        <v>602</v>
      </c>
      <c r="T295" t="s">
        <v>602</v>
      </c>
      <c r="U295" s="47">
        <v>-260</v>
      </c>
    </row>
    <row r="296" spans="2:21" x14ac:dyDescent="0.2">
      <c r="B296" s="46"/>
      <c r="F296" s="47"/>
      <c r="J296" s="46"/>
      <c r="K296" s="48"/>
      <c r="O296" t="s">
        <v>602</v>
      </c>
      <c r="P296" t="s">
        <v>602</v>
      </c>
      <c r="Q296" t="s">
        <v>602</v>
      </c>
      <c r="R296" t="s">
        <v>603</v>
      </c>
      <c r="S296" t="s">
        <v>602</v>
      </c>
      <c r="T296" t="s">
        <v>602</v>
      </c>
      <c r="U296" s="47">
        <v>-260</v>
      </c>
    </row>
    <row r="297" spans="2:21" x14ac:dyDescent="0.2">
      <c r="B297" s="46"/>
      <c r="F297" s="47"/>
      <c r="J297" s="46"/>
      <c r="K297" s="48"/>
      <c r="O297" t="s">
        <v>602</v>
      </c>
      <c r="P297" t="s">
        <v>602</v>
      </c>
      <c r="Q297" t="s">
        <v>602</v>
      </c>
      <c r="R297" t="s">
        <v>603</v>
      </c>
      <c r="S297" t="s">
        <v>602</v>
      </c>
      <c r="T297" t="s">
        <v>602</v>
      </c>
      <c r="U297" s="47">
        <v>-130</v>
      </c>
    </row>
    <row r="298" spans="2:21" x14ac:dyDescent="0.2">
      <c r="B298" s="46"/>
      <c r="F298" s="47"/>
      <c r="J298" s="46"/>
      <c r="K298" s="48"/>
      <c r="O298" t="s">
        <v>602</v>
      </c>
      <c r="P298" t="s">
        <v>602</v>
      </c>
      <c r="Q298" t="s">
        <v>602</v>
      </c>
      <c r="R298" t="s">
        <v>603</v>
      </c>
      <c r="S298" t="s">
        <v>602</v>
      </c>
      <c r="T298" t="s">
        <v>602</v>
      </c>
      <c r="U298" s="47">
        <v>-260</v>
      </c>
    </row>
    <row r="299" spans="2:21" x14ac:dyDescent="0.2">
      <c r="B299" s="46"/>
      <c r="F299" s="47"/>
      <c r="J299" s="46"/>
      <c r="K299" s="48"/>
      <c r="O299" t="s">
        <v>602</v>
      </c>
      <c r="P299" t="s">
        <v>602</v>
      </c>
      <c r="Q299" t="s">
        <v>602</v>
      </c>
      <c r="R299" t="s">
        <v>603</v>
      </c>
      <c r="S299" t="s">
        <v>602</v>
      </c>
      <c r="T299" t="s">
        <v>602</v>
      </c>
      <c r="U299" s="47">
        <v>-260</v>
      </c>
    </row>
    <row r="300" spans="2:21" x14ac:dyDescent="0.2">
      <c r="B300" s="46"/>
      <c r="F300" s="47"/>
      <c r="J300" s="46"/>
      <c r="K300" s="48"/>
      <c r="O300" t="s">
        <v>602</v>
      </c>
      <c r="P300" t="s">
        <v>602</v>
      </c>
      <c r="Q300" t="s">
        <v>602</v>
      </c>
      <c r="R300" t="s">
        <v>603</v>
      </c>
      <c r="S300" t="s">
        <v>602</v>
      </c>
      <c r="T300" t="s">
        <v>602</v>
      </c>
      <c r="U300" s="47">
        <v>-130</v>
      </c>
    </row>
    <row r="301" spans="2:21" x14ac:dyDescent="0.2">
      <c r="B301" s="46"/>
      <c r="F301" s="47"/>
      <c r="J301" s="46"/>
      <c r="K301" s="48"/>
      <c r="O301" t="s">
        <v>602</v>
      </c>
      <c r="P301" t="s">
        <v>602</v>
      </c>
      <c r="Q301" t="s">
        <v>602</v>
      </c>
      <c r="R301" t="s">
        <v>603</v>
      </c>
      <c r="S301" t="s">
        <v>602</v>
      </c>
      <c r="T301" t="s">
        <v>602</v>
      </c>
      <c r="U301" s="47">
        <v>-260</v>
      </c>
    </row>
    <row r="302" spans="2:21" x14ac:dyDescent="0.2">
      <c r="B302" s="46"/>
      <c r="F302" s="47"/>
      <c r="J302" s="46"/>
      <c r="K302" s="48"/>
      <c r="O302" t="s">
        <v>602</v>
      </c>
      <c r="P302" t="s">
        <v>602</v>
      </c>
      <c r="Q302" t="s">
        <v>602</v>
      </c>
      <c r="R302" t="s">
        <v>603</v>
      </c>
      <c r="S302" t="s">
        <v>602</v>
      </c>
      <c r="T302" t="s">
        <v>602</v>
      </c>
      <c r="U302" s="47">
        <v>-260</v>
      </c>
    </row>
    <row r="303" spans="2:21" x14ac:dyDescent="0.2">
      <c r="B303" s="46"/>
      <c r="F303" s="47"/>
      <c r="J303" s="46"/>
      <c r="K303" s="48"/>
      <c r="O303" t="s">
        <v>602</v>
      </c>
      <c r="P303" t="s">
        <v>602</v>
      </c>
      <c r="Q303" t="s">
        <v>602</v>
      </c>
      <c r="R303" t="s">
        <v>603</v>
      </c>
      <c r="S303" t="s">
        <v>602</v>
      </c>
      <c r="T303" t="s">
        <v>602</v>
      </c>
      <c r="U303" s="47">
        <v>-130</v>
      </c>
    </row>
    <row r="304" spans="2:21" x14ac:dyDescent="0.2">
      <c r="B304" s="46"/>
      <c r="F304" s="47"/>
      <c r="J304" s="46"/>
      <c r="K304" s="48"/>
      <c r="O304" t="s">
        <v>602</v>
      </c>
      <c r="P304" t="s">
        <v>602</v>
      </c>
      <c r="Q304" t="s">
        <v>602</v>
      </c>
      <c r="R304" t="s">
        <v>603</v>
      </c>
      <c r="S304" t="s">
        <v>602</v>
      </c>
      <c r="T304" t="s">
        <v>602</v>
      </c>
      <c r="U304" s="47">
        <v>-260</v>
      </c>
    </row>
    <row r="305" spans="2:21" x14ac:dyDescent="0.2">
      <c r="B305" s="46"/>
      <c r="F305" s="47"/>
      <c r="J305" s="46"/>
      <c r="K305" s="48"/>
      <c r="O305" t="s">
        <v>602</v>
      </c>
      <c r="P305" t="s">
        <v>602</v>
      </c>
      <c r="Q305" t="s">
        <v>602</v>
      </c>
      <c r="R305" t="s">
        <v>603</v>
      </c>
      <c r="S305" t="s">
        <v>602</v>
      </c>
      <c r="T305" t="s">
        <v>602</v>
      </c>
      <c r="U305" s="47">
        <v>-260</v>
      </c>
    </row>
    <row r="306" spans="2:21" x14ac:dyDescent="0.2">
      <c r="B306" s="46"/>
      <c r="F306" s="47"/>
      <c r="J306" s="46"/>
      <c r="K306" s="48"/>
      <c r="O306" t="s">
        <v>602</v>
      </c>
      <c r="P306" t="s">
        <v>602</v>
      </c>
      <c r="Q306" t="s">
        <v>602</v>
      </c>
      <c r="R306" t="s">
        <v>603</v>
      </c>
      <c r="S306" t="s">
        <v>602</v>
      </c>
      <c r="T306" t="s">
        <v>602</v>
      </c>
      <c r="U306" s="47">
        <v>-130</v>
      </c>
    </row>
    <row r="307" spans="2:21" x14ac:dyDescent="0.2">
      <c r="B307" s="46"/>
      <c r="F307" s="47"/>
      <c r="J307" s="46"/>
      <c r="K307" s="48"/>
      <c r="O307" t="s">
        <v>602</v>
      </c>
      <c r="P307" t="s">
        <v>602</v>
      </c>
      <c r="Q307" t="s">
        <v>602</v>
      </c>
      <c r="R307" t="s">
        <v>603</v>
      </c>
      <c r="S307" t="s">
        <v>602</v>
      </c>
      <c r="T307" t="s">
        <v>602</v>
      </c>
      <c r="U307" s="47">
        <v>-260</v>
      </c>
    </row>
    <row r="308" spans="2:21" x14ac:dyDescent="0.2">
      <c r="B308" s="46"/>
      <c r="F308" s="47"/>
      <c r="J308" s="46"/>
      <c r="K308" s="48"/>
      <c r="O308" t="s">
        <v>602</v>
      </c>
      <c r="P308" t="s">
        <v>602</v>
      </c>
      <c r="Q308" t="s">
        <v>602</v>
      </c>
      <c r="R308" t="s">
        <v>603</v>
      </c>
      <c r="S308" t="s">
        <v>602</v>
      </c>
      <c r="T308" t="s">
        <v>602</v>
      </c>
      <c r="U308" s="47">
        <v>-130</v>
      </c>
    </row>
    <row r="309" spans="2:21" x14ac:dyDescent="0.2">
      <c r="B309" s="46"/>
      <c r="F309" s="47"/>
      <c r="J309" s="46"/>
      <c r="K309" s="48"/>
      <c r="O309" t="s">
        <v>602</v>
      </c>
      <c r="P309" t="s">
        <v>602</v>
      </c>
      <c r="Q309" t="s">
        <v>602</v>
      </c>
      <c r="R309" t="s">
        <v>603</v>
      </c>
      <c r="S309" t="s">
        <v>602</v>
      </c>
      <c r="T309" t="s">
        <v>602</v>
      </c>
      <c r="U309" s="47">
        <v>-169</v>
      </c>
    </row>
    <row r="310" spans="2:21" x14ac:dyDescent="0.2">
      <c r="B310" s="46"/>
      <c r="F310" s="47"/>
      <c r="J310" s="46"/>
      <c r="K310" s="48"/>
      <c r="O310" t="s">
        <v>602</v>
      </c>
      <c r="P310" t="s">
        <v>602</v>
      </c>
      <c r="Q310" t="s">
        <v>602</v>
      </c>
      <c r="R310" t="s">
        <v>603</v>
      </c>
      <c r="S310" t="s">
        <v>602</v>
      </c>
      <c r="T310" t="s">
        <v>602</v>
      </c>
      <c r="U310" s="47">
        <v>-104</v>
      </c>
    </row>
    <row r="311" spans="2:21" x14ac:dyDescent="0.2">
      <c r="B311" s="46"/>
      <c r="F311" s="47"/>
      <c r="J311" s="46"/>
      <c r="K311" s="48"/>
      <c r="O311" t="s">
        <v>602</v>
      </c>
      <c r="P311" t="s">
        <v>602</v>
      </c>
      <c r="Q311" t="s">
        <v>602</v>
      </c>
      <c r="R311" t="s">
        <v>603</v>
      </c>
      <c r="S311" t="s">
        <v>602</v>
      </c>
      <c r="T311" t="s">
        <v>602</v>
      </c>
      <c r="U311" s="47">
        <v>-260</v>
      </c>
    </row>
    <row r="312" spans="2:21" x14ac:dyDescent="0.2">
      <c r="B312" s="46"/>
      <c r="F312" s="47"/>
      <c r="J312" s="46"/>
      <c r="K312" s="48"/>
      <c r="O312" t="s">
        <v>602</v>
      </c>
      <c r="P312" t="s">
        <v>602</v>
      </c>
      <c r="Q312" t="s">
        <v>602</v>
      </c>
      <c r="R312" t="s">
        <v>603</v>
      </c>
      <c r="S312" t="s">
        <v>602</v>
      </c>
      <c r="T312" t="s">
        <v>602</v>
      </c>
      <c r="U312" s="47">
        <v>-13</v>
      </c>
    </row>
    <row r="313" spans="2:21" x14ac:dyDescent="0.2">
      <c r="B313" s="46"/>
      <c r="F313" s="47"/>
      <c r="J313" s="46"/>
      <c r="K313" s="48"/>
      <c r="O313" t="s">
        <v>602</v>
      </c>
      <c r="P313" t="s">
        <v>602</v>
      </c>
      <c r="Q313" t="s">
        <v>602</v>
      </c>
      <c r="R313" t="s">
        <v>603</v>
      </c>
      <c r="S313" t="s">
        <v>602</v>
      </c>
      <c r="T313" t="s">
        <v>602</v>
      </c>
      <c r="U313" s="47">
        <v>-260</v>
      </c>
    </row>
    <row r="314" spans="2:21" x14ac:dyDescent="0.2">
      <c r="B314" s="46"/>
      <c r="F314" s="47"/>
      <c r="J314" s="46"/>
      <c r="K314" s="48"/>
      <c r="O314" t="s">
        <v>602</v>
      </c>
      <c r="P314" t="s">
        <v>602</v>
      </c>
      <c r="Q314" t="s">
        <v>602</v>
      </c>
      <c r="R314" t="s">
        <v>603</v>
      </c>
      <c r="S314" t="s">
        <v>602</v>
      </c>
      <c r="T314" t="s">
        <v>602</v>
      </c>
      <c r="U314" s="47">
        <v>-143</v>
      </c>
    </row>
    <row r="315" spans="2:21" x14ac:dyDescent="0.2">
      <c r="B315" s="46"/>
      <c r="F315" s="47"/>
      <c r="J315" s="46"/>
      <c r="K315" s="48"/>
      <c r="O315" t="s">
        <v>602</v>
      </c>
      <c r="P315" t="s">
        <v>602</v>
      </c>
      <c r="Q315" t="s">
        <v>602</v>
      </c>
      <c r="R315" t="s">
        <v>603</v>
      </c>
      <c r="S315" t="s">
        <v>602</v>
      </c>
      <c r="T315" t="s">
        <v>602</v>
      </c>
      <c r="U315" s="47">
        <v>-13</v>
      </c>
    </row>
    <row r="316" spans="2:21" x14ac:dyDescent="0.2">
      <c r="B316" s="46"/>
      <c r="F316" s="47"/>
      <c r="J316" s="46"/>
      <c r="K316" s="48"/>
      <c r="O316" t="s">
        <v>602</v>
      </c>
      <c r="P316" t="s">
        <v>602</v>
      </c>
      <c r="Q316" t="s">
        <v>602</v>
      </c>
      <c r="R316" t="s">
        <v>603</v>
      </c>
      <c r="S316" t="s">
        <v>602</v>
      </c>
      <c r="T316" t="s">
        <v>602</v>
      </c>
      <c r="U316" s="47">
        <v>-195</v>
      </c>
    </row>
    <row r="317" spans="2:21" x14ac:dyDescent="0.2">
      <c r="B317" s="46"/>
      <c r="F317" s="47"/>
      <c r="J317" s="46"/>
      <c r="K317" s="48"/>
      <c r="O317" t="s">
        <v>602</v>
      </c>
      <c r="P317" t="s">
        <v>602</v>
      </c>
      <c r="Q317" t="s">
        <v>602</v>
      </c>
      <c r="R317" t="s">
        <v>603</v>
      </c>
      <c r="S317" t="s">
        <v>602</v>
      </c>
      <c r="T317" t="s">
        <v>602</v>
      </c>
      <c r="U317" s="47">
        <v>-130</v>
      </c>
    </row>
    <row r="318" spans="2:21" x14ac:dyDescent="0.2">
      <c r="B318" s="46"/>
      <c r="F318" s="47"/>
      <c r="J318" s="46"/>
      <c r="K318" s="48"/>
      <c r="O318" t="s">
        <v>602</v>
      </c>
      <c r="P318" t="s">
        <v>602</v>
      </c>
      <c r="Q318" t="s">
        <v>602</v>
      </c>
      <c r="R318" t="s">
        <v>603</v>
      </c>
      <c r="S318" t="s">
        <v>602</v>
      </c>
      <c r="T318" t="s">
        <v>602</v>
      </c>
      <c r="U318" s="47">
        <v>-130</v>
      </c>
    </row>
    <row r="319" spans="2:21" x14ac:dyDescent="0.2">
      <c r="B319" s="46"/>
      <c r="F319" s="47"/>
      <c r="J319" s="46"/>
      <c r="K319" s="48"/>
      <c r="O319" t="s">
        <v>602</v>
      </c>
      <c r="P319" t="s">
        <v>602</v>
      </c>
      <c r="Q319" t="s">
        <v>602</v>
      </c>
      <c r="R319" t="s">
        <v>603</v>
      </c>
      <c r="S319" t="s">
        <v>602</v>
      </c>
      <c r="T319" t="s">
        <v>602</v>
      </c>
      <c r="U319" s="47">
        <v>-65</v>
      </c>
    </row>
    <row r="320" spans="2:21" x14ac:dyDescent="0.2">
      <c r="B320" s="46"/>
      <c r="F320" s="47"/>
      <c r="J320" s="46"/>
      <c r="K320" s="48"/>
      <c r="O320" t="s">
        <v>602</v>
      </c>
      <c r="P320" t="s">
        <v>602</v>
      </c>
      <c r="Q320" t="s">
        <v>602</v>
      </c>
      <c r="R320" t="s">
        <v>603</v>
      </c>
      <c r="S320" t="s">
        <v>602</v>
      </c>
      <c r="T320" t="s">
        <v>602</v>
      </c>
      <c r="U320" s="47">
        <v>-78</v>
      </c>
    </row>
    <row r="321" spans="2:21" x14ac:dyDescent="0.2">
      <c r="B321" s="46"/>
      <c r="F321" s="47"/>
      <c r="J321" s="46"/>
      <c r="K321" s="48"/>
      <c r="O321" t="s">
        <v>602</v>
      </c>
      <c r="P321" t="s">
        <v>602</v>
      </c>
      <c r="Q321" t="s">
        <v>602</v>
      </c>
      <c r="R321" t="s">
        <v>603</v>
      </c>
      <c r="S321" t="s">
        <v>602</v>
      </c>
      <c r="T321" t="s">
        <v>602</v>
      </c>
      <c r="U321" s="47">
        <v>-26</v>
      </c>
    </row>
    <row r="322" spans="2:21" x14ac:dyDescent="0.2">
      <c r="B322" s="46"/>
      <c r="F322" s="47"/>
      <c r="J322" s="46"/>
      <c r="K322" s="48"/>
      <c r="O322" t="s">
        <v>602</v>
      </c>
      <c r="P322" t="s">
        <v>602</v>
      </c>
      <c r="Q322" t="s">
        <v>602</v>
      </c>
      <c r="R322" t="s">
        <v>603</v>
      </c>
      <c r="S322" t="s">
        <v>602</v>
      </c>
      <c r="T322" t="s">
        <v>602</v>
      </c>
      <c r="U322" s="47">
        <v>-584</v>
      </c>
    </row>
    <row r="323" spans="2:21" x14ac:dyDescent="0.2">
      <c r="B323" s="46"/>
      <c r="F323" s="47"/>
      <c r="J323" s="46"/>
      <c r="K323" s="48"/>
      <c r="O323" t="s">
        <v>602</v>
      </c>
      <c r="P323" t="s">
        <v>602</v>
      </c>
      <c r="Q323" t="s">
        <v>602</v>
      </c>
      <c r="R323" t="s">
        <v>603</v>
      </c>
      <c r="S323" t="s">
        <v>602</v>
      </c>
      <c r="T323" t="s">
        <v>602</v>
      </c>
      <c r="U323" s="47">
        <v>-21</v>
      </c>
    </row>
    <row r="324" spans="2:21" x14ac:dyDescent="0.2">
      <c r="B324" s="46"/>
      <c r="F324" s="47"/>
      <c r="J324" s="46"/>
      <c r="K324" s="48"/>
      <c r="O324" t="s">
        <v>602</v>
      </c>
      <c r="P324" t="s">
        <v>602</v>
      </c>
      <c r="Q324" t="s">
        <v>602</v>
      </c>
      <c r="R324" t="s">
        <v>603</v>
      </c>
      <c r="S324" t="s">
        <v>602</v>
      </c>
      <c r="T324" t="s">
        <v>602</v>
      </c>
      <c r="U324" s="47">
        <v>-7</v>
      </c>
    </row>
    <row r="325" spans="2:21" x14ac:dyDescent="0.2">
      <c r="B325" s="46"/>
      <c r="F325" s="47"/>
      <c r="J325" s="46"/>
      <c r="K325" s="48"/>
      <c r="O325" t="s">
        <v>602</v>
      </c>
      <c r="P325" t="s">
        <v>602</v>
      </c>
      <c r="Q325" t="s">
        <v>602</v>
      </c>
      <c r="R325" t="s">
        <v>603</v>
      </c>
      <c r="S325" t="s">
        <v>602</v>
      </c>
      <c r="T325" t="s">
        <v>602</v>
      </c>
      <c r="U325" s="47">
        <v>-35</v>
      </c>
    </row>
    <row r="326" spans="2:21" x14ac:dyDescent="0.2">
      <c r="B326" s="46"/>
      <c r="F326" s="47"/>
      <c r="J326" s="46"/>
      <c r="K326" s="48"/>
      <c r="O326" t="s">
        <v>602</v>
      </c>
      <c r="P326" t="s">
        <v>602</v>
      </c>
      <c r="Q326" t="s">
        <v>602</v>
      </c>
      <c r="R326" t="s">
        <v>603</v>
      </c>
      <c r="S326" t="s">
        <v>602</v>
      </c>
      <c r="T326" t="s">
        <v>602</v>
      </c>
      <c r="U326" s="47">
        <v>-7</v>
      </c>
    </row>
    <row r="327" spans="2:21" x14ac:dyDescent="0.2">
      <c r="B327" s="46"/>
      <c r="F327" s="47"/>
      <c r="J327" s="46"/>
      <c r="K327" s="48"/>
      <c r="O327" t="s">
        <v>602</v>
      </c>
      <c r="P327" t="s">
        <v>602</v>
      </c>
      <c r="Q327" t="s">
        <v>602</v>
      </c>
      <c r="R327" t="s">
        <v>603</v>
      </c>
      <c r="S327" t="s">
        <v>602</v>
      </c>
      <c r="T327" t="s">
        <v>602</v>
      </c>
      <c r="U327" s="47">
        <v>-42</v>
      </c>
    </row>
    <row r="328" spans="2:21" x14ac:dyDescent="0.2">
      <c r="B328" s="46"/>
      <c r="F328" s="47"/>
      <c r="J328" s="46"/>
      <c r="K328" s="48"/>
      <c r="O328" t="s">
        <v>602</v>
      </c>
      <c r="P328" t="s">
        <v>602</v>
      </c>
      <c r="Q328" t="s">
        <v>602</v>
      </c>
      <c r="R328" t="s">
        <v>603</v>
      </c>
      <c r="S328" t="s">
        <v>602</v>
      </c>
      <c r="T328" t="s">
        <v>602</v>
      </c>
      <c r="U328" s="47">
        <v>-70</v>
      </c>
    </row>
    <row r="329" spans="2:21" x14ac:dyDescent="0.2">
      <c r="B329" s="46"/>
      <c r="F329" s="47"/>
      <c r="J329" s="46"/>
      <c r="K329" s="48"/>
      <c r="O329" t="s">
        <v>602</v>
      </c>
      <c r="P329" t="s">
        <v>602</v>
      </c>
      <c r="Q329" t="s">
        <v>602</v>
      </c>
      <c r="R329" t="s">
        <v>603</v>
      </c>
      <c r="S329" t="s">
        <v>602</v>
      </c>
      <c r="T329" t="s">
        <v>602</v>
      </c>
      <c r="U329" s="47">
        <v>-14</v>
      </c>
    </row>
    <row r="330" spans="2:21" x14ac:dyDescent="0.2">
      <c r="B330" s="46"/>
      <c r="F330" s="47"/>
      <c r="J330" s="46"/>
      <c r="K330" s="48"/>
      <c r="O330" t="s">
        <v>602</v>
      </c>
      <c r="P330" t="s">
        <v>602</v>
      </c>
      <c r="Q330" t="s">
        <v>602</v>
      </c>
      <c r="R330" t="s">
        <v>603</v>
      </c>
      <c r="S330" t="s">
        <v>602</v>
      </c>
      <c r="T330" t="s">
        <v>602</v>
      </c>
      <c r="U330" s="47">
        <v>-119</v>
      </c>
    </row>
    <row r="331" spans="2:21" x14ac:dyDescent="0.2">
      <c r="B331" s="46"/>
      <c r="F331" s="47"/>
      <c r="J331" s="46"/>
      <c r="K331" s="48"/>
      <c r="O331" t="s">
        <v>602</v>
      </c>
      <c r="P331" t="s">
        <v>602</v>
      </c>
      <c r="Q331" t="s">
        <v>602</v>
      </c>
      <c r="R331" t="s">
        <v>603</v>
      </c>
      <c r="S331" t="s">
        <v>602</v>
      </c>
      <c r="T331" t="s">
        <v>602</v>
      </c>
      <c r="U331" s="47">
        <v>-21</v>
      </c>
    </row>
    <row r="332" spans="2:21" x14ac:dyDescent="0.2">
      <c r="B332" s="46"/>
      <c r="F332" s="47"/>
      <c r="J332" s="46"/>
      <c r="K332" s="48"/>
      <c r="O332" t="s">
        <v>602</v>
      </c>
      <c r="P332" t="s">
        <v>602</v>
      </c>
      <c r="Q332" t="s">
        <v>602</v>
      </c>
      <c r="R332" t="s">
        <v>603</v>
      </c>
      <c r="S332" t="s">
        <v>602</v>
      </c>
      <c r="T332" t="s">
        <v>602</v>
      </c>
      <c r="U332" s="47">
        <v>-7</v>
      </c>
    </row>
    <row r="333" spans="2:21" x14ac:dyDescent="0.2">
      <c r="B333" s="46"/>
      <c r="F333" s="47"/>
      <c r="J333" s="46"/>
      <c r="K333" s="48"/>
      <c r="O333" t="s">
        <v>602</v>
      </c>
      <c r="P333" t="s">
        <v>602</v>
      </c>
      <c r="Q333" t="s">
        <v>602</v>
      </c>
      <c r="R333" t="s">
        <v>603</v>
      </c>
      <c r="S333" t="s">
        <v>602</v>
      </c>
      <c r="T333" t="s">
        <v>602</v>
      </c>
      <c r="U333" s="47">
        <v>-14</v>
      </c>
    </row>
    <row r="334" spans="2:21" x14ac:dyDescent="0.2">
      <c r="B334" s="46"/>
      <c r="F334" s="47"/>
      <c r="J334" s="46"/>
      <c r="K334" s="48"/>
      <c r="O334" t="s">
        <v>602</v>
      </c>
      <c r="P334" t="s">
        <v>602</v>
      </c>
      <c r="Q334" t="s">
        <v>602</v>
      </c>
      <c r="R334" t="s">
        <v>603</v>
      </c>
      <c r="S334" t="s">
        <v>602</v>
      </c>
      <c r="T334" t="s">
        <v>602</v>
      </c>
      <c r="U334" s="47">
        <v>-63</v>
      </c>
    </row>
    <row r="335" spans="2:21" x14ac:dyDescent="0.2">
      <c r="B335" s="46"/>
      <c r="F335" s="47"/>
      <c r="J335" s="46"/>
      <c r="K335" s="48"/>
      <c r="O335" t="s">
        <v>602</v>
      </c>
      <c r="P335" t="s">
        <v>602</v>
      </c>
      <c r="Q335" t="s">
        <v>602</v>
      </c>
      <c r="R335" t="s">
        <v>603</v>
      </c>
      <c r="S335" t="s">
        <v>602</v>
      </c>
      <c r="T335" t="s">
        <v>602</v>
      </c>
      <c r="U335" s="47">
        <v>-7</v>
      </c>
    </row>
    <row r="336" spans="2:21" x14ac:dyDescent="0.2">
      <c r="B336" s="46"/>
      <c r="F336" s="47"/>
      <c r="J336" s="46"/>
      <c r="K336" s="48"/>
      <c r="O336" t="s">
        <v>602</v>
      </c>
      <c r="P336" t="s">
        <v>602</v>
      </c>
      <c r="Q336" t="s">
        <v>602</v>
      </c>
      <c r="R336" t="s">
        <v>603</v>
      </c>
      <c r="S336" t="s">
        <v>602</v>
      </c>
      <c r="T336" t="s">
        <v>602</v>
      </c>
      <c r="U336" s="47">
        <v>-14</v>
      </c>
    </row>
    <row r="337" spans="2:21" x14ac:dyDescent="0.2">
      <c r="B337" s="46"/>
      <c r="F337" s="47"/>
      <c r="J337" s="46"/>
      <c r="K337" s="48"/>
      <c r="O337" t="s">
        <v>602</v>
      </c>
      <c r="P337" t="s">
        <v>602</v>
      </c>
      <c r="Q337" t="s">
        <v>602</v>
      </c>
      <c r="R337" t="s">
        <v>603</v>
      </c>
      <c r="S337" t="s">
        <v>602</v>
      </c>
      <c r="T337" t="s">
        <v>602</v>
      </c>
      <c r="U337" s="47">
        <v>-140</v>
      </c>
    </row>
    <row r="338" spans="2:21" x14ac:dyDescent="0.2">
      <c r="B338" s="46"/>
      <c r="F338" s="47"/>
      <c r="J338" s="46"/>
      <c r="K338" s="48"/>
      <c r="O338" t="s">
        <v>602</v>
      </c>
      <c r="P338" t="s">
        <v>602</v>
      </c>
      <c r="Q338" t="s">
        <v>602</v>
      </c>
      <c r="R338" t="s">
        <v>603</v>
      </c>
      <c r="S338" t="s">
        <v>602</v>
      </c>
      <c r="T338" t="s">
        <v>602</v>
      </c>
      <c r="U338" s="47">
        <v>-7</v>
      </c>
    </row>
    <row r="339" spans="2:21" x14ac:dyDescent="0.2">
      <c r="B339" s="46"/>
      <c r="F339" s="47"/>
      <c r="J339" s="46"/>
      <c r="K339" s="48"/>
      <c r="O339" t="s">
        <v>602</v>
      </c>
      <c r="P339" t="s">
        <v>602</v>
      </c>
      <c r="Q339" t="s">
        <v>602</v>
      </c>
      <c r="R339" t="s">
        <v>603</v>
      </c>
      <c r="S339" t="s">
        <v>602</v>
      </c>
      <c r="T339" t="s">
        <v>602</v>
      </c>
      <c r="U339" s="47">
        <v>-21</v>
      </c>
    </row>
    <row r="340" spans="2:21" x14ac:dyDescent="0.2">
      <c r="B340" s="46"/>
      <c r="F340" s="47"/>
      <c r="J340" s="46"/>
      <c r="K340" s="48"/>
      <c r="O340" t="s">
        <v>602</v>
      </c>
      <c r="P340" t="s">
        <v>602</v>
      </c>
      <c r="Q340" t="s">
        <v>602</v>
      </c>
      <c r="R340" t="s">
        <v>603</v>
      </c>
      <c r="S340" t="s">
        <v>602</v>
      </c>
      <c r="T340" t="s">
        <v>602</v>
      </c>
      <c r="U340" s="47">
        <v>-70</v>
      </c>
    </row>
    <row r="341" spans="2:21" x14ac:dyDescent="0.2">
      <c r="B341" s="46"/>
      <c r="F341" s="47"/>
      <c r="J341" s="46"/>
      <c r="K341" s="48"/>
      <c r="O341" t="s">
        <v>602</v>
      </c>
      <c r="P341" t="s">
        <v>602</v>
      </c>
      <c r="Q341" t="s">
        <v>602</v>
      </c>
      <c r="R341" t="s">
        <v>603</v>
      </c>
      <c r="S341" t="s">
        <v>602</v>
      </c>
      <c r="T341" t="s">
        <v>602</v>
      </c>
      <c r="U341" s="47">
        <v>-21</v>
      </c>
    </row>
    <row r="342" spans="2:21" x14ac:dyDescent="0.2">
      <c r="B342" s="46"/>
      <c r="F342" s="47"/>
      <c r="J342" s="46"/>
      <c r="K342" s="48"/>
      <c r="O342" t="s">
        <v>602</v>
      </c>
      <c r="P342" t="s">
        <v>602</v>
      </c>
      <c r="Q342" t="s">
        <v>602</v>
      </c>
      <c r="R342" t="s">
        <v>603</v>
      </c>
      <c r="S342" t="s">
        <v>602</v>
      </c>
      <c r="T342" t="s">
        <v>602</v>
      </c>
      <c r="U342" s="47">
        <v>-35</v>
      </c>
    </row>
    <row r="343" spans="2:21" x14ac:dyDescent="0.2">
      <c r="B343" s="46"/>
      <c r="F343" s="47"/>
      <c r="J343" s="46"/>
      <c r="K343" s="48"/>
      <c r="O343" t="s">
        <v>602</v>
      </c>
      <c r="P343" t="s">
        <v>602</v>
      </c>
      <c r="Q343" t="s">
        <v>602</v>
      </c>
      <c r="R343" t="s">
        <v>603</v>
      </c>
      <c r="S343" t="s">
        <v>602</v>
      </c>
      <c r="T343" t="s">
        <v>602</v>
      </c>
      <c r="U343" s="47">
        <v>-63</v>
      </c>
    </row>
    <row r="344" spans="2:21" x14ac:dyDescent="0.2">
      <c r="B344" s="46"/>
      <c r="F344" s="47"/>
      <c r="J344" s="46"/>
      <c r="K344" s="48"/>
      <c r="O344" t="s">
        <v>602</v>
      </c>
      <c r="P344" t="s">
        <v>602</v>
      </c>
      <c r="Q344" t="s">
        <v>602</v>
      </c>
      <c r="R344" t="s">
        <v>603</v>
      </c>
      <c r="S344" t="s">
        <v>602</v>
      </c>
      <c r="T344" t="s">
        <v>602</v>
      </c>
      <c r="U344" s="47">
        <v>-112</v>
      </c>
    </row>
    <row r="345" spans="2:21" x14ac:dyDescent="0.2">
      <c r="B345" s="46"/>
      <c r="F345" s="47"/>
      <c r="J345" s="46"/>
      <c r="K345" s="48"/>
      <c r="O345" t="s">
        <v>602</v>
      </c>
      <c r="P345" t="s">
        <v>602</v>
      </c>
      <c r="Q345" t="s">
        <v>602</v>
      </c>
      <c r="R345" t="s">
        <v>603</v>
      </c>
      <c r="S345" t="s">
        <v>602</v>
      </c>
      <c r="T345" t="s">
        <v>602</v>
      </c>
      <c r="U345" s="47">
        <v>-42</v>
      </c>
    </row>
    <row r="346" spans="2:21" x14ac:dyDescent="0.2">
      <c r="B346" s="46"/>
      <c r="F346" s="47"/>
      <c r="J346" s="46"/>
      <c r="K346" s="48"/>
      <c r="O346" t="s">
        <v>602</v>
      </c>
      <c r="P346" t="s">
        <v>602</v>
      </c>
      <c r="Q346" t="s">
        <v>602</v>
      </c>
      <c r="R346" t="s">
        <v>603</v>
      </c>
      <c r="S346" t="s">
        <v>602</v>
      </c>
      <c r="T346" t="s">
        <v>602</v>
      </c>
      <c r="U346" s="47">
        <v>-14</v>
      </c>
    </row>
    <row r="347" spans="2:21" x14ac:dyDescent="0.2">
      <c r="B347" s="46"/>
      <c r="F347" s="47"/>
      <c r="J347" s="46"/>
      <c r="K347" s="48"/>
      <c r="O347" t="s">
        <v>602</v>
      </c>
      <c r="P347" t="s">
        <v>602</v>
      </c>
      <c r="Q347" t="s">
        <v>602</v>
      </c>
      <c r="R347" t="s">
        <v>603</v>
      </c>
      <c r="S347" t="s">
        <v>602</v>
      </c>
      <c r="T347" t="s">
        <v>602</v>
      </c>
      <c r="U347" s="47">
        <v>-7</v>
      </c>
    </row>
    <row r="348" spans="2:21" x14ac:dyDescent="0.2">
      <c r="B348" s="46"/>
      <c r="F348" s="47"/>
      <c r="J348" s="46"/>
      <c r="K348" s="48"/>
      <c r="O348" t="s">
        <v>602</v>
      </c>
      <c r="P348" t="s">
        <v>602</v>
      </c>
      <c r="Q348" t="s">
        <v>602</v>
      </c>
      <c r="R348" t="s">
        <v>603</v>
      </c>
      <c r="S348" t="s">
        <v>602</v>
      </c>
      <c r="T348" t="s">
        <v>602</v>
      </c>
      <c r="U348" s="47">
        <v>-49</v>
      </c>
    </row>
    <row r="349" spans="2:21" x14ac:dyDescent="0.2">
      <c r="B349" s="46"/>
      <c r="F349" s="47"/>
      <c r="J349" s="46"/>
      <c r="K349" s="48"/>
      <c r="O349" t="s">
        <v>602</v>
      </c>
      <c r="P349" t="s">
        <v>602</v>
      </c>
      <c r="Q349" t="s">
        <v>602</v>
      </c>
      <c r="R349" t="s">
        <v>603</v>
      </c>
      <c r="S349" t="s">
        <v>602</v>
      </c>
      <c r="T349" t="s">
        <v>602</v>
      </c>
      <c r="U349" s="47">
        <v>-7</v>
      </c>
    </row>
    <row r="350" spans="2:21" x14ac:dyDescent="0.2">
      <c r="B350" s="46"/>
      <c r="F350" s="47"/>
      <c r="J350" s="46"/>
      <c r="K350" s="48"/>
      <c r="O350" t="s">
        <v>602</v>
      </c>
      <c r="P350" t="s">
        <v>602</v>
      </c>
      <c r="Q350" t="s">
        <v>602</v>
      </c>
      <c r="R350" t="s">
        <v>603</v>
      </c>
      <c r="S350" t="s">
        <v>602</v>
      </c>
      <c r="T350" t="s">
        <v>602</v>
      </c>
      <c r="U350" s="47">
        <v>-14</v>
      </c>
    </row>
    <row r="351" spans="2:21" x14ac:dyDescent="0.2">
      <c r="B351" s="46"/>
      <c r="F351" s="47"/>
      <c r="J351" s="46"/>
      <c r="K351" s="48"/>
      <c r="O351" t="s">
        <v>602</v>
      </c>
      <c r="P351" t="s">
        <v>602</v>
      </c>
      <c r="Q351" t="s">
        <v>602</v>
      </c>
      <c r="R351" t="s">
        <v>603</v>
      </c>
      <c r="S351" t="s">
        <v>602</v>
      </c>
      <c r="T351" t="s">
        <v>602</v>
      </c>
      <c r="U351" s="47">
        <v>-49</v>
      </c>
    </row>
    <row r="352" spans="2:21" x14ac:dyDescent="0.2">
      <c r="B352" s="46"/>
      <c r="F352" s="47"/>
      <c r="J352" s="46"/>
      <c r="K352" s="48"/>
      <c r="O352" t="s">
        <v>602</v>
      </c>
      <c r="P352" t="s">
        <v>602</v>
      </c>
      <c r="Q352" t="s">
        <v>602</v>
      </c>
      <c r="R352" t="s">
        <v>603</v>
      </c>
      <c r="S352" t="s">
        <v>602</v>
      </c>
      <c r="T352" t="s">
        <v>602</v>
      </c>
      <c r="U352" s="47">
        <v>-63</v>
      </c>
    </row>
    <row r="353" spans="2:21" x14ac:dyDescent="0.2">
      <c r="B353" s="46"/>
      <c r="F353" s="47"/>
      <c r="J353" s="46"/>
      <c r="K353" s="48"/>
      <c r="O353" t="s">
        <v>602</v>
      </c>
      <c r="P353" t="s">
        <v>602</v>
      </c>
      <c r="Q353" t="s">
        <v>602</v>
      </c>
      <c r="R353" t="s">
        <v>603</v>
      </c>
      <c r="S353" t="s">
        <v>602</v>
      </c>
      <c r="T353" t="s">
        <v>602</v>
      </c>
      <c r="U353" s="47">
        <v>-14</v>
      </c>
    </row>
    <row r="354" spans="2:21" x14ac:dyDescent="0.2">
      <c r="B354" s="46"/>
      <c r="F354" s="47"/>
      <c r="J354" s="46"/>
      <c r="K354" s="48"/>
      <c r="O354" t="s">
        <v>602</v>
      </c>
      <c r="P354" t="s">
        <v>602</v>
      </c>
      <c r="Q354" t="s">
        <v>602</v>
      </c>
      <c r="R354" t="s">
        <v>603</v>
      </c>
      <c r="S354" t="s">
        <v>602</v>
      </c>
      <c r="T354" t="s">
        <v>602</v>
      </c>
      <c r="U354" s="47">
        <v>-7</v>
      </c>
    </row>
    <row r="355" spans="2:21" x14ac:dyDescent="0.2">
      <c r="B355" s="46"/>
      <c r="F355" s="47"/>
      <c r="J355" s="46"/>
      <c r="K355" s="48"/>
      <c r="O355" t="s">
        <v>602</v>
      </c>
      <c r="P355" t="s">
        <v>602</v>
      </c>
      <c r="Q355" t="s">
        <v>602</v>
      </c>
      <c r="R355" t="s">
        <v>603</v>
      </c>
      <c r="S355" t="s">
        <v>602</v>
      </c>
      <c r="T355" t="s">
        <v>602</v>
      </c>
      <c r="U355" s="47">
        <v>-63</v>
      </c>
    </row>
    <row r="356" spans="2:21" x14ac:dyDescent="0.2">
      <c r="B356" s="46"/>
      <c r="F356" s="47"/>
      <c r="J356" s="46"/>
      <c r="K356" s="48"/>
      <c r="O356" t="s">
        <v>602</v>
      </c>
      <c r="P356" t="s">
        <v>602</v>
      </c>
      <c r="Q356" t="s">
        <v>602</v>
      </c>
      <c r="R356" t="s">
        <v>603</v>
      </c>
      <c r="S356" t="s">
        <v>602</v>
      </c>
      <c r="T356" t="s">
        <v>602</v>
      </c>
      <c r="U356" s="47">
        <v>-42</v>
      </c>
    </row>
    <row r="357" spans="2:21" x14ac:dyDescent="0.2">
      <c r="B357" s="46"/>
      <c r="F357" s="47"/>
      <c r="J357" s="46"/>
      <c r="K357" s="48"/>
      <c r="O357" t="s">
        <v>602</v>
      </c>
      <c r="P357" t="s">
        <v>602</v>
      </c>
      <c r="Q357" t="s">
        <v>602</v>
      </c>
      <c r="R357" t="s">
        <v>603</v>
      </c>
      <c r="S357" t="s">
        <v>602</v>
      </c>
      <c r="T357" t="s">
        <v>602</v>
      </c>
      <c r="U357" s="47">
        <v>-28</v>
      </c>
    </row>
    <row r="358" spans="2:21" x14ac:dyDescent="0.2">
      <c r="B358" s="46"/>
      <c r="F358" s="47"/>
      <c r="J358" s="46"/>
      <c r="K358" s="48"/>
      <c r="O358" t="s">
        <v>602</v>
      </c>
      <c r="P358" t="s">
        <v>602</v>
      </c>
      <c r="Q358" t="s">
        <v>602</v>
      </c>
      <c r="R358" t="s">
        <v>603</v>
      </c>
      <c r="S358" t="s">
        <v>602</v>
      </c>
      <c r="T358" t="s">
        <v>602</v>
      </c>
      <c r="U358" s="47">
        <v>-21</v>
      </c>
    </row>
    <row r="359" spans="2:21" x14ac:dyDescent="0.2">
      <c r="B359" s="46"/>
      <c r="F359" s="47"/>
      <c r="J359" s="46"/>
      <c r="K359" s="48"/>
      <c r="O359" t="s">
        <v>602</v>
      </c>
      <c r="P359" t="s">
        <v>602</v>
      </c>
      <c r="Q359" t="s">
        <v>602</v>
      </c>
      <c r="R359" t="s">
        <v>603</v>
      </c>
      <c r="S359" t="s">
        <v>602</v>
      </c>
      <c r="T359" t="s">
        <v>602</v>
      </c>
      <c r="U359" s="47">
        <v>-49</v>
      </c>
    </row>
    <row r="360" spans="2:21" x14ac:dyDescent="0.2">
      <c r="B360" s="46"/>
      <c r="F360" s="47"/>
      <c r="J360" s="46"/>
      <c r="K360" s="48"/>
      <c r="O360" t="s">
        <v>602</v>
      </c>
      <c r="P360" t="s">
        <v>602</v>
      </c>
      <c r="Q360" t="s">
        <v>602</v>
      </c>
      <c r="R360" t="s">
        <v>603</v>
      </c>
      <c r="S360" t="s">
        <v>602</v>
      </c>
      <c r="T360" t="s">
        <v>602</v>
      </c>
      <c r="U360" s="47">
        <v>-35</v>
      </c>
    </row>
    <row r="361" spans="2:21" x14ac:dyDescent="0.2">
      <c r="B361" s="46"/>
      <c r="F361" s="47"/>
      <c r="J361" s="46"/>
      <c r="K361" s="48"/>
      <c r="O361" t="s">
        <v>602</v>
      </c>
      <c r="P361" t="s">
        <v>602</v>
      </c>
      <c r="Q361" t="s">
        <v>602</v>
      </c>
      <c r="R361" t="s">
        <v>603</v>
      </c>
      <c r="S361" t="s">
        <v>602</v>
      </c>
      <c r="T361" t="s">
        <v>602</v>
      </c>
      <c r="U361" s="47">
        <v>-35</v>
      </c>
    </row>
    <row r="362" spans="2:21" x14ac:dyDescent="0.2">
      <c r="B362" s="46"/>
      <c r="F362" s="47"/>
      <c r="J362" s="46"/>
      <c r="K362" s="48"/>
      <c r="O362" t="s">
        <v>602</v>
      </c>
      <c r="P362" t="s">
        <v>602</v>
      </c>
      <c r="Q362" t="s">
        <v>602</v>
      </c>
      <c r="R362" t="s">
        <v>603</v>
      </c>
      <c r="S362" t="s">
        <v>602</v>
      </c>
      <c r="T362" t="s">
        <v>602</v>
      </c>
      <c r="U362" s="47">
        <v>-14</v>
      </c>
    </row>
    <row r="363" spans="2:21" x14ac:dyDescent="0.2">
      <c r="B363" s="46"/>
      <c r="F363" s="47"/>
      <c r="J363" s="46"/>
      <c r="K363" s="48"/>
      <c r="O363" t="s">
        <v>602</v>
      </c>
      <c r="P363" t="s">
        <v>602</v>
      </c>
      <c r="Q363" t="s">
        <v>602</v>
      </c>
      <c r="R363" t="s">
        <v>603</v>
      </c>
      <c r="S363" t="s">
        <v>602</v>
      </c>
      <c r="T363" t="s">
        <v>602</v>
      </c>
      <c r="U363" s="47">
        <v>-14</v>
      </c>
    </row>
    <row r="364" spans="2:21" x14ac:dyDescent="0.2">
      <c r="B364" s="46"/>
      <c r="F364" s="47"/>
      <c r="J364" s="46"/>
      <c r="K364" s="48"/>
      <c r="O364" t="s">
        <v>602</v>
      </c>
      <c r="P364" t="s">
        <v>602</v>
      </c>
      <c r="Q364" t="s">
        <v>602</v>
      </c>
      <c r="R364" t="s">
        <v>603</v>
      </c>
      <c r="S364" t="s">
        <v>602</v>
      </c>
      <c r="T364" t="s">
        <v>602</v>
      </c>
      <c r="U364" s="47">
        <v>-21</v>
      </c>
    </row>
    <row r="365" spans="2:21" x14ac:dyDescent="0.2">
      <c r="B365" s="46"/>
      <c r="F365" s="47"/>
      <c r="J365" s="46"/>
      <c r="K365" s="48"/>
      <c r="O365" t="s">
        <v>602</v>
      </c>
      <c r="P365" t="s">
        <v>602</v>
      </c>
      <c r="Q365" t="s">
        <v>602</v>
      </c>
      <c r="R365" t="s">
        <v>603</v>
      </c>
      <c r="S365" t="s">
        <v>602</v>
      </c>
      <c r="T365" t="s">
        <v>602</v>
      </c>
      <c r="U365" s="47">
        <v>-49</v>
      </c>
    </row>
    <row r="366" spans="2:21" x14ac:dyDescent="0.2">
      <c r="B366" s="46"/>
      <c r="F366" s="47"/>
      <c r="J366" s="46"/>
      <c r="K366" s="48"/>
      <c r="O366" t="s">
        <v>602</v>
      </c>
      <c r="P366" t="s">
        <v>602</v>
      </c>
      <c r="Q366" t="s">
        <v>602</v>
      </c>
      <c r="R366" t="s">
        <v>603</v>
      </c>
      <c r="S366" t="s">
        <v>602</v>
      </c>
      <c r="T366" t="s">
        <v>602</v>
      </c>
      <c r="U366" s="47">
        <v>-35</v>
      </c>
    </row>
    <row r="367" spans="2:21" x14ac:dyDescent="0.2">
      <c r="B367" s="46"/>
      <c r="F367" s="47"/>
      <c r="J367" s="46"/>
      <c r="K367" s="48"/>
      <c r="O367" t="s">
        <v>602</v>
      </c>
      <c r="P367" t="s">
        <v>602</v>
      </c>
      <c r="Q367" t="s">
        <v>602</v>
      </c>
      <c r="R367" t="s">
        <v>603</v>
      </c>
      <c r="S367" t="s">
        <v>602</v>
      </c>
      <c r="T367" t="s">
        <v>602</v>
      </c>
      <c r="U367" s="47">
        <v>-21</v>
      </c>
    </row>
    <row r="368" spans="2:21" x14ac:dyDescent="0.2">
      <c r="B368" s="46"/>
      <c r="F368" s="47"/>
      <c r="J368" s="46"/>
      <c r="K368" s="48"/>
      <c r="O368" t="s">
        <v>602</v>
      </c>
      <c r="P368" t="s">
        <v>602</v>
      </c>
      <c r="Q368" t="s">
        <v>602</v>
      </c>
      <c r="R368" t="s">
        <v>603</v>
      </c>
      <c r="S368" t="s">
        <v>602</v>
      </c>
      <c r="T368" t="s">
        <v>602</v>
      </c>
      <c r="U368" s="47">
        <v>-35</v>
      </c>
    </row>
    <row r="369" spans="2:21" x14ac:dyDescent="0.2">
      <c r="B369" s="46"/>
      <c r="F369" s="47"/>
      <c r="J369" s="46"/>
      <c r="K369" s="48"/>
      <c r="O369" t="s">
        <v>602</v>
      </c>
      <c r="P369" t="s">
        <v>602</v>
      </c>
      <c r="Q369" t="s">
        <v>602</v>
      </c>
      <c r="R369" t="s">
        <v>603</v>
      </c>
      <c r="S369" t="s">
        <v>602</v>
      </c>
      <c r="T369" t="s">
        <v>602</v>
      </c>
      <c r="U369" s="47">
        <v>-35</v>
      </c>
    </row>
    <row r="370" spans="2:21" x14ac:dyDescent="0.2">
      <c r="B370" s="46"/>
      <c r="F370" s="47"/>
      <c r="J370" s="46"/>
      <c r="K370" s="48"/>
      <c r="O370" t="s">
        <v>602</v>
      </c>
      <c r="P370" t="s">
        <v>602</v>
      </c>
      <c r="Q370" t="s">
        <v>602</v>
      </c>
      <c r="R370" t="s">
        <v>603</v>
      </c>
      <c r="S370" t="s">
        <v>602</v>
      </c>
      <c r="T370" t="s">
        <v>602</v>
      </c>
      <c r="U370" s="47">
        <v>-14</v>
      </c>
    </row>
    <row r="371" spans="2:21" x14ac:dyDescent="0.2">
      <c r="B371" s="46"/>
      <c r="F371" s="47"/>
      <c r="J371" s="46"/>
      <c r="K371" s="48"/>
      <c r="O371" t="s">
        <v>602</v>
      </c>
      <c r="P371" t="s">
        <v>602</v>
      </c>
      <c r="Q371" t="s">
        <v>602</v>
      </c>
      <c r="R371" t="s">
        <v>603</v>
      </c>
      <c r="S371" t="s">
        <v>602</v>
      </c>
      <c r="T371" t="s">
        <v>602</v>
      </c>
      <c r="U371" s="47">
        <v>-70</v>
      </c>
    </row>
    <row r="372" spans="2:21" x14ac:dyDescent="0.2">
      <c r="B372" s="46"/>
      <c r="F372" s="47"/>
      <c r="J372" s="46"/>
      <c r="K372" s="48"/>
      <c r="O372" t="s">
        <v>602</v>
      </c>
      <c r="P372" t="s">
        <v>602</v>
      </c>
      <c r="Q372" t="s">
        <v>602</v>
      </c>
      <c r="R372" t="s">
        <v>603</v>
      </c>
      <c r="S372" t="s">
        <v>602</v>
      </c>
      <c r="T372" t="s">
        <v>602</v>
      </c>
      <c r="U372" s="47">
        <v>-49</v>
      </c>
    </row>
    <row r="373" spans="2:21" x14ac:dyDescent="0.2">
      <c r="B373" s="46"/>
      <c r="F373" s="47"/>
      <c r="J373" s="46"/>
      <c r="K373" s="48"/>
      <c r="O373" t="s">
        <v>602</v>
      </c>
      <c r="P373" t="s">
        <v>602</v>
      </c>
      <c r="Q373" t="s">
        <v>602</v>
      </c>
      <c r="R373" t="s">
        <v>603</v>
      </c>
      <c r="S373" t="s">
        <v>602</v>
      </c>
      <c r="T373" t="s">
        <v>602</v>
      </c>
      <c r="U373" s="47">
        <v>-7</v>
      </c>
    </row>
    <row r="374" spans="2:21" x14ac:dyDescent="0.2">
      <c r="B374" s="46"/>
      <c r="F374" s="47"/>
      <c r="J374" s="46"/>
      <c r="K374" s="48"/>
      <c r="O374" t="s">
        <v>602</v>
      </c>
      <c r="P374" t="s">
        <v>602</v>
      </c>
      <c r="Q374" t="s">
        <v>602</v>
      </c>
      <c r="R374" t="s">
        <v>603</v>
      </c>
      <c r="S374" t="s">
        <v>602</v>
      </c>
      <c r="T374" t="s">
        <v>602</v>
      </c>
      <c r="U374" s="47">
        <v>-42</v>
      </c>
    </row>
    <row r="375" spans="2:21" x14ac:dyDescent="0.2">
      <c r="B375" s="46"/>
      <c r="F375" s="47"/>
      <c r="J375" s="46"/>
      <c r="K375" s="48"/>
      <c r="O375" t="s">
        <v>602</v>
      </c>
      <c r="P375" t="s">
        <v>602</v>
      </c>
      <c r="Q375" t="s">
        <v>602</v>
      </c>
      <c r="R375" t="s">
        <v>603</v>
      </c>
      <c r="S375" t="s">
        <v>602</v>
      </c>
      <c r="T375" t="s">
        <v>602</v>
      </c>
      <c r="U375" s="47">
        <v>-28</v>
      </c>
    </row>
    <row r="376" spans="2:21" x14ac:dyDescent="0.2">
      <c r="B376" s="46"/>
      <c r="F376" s="47"/>
      <c r="J376" s="46"/>
      <c r="K376" s="48"/>
      <c r="O376" t="s">
        <v>602</v>
      </c>
      <c r="P376" t="s">
        <v>602</v>
      </c>
      <c r="Q376" t="s">
        <v>602</v>
      </c>
      <c r="R376" t="s">
        <v>603</v>
      </c>
      <c r="S376" t="s">
        <v>602</v>
      </c>
      <c r="T376" t="s">
        <v>602</v>
      </c>
      <c r="U376" s="47">
        <v>-70</v>
      </c>
    </row>
    <row r="377" spans="2:21" x14ac:dyDescent="0.2">
      <c r="B377" s="46"/>
      <c r="F377" s="47"/>
      <c r="J377" s="46"/>
      <c r="K377" s="48"/>
      <c r="O377" t="s">
        <v>602</v>
      </c>
      <c r="P377" t="s">
        <v>602</v>
      </c>
      <c r="Q377" t="s">
        <v>602</v>
      </c>
      <c r="R377" t="s">
        <v>603</v>
      </c>
      <c r="S377" t="s">
        <v>602</v>
      </c>
      <c r="T377" t="s">
        <v>602</v>
      </c>
      <c r="U377" s="47">
        <v>-35</v>
      </c>
    </row>
    <row r="378" spans="2:21" x14ac:dyDescent="0.2">
      <c r="B378" s="46"/>
      <c r="F378" s="47"/>
      <c r="J378" s="46"/>
      <c r="K378" s="48"/>
      <c r="O378" t="s">
        <v>602</v>
      </c>
      <c r="P378" t="s">
        <v>602</v>
      </c>
      <c r="Q378" t="s">
        <v>602</v>
      </c>
      <c r="R378" t="s">
        <v>603</v>
      </c>
      <c r="S378" t="s">
        <v>602</v>
      </c>
      <c r="T378" t="s">
        <v>602</v>
      </c>
      <c r="U378" s="47">
        <v>-63</v>
      </c>
    </row>
    <row r="379" spans="2:21" x14ac:dyDescent="0.2">
      <c r="B379" s="46"/>
      <c r="F379" s="47"/>
      <c r="J379" s="46"/>
      <c r="K379" s="48"/>
      <c r="O379" t="s">
        <v>602</v>
      </c>
      <c r="P379" t="s">
        <v>602</v>
      </c>
      <c r="Q379" t="s">
        <v>602</v>
      </c>
      <c r="R379" t="s">
        <v>603</v>
      </c>
      <c r="S379" t="s">
        <v>602</v>
      </c>
      <c r="T379" t="s">
        <v>602</v>
      </c>
      <c r="U379" s="47">
        <v>-28</v>
      </c>
    </row>
    <row r="380" spans="2:21" x14ac:dyDescent="0.2">
      <c r="B380" s="46"/>
      <c r="F380" s="47"/>
      <c r="J380" s="46"/>
      <c r="K380" s="48"/>
      <c r="O380" t="s">
        <v>602</v>
      </c>
      <c r="P380" t="s">
        <v>602</v>
      </c>
      <c r="Q380" t="s">
        <v>602</v>
      </c>
      <c r="R380" t="s">
        <v>603</v>
      </c>
      <c r="S380" t="s">
        <v>602</v>
      </c>
      <c r="T380" t="s">
        <v>602</v>
      </c>
      <c r="U380" s="47">
        <v>-140</v>
      </c>
    </row>
    <row r="381" spans="2:21" x14ac:dyDescent="0.2">
      <c r="B381" s="46"/>
      <c r="F381" s="47"/>
      <c r="J381" s="46"/>
      <c r="K381" s="48"/>
      <c r="O381" t="s">
        <v>602</v>
      </c>
      <c r="P381" t="s">
        <v>602</v>
      </c>
      <c r="Q381" t="s">
        <v>602</v>
      </c>
      <c r="R381" t="s">
        <v>603</v>
      </c>
      <c r="S381" t="s">
        <v>602</v>
      </c>
      <c r="T381" t="s">
        <v>602</v>
      </c>
      <c r="U381" s="47">
        <v>-42</v>
      </c>
    </row>
    <row r="382" spans="2:21" x14ac:dyDescent="0.2">
      <c r="B382" s="46"/>
      <c r="F382" s="47"/>
      <c r="J382" s="46"/>
      <c r="K382" s="48"/>
      <c r="O382" t="s">
        <v>602</v>
      </c>
      <c r="P382" t="s">
        <v>602</v>
      </c>
      <c r="Q382" t="s">
        <v>602</v>
      </c>
      <c r="R382" t="s">
        <v>603</v>
      </c>
      <c r="S382" t="s">
        <v>602</v>
      </c>
      <c r="T382" t="s">
        <v>602</v>
      </c>
      <c r="U382" s="47">
        <v>-35</v>
      </c>
    </row>
    <row r="383" spans="2:21" x14ac:dyDescent="0.2">
      <c r="B383" s="46"/>
      <c r="F383" s="47"/>
      <c r="J383" s="46"/>
      <c r="K383" s="48"/>
      <c r="O383" t="s">
        <v>602</v>
      </c>
      <c r="P383" t="s">
        <v>602</v>
      </c>
      <c r="Q383" t="s">
        <v>602</v>
      </c>
      <c r="R383" t="s">
        <v>603</v>
      </c>
      <c r="S383" t="s">
        <v>602</v>
      </c>
      <c r="T383" t="s">
        <v>602</v>
      </c>
      <c r="U383" s="47">
        <v>-35</v>
      </c>
    </row>
    <row r="384" spans="2:21" x14ac:dyDescent="0.2">
      <c r="B384" s="46"/>
      <c r="F384" s="47"/>
      <c r="J384" s="46"/>
      <c r="K384" s="48"/>
      <c r="O384" t="s">
        <v>602</v>
      </c>
      <c r="P384" t="s">
        <v>602</v>
      </c>
      <c r="Q384" t="s">
        <v>602</v>
      </c>
      <c r="R384" t="s">
        <v>603</v>
      </c>
      <c r="S384" t="s">
        <v>602</v>
      </c>
      <c r="T384" t="s">
        <v>602</v>
      </c>
      <c r="U384" s="47">
        <v>-70</v>
      </c>
    </row>
    <row r="385" spans="2:21" x14ac:dyDescent="0.2">
      <c r="B385" s="46"/>
      <c r="F385" s="47"/>
      <c r="J385" s="46"/>
      <c r="K385" s="48"/>
      <c r="O385" t="s">
        <v>602</v>
      </c>
      <c r="P385" t="s">
        <v>602</v>
      </c>
      <c r="Q385" t="s">
        <v>602</v>
      </c>
      <c r="R385" t="s">
        <v>603</v>
      </c>
      <c r="S385" t="s">
        <v>602</v>
      </c>
      <c r="T385" t="s">
        <v>602</v>
      </c>
      <c r="U385" s="47">
        <v>-70</v>
      </c>
    </row>
    <row r="386" spans="2:21" x14ac:dyDescent="0.2">
      <c r="B386" s="46"/>
      <c r="F386" s="47"/>
      <c r="J386" s="46"/>
      <c r="K386" s="48"/>
      <c r="O386" t="s">
        <v>602</v>
      </c>
      <c r="P386" t="s">
        <v>602</v>
      </c>
      <c r="Q386" t="s">
        <v>602</v>
      </c>
      <c r="R386" t="s">
        <v>603</v>
      </c>
      <c r="S386" t="s">
        <v>602</v>
      </c>
      <c r="T386" t="s">
        <v>602</v>
      </c>
      <c r="U386" s="47">
        <v>-35</v>
      </c>
    </row>
    <row r="387" spans="2:21" x14ac:dyDescent="0.2">
      <c r="B387" s="46"/>
      <c r="F387" s="47"/>
      <c r="J387" s="46"/>
      <c r="K387" s="48"/>
      <c r="O387" t="s">
        <v>602</v>
      </c>
      <c r="P387" t="s">
        <v>602</v>
      </c>
      <c r="Q387" t="s">
        <v>602</v>
      </c>
      <c r="R387" t="s">
        <v>603</v>
      </c>
      <c r="S387" t="s">
        <v>602</v>
      </c>
      <c r="T387" t="s">
        <v>602</v>
      </c>
      <c r="U387" s="47">
        <v>-70</v>
      </c>
    </row>
    <row r="388" spans="2:21" x14ac:dyDescent="0.2">
      <c r="B388" s="46"/>
      <c r="F388" s="47"/>
      <c r="J388" s="46"/>
      <c r="K388" s="48"/>
      <c r="O388" t="s">
        <v>602</v>
      </c>
      <c r="P388" t="s">
        <v>602</v>
      </c>
      <c r="Q388" t="s">
        <v>602</v>
      </c>
      <c r="R388" t="s">
        <v>603</v>
      </c>
      <c r="S388" t="s">
        <v>602</v>
      </c>
      <c r="T388" t="s">
        <v>602</v>
      </c>
      <c r="U388" s="47">
        <v>-7</v>
      </c>
    </row>
    <row r="389" spans="2:21" x14ac:dyDescent="0.2">
      <c r="B389" s="46"/>
      <c r="F389" s="47"/>
      <c r="J389" s="46"/>
      <c r="K389" s="48"/>
      <c r="O389" t="s">
        <v>602</v>
      </c>
      <c r="P389" t="s">
        <v>602</v>
      </c>
      <c r="Q389" t="s">
        <v>602</v>
      </c>
      <c r="R389" t="s">
        <v>603</v>
      </c>
      <c r="S389" t="s">
        <v>602</v>
      </c>
      <c r="T389" t="s">
        <v>602</v>
      </c>
      <c r="U389" s="47">
        <v>-70</v>
      </c>
    </row>
    <row r="390" spans="2:21" x14ac:dyDescent="0.2">
      <c r="B390" s="46"/>
      <c r="F390" s="47"/>
      <c r="J390" s="46"/>
      <c r="K390" s="48"/>
      <c r="O390" t="s">
        <v>602</v>
      </c>
      <c r="P390" t="s">
        <v>602</v>
      </c>
      <c r="Q390" t="s">
        <v>602</v>
      </c>
      <c r="R390" t="s">
        <v>603</v>
      </c>
      <c r="S390" t="s">
        <v>602</v>
      </c>
      <c r="T390" t="s">
        <v>602</v>
      </c>
      <c r="U390" s="47">
        <v>-42</v>
      </c>
    </row>
    <row r="391" spans="2:21" x14ac:dyDescent="0.2">
      <c r="B391" s="46"/>
      <c r="F391" s="47"/>
      <c r="J391" s="46"/>
      <c r="K391" s="48"/>
      <c r="O391" t="s">
        <v>602</v>
      </c>
      <c r="P391" t="s">
        <v>602</v>
      </c>
      <c r="Q391" t="s">
        <v>602</v>
      </c>
      <c r="R391" t="s">
        <v>603</v>
      </c>
      <c r="S391" t="s">
        <v>602</v>
      </c>
      <c r="T391" t="s">
        <v>602</v>
      </c>
      <c r="U391" s="47">
        <v>-70</v>
      </c>
    </row>
    <row r="392" spans="2:21" x14ac:dyDescent="0.2">
      <c r="B392" s="46"/>
      <c r="F392" s="47"/>
      <c r="J392" s="46"/>
      <c r="K392" s="48"/>
      <c r="O392" t="s">
        <v>602</v>
      </c>
      <c r="P392" t="s">
        <v>602</v>
      </c>
      <c r="Q392" t="s">
        <v>602</v>
      </c>
      <c r="R392" t="s">
        <v>603</v>
      </c>
      <c r="S392" t="s">
        <v>602</v>
      </c>
      <c r="T392" t="s">
        <v>602</v>
      </c>
      <c r="U392" s="47">
        <v>-70</v>
      </c>
    </row>
    <row r="393" spans="2:21" x14ac:dyDescent="0.2">
      <c r="B393" s="46"/>
      <c r="F393" s="47"/>
      <c r="J393" s="46"/>
      <c r="K393" s="48"/>
      <c r="O393" t="s">
        <v>602</v>
      </c>
      <c r="P393" t="s">
        <v>602</v>
      </c>
      <c r="Q393" t="s">
        <v>602</v>
      </c>
      <c r="R393" t="s">
        <v>603</v>
      </c>
      <c r="S393" t="s">
        <v>602</v>
      </c>
      <c r="T393" t="s">
        <v>602</v>
      </c>
      <c r="U393" s="47">
        <v>-70</v>
      </c>
    </row>
    <row r="394" spans="2:21" x14ac:dyDescent="0.2">
      <c r="B394" s="46"/>
      <c r="F394" s="47"/>
      <c r="J394" s="46"/>
      <c r="K394" s="48"/>
      <c r="O394" t="s">
        <v>602</v>
      </c>
      <c r="P394" t="s">
        <v>602</v>
      </c>
      <c r="Q394" t="s">
        <v>602</v>
      </c>
      <c r="R394" t="s">
        <v>603</v>
      </c>
      <c r="S394" t="s">
        <v>602</v>
      </c>
      <c r="T394" t="s">
        <v>602</v>
      </c>
      <c r="U394" s="47">
        <v>-49</v>
      </c>
    </row>
    <row r="395" spans="2:21" x14ac:dyDescent="0.2">
      <c r="B395" s="46"/>
      <c r="F395" s="47"/>
      <c r="J395" s="46"/>
      <c r="K395" s="48"/>
      <c r="O395" t="s">
        <v>602</v>
      </c>
      <c r="P395" t="s">
        <v>602</v>
      </c>
      <c r="Q395" t="s">
        <v>602</v>
      </c>
      <c r="R395" t="s">
        <v>603</v>
      </c>
      <c r="S395" t="s">
        <v>602</v>
      </c>
      <c r="T395" t="s">
        <v>602</v>
      </c>
      <c r="U395" s="47">
        <v>-70</v>
      </c>
    </row>
    <row r="396" spans="2:21" x14ac:dyDescent="0.2">
      <c r="B396" s="46"/>
      <c r="F396" s="47"/>
      <c r="J396" s="46"/>
      <c r="K396" s="48"/>
      <c r="O396" t="s">
        <v>602</v>
      </c>
      <c r="P396" t="s">
        <v>602</v>
      </c>
      <c r="Q396" t="s">
        <v>602</v>
      </c>
      <c r="R396" t="s">
        <v>603</v>
      </c>
      <c r="S396" t="s">
        <v>602</v>
      </c>
      <c r="T396" t="s">
        <v>602</v>
      </c>
      <c r="U396" s="47">
        <v>-70</v>
      </c>
    </row>
    <row r="397" spans="2:21" x14ac:dyDescent="0.2">
      <c r="B397" s="46"/>
      <c r="F397" s="47"/>
      <c r="J397" s="46"/>
      <c r="K397" s="48"/>
      <c r="O397" t="s">
        <v>602</v>
      </c>
      <c r="P397" t="s">
        <v>602</v>
      </c>
      <c r="Q397" t="s">
        <v>602</v>
      </c>
      <c r="R397" t="s">
        <v>603</v>
      </c>
      <c r="S397" t="s">
        <v>602</v>
      </c>
      <c r="T397" t="s">
        <v>602</v>
      </c>
      <c r="U397" s="47">
        <v>-7</v>
      </c>
    </row>
    <row r="398" spans="2:21" x14ac:dyDescent="0.2">
      <c r="B398" s="46"/>
      <c r="F398" s="47"/>
      <c r="J398" s="46"/>
      <c r="K398" s="48"/>
      <c r="O398" t="s">
        <v>602</v>
      </c>
      <c r="P398" t="s">
        <v>602</v>
      </c>
      <c r="Q398" t="s">
        <v>602</v>
      </c>
      <c r="R398" t="s">
        <v>603</v>
      </c>
      <c r="S398" t="s">
        <v>602</v>
      </c>
      <c r="T398" t="s">
        <v>602</v>
      </c>
      <c r="U398" s="47">
        <v>-63</v>
      </c>
    </row>
    <row r="399" spans="2:21" x14ac:dyDescent="0.2">
      <c r="B399" s="46"/>
      <c r="F399" s="47"/>
      <c r="J399" s="46"/>
      <c r="K399" s="48"/>
      <c r="O399" t="s">
        <v>602</v>
      </c>
      <c r="P399" t="s">
        <v>602</v>
      </c>
      <c r="Q399" t="s">
        <v>602</v>
      </c>
      <c r="R399" t="s">
        <v>603</v>
      </c>
      <c r="S399" t="s">
        <v>602</v>
      </c>
      <c r="T399" t="s">
        <v>602</v>
      </c>
      <c r="U399" s="47">
        <v>-35</v>
      </c>
    </row>
    <row r="400" spans="2:21" x14ac:dyDescent="0.2">
      <c r="B400" s="46"/>
      <c r="F400" s="47"/>
      <c r="J400" s="46"/>
      <c r="K400" s="48"/>
      <c r="O400" t="s">
        <v>602</v>
      </c>
      <c r="P400" t="s">
        <v>602</v>
      </c>
      <c r="Q400" t="s">
        <v>602</v>
      </c>
      <c r="R400" t="s">
        <v>603</v>
      </c>
      <c r="S400" t="s">
        <v>602</v>
      </c>
      <c r="T400" t="s">
        <v>602</v>
      </c>
      <c r="U400" s="47">
        <v>-28</v>
      </c>
    </row>
    <row r="401" spans="2:21" x14ac:dyDescent="0.2">
      <c r="B401" s="46"/>
      <c r="F401" s="47"/>
      <c r="J401" s="46"/>
      <c r="K401" s="48"/>
      <c r="O401" t="s">
        <v>602</v>
      </c>
      <c r="P401" t="s">
        <v>602</v>
      </c>
      <c r="Q401" t="s">
        <v>602</v>
      </c>
      <c r="R401" t="s">
        <v>603</v>
      </c>
      <c r="S401" t="s">
        <v>602</v>
      </c>
      <c r="T401" t="s">
        <v>602</v>
      </c>
      <c r="U401" s="47">
        <v>-70</v>
      </c>
    </row>
    <row r="402" spans="2:21" x14ac:dyDescent="0.2">
      <c r="B402" s="46"/>
      <c r="F402" s="47"/>
      <c r="J402" s="46"/>
      <c r="K402" s="48"/>
      <c r="O402" t="s">
        <v>602</v>
      </c>
      <c r="P402" t="s">
        <v>602</v>
      </c>
      <c r="Q402" t="s">
        <v>602</v>
      </c>
      <c r="R402" t="s">
        <v>603</v>
      </c>
      <c r="S402" t="s">
        <v>602</v>
      </c>
      <c r="T402" t="s">
        <v>602</v>
      </c>
      <c r="U402" s="47">
        <v>-70</v>
      </c>
    </row>
    <row r="403" spans="2:21" x14ac:dyDescent="0.2">
      <c r="B403" s="46"/>
      <c r="F403" s="47"/>
      <c r="J403" s="46"/>
      <c r="K403" s="48"/>
      <c r="O403" t="s">
        <v>602</v>
      </c>
      <c r="P403" t="s">
        <v>602</v>
      </c>
      <c r="Q403" t="s">
        <v>602</v>
      </c>
      <c r="R403" t="s">
        <v>603</v>
      </c>
      <c r="S403" t="s">
        <v>602</v>
      </c>
      <c r="T403" t="s">
        <v>602</v>
      </c>
      <c r="U403" s="47">
        <v>-70</v>
      </c>
    </row>
    <row r="404" spans="2:21" x14ac:dyDescent="0.2">
      <c r="B404" s="46"/>
      <c r="F404" s="47"/>
      <c r="J404" s="46"/>
      <c r="K404" s="48"/>
      <c r="O404" t="s">
        <v>602</v>
      </c>
      <c r="P404" t="s">
        <v>602</v>
      </c>
      <c r="Q404" t="s">
        <v>602</v>
      </c>
      <c r="R404" t="s">
        <v>603</v>
      </c>
      <c r="S404" t="s">
        <v>602</v>
      </c>
      <c r="T404" t="s">
        <v>602</v>
      </c>
      <c r="U404" s="47">
        <v>-35</v>
      </c>
    </row>
    <row r="405" spans="2:21" x14ac:dyDescent="0.2">
      <c r="B405" s="46"/>
      <c r="F405" s="47"/>
      <c r="J405" s="46"/>
      <c r="K405" s="48"/>
      <c r="O405" t="s">
        <v>602</v>
      </c>
      <c r="P405" t="s">
        <v>602</v>
      </c>
      <c r="Q405" t="s">
        <v>602</v>
      </c>
      <c r="R405" t="s">
        <v>603</v>
      </c>
      <c r="S405" t="s">
        <v>602</v>
      </c>
      <c r="T405" t="s">
        <v>602</v>
      </c>
      <c r="U405" s="47">
        <v>-70</v>
      </c>
    </row>
    <row r="406" spans="2:21" x14ac:dyDescent="0.2">
      <c r="B406" s="46"/>
      <c r="F406" s="47"/>
      <c r="J406" s="46"/>
      <c r="K406" s="48"/>
      <c r="O406" t="s">
        <v>602</v>
      </c>
      <c r="P406" t="s">
        <v>602</v>
      </c>
      <c r="Q406" t="s">
        <v>602</v>
      </c>
      <c r="R406" t="s">
        <v>603</v>
      </c>
      <c r="S406" t="s">
        <v>602</v>
      </c>
      <c r="T406" t="s">
        <v>602</v>
      </c>
      <c r="U406" s="47">
        <v>-49</v>
      </c>
    </row>
    <row r="407" spans="2:21" x14ac:dyDescent="0.2">
      <c r="B407" s="46"/>
      <c r="F407" s="47"/>
      <c r="J407" s="46"/>
      <c r="K407" s="48"/>
      <c r="O407" t="s">
        <v>602</v>
      </c>
      <c r="P407" t="s">
        <v>602</v>
      </c>
      <c r="Q407" t="s">
        <v>602</v>
      </c>
      <c r="R407" t="s">
        <v>603</v>
      </c>
      <c r="S407" t="s">
        <v>602</v>
      </c>
      <c r="T407" t="s">
        <v>602</v>
      </c>
      <c r="U407" s="47">
        <v>-21</v>
      </c>
    </row>
    <row r="408" spans="2:21" x14ac:dyDescent="0.2">
      <c r="B408" s="46"/>
      <c r="F408" s="47"/>
      <c r="J408" s="46"/>
      <c r="K408" s="48"/>
      <c r="O408" t="s">
        <v>602</v>
      </c>
      <c r="P408" t="s">
        <v>602</v>
      </c>
      <c r="Q408" t="s">
        <v>602</v>
      </c>
      <c r="R408" t="s">
        <v>603</v>
      </c>
      <c r="S408" t="s">
        <v>602</v>
      </c>
      <c r="T408" t="s">
        <v>602</v>
      </c>
      <c r="U408" s="47">
        <v>-21</v>
      </c>
    </row>
    <row r="409" spans="2:21" x14ac:dyDescent="0.2">
      <c r="B409" s="46"/>
      <c r="F409" s="47"/>
      <c r="J409" s="46"/>
      <c r="K409" s="48"/>
      <c r="O409" t="s">
        <v>602</v>
      </c>
      <c r="P409" t="s">
        <v>602</v>
      </c>
      <c r="Q409" t="s">
        <v>602</v>
      </c>
      <c r="R409" t="s">
        <v>603</v>
      </c>
      <c r="S409" t="s">
        <v>602</v>
      </c>
      <c r="T409" t="s">
        <v>602</v>
      </c>
      <c r="U409" s="47">
        <v>-21</v>
      </c>
    </row>
    <row r="410" spans="2:21" x14ac:dyDescent="0.2">
      <c r="B410" s="46"/>
      <c r="F410" s="47"/>
      <c r="J410" s="46"/>
      <c r="K410" s="48"/>
      <c r="O410" t="s">
        <v>602</v>
      </c>
      <c r="P410" t="s">
        <v>602</v>
      </c>
      <c r="Q410" t="s">
        <v>602</v>
      </c>
      <c r="R410" t="s">
        <v>603</v>
      </c>
      <c r="S410" t="s">
        <v>602</v>
      </c>
      <c r="T410" t="s">
        <v>602</v>
      </c>
      <c r="U410" s="47">
        <v>-21</v>
      </c>
    </row>
    <row r="411" spans="2:21" x14ac:dyDescent="0.2">
      <c r="B411" s="46"/>
      <c r="F411" s="47"/>
      <c r="J411" s="46"/>
      <c r="K411" s="48"/>
      <c r="O411" t="s">
        <v>602</v>
      </c>
      <c r="P411" t="s">
        <v>602</v>
      </c>
      <c r="Q411" t="s">
        <v>602</v>
      </c>
      <c r="R411" t="s">
        <v>603</v>
      </c>
      <c r="S411" t="s">
        <v>602</v>
      </c>
      <c r="T411" t="s">
        <v>602</v>
      </c>
      <c r="U411" s="47">
        <v>-14</v>
      </c>
    </row>
    <row r="412" spans="2:21" x14ac:dyDescent="0.2">
      <c r="B412" s="46"/>
      <c r="F412" s="47"/>
      <c r="J412" s="46"/>
      <c r="K412" s="48"/>
      <c r="O412" t="s">
        <v>602</v>
      </c>
      <c r="P412" t="s">
        <v>602</v>
      </c>
      <c r="Q412" t="s">
        <v>602</v>
      </c>
      <c r="R412" t="s">
        <v>603</v>
      </c>
      <c r="S412" t="s">
        <v>602</v>
      </c>
      <c r="T412" t="s">
        <v>602</v>
      </c>
      <c r="U412" s="47">
        <v>-7</v>
      </c>
    </row>
    <row r="413" spans="2:21" x14ac:dyDescent="0.2">
      <c r="B413" s="46"/>
      <c r="F413" s="47"/>
      <c r="J413" s="46"/>
      <c r="K413" s="48"/>
      <c r="O413" t="s">
        <v>602</v>
      </c>
      <c r="P413" t="s">
        <v>602</v>
      </c>
      <c r="Q413" t="s">
        <v>602</v>
      </c>
      <c r="R413" t="s">
        <v>603</v>
      </c>
      <c r="S413" t="s">
        <v>602</v>
      </c>
      <c r="T413" t="s">
        <v>602</v>
      </c>
      <c r="U413" s="47">
        <v>-14</v>
      </c>
    </row>
    <row r="414" spans="2:21" x14ac:dyDescent="0.2">
      <c r="B414" s="46"/>
      <c r="F414" s="47"/>
      <c r="J414" s="46"/>
      <c r="K414" s="48"/>
      <c r="O414" t="s">
        <v>602</v>
      </c>
      <c r="P414" t="s">
        <v>602</v>
      </c>
      <c r="Q414" t="s">
        <v>602</v>
      </c>
      <c r="R414" t="s">
        <v>603</v>
      </c>
      <c r="S414" t="s">
        <v>602</v>
      </c>
      <c r="T414" t="s">
        <v>602</v>
      </c>
      <c r="U414" s="47">
        <v>-63</v>
      </c>
    </row>
    <row r="415" spans="2:21" x14ac:dyDescent="0.2">
      <c r="B415" s="46"/>
      <c r="F415" s="47"/>
      <c r="J415" s="46"/>
      <c r="K415" s="48"/>
      <c r="O415" t="s">
        <v>602</v>
      </c>
      <c r="P415" t="s">
        <v>602</v>
      </c>
      <c r="Q415" t="s">
        <v>602</v>
      </c>
      <c r="R415" t="s">
        <v>603</v>
      </c>
      <c r="S415" t="s">
        <v>602</v>
      </c>
      <c r="T415" t="s">
        <v>602</v>
      </c>
      <c r="U415" s="47">
        <v>-14</v>
      </c>
    </row>
    <row r="416" spans="2:21" x14ac:dyDescent="0.2">
      <c r="B416" s="46"/>
      <c r="F416" s="47"/>
      <c r="J416" s="46"/>
      <c r="K416" s="48"/>
      <c r="O416" t="s">
        <v>602</v>
      </c>
      <c r="P416" t="s">
        <v>602</v>
      </c>
      <c r="Q416" t="s">
        <v>602</v>
      </c>
      <c r="R416" t="s">
        <v>603</v>
      </c>
      <c r="S416" t="s">
        <v>602</v>
      </c>
      <c r="T416" t="s">
        <v>602</v>
      </c>
      <c r="U416" s="47">
        <v>-21</v>
      </c>
    </row>
    <row r="417" spans="2:21" x14ac:dyDescent="0.2">
      <c r="B417" s="46"/>
      <c r="F417" s="47"/>
      <c r="J417" s="46"/>
      <c r="K417" s="48"/>
      <c r="O417" t="s">
        <v>602</v>
      </c>
      <c r="P417" t="s">
        <v>602</v>
      </c>
      <c r="Q417" t="s">
        <v>602</v>
      </c>
      <c r="R417" t="s">
        <v>603</v>
      </c>
      <c r="S417" t="s">
        <v>602</v>
      </c>
      <c r="T417" t="s">
        <v>602</v>
      </c>
      <c r="U417" s="47">
        <v>-56</v>
      </c>
    </row>
    <row r="418" spans="2:21" x14ac:dyDescent="0.2">
      <c r="B418" s="46"/>
      <c r="F418" s="47"/>
      <c r="J418" s="46"/>
      <c r="K418" s="48"/>
      <c r="O418" t="s">
        <v>602</v>
      </c>
      <c r="P418" t="s">
        <v>602</v>
      </c>
      <c r="Q418" t="s">
        <v>602</v>
      </c>
      <c r="R418" t="s">
        <v>603</v>
      </c>
      <c r="S418" t="s">
        <v>602</v>
      </c>
      <c r="T418" t="s">
        <v>602</v>
      </c>
      <c r="U418" s="47">
        <v>-14</v>
      </c>
    </row>
    <row r="419" spans="2:21" x14ac:dyDescent="0.2">
      <c r="B419" s="46"/>
      <c r="F419" s="47"/>
      <c r="J419" s="46"/>
      <c r="K419" s="48"/>
      <c r="O419" t="s">
        <v>602</v>
      </c>
      <c r="P419" t="s">
        <v>602</v>
      </c>
      <c r="Q419" t="s">
        <v>602</v>
      </c>
      <c r="R419" t="s">
        <v>603</v>
      </c>
      <c r="S419" t="s">
        <v>602</v>
      </c>
      <c r="T419" t="s">
        <v>602</v>
      </c>
      <c r="U419" s="47">
        <v>-49</v>
      </c>
    </row>
    <row r="420" spans="2:21" x14ac:dyDescent="0.2">
      <c r="B420" s="46"/>
      <c r="F420" s="47"/>
      <c r="J420" s="46"/>
      <c r="K420" s="48"/>
      <c r="O420" t="s">
        <v>602</v>
      </c>
      <c r="P420" t="s">
        <v>602</v>
      </c>
      <c r="Q420" t="s">
        <v>602</v>
      </c>
      <c r="R420" t="s">
        <v>603</v>
      </c>
      <c r="S420" t="s">
        <v>602</v>
      </c>
      <c r="T420" t="s">
        <v>602</v>
      </c>
      <c r="U420" s="47">
        <v>-42</v>
      </c>
    </row>
    <row r="421" spans="2:21" x14ac:dyDescent="0.2">
      <c r="B421" s="46"/>
      <c r="F421" s="47"/>
      <c r="J421" s="46"/>
      <c r="K421" s="48"/>
      <c r="O421" t="s">
        <v>602</v>
      </c>
      <c r="P421" t="s">
        <v>602</v>
      </c>
      <c r="Q421" t="s">
        <v>602</v>
      </c>
      <c r="R421" t="s">
        <v>603</v>
      </c>
      <c r="S421" t="s">
        <v>602</v>
      </c>
      <c r="T421" t="s">
        <v>602</v>
      </c>
      <c r="U421" s="47">
        <v>-35</v>
      </c>
    </row>
    <row r="422" spans="2:21" x14ac:dyDescent="0.2">
      <c r="B422" s="46"/>
      <c r="F422" s="47"/>
      <c r="J422" s="46"/>
      <c r="K422" s="48"/>
      <c r="O422" t="s">
        <v>602</v>
      </c>
      <c r="P422" t="s">
        <v>602</v>
      </c>
      <c r="Q422" t="s">
        <v>602</v>
      </c>
      <c r="R422" t="s">
        <v>603</v>
      </c>
      <c r="S422" t="s">
        <v>602</v>
      </c>
      <c r="T422" t="s">
        <v>602</v>
      </c>
      <c r="U422" s="47">
        <v>-42</v>
      </c>
    </row>
    <row r="423" spans="2:21" x14ac:dyDescent="0.2">
      <c r="B423" s="46"/>
      <c r="F423" s="47"/>
      <c r="J423" s="46"/>
      <c r="K423" s="48"/>
      <c r="O423" t="s">
        <v>602</v>
      </c>
      <c r="P423" t="s">
        <v>602</v>
      </c>
      <c r="Q423" t="s">
        <v>602</v>
      </c>
      <c r="R423" t="s">
        <v>603</v>
      </c>
      <c r="S423" t="s">
        <v>602</v>
      </c>
      <c r="T423" t="s">
        <v>602</v>
      </c>
      <c r="U423" s="47">
        <v>-21</v>
      </c>
    </row>
    <row r="424" spans="2:21" x14ac:dyDescent="0.2">
      <c r="B424" s="46"/>
      <c r="F424" s="47"/>
      <c r="J424" s="46"/>
      <c r="K424" s="48"/>
      <c r="O424" t="s">
        <v>602</v>
      </c>
      <c r="P424" t="s">
        <v>602</v>
      </c>
      <c r="Q424" t="s">
        <v>602</v>
      </c>
      <c r="R424" t="s">
        <v>603</v>
      </c>
      <c r="S424" t="s">
        <v>602</v>
      </c>
      <c r="T424" t="s">
        <v>602</v>
      </c>
      <c r="U424" s="47">
        <v>-14</v>
      </c>
    </row>
    <row r="425" spans="2:21" x14ac:dyDescent="0.2">
      <c r="B425" s="46"/>
      <c r="F425" s="47"/>
      <c r="J425" s="46"/>
      <c r="K425" s="48"/>
      <c r="O425" t="s">
        <v>602</v>
      </c>
      <c r="P425" t="s">
        <v>602</v>
      </c>
      <c r="Q425" t="s">
        <v>602</v>
      </c>
      <c r="R425" t="s">
        <v>603</v>
      </c>
      <c r="S425" t="s">
        <v>602</v>
      </c>
      <c r="T425" t="s">
        <v>602</v>
      </c>
      <c r="U425" s="47">
        <v>-35</v>
      </c>
    </row>
    <row r="426" spans="2:21" x14ac:dyDescent="0.2">
      <c r="B426" s="46"/>
      <c r="F426" s="47"/>
      <c r="J426" s="46"/>
      <c r="K426" s="48"/>
      <c r="O426" t="s">
        <v>602</v>
      </c>
      <c r="P426" t="s">
        <v>602</v>
      </c>
      <c r="Q426" t="s">
        <v>602</v>
      </c>
      <c r="R426" t="s">
        <v>603</v>
      </c>
      <c r="S426" t="s">
        <v>602</v>
      </c>
      <c r="T426" t="s">
        <v>602</v>
      </c>
      <c r="U426" s="47">
        <v>-28</v>
      </c>
    </row>
    <row r="427" spans="2:21" x14ac:dyDescent="0.2">
      <c r="B427" s="46"/>
      <c r="F427" s="47"/>
      <c r="J427" s="46"/>
      <c r="K427" s="48"/>
      <c r="O427" t="s">
        <v>602</v>
      </c>
      <c r="P427" t="s">
        <v>602</v>
      </c>
      <c r="Q427" t="s">
        <v>602</v>
      </c>
      <c r="R427" t="s">
        <v>603</v>
      </c>
      <c r="S427" t="s">
        <v>602</v>
      </c>
      <c r="T427" t="s">
        <v>602</v>
      </c>
      <c r="U427" s="47">
        <v>-28</v>
      </c>
    </row>
    <row r="428" spans="2:21" x14ac:dyDescent="0.2">
      <c r="B428" s="46"/>
      <c r="F428" s="47"/>
      <c r="J428" s="46"/>
      <c r="K428" s="48"/>
      <c r="O428" t="s">
        <v>602</v>
      </c>
      <c r="P428" t="s">
        <v>602</v>
      </c>
      <c r="Q428" t="s">
        <v>602</v>
      </c>
      <c r="R428" t="s">
        <v>603</v>
      </c>
      <c r="S428" t="s">
        <v>602</v>
      </c>
      <c r="T428" t="s">
        <v>602</v>
      </c>
      <c r="U428" s="47">
        <v>-14</v>
      </c>
    </row>
    <row r="429" spans="2:21" x14ac:dyDescent="0.2">
      <c r="B429" s="46"/>
      <c r="F429" s="47"/>
      <c r="J429" s="46"/>
      <c r="K429" s="48"/>
      <c r="O429" t="s">
        <v>602</v>
      </c>
      <c r="P429" t="s">
        <v>602</v>
      </c>
      <c r="Q429" t="s">
        <v>602</v>
      </c>
      <c r="R429" t="s">
        <v>603</v>
      </c>
      <c r="S429" t="s">
        <v>602</v>
      </c>
      <c r="T429" t="s">
        <v>602</v>
      </c>
      <c r="U429" s="47">
        <v>-7</v>
      </c>
    </row>
    <row r="430" spans="2:21" x14ac:dyDescent="0.2">
      <c r="B430" s="46"/>
      <c r="F430" s="47"/>
      <c r="J430" s="46"/>
      <c r="K430" s="48"/>
      <c r="O430" t="s">
        <v>602</v>
      </c>
      <c r="P430" t="s">
        <v>602</v>
      </c>
      <c r="Q430" t="s">
        <v>602</v>
      </c>
      <c r="R430" t="s">
        <v>603</v>
      </c>
      <c r="S430" t="s">
        <v>602</v>
      </c>
      <c r="T430" t="s">
        <v>602</v>
      </c>
      <c r="U430" s="47">
        <v>-22</v>
      </c>
    </row>
    <row r="431" spans="2:21" x14ac:dyDescent="0.2">
      <c r="B431" s="46"/>
      <c r="F431" s="47"/>
      <c r="J431" s="46"/>
      <c r="K431" s="48"/>
      <c r="O431" t="s">
        <v>602</v>
      </c>
      <c r="P431" t="s">
        <v>602</v>
      </c>
      <c r="Q431" t="s">
        <v>602</v>
      </c>
      <c r="R431" t="s">
        <v>603</v>
      </c>
      <c r="S431" t="s">
        <v>602</v>
      </c>
      <c r="T431" t="s">
        <v>602</v>
      </c>
      <c r="U431" s="47">
        <v>-43</v>
      </c>
    </row>
    <row r="432" spans="2:21" x14ac:dyDescent="0.2">
      <c r="B432" s="46"/>
      <c r="F432" s="47"/>
      <c r="J432" s="46"/>
      <c r="K432" s="48"/>
      <c r="O432" t="s">
        <v>602</v>
      </c>
      <c r="P432" t="s">
        <v>602</v>
      </c>
      <c r="Q432" t="s">
        <v>602</v>
      </c>
      <c r="R432" t="s">
        <v>603</v>
      </c>
      <c r="S432" t="s">
        <v>602</v>
      </c>
      <c r="T432" t="s">
        <v>602</v>
      </c>
      <c r="U432" s="47">
        <v>-7</v>
      </c>
    </row>
    <row r="433" spans="2:21" x14ac:dyDescent="0.2">
      <c r="B433" s="46"/>
      <c r="F433" s="47"/>
      <c r="J433" s="46"/>
      <c r="K433" s="48"/>
      <c r="O433" t="s">
        <v>602</v>
      </c>
      <c r="P433" t="s">
        <v>602</v>
      </c>
      <c r="Q433" t="s">
        <v>602</v>
      </c>
      <c r="R433" t="s">
        <v>603</v>
      </c>
      <c r="S433" t="s">
        <v>602</v>
      </c>
      <c r="T433" t="s">
        <v>602</v>
      </c>
      <c r="U433" s="47">
        <v>-65</v>
      </c>
    </row>
    <row r="434" spans="2:21" x14ac:dyDescent="0.2">
      <c r="B434" s="46"/>
      <c r="F434" s="47"/>
      <c r="J434" s="46"/>
      <c r="K434" s="48"/>
      <c r="O434" t="s">
        <v>602</v>
      </c>
      <c r="P434" t="s">
        <v>602</v>
      </c>
      <c r="Q434" t="s">
        <v>602</v>
      </c>
      <c r="R434" t="s">
        <v>603</v>
      </c>
      <c r="S434" t="s">
        <v>602</v>
      </c>
      <c r="T434" t="s">
        <v>602</v>
      </c>
      <c r="U434" s="47">
        <v>-12</v>
      </c>
    </row>
    <row r="435" spans="2:21" x14ac:dyDescent="0.2">
      <c r="B435" s="46"/>
      <c r="F435" s="47"/>
      <c r="J435" s="46"/>
      <c r="K435" s="48"/>
      <c r="O435" t="s">
        <v>602</v>
      </c>
      <c r="P435" t="s">
        <v>602</v>
      </c>
      <c r="Q435" t="s">
        <v>602</v>
      </c>
      <c r="R435" t="s">
        <v>603</v>
      </c>
      <c r="S435" t="s">
        <v>602</v>
      </c>
      <c r="T435" t="s">
        <v>602</v>
      </c>
      <c r="U435" s="47">
        <v>-12</v>
      </c>
    </row>
    <row r="436" spans="2:21" x14ac:dyDescent="0.2">
      <c r="B436" s="46"/>
      <c r="F436" s="47"/>
      <c r="J436" s="46"/>
      <c r="K436" s="48"/>
      <c r="O436" t="s">
        <v>602</v>
      </c>
      <c r="P436" t="s">
        <v>602</v>
      </c>
      <c r="Q436" t="s">
        <v>602</v>
      </c>
      <c r="R436" t="s">
        <v>603</v>
      </c>
      <c r="S436" t="s">
        <v>602</v>
      </c>
      <c r="T436" t="s">
        <v>602</v>
      </c>
      <c r="U436" s="47">
        <v>-240</v>
      </c>
    </row>
    <row r="437" spans="2:21" x14ac:dyDescent="0.2">
      <c r="B437" s="46"/>
      <c r="F437" s="47"/>
      <c r="J437" s="46"/>
      <c r="K437" s="48"/>
      <c r="O437" t="s">
        <v>602</v>
      </c>
      <c r="P437" t="s">
        <v>602</v>
      </c>
      <c r="Q437" t="s">
        <v>602</v>
      </c>
      <c r="R437" t="s">
        <v>603</v>
      </c>
      <c r="S437" t="s">
        <v>602</v>
      </c>
      <c r="T437" t="s">
        <v>602</v>
      </c>
      <c r="U437" s="47">
        <v>-96</v>
      </c>
    </row>
    <row r="438" spans="2:21" x14ac:dyDescent="0.2">
      <c r="B438" s="46"/>
      <c r="F438" s="47"/>
      <c r="J438" s="46"/>
      <c r="K438" s="48"/>
      <c r="O438" t="s">
        <v>602</v>
      </c>
      <c r="P438" t="s">
        <v>602</v>
      </c>
      <c r="Q438" t="s">
        <v>602</v>
      </c>
      <c r="R438" t="s">
        <v>603</v>
      </c>
      <c r="S438" t="s">
        <v>602</v>
      </c>
      <c r="T438" t="s">
        <v>602</v>
      </c>
      <c r="U438" s="47">
        <v>-12</v>
      </c>
    </row>
    <row r="439" spans="2:21" x14ac:dyDescent="0.2">
      <c r="B439" s="46"/>
      <c r="F439" s="47"/>
      <c r="J439" s="46"/>
      <c r="K439" s="48"/>
      <c r="O439" t="s">
        <v>602</v>
      </c>
      <c r="P439" t="s">
        <v>602</v>
      </c>
      <c r="Q439" t="s">
        <v>602</v>
      </c>
      <c r="R439" t="s">
        <v>603</v>
      </c>
      <c r="S439" t="s">
        <v>602</v>
      </c>
      <c r="T439" t="s">
        <v>602</v>
      </c>
      <c r="U439" s="47">
        <v>-96</v>
      </c>
    </row>
    <row r="440" spans="2:21" x14ac:dyDescent="0.2">
      <c r="B440" s="46"/>
      <c r="F440" s="47"/>
      <c r="J440" s="46"/>
      <c r="K440" s="48"/>
      <c r="O440" t="s">
        <v>602</v>
      </c>
      <c r="P440" t="s">
        <v>602</v>
      </c>
      <c r="Q440" t="s">
        <v>602</v>
      </c>
      <c r="R440" t="s">
        <v>603</v>
      </c>
      <c r="S440" t="s">
        <v>602</v>
      </c>
      <c r="T440" t="s">
        <v>602</v>
      </c>
      <c r="U440" s="47">
        <v>-36</v>
      </c>
    </row>
    <row r="441" spans="2:21" x14ac:dyDescent="0.2">
      <c r="B441" s="46"/>
      <c r="F441" s="47"/>
      <c r="J441" s="46"/>
      <c r="K441" s="48"/>
      <c r="O441" t="s">
        <v>602</v>
      </c>
      <c r="P441" t="s">
        <v>602</v>
      </c>
      <c r="Q441" t="s">
        <v>602</v>
      </c>
      <c r="R441" t="s">
        <v>603</v>
      </c>
      <c r="S441" t="s">
        <v>602</v>
      </c>
      <c r="T441" t="s">
        <v>602</v>
      </c>
      <c r="U441" s="47">
        <v>-12</v>
      </c>
    </row>
    <row r="442" spans="2:21" x14ac:dyDescent="0.2">
      <c r="B442" s="46"/>
      <c r="F442" s="47"/>
      <c r="J442" s="46"/>
      <c r="K442" s="48"/>
      <c r="O442" t="s">
        <v>602</v>
      </c>
      <c r="P442" t="s">
        <v>602</v>
      </c>
      <c r="Q442" t="s">
        <v>602</v>
      </c>
      <c r="R442" t="s">
        <v>603</v>
      </c>
      <c r="S442" t="s">
        <v>602</v>
      </c>
      <c r="T442" t="s">
        <v>602</v>
      </c>
      <c r="U442" s="47">
        <v>-12</v>
      </c>
    </row>
    <row r="443" spans="2:21" x14ac:dyDescent="0.2">
      <c r="B443" s="46"/>
      <c r="F443" s="47"/>
      <c r="J443" s="46"/>
      <c r="K443" s="48"/>
      <c r="O443" t="s">
        <v>602</v>
      </c>
      <c r="P443" t="s">
        <v>602</v>
      </c>
      <c r="Q443" t="s">
        <v>602</v>
      </c>
      <c r="R443" t="s">
        <v>603</v>
      </c>
      <c r="S443" t="s">
        <v>602</v>
      </c>
      <c r="T443" t="s">
        <v>602</v>
      </c>
      <c r="U443" s="47">
        <v>-24</v>
      </c>
    </row>
    <row r="444" spans="2:21" x14ac:dyDescent="0.2">
      <c r="B444" s="46"/>
      <c r="F444" s="47"/>
      <c r="J444" s="46"/>
      <c r="K444" s="48"/>
      <c r="O444" t="s">
        <v>602</v>
      </c>
      <c r="P444" t="s">
        <v>602</v>
      </c>
      <c r="Q444" t="s">
        <v>602</v>
      </c>
      <c r="R444" t="s">
        <v>603</v>
      </c>
      <c r="S444" t="s">
        <v>602</v>
      </c>
      <c r="T444" t="s">
        <v>602</v>
      </c>
      <c r="U444" s="47">
        <v>-12</v>
      </c>
    </row>
    <row r="445" spans="2:21" x14ac:dyDescent="0.2">
      <c r="B445" s="46"/>
      <c r="F445" s="47"/>
      <c r="J445" s="46"/>
      <c r="K445" s="48"/>
      <c r="O445" t="s">
        <v>602</v>
      </c>
      <c r="P445" t="s">
        <v>602</v>
      </c>
      <c r="Q445" t="s">
        <v>602</v>
      </c>
      <c r="R445" t="s">
        <v>603</v>
      </c>
      <c r="S445" t="s">
        <v>602</v>
      </c>
      <c r="T445" t="s">
        <v>602</v>
      </c>
      <c r="U445" s="47">
        <v>-120</v>
      </c>
    </row>
    <row r="446" spans="2:21" x14ac:dyDescent="0.2">
      <c r="B446" s="46"/>
      <c r="F446" s="47"/>
      <c r="J446" s="46"/>
      <c r="K446" s="48"/>
      <c r="O446" t="s">
        <v>602</v>
      </c>
      <c r="P446" t="s">
        <v>602</v>
      </c>
      <c r="Q446" t="s">
        <v>602</v>
      </c>
      <c r="R446" t="s">
        <v>603</v>
      </c>
      <c r="S446" t="s">
        <v>602</v>
      </c>
      <c r="T446" t="s">
        <v>602</v>
      </c>
      <c r="U446" s="47">
        <v>-24</v>
      </c>
    </row>
    <row r="447" spans="2:21" x14ac:dyDescent="0.2">
      <c r="B447" s="46"/>
      <c r="F447" s="47"/>
      <c r="J447" s="46"/>
      <c r="K447" s="48"/>
      <c r="O447" t="s">
        <v>602</v>
      </c>
      <c r="P447" t="s">
        <v>602</v>
      </c>
      <c r="Q447" t="s">
        <v>602</v>
      </c>
      <c r="R447" t="s">
        <v>603</v>
      </c>
      <c r="S447" t="s">
        <v>602</v>
      </c>
      <c r="T447" t="s">
        <v>602</v>
      </c>
      <c r="U447" s="47">
        <v>-73</v>
      </c>
    </row>
    <row r="448" spans="2:21" x14ac:dyDescent="0.2">
      <c r="B448" s="46"/>
      <c r="F448" s="47"/>
      <c r="J448" s="46"/>
      <c r="K448" s="48"/>
      <c r="O448" t="s">
        <v>602</v>
      </c>
      <c r="P448" t="s">
        <v>602</v>
      </c>
      <c r="Q448" t="s">
        <v>602</v>
      </c>
      <c r="R448" t="s">
        <v>603</v>
      </c>
      <c r="S448" t="s">
        <v>602</v>
      </c>
      <c r="T448" t="s">
        <v>602</v>
      </c>
      <c r="U448" s="47">
        <v>-96</v>
      </c>
    </row>
    <row r="449" spans="2:21" x14ac:dyDescent="0.2">
      <c r="B449" s="46"/>
      <c r="F449" s="47"/>
      <c r="J449" s="46"/>
      <c r="K449" s="48"/>
      <c r="O449" t="s">
        <v>602</v>
      </c>
      <c r="P449" t="s">
        <v>602</v>
      </c>
      <c r="Q449" t="s">
        <v>602</v>
      </c>
      <c r="R449" t="s">
        <v>603</v>
      </c>
      <c r="S449" t="s">
        <v>602</v>
      </c>
      <c r="T449" t="s">
        <v>602</v>
      </c>
      <c r="U449" s="47">
        <v>-96</v>
      </c>
    </row>
    <row r="450" spans="2:21" x14ac:dyDescent="0.2">
      <c r="B450" s="46"/>
      <c r="F450" s="47"/>
      <c r="J450" s="46"/>
      <c r="K450" s="48"/>
      <c r="O450" t="s">
        <v>602</v>
      </c>
      <c r="P450" t="s">
        <v>602</v>
      </c>
      <c r="Q450" t="s">
        <v>602</v>
      </c>
      <c r="R450" t="s">
        <v>603</v>
      </c>
      <c r="S450" t="s">
        <v>602</v>
      </c>
      <c r="T450" t="s">
        <v>602</v>
      </c>
      <c r="U450" s="47">
        <v>-96</v>
      </c>
    </row>
    <row r="451" spans="2:21" x14ac:dyDescent="0.2">
      <c r="B451" s="46"/>
      <c r="F451" s="47"/>
      <c r="J451" s="46"/>
      <c r="K451" s="48"/>
      <c r="O451" t="s">
        <v>602</v>
      </c>
      <c r="P451" t="s">
        <v>602</v>
      </c>
      <c r="Q451" t="s">
        <v>602</v>
      </c>
      <c r="R451" t="s">
        <v>603</v>
      </c>
      <c r="S451" t="s">
        <v>602</v>
      </c>
      <c r="T451" t="s">
        <v>602</v>
      </c>
      <c r="U451" s="47">
        <v>-96</v>
      </c>
    </row>
    <row r="452" spans="2:21" x14ac:dyDescent="0.2">
      <c r="B452" s="46"/>
      <c r="F452" s="47"/>
      <c r="J452" s="46"/>
      <c r="K452" s="48"/>
      <c r="O452" t="s">
        <v>602</v>
      </c>
      <c r="P452" t="s">
        <v>602</v>
      </c>
      <c r="Q452" t="s">
        <v>602</v>
      </c>
      <c r="R452" t="s">
        <v>603</v>
      </c>
      <c r="S452" t="s">
        <v>602</v>
      </c>
      <c r="T452" t="s">
        <v>602</v>
      </c>
      <c r="U452" s="47">
        <v>-28</v>
      </c>
    </row>
    <row r="453" spans="2:21" x14ac:dyDescent="0.2">
      <c r="B453" s="46"/>
      <c r="F453" s="47"/>
      <c r="J453" s="46"/>
      <c r="K453" s="48"/>
      <c r="O453" t="s">
        <v>602</v>
      </c>
      <c r="P453" t="s">
        <v>602</v>
      </c>
      <c r="Q453" t="s">
        <v>602</v>
      </c>
      <c r="R453" t="s">
        <v>603</v>
      </c>
      <c r="S453" t="s">
        <v>602</v>
      </c>
      <c r="T453" t="s">
        <v>602</v>
      </c>
      <c r="U453" s="47">
        <v>-49</v>
      </c>
    </row>
    <row r="454" spans="2:21" x14ac:dyDescent="0.2">
      <c r="B454" s="46"/>
      <c r="F454" s="47"/>
      <c r="J454" s="46"/>
      <c r="K454" s="48"/>
      <c r="O454" t="s">
        <v>602</v>
      </c>
      <c r="P454" t="s">
        <v>602</v>
      </c>
      <c r="Q454" t="s">
        <v>602</v>
      </c>
      <c r="R454" t="s">
        <v>603</v>
      </c>
      <c r="S454" t="s">
        <v>602</v>
      </c>
      <c r="T454" t="s">
        <v>602</v>
      </c>
      <c r="U454" s="47">
        <v>-66</v>
      </c>
    </row>
    <row r="455" spans="2:21" x14ac:dyDescent="0.2">
      <c r="B455" s="46"/>
      <c r="F455" s="47"/>
      <c r="J455" s="46"/>
      <c r="K455" s="48"/>
      <c r="O455" t="s">
        <v>602</v>
      </c>
      <c r="P455" t="s">
        <v>602</v>
      </c>
      <c r="Q455" t="s">
        <v>602</v>
      </c>
      <c r="R455" t="s">
        <v>603</v>
      </c>
      <c r="S455" t="s">
        <v>602</v>
      </c>
      <c r="T455" t="s">
        <v>602</v>
      </c>
      <c r="U455" s="47">
        <v>-8</v>
      </c>
    </row>
    <row r="456" spans="2:21" x14ac:dyDescent="0.2">
      <c r="B456" s="46"/>
      <c r="F456" s="47"/>
      <c r="J456" s="46"/>
      <c r="K456" s="48"/>
      <c r="O456" t="s">
        <v>602</v>
      </c>
      <c r="P456" t="s">
        <v>602</v>
      </c>
      <c r="Q456" t="s">
        <v>602</v>
      </c>
      <c r="R456" t="s">
        <v>603</v>
      </c>
      <c r="S456" t="s">
        <v>602</v>
      </c>
      <c r="T456" t="s">
        <v>602</v>
      </c>
      <c r="U456" s="47">
        <v>-64</v>
      </c>
    </row>
    <row r="457" spans="2:21" x14ac:dyDescent="0.2">
      <c r="B457" s="46"/>
      <c r="F457" s="47"/>
      <c r="J457" s="46"/>
      <c r="K457" s="48"/>
      <c r="O457" t="s">
        <v>602</v>
      </c>
      <c r="P457" t="s">
        <v>602</v>
      </c>
      <c r="Q457" t="s">
        <v>602</v>
      </c>
      <c r="R457" t="s">
        <v>603</v>
      </c>
      <c r="S457" t="s">
        <v>602</v>
      </c>
      <c r="T457" t="s">
        <v>602</v>
      </c>
      <c r="U457" s="47">
        <v>-27</v>
      </c>
    </row>
    <row r="458" spans="2:21" x14ac:dyDescent="0.2">
      <c r="B458" s="46"/>
      <c r="F458" s="47"/>
      <c r="J458" s="46"/>
      <c r="K458" s="48"/>
      <c r="O458" t="s">
        <v>602</v>
      </c>
      <c r="P458" t="s">
        <v>602</v>
      </c>
      <c r="Q458" t="s">
        <v>602</v>
      </c>
      <c r="R458" t="s">
        <v>603</v>
      </c>
      <c r="S458" t="s">
        <v>602</v>
      </c>
      <c r="T458" t="s">
        <v>602</v>
      </c>
      <c r="U458" s="47">
        <v>-27</v>
      </c>
    </row>
    <row r="459" spans="2:21" x14ac:dyDescent="0.2">
      <c r="B459" s="46"/>
      <c r="F459" s="47"/>
      <c r="J459" s="46"/>
      <c r="K459" s="48"/>
      <c r="O459" t="s">
        <v>602</v>
      </c>
      <c r="P459" t="s">
        <v>602</v>
      </c>
      <c r="Q459" t="s">
        <v>602</v>
      </c>
      <c r="R459" t="s">
        <v>603</v>
      </c>
      <c r="S459" t="s">
        <v>602</v>
      </c>
      <c r="T459" t="s">
        <v>602</v>
      </c>
      <c r="U459" s="47">
        <v>-36</v>
      </c>
    </row>
    <row r="460" spans="2:21" x14ac:dyDescent="0.2">
      <c r="B460" s="46"/>
      <c r="F460" s="47"/>
      <c r="J460" s="46"/>
      <c r="K460" s="48"/>
      <c r="O460" t="s">
        <v>602</v>
      </c>
      <c r="P460" t="s">
        <v>602</v>
      </c>
      <c r="Q460" t="s">
        <v>602</v>
      </c>
      <c r="R460" t="s">
        <v>603</v>
      </c>
      <c r="S460" t="s">
        <v>602</v>
      </c>
      <c r="T460" t="s">
        <v>602</v>
      </c>
      <c r="U460" s="47">
        <v>-81</v>
      </c>
    </row>
    <row r="461" spans="2:21" x14ac:dyDescent="0.2">
      <c r="B461" s="46"/>
      <c r="F461" s="47"/>
      <c r="J461" s="46"/>
      <c r="K461" s="48"/>
      <c r="O461" t="s">
        <v>602</v>
      </c>
      <c r="P461" t="s">
        <v>602</v>
      </c>
      <c r="Q461" t="s">
        <v>602</v>
      </c>
      <c r="R461" t="s">
        <v>603</v>
      </c>
      <c r="S461" t="s">
        <v>602</v>
      </c>
      <c r="T461" t="s">
        <v>602</v>
      </c>
      <c r="U461" s="47">
        <v>-14</v>
      </c>
    </row>
    <row r="462" spans="2:21" x14ac:dyDescent="0.2">
      <c r="B462" s="46"/>
      <c r="F462" s="47"/>
      <c r="J462" s="46"/>
      <c r="K462" s="48"/>
      <c r="O462" t="s">
        <v>602</v>
      </c>
      <c r="P462" t="s">
        <v>602</v>
      </c>
      <c r="Q462" t="s">
        <v>602</v>
      </c>
      <c r="R462" t="s">
        <v>603</v>
      </c>
      <c r="S462" t="s">
        <v>602</v>
      </c>
      <c r="T462" t="s">
        <v>602</v>
      </c>
      <c r="U462" s="47">
        <v>-14</v>
      </c>
    </row>
    <row r="463" spans="2:21" x14ac:dyDescent="0.2">
      <c r="B463" s="46"/>
      <c r="F463" s="47"/>
      <c r="J463" s="46"/>
      <c r="K463" s="48"/>
      <c r="O463" t="s">
        <v>602</v>
      </c>
      <c r="P463" t="s">
        <v>602</v>
      </c>
      <c r="Q463" t="s">
        <v>602</v>
      </c>
      <c r="R463" t="s">
        <v>603</v>
      </c>
      <c r="S463" t="s">
        <v>602</v>
      </c>
      <c r="T463" t="s">
        <v>602</v>
      </c>
      <c r="U463" s="47">
        <v>-116</v>
      </c>
    </row>
    <row r="464" spans="2:21" x14ac:dyDescent="0.2">
      <c r="B464" s="46"/>
      <c r="F464" s="47"/>
      <c r="J464" s="46"/>
      <c r="K464" s="48"/>
      <c r="O464" t="s">
        <v>602</v>
      </c>
      <c r="P464" t="s">
        <v>602</v>
      </c>
      <c r="Q464" t="s">
        <v>602</v>
      </c>
      <c r="R464" t="s">
        <v>603</v>
      </c>
      <c r="S464" t="s">
        <v>602</v>
      </c>
      <c r="T464" t="s">
        <v>602</v>
      </c>
      <c r="U464" s="47">
        <v>-72</v>
      </c>
    </row>
    <row r="465" spans="2:21" x14ac:dyDescent="0.2">
      <c r="B465" s="46"/>
      <c r="F465" s="47"/>
      <c r="J465" s="46"/>
      <c r="K465" s="48"/>
      <c r="O465" t="s">
        <v>602</v>
      </c>
      <c r="P465" t="s">
        <v>602</v>
      </c>
      <c r="Q465" t="s">
        <v>602</v>
      </c>
      <c r="R465" t="s">
        <v>603</v>
      </c>
      <c r="S465" t="s">
        <v>602</v>
      </c>
      <c r="T465" t="s">
        <v>602</v>
      </c>
      <c r="U465" s="47">
        <v>-58</v>
      </c>
    </row>
    <row r="466" spans="2:21" x14ac:dyDescent="0.2">
      <c r="B466" s="46"/>
      <c r="F466" s="47"/>
      <c r="J466" s="46"/>
      <c r="K466" s="48"/>
      <c r="O466" t="s">
        <v>602</v>
      </c>
      <c r="P466" t="s">
        <v>602</v>
      </c>
      <c r="Q466" t="s">
        <v>602</v>
      </c>
      <c r="R466" t="s">
        <v>603</v>
      </c>
      <c r="S466" t="s">
        <v>602</v>
      </c>
      <c r="T466" t="s">
        <v>602</v>
      </c>
      <c r="U466" s="47">
        <v>-43</v>
      </c>
    </row>
    <row r="467" spans="2:21" x14ac:dyDescent="0.2">
      <c r="B467" s="46"/>
      <c r="F467" s="47"/>
      <c r="J467" s="46"/>
      <c r="K467" s="48"/>
      <c r="O467" t="s">
        <v>602</v>
      </c>
      <c r="P467" t="s">
        <v>602</v>
      </c>
      <c r="Q467" t="s">
        <v>602</v>
      </c>
      <c r="R467" t="s">
        <v>603</v>
      </c>
      <c r="S467" t="s">
        <v>602</v>
      </c>
      <c r="T467" t="s">
        <v>602</v>
      </c>
      <c r="U467" s="47">
        <v>-89</v>
      </c>
    </row>
    <row r="468" spans="2:21" x14ac:dyDescent="0.2">
      <c r="B468" s="46"/>
      <c r="F468" s="47"/>
      <c r="J468" s="46"/>
      <c r="K468" s="48"/>
      <c r="O468" t="s">
        <v>602</v>
      </c>
      <c r="P468" t="s">
        <v>602</v>
      </c>
      <c r="Q468" t="s">
        <v>602</v>
      </c>
      <c r="R468" t="s">
        <v>603</v>
      </c>
      <c r="S468" t="s">
        <v>602</v>
      </c>
      <c r="T468" t="s">
        <v>602</v>
      </c>
      <c r="U468" s="47">
        <v>-73</v>
      </c>
    </row>
    <row r="469" spans="2:21" x14ac:dyDescent="0.2">
      <c r="B469" s="46"/>
      <c r="F469" s="47"/>
      <c r="J469" s="46"/>
      <c r="K469" s="48"/>
      <c r="O469" t="s">
        <v>602</v>
      </c>
      <c r="P469" t="s">
        <v>602</v>
      </c>
      <c r="Q469" t="s">
        <v>602</v>
      </c>
      <c r="R469" t="s">
        <v>603</v>
      </c>
      <c r="S469" t="s">
        <v>602</v>
      </c>
      <c r="T469" t="s">
        <v>602</v>
      </c>
      <c r="U469" s="47">
        <v>-147</v>
      </c>
    </row>
    <row r="470" spans="2:21" x14ac:dyDescent="0.2">
      <c r="B470" s="46"/>
      <c r="F470" s="47"/>
      <c r="J470" s="46"/>
      <c r="K470" s="48"/>
      <c r="O470" t="s">
        <v>602</v>
      </c>
      <c r="P470" t="s">
        <v>602</v>
      </c>
      <c r="Q470" t="s">
        <v>602</v>
      </c>
      <c r="R470" t="s">
        <v>603</v>
      </c>
      <c r="S470" t="s">
        <v>602</v>
      </c>
      <c r="T470" t="s">
        <v>602</v>
      </c>
      <c r="U470" s="47">
        <v>-13</v>
      </c>
    </row>
    <row r="471" spans="2:21" x14ac:dyDescent="0.2">
      <c r="B471" s="46"/>
      <c r="F471" s="47"/>
      <c r="J471" s="46"/>
      <c r="K471" s="48"/>
      <c r="O471" t="s">
        <v>602</v>
      </c>
      <c r="P471" t="s">
        <v>602</v>
      </c>
      <c r="Q471" t="s">
        <v>602</v>
      </c>
      <c r="R471" t="s">
        <v>603</v>
      </c>
      <c r="S471" t="s">
        <v>602</v>
      </c>
      <c r="T471" t="s">
        <v>602</v>
      </c>
      <c r="U471" s="47">
        <v>-13</v>
      </c>
    </row>
    <row r="472" spans="2:21" x14ac:dyDescent="0.2">
      <c r="B472" s="46"/>
      <c r="F472" s="47"/>
      <c r="J472" s="46"/>
      <c r="K472" s="48"/>
      <c r="O472" t="s">
        <v>602</v>
      </c>
      <c r="P472" t="s">
        <v>602</v>
      </c>
      <c r="Q472" t="s">
        <v>602</v>
      </c>
      <c r="R472" t="s">
        <v>603</v>
      </c>
      <c r="S472" t="s">
        <v>602</v>
      </c>
      <c r="T472" t="s">
        <v>602</v>
      </c>
      <c r="U472" s="47">
        <v>-13</v>
      </c>
    </row>
    <row r="473" spans="2:21" x14ac:dyDescent="0.2">
      <c r="B473" s="46"/>
      <c r="F473" s="47"/>
      <c r="J473" s="46"/>
      <c r="K473" s="48"/>
      <c r="O473" t="s">
        <v>602</v>
      </c>
      <c r="P473" t="s">
        <v>602</v>
      </c>
      <c r="Q473" t="s">
        <v>602</v>
      </c>
      <c r="R473" t="s">
        <v>603</v>
      </c>
      <c r="S473" t="s">
        <v>602</v>
      </c>
      <c r="T473" t="s">
        <v>602</v>
      </c>
      <c r="U473" s="47">
        <v>-13</v>
      </c>
    </row>
    <row r="474" spans="2:21" x14ac:dyDescent="0.2">
      <c r="B474" s="46"/>
      <c r="F474" s="47"/>
      <c r="J474" s="46"/>
      <c r="K474" s="48"/>
      <c r="O474" t="s">
        <v>602</v>
      </c>
      <c r="P474" t="s">
        <v>602</v>
      </c>
      <c r="Q474" t="s">
        <v>602</v>
      </c>
      <c r="R474" t="s">
        <v>603</v>
      </c>
      <c r="S474" t="s">
        <v>602</v>
      </c>
      <c r="T474" t="s">
        <v>602</v>
      </c>
      <c r="U474" s="47">
        <v>-101</v>
      </c>
    </row>
    <row r="475" spans="2:21" x14ac:dyDescent="0.2">
      <c r="B475" s="46"/>
      <c r="F475" s="47"/>
      <c r="J475" s="46"/>
      <c r="K475" s="48"/>
      <c r="O475" t="s">
        <v>602</v>
      </c>
      <c r="P475" t="s">
        <v>602</v>
      </c>
      <c r="Q475" t="s">
        <v>602</v>
      </c>
      <c r="R475" t="s">
        <v>603</v>
      </c>
      <c r="S475" t="s">
        <v>602</v>
      </c>
      <c r="T475" t="s">
        <v>602</v>
      </c>
      <c r="U475" s="47">
        <v>-13</v>
      </c>
    </row>
    <row r="476" spans="2:21" x14ac:dyDescent="0.2">
      <c r="B476" s="46"/>
      <c r="F476" s="47"/>
      <c r="J476" s="46"/>
      <c r="K476" s="48"/>
      <c r="O476" t="s">
        <v>602</v>
      </c>
      <c r="P476" t="s">
        <v>602</v>
      </c>
      <c r="Q476" t="s">
        <v>602</v>
      </c>
      <c r="R476" t="s">
        <v>603</v>
      </c>
      <c r="S476" t="s">
        <v>602</v>
      </c>
      <c r="T476" t="s">
        <v>602</v>
      </c>
      <c r="U476" s="47">
        <v>-13</v>
      </c>
    </row>
    <row r="477" spans="2:21" x14ac:dyDescent="0.2">
      <c r="B477" s="46"/>
      <c r="F477" s="47"/>
      <c r="J477" s="46"/>
      <c r="K477" s="48"/>
      <c r="O477" t="s">
        <v>602</v>
      </c>
      <c r="P477" t="s">
        <v>602</v>
      </c>
      <c r="Q477" t="s">
        <v>602</v>
      </c>
      <c r="R477" t="s">
        <v>603</v>
      </c>
      <c r="S477" t="s">
        <v>602</v>
      </c>
      <c r="T477" t="s">
        <v>602</v>
      </c>
      <c r="U477" s="47">
        <v>-13</v>
      </c>
    </row>
    <row r="478" spans="2:21" x14ac:dyDescent="0.2">
      <c r="B478" s="46"/>
      <c r="F478" s="47"/>
      <c r="J478" s="46"/>
      <c r="K478" s="48"/>
      <c r="O478" t="s">
        <v>602</v>
      </c>
      <c r="P478" t="s">
        <v>602</v>
      </c>
      <c r="Q478" t="s">
        <v>602</v>
      </c>
      <c r="R478" t="s">
        <v>603</v>
      </c>
      <c r="S478" t="s">
        <v>602</v>
      </c>
      <c r="T478" t="s">
        <v>602</v>
      </c>
      <c r="U478" s="47">
        <v>-13</v>
      </c>
    </row>
    <row r="479" spans="2:21" x14ac:dyDescent="0.2">
      <c r="B479" s="46"/>
      <c r="F479" s="47"/>
      <c r="J479" s="46"/>
      <c r="K479" s="48"/>
      <c r="O479" t="s">
        <v>602</v>
      </c>
      <c r="P479" t="s">
        <v>602</v>
      </c>
      <c r="Q479" t="s">
        <v>602</v>
      </c>
      <c r="R479" t="s">
        <v>603</v>
      </c>
      <c r="S479" t="s">
        <v>602</v>
      </c>
      <c r="T479" t="s">
        <v>602</v>
      </c>
      <c r="U479" s="47">
        <v>-13</v>
      </c>
    </row>
    <row r="480" spans="2:21" x14ac:dyDescent="0.2">
      <c r="B480" s="46"/>
      <c r="F480" s="47"/>
      <c r="J480" s="46"/>
      <c r="K480" s="48"/>
      <c r="O480" t="s">
        <v>602</v>
      </c>
      <c r="P480" t="s">
        <v>602</v>
      </c>
      <c r="Q480" t="s">
        <v>602</v>
      </c>
      <c r="R480" t="s">
        <v>603</v>
      </c>
      <c r="S480" t="s">
        <v>602</v>
      </c>
      <c r="T480" t="s">
        <v>602</v>
      </c>
      <c r="U480" s="47">
        <v>-13</v>
      </c>
    </row>
    <row r="481" spans="2:21" x14ac:dyDescent="0.2">
      <c r="B481" s="46"/>
      <c r="F481" s="47"/>
      <c r="J481" s="46"/>
      <c r="K481" s="48"/>
      <c r="O481" t="s">
        <v>602</v>
      </c>
      <c r="P481" t="s">
        <v>602</v>
      </c>
      <c r="Q481" t="s">
        <v>602</v>
      </c>
      <c r="R481" t="s">
        <v>603</v>
      </c>
      <c r="S481" t="s">
        <v>602</v>
      </c>
      <c r="T481" t="s">
        <v>602</v>
      </c>
      <c r="U481" s="47">
        <v>-13</v>
      </c>
    </row>
    <row r="482" spans="2:21" x14ac:dyDescent="0.2">
      <c r="B482" s="46"/>
      <c r="F482" s="47"/>
      <c r="J482" s="46"/>
      <c r="K482" s="48"/>
      <c r="O482" t="s">
        <v>602</v>
      </c>
      <c r="P482" t="s">
        <v>602</v>
      </c>
      <c r="Q482" t="s">
        <v>602</v>
      </c>
      <c r="R482" t="s">
        <v>603</v>
      </c>
      <c r="S482" t="s">
        <v>602</v>
      </c>
      <c r="T482" t="s">
        <v>602</v>
      </c>
      <c r="U482" s="47">
        <v>-13</v>
      </c>
    </row>
    <row r="483" spans="2:21" x14ac:dyDescent="0.2">
      <c r="B483" s="46"/>
      <c r="F483" s="47"/>
      <c r="J483" s="46"/>
      <c r="K483" s="48"/>
      <c r="O483" t="s">
        <v>602</v>
      </c>
      <c r="P483" t="s">
        <v>602</v>
      </c>
      <c r="Q483" t="s">
        <v>602</v>
      </c>
      <c r="R483" t="s">
        <v>603</v>
      </c>
      <c r="S483" t="s">
        <v>602</v>
      </c>
      <c r="T483" t="s">
        <v>602</v>
      </c>
      <c r="U483" s="47">
        <v>-13</v>
      </c>
    </row>
    <row r="484" spans="2:21" x14ac:dyDescent="0.2">
      <c r="B484" s="46"/>
      <c r="F484" s="47"/>
      <c r="J484" s="46"/>
      <c r="K484" s="48"/>
      <c r="O484" t="s">
        <v>602</v>
      </c>
      <c r="P484" t="s">
        <v>602</v>
      </c>
      <c r="Q484" t="s">
        <v>602</v>
      </c>
      <c r="R484" t="s">
        <v>603</v>
      </c>
      <c r="S484" t="s">
        <v>602</v>
      </c>
      <c r="T484" t="s">
        <v>602</v>
      </c>
      <c r="U484" s="47">
        <v>-13</v>
      </c>
    </row>
    <row r="485" spans="2:21" x14ac:dyDescent="0.2">
      <c r="B485" s="46"/>
      <c r="F485" s="47"/>
      <c r="J485" s="46"/>
      <c r="K485" s="48"/>
      <c r="O485" t="s">
        <v>602</v>
      </c>
      <c r="P485" t="s">
        <v>602</v>
      </c>
      <c r="Q485" t="s">
        <v>602</v>
      </c>
      <c r="R485" t="s">
        <v>603</v>
      </c>
      <c r="S485" t="s">
        <v>602</v>
      </c>
      <c r="T485" t="s">
        <v>602</v>
      </c>
      <c r="U485" s="47">
        <v>-13</v>
      </c>
    </row>
    <row r="486" spans="2:21" x14ac:dyDescent="0.2">
      <c r="B486" s="46"/>
      <c r="F486" s="47"/>
      <c r="J486" s="46"/>
      <c r="K486" s="48"/>
      <c r="O486" t="s">
        <v>602</v>
      </c>
      <c r="P486" t="s">
        <v>602</v>
      </c>
      <c r="Q486" t="s">
        <v>602</v>
      </c>
      <c r="R486" t="s">
        <v>603</v>
      </c>
      <c r="S486" t="s">
        <v>602</v>
      </c>
      <c r="T486" t="s">
        <v>602</v>
      </c>
      <c r="U486" s="47">
        <v>-102</v>
      </c>
    </row>
    <row r="487" spans="2:21" x14ac:dyDescent="0.2">
      <c r="B487" s="46"/>
      <c r="F487" s="47"/>
      <c r="J487" s="46"/>
      <c r="K487" s="48"/>
      <c r="O487" t="s">
        <v>602</v>
      </c>
      <c r="P487" t="s">
        <v>602</v>
      </c>
      <c r="Q487" t="s">
        <v>602</v>
      </c>
      <c r="R487" t="s">
        <v>603</v>
      </c>
      <c r="S487" t="s">
        <v>602</v>
      </c>
      <c r="T487" t="s">
        <v>602</v>
      </c>
      <c r="U487" s="47">
        <v>-531</v>
      </c>
    </row>
    <row r="488" spans="2:21" x14ac:dyDescent="0.2">
      <c r="B488" s="46"/>
      <c r="F488" s="47"/>
      <c r="J488" s="46"/>
      <c r="K488" s="48"/>
      <c r="O488" t="s">
        <v>602</v>
      </c>
      <c r="P488" t="s">
        <v>602</v>
      </c>
      <c r="Q488" t="s">
        <v>602</v>
      </c>
      <c r="R488" t="s">
        <v>603</v>
      </c>
      <c r="S488" t="s">
        <v>602</v>
      </c>
      <c r="T488" t="s">
        <v>602</v>
      </c>
      <c r="U488" s="47">
        <v>-153</v>
      </c>
    </row>
    <row r="489" spans="2:21" x14ac:dyDescent="0.2">
      <c r="B489" s="46"/>
      <c r="F489" s="47"/>
      <c r="J489" s="46"/>
      <c r="K489" s="48"/>
      <c r="O489" t="s">
        <v>602</v>
      </c>
      <c r="P489" t="s">
        <v>602</v>
      </c>
      <c r="Q489" t="s">
        <v>602</v>
      </c>
      <c r="R489" t="s">
        <v>603</v>
      </c>
      <c r="S489" t="s">
        <v>602</v>
      </c>
      <c r="T489" t="s">
        <v>602</v>
      </c>
      <c r="U489" s="47">
        <v>-61</v>
      </c>
    </row>
    <row r="490" spans="2:21" x14ac:dyDescent="0.2">
      <c r="B490" s="46"/>
      <c r="F490" s="47"/>
      <c r="J490" s="46"/>
      <c r="K490" s="48"/>
      <c r="O490" t="s">
        <v>602</v>
      </c>
      <c r="P490" t="s">
        <v>602</v>
      </c>
      <c r="Q490" t="s">
        <v>602</v>
      </c>
      <c r="R490" t="s">
        <v>603</v>
      </c>
      <c r="S490" t="s">
        <v>602</v>
      </c>
      <c r="T490" t="s">
        <v>602</v>
      </c>
      <c r="U490" s="47">
        <v>-92</v>
      </c>
    </row>
    <row r="491" spans="2:21" x14ac:dyDescent="0.2">
      <c r="B491" s="46"/>
      <c r="F491" s="47"/>
      <c r="J491" s="46"/>
      <c r="K491" s="48"/>
      <c r="O491" t="s">
        <v>602</v>
      </c>
      <c r="P491" t="s">
        <v>602</v>
      </c>
      <c r="Q491" t="s">
        <v>602</v>
      </c>
      <c r="R491" t="s">
        <v>603</v>
      </c>
      <c r="S491" t="s">
        <v>602</v>
      </c>
      <c r="T491" t="s">
        <v>602</v>
      </c>
      <c r="U491" s="47">
        <v>-46</v>
      </c>
    </row>
    <row r="492" spans="2:21" x14ac:dyDescent="0.2">
      <c r="B492" s="46"/>
      <c r="F492" s="47"/>
      <c r="J492" s="46"/>
      <c r="K492" s="48"/>
      <c r="O492" t="s">
        <v>602</v>
      </c>
      <c r="P492" t="s">
        <v>602</v>
      </c>
      <c r="Q492" t="s">
        <v>602</v>
      </c>
      <c r="R492" t="s">
        <v>603</v>
      </c>
      <c r="S492" t="s">
        <v>602</v>
      </c>
      <c r="T492" t="s">
        <v>602</v>
      </c>
      <c r="U492" s="47">
        <v>-138</v>
      </c>
    </row>
    <row r="493" spans="2:21" x14ac:dyDescent="0.2">
      <c r="B493" s="46"/>
      <c r="F493" s="47"/>
      <c r="J493" s="46"/>
      <c r="K493" s="48"/>
      <c r="O493" t="s">
        <v>602</v>
      </c>
      <c r="P493" t="s">
        <v>602</v>
      </c>
      <c r="Q493" t="s">
        <v>602</v>
      </c>
      <c r="R493" t="s">
        <v>603</v>
      </c>
      <c r="S493" t="s">
        <v>602</v>
      </c>
      <c r="T493" t="s">
        <v>602</v>
      </c>
      <c r="U493" s="47">
        <v>-159</v>
      </c>
    </row>
    <row r="494" spans="2:21" x14ac:dyDescent="0.2">
      <c r="B494" s="46"/>
      <c r="F494" s="47"/>
      <c r="J494" s="46"/>
      <c r="K494" s="48"/>
      <c r="O494" t="s">
        <v>602</v>
      </c>
      <c r="P494" t="s">
        <v>602</v>
      </c>
      <c r="Q494" t="s">
        <v>602</v>
      </c>
      <c r="R494" t="s">
        <v>603</v>
      </c>
      <c r="S494" t="s">
        <v>602</v>
      </c>
      <c r="T494" t="s">
        <v>602</v>
      </c>
      <c r="U494" s="47">
        <v>-64</v>
      </c>
    </row>
    <row r="495" spans="2:21" x14ac:dyDescent="0.2">
      <c r="B495" s="46"/>
      <c r="F495" s="47"/>
      <c r="J495" s="46"/>
      <c r="K495" s="48"/>
      <c r="O495" t="s">
        <v>602</v>
      </c>
      <c r="P495" t="s">
        <v>602</v>
      </c>
      <c r="Q495" t="s">
        <v>602</v>
      </c>
      <c r="R495" t="s">
        <v>603</v>
      </c>
      <c r="S495" t="s">
        <v>602</v>
      </c>
      <c r="T495" t="s">
        <v>602</v>
      </c>
      <c r="U495" s="47">
        <v>-32</v>
      </c>
    </row>
    <row r="496" spans="2:21" x14ac:dyDescent="0.2">
      <c r="B496" s="46"/>
      <c r="F496" s="47"/>
      <c r="J496" s="46"/>
      <c r="K496" s="48"/>
      <c r="O496" t="s">
        <v>602</v>
      </c>
      <c r="P496" t="s">
        <v>602</v>
      </c>
      <c r="Q496" t="s">
        <v>602</v>
      </c>
      <c r="R496" t="s">
        <v>603</v>
      </c>
      <c r="S496" t="s">
        <v>602</v>
      </c>
      <c r="T496" t="s">
        <v>602</v>
      </c>
      <c r="U496" s="47">
        <v>-16</v>
      </c>
    </row>
    <row r="497" spans="2:21" x14ac:dyDescent="0.2">
      <c r="B497" s="46"/>
      <c r="F497" s="47"/>
      <c r="J497" s="46"/>
      <c r="K497" s="48"/>
      <c r="O497" t="s">
        <v>602</v>
      </c>
      <c r="P497" t="s">
        <v>602</v>
      </c>
      <c r="Q497" t="s">
        <v>602</v>
      </c>
      <c r="R497" t="s">
        <v>603</v>
      </c>
      <c r="S497" t="s">
        <v>602</v>
      </c>
      <c r="T497" t="s">
        <v>602</v>
      </c>
      <c r="U497" s="47">
        <v>-159</v>
      </c>
    </row>
    <row r="498" spans="2:21" x14ac:dyDescent="0.2">
      <c r="B498" s="46"/>
      <c r="F498" s="47"/>
      <c r="J498" s="46"/>
      <c r="K498" s="48"/>
      <c r="O498" t="s">
        <v>602</v>
      </c>
      <c r="P498" t="s">
        <v>602</v>
      </c>
      <c r="Q498" t="s">
        <v>602</v>
      </c>
      <c r="R498" t="s">
        <v>603</v>
      </c>
      <c r="S498" t="s">
        <v>602</v>
      </c>
      <c r="T498" t="s">
        <v>602</v>
      </c>
      <c r="U498" s="47">
        <v>-159</v>
      </c>
    </row>
    <row r="499" spans="2:21" x14ac:dyDescent="0.2">
      <c r="B499" s="46"/>
      <c r="F499" s="47"/>
      <c r="J499" s="46"/>
      <c r="K499" s="48"/>
      <c r="O499" t="s">
        <v>602</v>
      </c>
      <c r="P499" t="s">
        <v>602</v>
      </c>
      <c r="Q499" t="s">
        <v>602</v>
      </c>
      <c r="R499" t="s">
        <v>603</v>
      </c>
      <c r="S499" t="s">
        <v>602</v>
      </c>
      <c r="T499" t="s">
        <v>602</v>
      </c>
      <c r="U499" s="47">
        <v>-79</v>
      </c>
    </row>
    <row r="500" spans="2:21" x14ac:dyDescent="0.2">
      <c r="B500" s="46"/>
      <c r="F500" s="47"/>
      <c r="J500" s="46"/>
      <c r="K500" s="48"/>
      <c r="O500" t="s">
        <v>602</v>
      </c>
      <c r="P500" t="s">
        <v>602</v>
      </c>
      <c r="Q500" t="s">
        <v>602</v>
      </c>
      <c r="R500" t="s">
        <v>603</v>
      </c>
      <c r="S500" t="s">
        <v>602</v>
      </c>
      <c r="T500" t="s">
        <v>602</v>
      </c>
      <c r="U500" s="47">
        <v>-64</v>
      </c>
    </row>
    <row r="501" spans="2:21" x14ac:dyDescent="0.2">
      <c r="B501" s="46"/>
      <c r="F501" s="47"/>
      <c r="J501" s="46"/>
      <c r="K501" s="48"/>
      <c r="O501" t="s">
        <v>602</v>
      </c>
      <c r="P501" t="s">
        <v>602</v>
      </c>
      <c r="Q501" t="s">
        <v>602</v>
      </c>
      <c r="R501" t="s">
        <v>603</v>
      </c>
      <c r="S501" t="s">
        <v>602</v>
      </c>
      <c r="T501" t="s">
        <v>602</v>
      </c>
      <c r="U501" s="47">
        <v>-32</v>
      </c>
    </row>
    <row r="502" spans="2:21" x14ac:dyDescent="0.2">
      <c r="B502" s="46"/>
      <c r="F502" s="47"/>
      <c r="J502" s="46"/>
      <c r="K502" s="48"/>
      <c r="O502" t="s">
        <v>602</v>
      </c>
      <c r="P502" t="s">
        <v>602</v>
      </c>
      <c r="Q502" t="s">
        <v>602</v>
      </c>
      <c r="R502" t="s">
        <v>603</v>
      </c>
      <c r="S502" t="s">
        <v>602</v>
      </c>
      <c r="T502" t="s">
        <v>602</v>
      </c>
      <c r="U502" s="47">
        <v>-32</v>
      </c>
    </row>
    <row r="503" spans="2:21" x14ac:dyDescent="0.2">
      <c r="B503" s="46"/>
      <c r="F503" s="47"/>
      <c r="J503" s="46"/>
      <c r="K503" s="48"/>
      <c r="O503" t="s">
        <v>602</v>
      </c>
      <c r="P503" t="s">
        <v>602</v>
      </c>
      <c r="Q503" t="s">
        <v>602</v>
      </c>
      <c r="R503" t="s">
        <v>603</v>
      </c>
      <c r="S503" t="s">
        <v>602</v>
      </c>
      <c r="T503" t="s">
        <v>602</v>
      </c>
      <c r="U503" s="47">
        <v>-64</v>
      </c>
    </row>
    <row r="504" spans="2:21" x14ac:dyDescent="0.2">
      <c r="B504" s="46"/>
      <c r="F504" s="47"/>
      <c r="J504" s="46"/>
      <c r="K504" s="48"/>
      <c r="O504" t="s">
        <v>602</v>
      </c>
      <c r="P504" t="s">
        <v>602</v>
      </c>
      <c r="Q504" t="s">
        <v>602</v>
      </c>
      <c r="R504" t="s">
        <v>603</v>
      </c>
      <c r="S504" t="s">
        <v>602</v>
      </c>
      <c r="T504" t="s">
        <v>602</v>
      </c>
      <c r="U504" s="47">
        <v>-111</v>
      </c>
    </row>
    <row r="505" spans="2:21" x14ac:dyDescent="0.2">
      <c r="B505" s="46"/>
      <c r="F505" s="47"/>
      <c r="J505" s="46"/>
      <c r="K505" s="48"/>
      <c r="O505" t="s">
        <v>602</v>
      </c>
      <c r="P505" t="s">
        <v>602</v>
      </c>
      <c r="Q505" t="s">
        <v>602</v>
      </c>
      <c r="R505" t="s">
        <v>603</v>
      </c>
      <c r="S505" t="s">
        <v>602</v>
      </c>
      <c r="T505" t="s">
        <v>602</v>
      </c>
      <c r="U505" s="47">
        <v>-143</v>
      </c>
    </row>
    <row r="506" spans="2:21" x14ac:dyDescent="0.2">
      <c r="B506" s="46"/>
      <c r="F506" s="47"/>
      <c r="J506" s="46"/>
      <c r="K506" s="48"/>
      <c r="O506" t="s">
        <v>602</v>
      </c>
      <c r="P506" t="s">
        <v>602</v>
      </c>
      <c r="Q506" t="s">
        <v>602</v>
      </c>
      <c r="R506" t="s">
        <v>603</v>
      </c>
      <c r="S506" t="s">
        <v>602</v>
      </c>
      <c r="T506" t="s">
        <v>602</v>
      </c>
      <c r="U506" s="47">
        <v>-64</v>
      </c>
    </row>
    <row r="507" spans="2:21" x14ac:dyDescent="0.2">
      <c r="B507" s="46"/>
      <c r="F507" s="47"/>
      <c r="J507" s="46"/>
      <c r="K507" s="48"/>
      <c r="O507" t="s">
        <v>602</v>
      </c>
      <c r="P507" t="s">
        <v>602</v>
      </c>
      <c r="Q507" t="s">
        <v>602</v>
      </c>
      <c r="R507" t="s">
        <v>603</v>
      </c>
      <c r="S507" t="s">
        <v>602</v>
      </c>
      <c r="T507" t="s">
        <v>602</v>
      </c>
      <c r="U507" s="47">
        <v>-16</v>
      </c>
    </row>
    <row r="508" spans="2:21" x14ac:dyDescent="0.2">
      <c r="B508" s="46"/>
      <c r="F508" s="47"/>
      <c r="J508" s="46"/>
      <c r="K508" s="48"/>
      <c r="O508" t="s">
        <v>602</v>
      </c>
      <c r="P508" t="s">
        <v>602</v>
      </c>
      <c r="Q508" t="s">
        <v>602</v>
      </c>
      <c r="R508" t="s">
        <v>603</v>
      </c>
      <c r="S508" t="s">
        <v>602</v>
      </c>
      <c r="T508" t="s">
        <v>602</v>
      </c>
      <c r="U508" s="47">
        <v>-16</v>
      </c>
    </row>
    <row r="509" spans="2:21" x14ac:dyDescent="0.2">
      <c r="B509" s="46"/>
      <c r="F509" s="47"/>
      <c r="J509" s="46"/>
      <c r="K509" s="48"/>
      <c r="O509" t="s">
        <v>602</v>
      </c>
      <c r="P509" t="s">
        <v>602</v>
      </c>
      <c r="Q509" t="s">
        <v>602</v>
      </c>
      <c r="R509" t="s">
        <v>603</v>
      </c>
      <c r="S509" t="s">
        <v>602</v>
      </c>
      <c r="T509" t="s">
        <v>602</v>
      </c>
      <c r="U509" s="47">
        <v>-16</v>
      </c>
    </row>
    <row r="510" spans="2:21" x14ac:dyDescent="0.2">
      <c r="B510" s="46"/>
      <c r="F510" s="47"/>
      <c r="J510" s="46"/>
      <c r="K510" s="48"/>
      <c r="O510" t="s">
        <v>602</v>
      </c>
      <c r="P510" t="s">
        <v>602</v>
      </c>
      <c r="Q510" t="s">
        <v>602</v>
      </c>
      <c r="R510" t="s">
        <v>603</v>
      </c>
      <c r="S510" t="s">
        <v>602</v>
      </c>
      <c r="T510" t="s">
        <v>602</v>
      </c>
      <c r="U510" s="47">
        <v>-16</v>
      </c>
    </row>
    <row r="511" spans="2:21" x14ac:dyDescent="0.2">
      <c r="B511" s="46"/>
      <c r="F511" s="47"/>
      <c r="J511" s="46"/>
      <c r="K511" s="48"/>
      <c r="O511" t="s">
        <v>602</v>
      </c>
      <c r="P511" t="s">
        <v>602</v>
      </c>
      <c r="Q511" t="s">
        <v>602</v>
      </c>
      <c r="R511" t="s">
        <v>603</v>
      </c>
      <c r="S511" t="s">
        <v>602</v>
      </c>
      <c r="T511" t="s">
        <v>602</v>
      </c>
      <c r="U511" s="47">
        <v>-108</v>
      </c>
    </row>
    <row r="512" spans="2:21" x14ac:dyDescent="0.2">
      <c r="B512" s="46"/>
      <c r="F512" s="47"/>
      <c r="J512" s="46"/>
      <c r="K512" s="48"/>
      <c r="O512" t="s">
        <v>602</v>
      </c>
      <c r="P512" t="s">
        <v>602</v>
      </c>
      <c r="Q512" t="s">
        <v>602</v>
      </c>
      <c r="R512" t="s">
        <v>603</v>
      </c>
      <c r="S512" t="s">
        <v>602</v>
      </c>
      <c r="T512" t="s">
        <v>602</v>
      </c>
      <c r="U512" s="47">
        <v>-540</v>
      </c>
    </row>
    <row r="513" spans="2:21" x14ac:dyDescent="0.2">
      <c r="B513" s="46"/>
      <c r="F513" s="47"/>
      <c r="J513" s="46"/>
      <c r="K513" s="48"/>
      <c r="O513" t="s">
        <v>602</v>
      </c>
      <c r="P513" t="s">
        <v>602</v>
      </c>
      <c r="Q513" t="s">
        <v>602</v>
      </c>
      <c r="R513" t="s">
        <v>603</v>
      </c>
      <c r="S513" t="s">
        <v>602</v>
      </c>
      <c r="T513" t="s">
        <v>602</v>
      </c>
      <c r="U513" s="47">
        <v>-13</v>
      </c>
    </row>
    <row r="514" spans="2:21" x14ac:dyDescent="0.2">
      <c r="B514" s="46"/>
      <c r="F514" s="47"/>
      <c r="J514" s="46"/>
      <c r="K514" s="48"/>
      <c r="O514" t="s">
        <v>602</v>
      </c>
      <c r="P514" t="s">
        <v>602</v>
      </c>
      <c r="Q514" t="s">
        <v>602</v>
      </c>
      <c r="R514" t="s">
        <v>603</v>
      </c>
      <c r="S514" t="s">
        <v>602</v>
      </c>
      <c r="T514" t="s">
        <v>602</v>
      </c>
      <c r="U514" s="47">
        <v>-9</v>
      </c>
    </row>
    <row r="515" spans="2:21" x14ac:dyDescent="0.2">
      <c r="B515" s="46"/>
      <c r="F515" s="47"/>
      <c r="J515" s="46"/>
      <c r="K515" s="48"/>
      <c r="O515" t="s">
        <v>602</v>
      </c>
      <c r="P515" t="s">
        <v>602</v>
      </c>
      <c r="Q515" t="s">
        <v>602</v>
      </c>
      <c r="R515" t="s">
        <v>603</v>
      </c>
      <c r="S515" t="s">
        <v>602</v>
      </c>
      <c r="T515" t="s">
        <v>602</v>
      </c>
      <c r="U515" s="47">
        <v>-51</v>
      </c>
    </row>
    <row r="516" spans="2:21" x14ac:dyDescent="0.2">
      <c r="B516" s="46"/>
      <c r="F516" s="47"/>
      <c r="J516" s="46"/>
      <c r="K516" s="48"/>
      <c r="O516" t="s">
        <v>602</v>
      </c>
      <c r="P516" t="s">
        <v>602</v>
      </c>
      <c r="Q516" t="s">
        <v>602</v>
      </c>
      <c r="R516" t="s">
        <v>603</v>
      </c>
      <c r="S516" t="s">
        <v>602</v>
      </c>
      <c r="T516" t="s">
        <v>602</v>
      </c>
      <c r="U516" s="47">
        <v>-25</v>
      </c>
    </row>
    <row r="517" spans="2:21" x14ac:dyDescent="0.2">
      <c r="B517" s="46"/>
      <c r="F517" s="47"/>
      <c r="J517" s="46"/>
      <c r="K517" s="48"/>
      <c r="O517" t="s">
        <v>602</v>
      </c>
      <c r="P517" t="s">
        <v>602</v>
      </c>
      <c r="Q517" t="s">
        <v>602</v>
      </c>
      <c r="R517" t="s">
        <v>603</v>
      </c>
      <c r="S517" t="s">
        <v>602</v>
      </c>
      <c r="T517" t="s">
        <v>602</v>
      </c>
      <c r="U517" s="47">
        <v>-85</v>
      </c>
    </row>
    <row r="518" spans="2:21" x14ac:dyDescent="0.2">
      <c r="B518" s="46"/>
      <c r="F518" s="47"/>
      <c r="J518" s="46"/>
      <c r="K518" s="48"/>
      <c r="O518" t="s">
        <v>602</v>
      </c>
      <c r="P518" t="s">
        <v>602</v>
      </c>
      <c r="Q518" t="s">
        <v>602</v>
      </c>
      <c r="R518" t="s">
        <v>603</v>
      </c>
      <c r="S518" t="s">
        <v>602</v>
      </c>
      <c r="T518" t="s">
        <v>602</v>
      </c>
      <c r="U518" s="47">
        <v>-171</v>
      </c>
    </row>
    <row r="519" spans="2:21" x14ac:dyDescent="0.2">
      <c r="B519" s="46"/>
      <c r="F519" s="47"/>
      <c r="J519" s="46"/>
      <c r="K519" s="48"/>
      <c r="O519" t="s">
        <v>602</v>
      </c>
      <c r="P519" t="s">
        <v>602</v>
      </c>
      <c r="Q519" t="s">
        <v>602</v>
      </c>
      <c r="R519" t="s">
        <v>603</v>
      </c>
      <c r="S519" t="s">
        <v>602</v>
      </c>
      <c r="T519" t="s">
        <v>602</v>
      </c>
      <c r="U519" s="47">
        <v>-171</v>
      </c>
    </row>
    <row r="520" spans="2:21" x14ac:dyDescent="0.2">
      <c r="B520" s="46"/>
      <c r="F520" s="47"/>
      <c r="J520" s="46"/>
      <c r="K520" s="48"/>
      <c r="O520" t="s">
        <v>602</v>
      </c>
      <c r="P520" t="s">
        <v>602</v>
      </c>
      <c r="Q520" t="s">
        <v>602</v>
      </c>
      <c r="R520" t="s">
        <v>603</v>
      </c>
      <c r="S520" t="s">
        <v>602</v>
      </c>
      <c r="T520" t="s">
        <v>602</v>
      </c>
      <c r="U520" s="47">
        <v>-171</v>
      </c>
    </row>
    <row r="521" spans="2:21" x14ac:dyDescent="0.2">
      <c r="B521" s="46"/>
      <c r="F521" s="47"/>
      <c r="J521" s="46"/>
      <c r="K521" s="48"/>
      <c r="O521" t="s">
        <v>602</v>
      </c>
      <c r="P521" t="s">
        <v>602</v>
      </c>
      <c r="Q521" t="s">
        <v>602</v>
      </c>
      <c r="R521" t="s">
        <v>603</v>
      </c>
      <c r="S521" t="s">
        <v>602</v>
      </c>
      <c r="T521" t="s">
        <v>602</v>
      </c>
      <c r="U521" s="47">
        <v>-28</v>
      </c>
    </row>
    <row r="522" spans="2:21" x14ac:dyDescent="0.2">
      <c r="B522" s="46"/>
      <c r="F522" s="47"/>
      <c r="J522" s="46"/>
      <c r="K522" s="48"/>
      <c r="O522" t="s">
        <v>602</v>
      </c>
      <c r="P522" t="s">
        <v>602</v>
      </c>
      <c r="Q522" t="s">
        <v>602</v>
      </c>
      <c r="R522" t="s">
        <v>603</v>
      </c>
      <c r="S522" t="s">
        <v>602</v>
      </c>
      <c r="T522" t="s">
        <v>602</v>
      </c>
      <c r="U522" s="47">
        <v>-18</v>
      </c>
    </row>
    <row r="523" spans="2:21" x14ac:dyDescent="0.2">
      <c r="B523" s="46"/>
      <c r="F523" s="47"/>
      <c r="J523" s="46"/>
      <c r="K523" s="48"/>
      <c r="O523" t="s">
        <v>602</v>
      </c>
      <c r="P523" t="s">
        <v>602</v>
      </c>
      <c r="Q523" t="s">
        <v>602</v>
      </c>
      <c r="R523" t="s">
        <v>603</v>
      </c>
      <c r="S523" t="s">
        <v>602</v>
      </c>
      <c r="T523" t="s">
        <v>602</v>
      </c>
      <c r="U523" s="47">
        <v>-19</v>
      </c>
    </row>
    <row r="524" spans="2:21" x14ac:dyDescent="0.2">
      <c r="B524" s="46"/>
      <c r="F524" s="47"/>
      <c r="J524" s="46"/>
      <c r="K524" s="48"/>
      <c r="O524" t="s">
        <v>602</v>
      </c>
      <c r="P524" t="s">
        <v>602</v>
      </c>
      <c r="Q524" t="s">
        <v>602</v>
      </c>
      <c r="R524" t="s">
        <v>603</v>
      </c>
      <c r="S524" t="s">
        <v>602</v>
      </c>
      <c r="T524" t="s">
        <v>602</v>
      </c>
      <c r="U524" s="47">
        <v>-56</v>
      </c>
    </row>
    <row r="525" spans="2:21" x14ac:dyDescent="0.2">
      <c r="B525" s="46"/>
      <c r="F525" s="47"/>
      <c r="J525" s="46"/>
      <c r="K525" s="48"/>
      <c r="O525" t="s">
        <v>602</v>
      </c>
      <c r="P525" t="s">
        <v>602</v>
      </c>
      <c r="Q525" t="s">
        <v>602</v>
      </c>
      <c r="R525" t="s">
        <v>603</v>
      </c>
      <c r="S525" t="s">
        <v>602</v>
      </c>
      <c r="T525" t="s">
        <v>602</v>
      </c>
      <c r="U525" s="47">
        <v>-19</v>
      </c>
    </row>
    <row r="526" spans="2:21" x14ac:dyDescent="0.2">
      <c r="B526" s="46"/>
      <c r="F526" s="47"/>
      <c r="J526" s="46"/>
      <c r="K526" s="48"/>
      <c r="O526" t="s">
        <v>602</v>
      </c>
      <c r="P526" t="s">
        <v>602</v>
      </c>
      <c r="Q526" t="s">
        <v>602</v>
      </c>
      <c r="R526" t="s">
        <v>603</v>
      </c>
      <c r="S526" t="s">
        <v>602</v>
      </c>
      <c r="T526" t="s">
        <v>602</v>
      </c>
      <c r="U526" s="47">
        <v>-39</v>
      </c>
    </row>
    <row r="527" spans="2:21" x14ac:dyDescent="0.2">
      <c r="B527" s="46"/>
      <c r="F527" s="47"/>
      <c r="J527" s="46"/>
      <c r="K527" s="48"/>
      <c r="O527" t="s">
        <v>602</v>
      </c>
      <c r="P527" t="s">
        <v>602</v>
      </c>
      <c r="Q527" t="s">
        <v>602</v>
      </c>
      <c r="R527" t="s">
        <v>603</v>
      </c>
      <c r="S527" t="s">
        <v>602</v>
      </c>
      <c r="T527" t="s">
        <v>602</v>
      </c>
      <c r="U527" s="47">
        <v>-311</v>
      </c>
    </row>
    <row r="528" spans="2:21" x14ac:dyDescent="0.2">
      <c r="B528" s="46"/>
      <c r="F528" s="47"/>
      <c r="J528" s="46"/>
      <c r="K528" s="48"/>
      <c r="O528" t="s">
        <v>602</v>
      </c>
      <c r="P528" t="s">
        <v>602</v>
      </c>
      <c r="Q528" t="s">
        <v>602</v>
      </c>
      <c r="R528" t="s">
        <v>603</v>
      </c>
      <c r="S528" t="s">
        <v>602</v>
      </c>
      <c r="T528" t="s">
        <v>602</v>
      </c>
      <c r="U528" s="47">
        <v>-39</v>
      </c>
    </row>
    <row r="529" spans="2:21" x14ac:dyDescent="0.2">
      <c r="B529" s="46"/>
      <c r="F529" s="47"/>
      <c r="J529" s="46"/>
      <c r="K529" s="48"/>
      <c r="O529" t="s">
        <v>602</v>
      </c>
      <c r="P529" t="s">
        <v>602</v>
      </c>
      <c r="Q529" t="s">
        <v>602</v>
      </c>
      <c r="R529" t="s">
        <v>603</v>
      </c>
      <c r="S529" t="s">
        <v>602</v>
      </c>
      <c r="T529" t="s">
        <v>602</v>
      </c>
      <c r="U529" s="47">
        <v>-78</v>
      </c>
    </row>
    <row r="530" spans="2:21" x14ac:dyDescent="0.2">
      <c r="B530" s="46"/>
      <c r="F530" s="47"/>
      <c r="J530" s="46"/>
      <c r="K530" s="48"/>
      <c r="O530" t="s">
        <v>602</v>
      </c>
      <c r="P530" t="s">
        <v>602</v>
      </c>
      <c r="Q530" t="s">
        <v>602</v>
      </c>
      <c r="R530" t="s">
        <v>603</v>
      </c>
      <c r="S530" t="s">
        <v>602</v>
      </c>
      <c r="T530" t="s">
        <v>602</v>
      </c>
      <c r="U530" s="47">
        <v>-156</v>
      </c>
    </row>
    <row r="531" spans="2:21" x14ac:dyDescent="0.2">
      <c r="B531" s="46"/>
      <c r="F531" s="47"/>
      <c r="J531" s="46"/>
      <c r="K531" s="48"/>
      <c r="O531" t="s">
        <v>602</v>
      </c>
      <c r="P531" t="s">
        <v>602</v>
      </c>
      <c r="Q531" t="s">
        <v>602</v>
      </c>
      <c r="R531" t="s">
        <v>603</v>
      </c>
      <c r="S531" t="s">
        <v>602</v>
      </c>
      <c r="T531" t="s">
        <v>602</v>
      </c>
      <c r="U531" s="47">
        <v>-156</v>
      </c>
    </row>
    <row r="532" spans="2:21" x14ac:dyDescent="0.2">
      <c r="B532" s="46"/>
      <c r="F532" s="47"/>
      <c r="J532" s="46"/>
      <c r="K532" s="48"/>
      <c r="O532" t="s">
        <v>602</v>
      </c>
      <c r="P532" t="s">
        <v>602</v>
      </c>
      <c r="Q532" t="s">
        <v>602</v>
      </c>
      <c r="R532" t="s">
        <v>603</v>
      </c>
      <c r="S532" t="s">
        <v>602</v>
      </c>
      <c r="T532" t="s">
        <v>602</v>
      </c>
      <c r="U532" s="47">
        <v>-39</v>
      </c>
    </row>
    <row r="533" spans="2:21" x14ac:dyDescent="0.2">
      <c r="B533" s="46"/>
      <c r="F533" s="47"/>
      <c r="J533" s="46"/>
      <c r="K533" s="48"/>
      <c r="O533" t="s">
        <v>602</v>
      </c>
      <c r="P533" t="s">
        <v>602</v>
      </c>
      <c r="Q533" t="s">
        <v>602</v>
      </c>
      <c r="R533" t="s">
        <v>603</v>
      </c>
      <c r="S533" t="s">
        <v>602</v>
      </c>
      <c r="T533" t="s">
        <v>602</v>
      </c>
      <c r="U533" s="47">
        <v>-43</v>
      </c>
    </row>
    <row r="534" spans="2:21" x14ac:dyDescent="0.2">
      <c r="B534" s="46"/>
      <c r="F534" s="47"/>
      <c r="J534" s="46"/>
      <c r="K534" s="48"/>
      <c r="O534" t="s">
        <v>602</v>
      </c>
      <c r="P534" t="s">
        <v>602</v>
      </c>
      <c r="Q534" t="s">
        <v>602</v>
      </c>
      <c r="R534" t="s">
        <v>603</v>
      </c>
      <c r="S534" t="s">
        <v>602</v>
      </c>
      <c r="T534" t="s">
        <v>602</v>
      </c>
      <c r="U534" s="47">
        <v>-216</v>
      </c>
    </row>
    <row r="535" spans="2:21" x14ac:dyDescent="0.2">
      <c r="B535" s="46"/>
      <c r="F535" s="47"/>
      <c r="J535" s="46"/>
      <c r="K535" s="48"/>
      <c r="O535" t="s">
        <v>602</v>
      </c>
      <c r="P535" t="s">
        <v>602</v>
      </c>
      <c r="Q535" t="s">
        <v>602</v>
      </c>
      <c r="R535" t="s">
        <v>603</v>
      </c>
      <c r="S535" t="s">
        <v>602</v>
      </c>
      <c r="T535" t="s">
        <v>602</v>
      </c>
      <c r="U535" s="47">
        <v>-43</v>
      </c>
    </row>
    <row r="536" spans="2:21" x14ac:dyDescent="0.2">
      <c r="B536" s="46"/>
      <c r="F536" s="47"/>
      <c r="J536" s="46"/>
      <c r="K536" s="48"/>
      <c r="O536" t="s">
        <v>602</v>
      </c>
      <c r="P536" t="s">
        <v>602</v>
      </c>
      <c r="Q536" t="s">
        <v>602</v>
      </c>
      <c r="R536" t="s">
        <v>603</v>
      </c>
      <c r="S536" t="s">
        <v>602</v>
      </c>
      <c r="T536" t="s">
        <v>602</v>
      </c>
      <c r="U536" s="47">
        <v>-86</v>
      </c>
    </row>
    <row r="537" spans="2:21" x14ac:dyDescent="0.2">
      <c r="B537" s="46"/>
      <c r="F537" s="47"/>
      <c r="J537" s="46"/>
      <c r="K537" s="48"/>
      <c r="O537" t="s">
        <v>602</v>
      </c>
      <c r="P537" t="s">
        <v>602</v>
      </c>
      <c r="Q537" t="s">
        <v>602</v>
      </c>
      <c r="R537" t="s">
        <v>603</v>
      </c>
      <c r="S537" t="s">
        <v>602</v>
      </c>
      <c r="T537" t="s">
        <v>602</v>
      </c>
      <c r="U537" s="47">
        <v>-107</v>
      </c>
    </row>
    <row r="538" spans="2:21" x14ac:dyDescent="0.2">
      <c r="B538" s="46"/>
      <c r="F538" s="47"/>
      <c r="J538" s="46"/>
      <c r="K538" s="48"/>
      <c r="O538" t="s">
        <v>602</v>
      </c>
      <c r="P538" t="s">
        <v>602</v>
      </c>
      <c r="Q538" t="s">
        <v>602</v>
      </c>
      <c r="R538" t="s">
        <v>603</v>
      </c>
      <c r="S538" t="s">
        <v>602</v>
      </c>
      <c r="T538" t="s">
        <v>602</v>
      </c>
      <c r="U538" s="47">
        <v>-12</v>
      </c>
    </row>
    <row r="539" spans="2:21" x14ac:dyDescent="0.2">
      <c r="B539" s="46"/>
      <c r="F539" s="47"/>
      <c r="J539" s="46"/>
      <c r="K539" s="48"/>
      <c r="O539" t="s">
        <v>602</v>
      </c>
      <c r="P539" t="s">
        <v>602</v>
      </c>
      <c r="Q539" t="s">
        <v>602</v>
      </c>
      <c r="R539" t="s">
        <v>603</v>
      </c>
      <c r="S539" t="s">
        <v>602</v>
      </c>
      <c r="T539" t="s">
        <v>602</v>
      </c>
      <c r="U539" s="47">
        <v>-12</v>
      </c>
    </row>
    <row r="540" spans="2:21" x14ac:dyDescent="0.2">
      <c r="B540" s="46"/>
      <c r="F540" s="47"/>
      <c r="J540" s="46"/>
      <c r="K540" s="48"/>
      <c r="O540" t="s">
        <v>602</v>
      </c>
      <c r="P540" t="s">
        <v>602</v>
      </c>
      <c r="Q540" t="s">
        <v>602</v>
      </c>
      <c r="R540" t="s">
        <v>603</v>
      </c>
      <c r="S540" t="s">
        <v>602</v>
      </c>
      <c r="T540" t="s">
        <v>602</v>
      </c>
      <c r="U540" s="47">
        <v>-24</v>
      </c>
    </row>
    <row r="541" spans="2:21" x14ac:dyDescent="0.2">
      <c r="B541" s="46"/>
      <c r="F541" s="47"/>
      <c r="J541" s="46"/>
      <c r="K541" s="48"/>
      <c r="O541" t="s">
        <v>602</v>
      </c>
      <c r="P541" t="s">
        <v>602</v>
      </c>
      <c r="Q541" t="s">
        <v>602</v>
      </c>
      <c r="R541" t="s">
        <v>603</v>
      </c>
      <c r="S541" t="s">
        <v>602</v>
      </c>
      <c r="T541" t="s">
        <v>602</v>
      </c>
      <c r="U541" s="47">
        <v>-12</v>
      </c>
    </row>
    <row r="542" spans="2:21" x14ac:dyDescent="0.2">
      <c r="B542" s="46"/>
      <c r="F542" s="47"/>
      <c r="J542" s="46"/>
      <c r="K542" s="48"/>
      <c r="O542" t="s">
        <v>602</v>
      </c>
      <c r="P542" t="s">
        <v>602</v>
      </c>
      <c r="Q542" t="s">
        <v>602</v>
      </c>
      <c r="R542" t="s">
        <v>603</v>
      </c>
      <c r="S542" t="s">
        <v>602</v>
      </c>
      <c r="T542" t="s">
        <v>602</v>
      </c>
      <c r="U542" s="47">
        <v>-24</v>
      </c>
    </row>
    <row r="543" spans="2:21" x14ac:dyDescent="0.2">
      <c r="B543" s="46"/>
      <c r="F543" s="47"/>
      <c r="J543" s="46"/>
      <c r="K543" s="48"/>
      <c r="O543" t="s">
        <v>602</v>
      </c>
      <c r="P543" t="s">
        <v>602</v>
      </c>
      <c r="Q543" t="s">
        <v>602</v>
      </c>
      <c r="R543" t="s">
        <v>603</v>
      </c>
      <c r="S543" t="s">
        <v>602</v>
      </c>
      <c r="T543" t="s">
        <v>602</v>
      </c>
      <c r="U543" s="47">
        <v>-36</v>
      </c>
    </row>
    <row r="544" spans="2:21" x14ac:dyDescent="0.2">
      <c r="B544" s="46"/>
      <c r="F544" s="47"/>
      <c r="J544" s="46"/>
      <c r="K544" s="48"/>
      <c r="O544" t="s">
        <v>602</v>
      </c>
      <c r="P544" t="s">
        <v>602</v>
      </c>
      <c r="Q544" t="s">
        <v>602</v>
      </c>
      <c r="R544" t="s">
        <v>603</v>
      </c>
      <c r="S544" t="s">
        <v>602</v>
      </c>
      <c r="T544" t="s">
        <v>602</v>
      </c>
      <c r="U544" s="47">
        <v>-48</v>
      </c>
    </row>
    <row r="545" spans="2:21" x14ac:dyDescent="0.2">
      <c r="B545" s="46"/>
      <c r="F545" s="47"/>
      <c r="J545" s="46"/>
      <c r="K545" s="48"/>
      <c r="O545" t="s">
        <v>602</v>
      </c>
      <c r="P545" t="s">
        <v>602</v>
      </c>
      <c r="Q545" t="s">
        <v>602</v>
      </c>
      <c r="R545" t="s">
        <v>603</v>
      </c>
      <c r="S545" t="s">
        <v>602</v>
      </c>
      <c r="T545" t="s">
        <v>602</v>
      </c>
      <c r="U545" s="47">
        <v>-83</v>
      </c>
    </row>
    <row r="546" spans="2:21" x14ac:dyDescent="0.2">
      <c r="B546" s="46"/>
      <c r="F546" s="47"/>
      <c r="J546" s="46"/>
      <c r="K546" s="48"/>
      <c r="O546" t="s">
        <v>602</v>
      </c>
      <c r="P546" t="s">
        <v>602</v>
      </c>
      <c r="Q546" t="s">
        <v>602</v>
      </c>
      <c r="R546" t="s">
        <v>603</v>
      </c>
      <c r="S546" t="s">
        <v>602</v>
      </c>
      <c r="T546" t="s">
        <v>602</v>
      </c>
      <c r="U546" s="47">
        <v>-83</v>
      </c>
    </row>
    <row r="547" spans="2:21" x14ac:dyDescent="0.2">
      <c r="B547" s="46"/>
      <c r="F547" s="47"/>
      <c r="J547" s="46"/>
      <c r="K547" s="48"/>
      <c r="O547" t="s">
        <v>602</v>
      </c>
      <c r="P547" t="s">
        <v>602</v>
      </c>
      <c r="Q547" t="s">
        <v>602</v>
      </c>
      <c r="R547" t="s">
        <v>603</v>
      </c>
      <c r="S547" t="s">
        <v>602</v>
      </c>
      <c r="T547" t="s">
        <v>602</v>
      </c>
      <c r="U547" s="47">
        <v>-83</v>
      </c>
    </row>
    <row r="548" spans="2:21" x14ac:dyDescent="0.2">
      <c r="B548" s="46"/>
      <c r="F548" s="47"/>
      <c r="J548" s="46"/>
      <c r="K548" s="48"/>
      <c r="O548" t="s">
        <v>602</v>
      </c>
      <c r="P548" t="s">
        <v>602</v>
      </c>
      <c r="Q548" t="s">
        <v>602</v>
      </c>
      <c r="R548" t="s">
        <v>603</v>
      </c>
      <c r="S548" t="s">
        <v>602</v>
      </c>
      <c r="T548" t="s">
        <v>602</v>
      </c>
      <c r="U548" s="47">
        <v>-71</v>
      </c>
    </row>
    <row r="549" spans="2:21" x14ac:dyDescent="0.2">
      <c r="B549" s="46"/>
      <c r="F549" s="47"/>
      <c r="J549" s="46"/>
      <c r="K549" s="48"/>
      <c r="O549" t="s">
        <v>602</v>
      </c>
      <c r="P549" t="s">
        <v>602</v>
      </c>
      <c r="Q549" t="s">
        <v>602</v>
      </c>
      <c r="R549" t="s">
        <v>603</v>
      </c>
      <c r="S549" t="s">
        <v>602</v>
      </c>
      <c r="T549" t="s">
        <v>602</v>
      </c>
      <c r="U549" s="47">
        <v>-12</v>
      </c>
    </row>
    <row r="550" spans="2:21" x14ac:dyDescent="0.2">
      <c r="B550" s="46"/>
      <c r="F550" s="47"/>
      <c r="J550" s="46"/>
      <c r="K550" s="48"/>
      <c r="O550" t="s">
        <v>602</v>
      </c>
      <c r="P550" t="s">
        <v>602</v>
      </c>
      <c r="Q550" t="s">
        <v>602</v>
      </c>
      <c r="R550" t="s">
        <v>603</v>
      </c>
      <c r="S550" t="s">
        <v>602</v>
      </c>
      <c r="T550" t="s">
        <v>602</v>
      </c>
      <c r="U550" s="47">
        <v>-48</v>
      </c>
    </row>
    <row r="551" spans="2:21" x14ac:dyDescent="0.2">
      <c r="B551" s="46"/>
      <c r="F551" s="47"/>
      <c r="J551" s="46"/>
      <c r="K551" s="48"/>
      <c r="O551" t="s">
        <v>602</v>
      </c>
      <c r="P551" t="s">
        <v>602</v>
      </c>
      <c r="Q551" t="s">
        <v>602</v>
      </c>
      <c r="R551" t="s">
        <v>603</v>
      </c>
      <c r="S551" t="s">
        <v>602</v>
      </c>
      <c r="T551" t="s">
        <v>602</v>
      </c>
      <c r="U551" s="47">
        <v>-24</v>
      </c>
    </row>
    <row r="552" spans="2:21" x14ac:dyDescent="0.2">
      <c r="B552" s="46"/>
      <c r="F552" s="47"/>
      <c r="J552" s="46"/>
      <c r="K552" s="48"/>
      <c r="O552" t="s">
        <v>602</v>
      </c>
      <c r="P552" t="s">
        <v>602</v>
      </c>
      <c r="Q552" t="s">
        <v>602</v>
      </c>
      <c r="R552" t="s">
        <v>603</v>
      </c>
      <c r="S552" t="s">
        <v>602</v>
      </c>
      <c r="T552" t="s">
        <v>602</v>
      </c>
      <c r="U552" s="47">
        <v>-107</v>
      </c>
    </row>
    <row r="553" spans="2:21" x14ac:dyDescent="0.2">
      <c r="B553" s="46"/>
      <c r="F553" s="47"/>
      <c r="J553" s="46"/>
      <c r="K553" s="48"/>
      <c r="O553" t="s">
        <v>602</v>
      </c>
      <c r="P553" t="s">
        <v>602</v>
      </c>
      <c r="Q553" t="s">
        <v>602</v>
      </c>
      <c r="R553" t="s">
        <v>603</v>
      </c>
      <c r="S553" t="s">
        <v>602</v>
      </c>
      <c r="T553" t="s">
        <v>602</v>
      </c>
      <c r="U553" s="47">
        <v>-48</v>
      </c>
    </row>
    <row r="554" spans="2:21" x14ac:dyDescent="0.2">
      <c r="B554" s="46"/>
      <c r="F554" s="47"/>
      <c r="J554" s="46"/>
      <c r="K554" s="48"/>
      <c r="O554" t="s">
        <v>602</v>
      </c>
      <c r="P554" t="s">
        <v>602</v>
      </c>
      <c r="Q554" t="s">
        <v>602</v>
      </c>
      <c r="R554" t="s">
        <v>603</v>
      </c>
      <c r="S554" t="s">
        <v>602</v>
      </c>
      <c r="T554" t="s">
        <v>602</v>
      </c>
      <c r="U554" s="47">
        <v>-119</v>
      </c>
    </row>
    <row r="555" spans="2:21" x14ac:dyDescent="0.2">
      <c r="B555" s="46"/>
      <c r="F555" s="47"/>
      <c r="J555" s="46"/>
      <c r="K555" s="48"/>
      <c r="O555" t="s">
        <v>602</v>
      </c>
      <c r="P555" t="s">
        <v>602</v>
      </c>
      <c r="Q555" t="s">
        <v>602</v>
      </c>
      <c r="R555" t="s">
        <v>603</v>
      </c>
      <c r="S555" t="s">
        <v>602</v>
      </c>
      <c r="T555" t="s">
        <v>602</v>
      </c>
      <c r="U555" s="47">
        <v>-119</v>
      </c>
    </row>
    <row r="556" spans="2:21" x14ac:dyDescent="0.2">
      <c r="B556" s="46"/>
      <c r="F556" s="47"/>
      <c r="J556" s="46"/>
      <c r="K556" s="48"/>
      <c r="O556" t="s">
        <v>602</v>
      </c>
      <c r="P556" t="s">
        <v>602</v>
      </c>
      <c r="Q556" t="s">
        <v>602</v>
      </c>
      <c r="R556" t="s">
        <v>603</v>
      </c>
      <c r="S556" t="s">
        <v>602</v>
      </c>
      <c r="T556" t="s">
        <v>602</v>
      </c>
      <c r="U556" s="47">
        <v>-131</v>
      </c>
    </row>
    <row r="557" spans="2:21" x14ac:dyDescent="0.2">
      <c r="B557" s="46"/>
      <c r="F557" s="47"/>
      <c r="J557" s="46"/>
      <c r="K557" s="48"/>
      <c r="O557" t="s">
        <v>602</v>
      </c>
      <c r="P557" t="s">
        <v>602</v>
      </c>
      <c r="Q557" t="s">
        <v>602</v>
      </c>
      <c r="R557" t="s">
        <v>603</v>
      </c>
      <c r="S557" t="s">
        <v>602</v>
      </c>
      <c r="T557" t="s">
        <v>602</v>
      </c>
      <c r="U557" s="47">
        <v>-12</v>
      </c>
    </row>
    <row r="558" spans="2:21" x14ac:dyDescent="0.2">
      <c r="B558" s="46"/>
      <c r="F558" s="47"/>
      <c r="J558" s="46"/>
      <c r="K558" s="48"/>
      <c r="O558" t="s">
        <v>602</v>
      </c>
      <c r="P558" t="s">
        <v>602</v>
      </c>
      <c r="Q558" t="s">
        <v>602</v>
      </c>
      <c r="R558" t="s">
        <v>603</v>
      </c>
      <c r="S558" t="s">
        <v>602</v>
      </c>
      <c r="T558" t="s">
        <v>602</v>
      </c>
      <c r="U558" s="47">
        <v>-12</v>
      </c>
    </row>
    <row r="559" spans="2:21" x14ac:dyDescent="0.2">
      <c r="B559" s="46"/>
      <c r="F559" s="47"/>
      <c r="J559" s="46"/>
      <c r="K559" s="48"/>
      <c r="O559" t="s">
        <v>602</v>
      </c>
      <c r="P559" t="s">
        <v>602</v>
      </c>
      <c r="Q559" t="s">
        <v>602</v>
      </c>
      <c r="R559" t="s">
        <v>603</v>
      </c>
      <c r="S559" t="s">
        <v>602</v>
      </c>
      <c r="T559" t="s">
        <v>602</v>
      </c>
      <c r="U559" s="47">
        <v>-59</v>
      </c>
    </row>
    <row r="560" spans="2:21" x14ac:dyDescent="0.2">
      <c r="B560" s="46"/>
      <c r="F560" s="47"/>
      <c r="J560" s="46"/>
      <c r="K560" s="48"/>
      <c r="O560" t="s">
        <v>602</v>
      </c>
      <c r="P560" t="s">
        <v>602</v>
      </c>
      <c r="Q560" t="s">
        <v>602</v>
      </c>
      <c r="R560" t="s">
        <v>603</v>
      </c>
      <c r="S560" t="s">
        <v>602</v>
      </c>
      <c r="T560" t="s">
        <v>602</v>
      </c>
      <c r="U560" s="47">
        <v>-24</v>
      </c>
    </row>
    <row r="561" spans="2:21" x14ac:dyDescent="0.2">
      <c r="B561" s="46"/>
      <c r="F561" s="47"/>
      <c r="J561" s="46"/>
      <c r="K561" s="48"/>
      <c r="O561" t="s">
        <v>602</v>
      </c>
      <c r="P561" t="s">
        <v>602</v>
      </c>
      <c r="Q561" t="s">
        <v>602</v>
      </c>
      <c r="R561" t="s">
        <v>603</v>
      </c>
      <c r="S561" t="s">
        <v>602</v>
      </c>
      <c r="T561" t="s">
        <v>602</v>
      </c>
      <c r="U561" s="47">
        <v>-60</v>
      </c>
    </row>
    <row r="562" spans="2:21" x14ac:dyDescent="0.2">
      <c r="B562" s="46"/>
      <c r="F562" s="47"/>
      <c r="J562" s="46"/>
      <c r="K562" s="48"/>
      <c r="O562" t="s">
        <v>602</v>
      </c>
      <c r="P562" t="s">
        <v>602</v>
      </c>
      <c r="Q562" t="s">
        <v>602</v>
      </c>
      <c r="R562" t="s">
        <v>603</v>
      </c>
      <c r="S562" t="s">
        <v>602</v>
      </c>
      <c r="T562" t="s">
        <v>602</v>
      </c>
      <c r="U562" s="47">
        <v>-167</v>
      </c>
    </row>
    <row r="563" spans="2:21" x14ac:dyDescent="0.2">
      <c r="B563" s="46"/>
      <c r="F563" s="47"/>
      <c r="J563" s="46"/>
      <c r="K563" s="48"/>
      <c r="O563" t="s">
        <v>602</v>
      </c>
      <c r="P563" t="s">
        <v>602</v>
      </c>
      <c r="Q563" t="s">
        <v>602</v>
      </c>
      <c r="R563" t="s">
        <v>603</v>
      </c>
      <c r="S563" t="s">
        <v>602</v>
      </c>
      <c r="T563" t="s">
        <v>602</v>
      </c>
      <c r="U563" s="47">
        <v>-24</v>
      </c>
    </row>
    <row r="564" spans="2:21" x14ac:dyDescent="0.2">
      <c r="B564" s="46"/>
      <c r="F564" s="47"/>
      <c r="J564" s="46"/>
      <c r="K564" s="48"/>
      <c r="O564" t="s">
        <v>602</v>
      </c>
      <c r="P564" t="s">
        <v>602</v>
      </c>
      <c r="Q564" t="s">
        <v>602</v>
      </c>
      <c r="R564" t="s">
        <v>603</v>
      </c>
      <c r="S564" t="s">
        <v>602</v>
      </c>
      <c r="T564" t="s">
        <v>602</v>
      </c>
      <c r="U564" s="47">
        <v>-24</v>
      </c>
    </row>
    <row r="565" spans="2:21" x14ac:dyDescent="0.2">
      <c r="B565" s="46"/>
      <c r="F565" s="47"/>
      <c r="J565" s="46"/>
      <c r="K565" s="48"/>
      <c r="O565" t="s">
        <v>602</v>
      </c>
      <c r="P565" t="s">
        <v>602</v>
      </c>
      <c r="Q565" t="s">
        <v>602</v>
      </c>
      <c r="R565" t="s">
        <v>603</v>
      </c>
      <c r="S565" t="s">
        <v>602</v>
      </c>
      <c r="T565" t="s">
        <v>602</v>
      </c>
      <c r="U565" s="47">
        <v>-59</v>
      </c>
    </row>
    <row r="566" spans="2:21" x14ac:dyDescent="0.2">
      <c r="B566" s="46"/>
      <c r="F566" s="47"/>
      <c r="J566" s="46"/>
      <c r="K566" s="48"/>
      <c r="O566" t="s">
        <v>602</v>
      </c>
      <c r="P566" t="s">
        <v>602</v>
      </c>
      <c r="Q566" t="s">
        <v>602</v>
      </c>
      <c r="R566" t="s">
        <v>603</v>
      </c>
      <c r="S566" t="s">
        <v>602</v>
      </c>
      <c r="T566" t="s">
        <v>602</v>
      </c>
      <c r="U566" s="47">
        <v>-24</v>
      </c>
    </row>
    <row r="567" spans="2:21" x14ac:dyDescent="0.2">
      <c r="B567" s="46"/>
      <c r="F567" s="47"/>
      <c r="J567" s="46"/>
      <c r="K567" s="48"/>
      <c r="O567" t="s">
        <v>602</v>
      </c>
      <c r="P567" t="s">
        <v>602</v>
      </c>
      <c r="Q567" t="s">
        <v>602</v>
      </c>
      <c r="R567" t="s">
        <v>603</v>
      </c>
      <c r="S567" t="s">
        <v>602</v>
      </c>
      <c r="T567" t="s">
        <v>602</v>
      </c>
      <c r="U567" s="47">
        <v>-131</v>
      </c>
    </row>
    <row r="568" spans="2:21" x14ac:dyDescent="0.2">
      <c r="B568" s="46"/>
      <c r="F568" s="47"/>
      <c r="J568" s="46"/>
      <c r="K568" s="48"/>
      <c r="O568" t="s">
        <v>602</v>
      </c>
      <c r="P568" t="s">
        <v>602</v>
      </c>
      <c r="Q568" t="s">
        <v>602</v>
      </c>
      <c r="R568" t="s">
        <v>603</v>
      </c>
      <c r="S568" t="s">
        <v>602</v>
      </c>
      <c r="T568" t="s">
        <v>602</v>
      </c>
      <c r="U568" s="47">
        <v>-119</v>
      </c>
    </row>
    <row r="569" spans="2:21" x14ac:dyDescent="0.2">
      <c r="B569" s="46"/>
      <c r="F569" s="47"/>
      <c r="J569" s="46"/>
      <c r="K569" s="48"/>
      <c r="O569" t="s">
        <v>602</v>
      </c>
      <c r="P569" t="s">
        <v>602</v>
      </c>
      <c r="Q569" t="s">
        <v>602</v>
      </c>
      <c r="R569" t="s">
        <v>603</v>
      </c>
      <c r="S569" t="s">
        <v>602</v>
      </c>
      <c r="T569" t="s">
        <v>602</v>
      </c>
      <c r="U569" s="47">
        <v>-12</v>
      </c>
    </row>
    <row r="570" spans="2:21" x14ac:dyDescent="0.2">
      <c r="B570" s="46"/>
      <c r="F570" s="47"/>
      <c r="J570" s="46"/>
      <c r="K570" s="48"/>
      <c r="O570" t="s">
        <v>602</v>
      </c>
      <c r="P570" t="s">
        <v>602</v>
      </c>
      <c r="Q570" t="s">
        <v>602</v>
      </c>
      <c r="R570" t="s">
        <v>603</v>
      </c>
      <c r="S570" t="s">
        <v>602</v>
      </c>
      <c r="T570" t="s">
        <v>602</v>
      </c>
      <c r="U570" s="47">
        <v>-12</v>
      </c>
    </row>
    <row r="571" spans="2:21" x14ac:dyDescent="0.2">
      <c r="B571" s="46"/>
      <c r="F571" s="47"/>
      <c r="J571" s="46"/>
      <c r="K571" s="48"/>
      <c r="O571" t="s">
        <v>602</v>
      </c>
      <c r="P571" t="s">
        <v>602</v>
      </c>
      <c r="Q571" t="s">
        <v>602</v>
      </c>
      <c r="R571" t="s">
        <v>603</v>
      </c>
      <c r="S571" t="s">
        <v>602</v>
      </c>
      <c r="T571" t="s">
        <v>602</v>
      </c>
      <c r="U571" s="47">
        <v>-178</v>
      </c>
    </row>
    <row r="572" spans="2:21" x14ac:dyDescent="0.2">
      <c r="B572" s="46"/>
      <c r="F572" s="47"/>
      <c r="J572" s="46"/>
      <c r="K572" s="48"/>
      <c r="O572" t="s">
        <v>602</v>
      </c>
      <c r="P572" t="s">
        <v>602</v>
      </c>
      <c r="Q572" t="s">
        <v>602</v>
      </c>
      <c r="R572" t="s">
        <v>603</v>
      </c>
      <c r="S572" t="s">
        <v>602</v>
      </c>
      <c r="T572" t="s">
        <v>602</v>
      </c>
      <c r="U572" s="47">
        <v>-71</v>
      </c>
    </row>
    <row r="573" spans="2:21" x14ac:dyDescent="0.2">
      <c r="B573" s="46"/>
      <c r="F573" s="47"/>
      <c r="J573" s="46"/>
      <c r="K573" s="48"/>
      <c r="O573" t="s">
        <v>602</v>
      </c>
      <c r="P573" t="s">
        <v>602</v>
      </c>
      <c r="Q573" t="s">
        <v>602</v>
      </c>
      <c r="R573" t="s">
        <v>603</v>
      </c>
      <c r="S573" t="s">
        <v>602</v>
      </c>
      <c r="T573" t="s">
        <v>602</v>
      </c>
      <c r="U573" s="47">
        <v>-143</v>
      </c>
    </row>
    <row r="574" spans="2:21" x14ac:dyDescent="0.2">
      <c r="B574" s="46"/>
      <c r="F574" s="47"/>
      <c r="J574" s="46"/>
      <c r="K574" s="48"/>
      <c r="O574" t="s">
        <v>602</v>
      </c>
      <c r="P574" t="s">
        <v>602</v>
      </c>
      <c r="Q574" t="s">
        <v>602</v>
      </c>
      <c r="R574" t="s">
        <v>603</v>
      </c>
      <c r="S574" t="s">
        <v>602</v>
      </c>
      <c r="T574" t="s">
        <v>602</v>
      </c>
      <c r="U574" s="47">
        <v>-12</v>
      </c>
    </row>
    <row r="575" spans="2:21" x14ac:dyDescent="0.2">
      <c r="B575" s="46"/>
      <c r="F575" s="47"/>
      <c r="J575" s="46"/>
      <c r="K575" s="48"/>
      <c r="O575" t="s">
        <v>602</v>
      </c>
      <c r="P575" t="s">
        <v>602</v>
      </c>
      <c r="Q575" t="s">
        <v>602</v>
      </c>
      <c r="R575" t="s">
        <v>603</v>
      </c>
      <c r="S575" t="s">
        <v>602</v>
      </c>
      <c r="T575" t="s">
        <v>602</v>
      </c>
      <c r="U575" s="47">
        <v>-59</v>
      </c>
    </row>
    <row r="576" spans="2:21" x14ac:dyDescent="0.2">
      <c r="B576" s="46"/>
      <c r="F576" s="47"/>
      <c r="J576" s="46"/>
      <c r="K576" s="48"/>
      <c r="O576" t="s">
        <v>602</v>
      </c>
      <c r="P576" t="s">
        <v>602</v>
      </c>
      <c r="Q576" t="s">
        <v>602</v>
      </c>
      <c r="R576" t="s">
        <v>603</v>
      </c>
      <c r="S576" t="s">
        <v>602</v>
      </c>
      <c r="T576" t="s">
        <v>602</v>
      </c>
      <c r="U576" s="47">
        <v>-36</v>
      </c>
    </row>
    <row r="577" spans="2:21" x14ac:dyDescent="0.2">
      <c r="B577" s="46"/>
      <c r="F577" s="47"/>
      <c r="J577" s="46"/>
      <c r="K577" s="48"/>
      <c r="O577" t="s">
        <v>602</v>
      </c>
      <c r="P577" t="s">
        <v>602</v>
      </c>
      <c r="Q577" t="s">
        <v>602</v>
      </c>
      <c r="R577" t="s">
        <v>603</v>
      </c>
      <c r="S577" t="s">
        <v>602</v>
      </c>
      <c r="T577" t="s">
        <v>602</v>
      </c>
      <c r="U577" s="47">
        <v>-12</v>
      </c>
    </row>
    <row r="578" spans="2:21" x14ac:dyDescent="0.2">
      <c r="B578" s="46"/>
      <c r="F578" s="47"/>
      <c r="J578" s="46"/>
      <c r="K578" s="48"/>
      <c r="O578" t="s">
        <v>602</v>
      </c>
      <c r="P578" t="s">
        <v>602</v>
      </c>
      <c r="Q578" t="s">
        <v>602</v>
      </c>
      <c r="R578" t="s">
        <v>603</v>
      </c>
      <c r="S578" t="s">
        <v>602</v>
      </c>
      <c r="T578" t="s">
        <v>602</v>
      </c>
      <c r="U578" s="47">
        <v>-71</v>
      </c>
    </row>
    <row r="579" spans="2:21" x14ac:dyDescent="0.2">
      <c r="B579" s="46"/>
      <c r="F579" s="47"/>
      <c r="J579" s="46"/>
      <c r="K579" s="48"/>
      <c r="O579" t="s">
        <v>602</v>
      </c>
      <c r="P579" t="s">
        <v>602</v>
      </c>
      <c r="Q579" t="s">
        <v>602</v>
      </c>
      <c r="R579" t="s">
        <v>603</v>
      </c>
      <c r="S579" t="s">
        <v>602</v>
      </c>
      <c r="T579" t="s">
        <v>602</v>
      </c>
      <c r="U579" s="47">
        <v>-119</v>
      </c>
    </row>
    <row r="580" spans="2:21" x14ac:dyDescent="0.2">
      <c r="B580" s="46"/>
      <c r="F580" s="47"/>
      <c r="J580" s="46"/>
      <c r="K580" s="48"/>
      <c r="O580" t="s">
        <v>602</v>
      </c>
      <c r="P580" t="s">
        <v>602</v>
      </c>
      <c r="Q580" t="s">
        <v>602</v>
      </c>
      <c r="R580" t="s">
        <v>603</v>
      </c>
      <c r="S580" t="s">
        <v>602</v>
      </c>
      <c r="T580" t="s">
        <v>602</v>
      </c>
      <c r="U580" s="47">
        <v>-83</v>
      </c>
    </row>
    <row r="581" spans="2:21" x14ac:dyDescent="0.2">
      <c r="B581" s="46"/>
      <c r="F581" s="47"/>
      <c r="J581" s="46"/>
      <c r="K581" s="48"/>
      <c r="O581" t="s">
        <v>602</v>
      </c>
      <c r="P581" t="s">
        <v>602</v>
      </c>
      <c r="Q581" t="s">
        <v>602</v>
      </c>
      <c r="R581" t="s">
        <v>603</v>
      </c>
      <c r="S581" t="s">
        <v>602</v>
      </c>
      <c r="T581" t="s">
        <v>602</v>
      </c>
      <c r="U581" s="47">
        <v>-59</v>
      </c>
    </row>
    <row r="582" spans="2:21" x14ac:dyDescent="0.2">
      <c r="B582" s="46"/>
      <c r="F582" s="47"/>
      <c r="J582" s="46"/>
      <c r="K582" s="48"/>
      <c r="O582" t="s">
        <v>602</v>
      </c>
      <c r="P582" t="s">
        <v>602</v>
      </c>
      <c r="Q582" t="s">
        <v>602</v>
      </c>
      <c r="R582" t="s">
        <v>603</v>
      </c>
      <c r="S582" t="s">
        <v>602</v>
      </c>
      <c r="T582" t="s">
        <v>602</v>
      </c>
      <c r="U582" s="47">
        <v>-95</v>
      </c>
    </row>
    <row r="583" spans="2:21" x14ac:dyDescent="0.2">
      <c r="B583" s="46"/>
      <c r="F583" s="47"/>
      <c r="J583" s="46"/>
      <c r="K583" s="48"/>
      <c r="O583" t="s">
        <v>602</v>
      </c>
      <c r="P583" t="s">
        <v>602</v>
      </c>
      <c r="Q583" t="s">
        <v>602</v>
      </c>
      <c r="R583" t="s">
        <v>603</v>
      </c>
      <c r="S583" t="s">
        <v>602</v>
      </c>
      <c r="T583" t="s">
        <v>602</v>
      </c>
      <c r="U583" s="47">
        <v>-12</v>
      </c>
    </row>
    <row r="584" spans="2:21" x14ac:dyDescent="0.2">
      <c r="B584" s="46"/>
      <c r="F584" s="47"/>
      <c r="J584" s="46"/>
      <c r="K584" s="48"/>
      <c r="O584" t="s">
        <v>602</v>
      </c>
      <c r="P584" t="s">
        <v>602</v>
      </c>
      <c r="Q584" t="s">
        <v>602</v>
      </c>
      <c r="R584" t="s">
        <v>603</v>
      </c>
      <c r="S584" t="s">
        <v>602</v>
      </c>
      <c r="T584" t="s">
        <v>602</v>
      </c>
      <c r="U584" s="47">
        <v>-24</v>
      </c>
    </row>
    <row r="585" spans="2:21" x14ac:dyDescent="0.2">
      <c r="B585" s="46"/>
      <c r="F585" s="47"/>
      <c r="J585" s="46"/>
      <c r="K585" s="48"/>
      <c r="O585" t="s">
        <v>602</v>
      </c>
      <c r="P585" t="s">
        <v>602</v>
      </c>
      <c r="Q585" t="s">
        <v>602</v>
      </c>
      <c r="R585" t="s">
        <v>603</v>
      </c>
      <c r="S585" t="s">
        <v>602</v>
      </c>
      <c r="T585" t="s">
        <v>602</v>
      </c>
      <c r="U585" s="47">
        <v>-238</v>
      </c>
    </row>
    <row r="586" spans="2:21" x14ac:dyDescent="0.2">
      <c r="B586" s="46"/>
      <c r="F586" s="47"/>
      <c r="J586" s="46"/>
      <c r="K586" s="48"/>
      <c r="O586" t="s">
        <v>602</v>
      </c>
      <c r="P586" t="s">
        <v>602</v>
      </c>
      <c r="Q586" t="s">
        <v>602</v>
      </c>
      <c r="R586" t="s">
        <v>603</v>
      </c>
      <c r="S586" t="s">
        <v>602</v>
      </c>
      <c r="T586" t="s">
        <v>602</v>
      </c>
      <c r="U586" s="47">
        <v>-36</v>
      </c>
    </row>
    <row r="587" spans="2:21" x14ac:dyDescent="0.2">
      <c r="B587" s="46"/>
      <c r="F587" s="47"/>
      <c r="J587" s="46"/>
      <c r="K587" s="48"/>
      <c r="O587" t="s">
        <v>602</v>
      </c>
      <c r="P587" t="s">
        <v>602</v>
      </c>
      <c r="Q587" t="s">
        <v>602</v>
      </c>
      <c r="R587" t="s">
        <v>603</v>
      </c>
      <c r="S587" t="s">
        <v>602</v>
      </c>
      <c r="T587" t="s">
        <v>602</v>
      </c>
      <c r="U587" s="47">
        <v>-238</v>
      </c>
    </row>
    <row r="588" spans="2:21" x14ac:dyDescent="0.2">
      <c r="B588" s="46"/>
      <c r="F588" s="47"/>
      <c r="J588" s="46"/>
      <c r="K588" s="48"/>
      <c r="O588" t="s">
        <v>602</v>
      </c>
      <c r="P588" t="s">
        <v>602</v>
      </c>
      <c r="Q588" t="s">
        <v>602</v>
      </c>
      <c r="R588" t="s">
        <v>603</v>
      </c>
      <c r="S588" t="s">
        <v>602</v>
      </c>
      <c r="T588" t="s">
        <v>602</v>
      </c>
      <c r="U588" s="47">
        <v>-95</v>
      </c>
    </row>
    <row r="589" spans="2:21" x14ac:dyDescent="0.2">
      <c r="B589" s="46"/>
      <c r="F589" s="47"/>
      <c r="J589" s="46"/>
      <c r="K589" s="48"/>
      <c r="O589" t="s">
        <v>602</v>
      </c>
      <c r="P589" t="s">
        <v>602</v>
      </c>
      <c r="Q589" t="s">
        <v>602</v>
      </c>
      <c r="R589" t="s">
        <v>603</v>
      </c>
      <c r="S589" t="s">
        <v>602</v>
      </c>
      <c r="T589" t="s">
        <v>602</v>
      </c>
      <c r="U589" s="47">
        <v>-143</v>
      </c>
    </row>
    <row r="590" spans="2:21" x14ac:dyDescent="0.2">
      <c r="B590" s="46"/>
      <c r="F590" s="47"/>
      <c r="J590" s="46"/>
      <c r="K590" s="48"/>
      <c r="O590" t="s">
        <v>602</v>
      </c>
      <c r="P590" t="s">
        <v>602</v>
      </c>
      <c r="Q590" t="s">
        <v>602</v>
      </c>
      <c r="R590" t="s">
        <v>603</v>
      </c>
      <c r="S590" t="s">
        <v>602</v>
      </c>
      <c r="T590" t="s">
        <v>602</v>
      </c>
      <c r="U590" s="47">
        <v>-12</v>
      </c>
    </row>
    <row r="591" spans="2:21" x14ac:dyDescent="0.2">
      <c r="B591" s="46"/>
      <c r="F591" s="47"/>
      <c r="J591" s="46"/>
      <c r="K591" s="48"/>
      <c r="O591" t="s">
        <v>602</v>
      </c>
      <c r="P591" t="s">
        <v>602</v>
      </c>
      <c r="Q591" t="s">
        <v>602</v>
      </c>
      <c r="R591" t="s">
        <v>603</v>
      </c>
      <c r="S591" t="s">
        <v>602</v>
      </c>
      <c r="T591" t="s">
        <v>602</v>
      </c>
      <c r="U591" s="47">
        <v>-238</v>
      </c>
    </row>
    <row r="592" spans="2:21" x14ac:dyDescent="0.2">
      <c r="B592" s="46"/>
      <c r="F592" s="47"/>
      <c r="J592" s="46"/>
      <c r="K592" s="48"/>
      <c r="O592" t="s">
        <v>602</v>
      </c>
      <c r="P592" t="s">
        <v>602</v>
      </c>
      <c r="Q592" t="s">
        <v>602</v>
      </c>
      <c r="R592" t="s">
        <v>603</v>
      </c>
      <c r="S592" t="s">
        <v>602</v>
      </c>
      <c r="T592" t="s">
        <v>602</v>
      </c>
      <c r="U592" s="47">
        <v>-36</v>
      </c>
    </row>
    <row r="593" spans="2:21" x14ac:dyDescent="0.2">
      <c r="B593" s="46"/>
      <c r="F593" s="47"/>
      <c r="J593" s="46"/>
      <c r="K593" s="48"/>
      <c r="O593" t="s">
        <v>602</v>
      </c>
      <c r="P593" t="s">
        <v>602</v>
      </c>
      <c r="Q593" t="s">
        <v>602</v>
      </c>
      <c r="R593" t="s">
        <v>603</v>
      </c>
      <c r="S593" t="s">
        <v>602</v>
      </c>
      <c r="T593" t="s">
        <v>602</v>
      </c>
      <c r="U593" s="47">
        <v>-238</v>
      </c>
    </row>
    <row r="594" spans="2:21" x14ac:dyDescent="0.2">
      <c r="B594" s="46"/>
      <c r="F594" s="47"/>
      <c r="J594" s="46"/>
      <c r="K594" s="48"/>
      <c r="O594" t="s">
        <v>602</v>
      </c>
      <c r="P594" t="s">
        <v>602</v>
      </c>
      <c r="Q594" t="s">
        <v>602</v>
      </c>
      <c r="R594" t="s">
        <v>603</v>
      </c>
      <c r="S594" t="s">
        <v>602</v>
      </c>
      <c r="T594" t="s">
        <v>602</v>
      </c>
      <c r="U594" s="47">
        <v>-155</v>
      </c>
    </row>
    <row r="595" spans="2:21" x14ac:dyDescent="0.2">
      <c r="B595" s="46"/>
      <c r="F595" s="47"/>
      <c r="J595" s="46"/>
      <c r="K595" s="48"/>
      <c r="O595" t="s">
        <v>602</v>
      </c>
      <c r="P595" t="s">
        <v>602</v>
      </c>
      <c r="Q595" t="s">
        <v>602</v>
      </c>
      <c r="R595" t="s">
        <v>603</v>
      </c>
      <c r="S595" t="s">
        <v>602</v>
      </c>
      <c r="T595" t="s">
        <v>602</v>
      </c>
      <c r="U595" s="47">
        <v>-107</v>
      </c>
    </row>
    <row r="596" spans="2:21" x14ac:dyDescent="0.2">
      <c r="B596" s="46"/>
      <c r="F596" s="47"/>
      <c r="J596" s="46"/>
      <c r="K596" s="48"/>
      <c r="O596" t="s">
        <v>602</v>
      </c>
      <c r="P596" t="s">
        <v>602</v>
      </c>
      <c r="Q596" t="s">
        <v>602</v>
      </c>
      <c r="R596" t="s">
        <v>603</v>
      </c>
      <c r="S596" t="s">
        <v>602</v>
      </c>
      <c r="T596" t="s">
        <v>602</v>
      </c>
      <c r="U596" s="47">
        <v>-238</v>
      </c>
    </row>
    <row r="597" spans="2:21" x14ac:dyDescent="0.2">
      <c r="B597" s="46"/>
      <c r="F597" s="47"/>
      <c r="J597" s="46"/>
      <c r="K597" s="48"/>
      <c r="O597" t="s">
        <v>602</v>
      </c>
      <c r="P597" t="s">
        <v>602</v>
      </c>
      <c r="Q597" t="s">
        <v>602</v>
      </c>
      <c r="R597" t="s">
        <v>603</v>
      </c>
      <c r="S597" t="s">
        <v>602</v>
      </c>
      <c r="T597" t="s">
        <v>602</v>
      </c>
      <c r="U597" s="47">
        <v>-24</v>
      </c>
    </row>
    <row r="598" spans="2:21" x14ac:dyDescent="0.2">
      <c r="B598" s="46"/>
      <c r="F598" s="47"/>
      <c r="J598" s="46"/>
      <c r="K598" s="48"/>
      <c r="O598" t="s">
        <v>602</v>
      </c>
      <c r="P598" t="s">
        <v>602</v>
      </c>
      <c r="Q598" t="s">
        <v>602</v>
      </c>
      <c r="R598" t="s">
        <v>603</v>
      </c>
      <c r="S598" t="s">
        <v>602</v>
      </c>
      <c r="T598" t="s">
        <v>602</v>
      </c>
      <c r="U598" s="47">
        <v>-86</v>
      </c>
    </row>
    <row r="599" spans="2:21" x14ac:dyDescent="0.2">
      <c r="B599" s="46"/>
      <c r="F599" s="47"/>
      <c r="J599" s="46"/>
      <c r="K599" s="48"/>
      <c r="O599" t="s">
        <v>602</v>
      </c>
      <c r="P599" t="s">
        <v>602</v>
      </c>
      <c r="Q599" t="s">
        <v>602</v>
      </c>
      <c r="R599" t="s">
        <v>603</v>
      </c>
      <c r="S599" t="s">
        <v>602</v>
      </c>
      <c r="T599" t="s">
        <v>602</v>
      </c>
      <c r="U599" s="47">
        <v>-76</v>
      </c>
    </row>
    <row r="600" spans="2:21" x14ac:dyDescent="0.2">
      <c r="B600" s="46"/>
      <c r="F600" s="47"/>
      <c r="J600" s="46"/>
      <c r="K600" s="48"/>
      <c r="O600" t="s">
        <v>602</v>
      </c>
      <c r="P600" t="s">
        <v>602</v>
      </c>
      <c r="Q600" t="s">
        <v>602</v>
      </c>
      <c r="R600" t="s">
        <v>603</v>
      </c>
      <c r="S600" t="s">
        <v>602</v>
      </c>
      <c r="T600" t="s">
        <v>602</v>
      </c>
      <c r="U600" s="47">
        <v>-65</v>
      </c>
    </row>
    <row r="601" spans="2:21" x14ac:dyDescent="0.2">
      <c r="B601" s="46"/>
      <c r="F601" s="47"/>
      <c r="J601" s="46"/>
      <c r="K601" s="48"/>
      <c r="O601" t="s">
        <v>602</v>
      </c>
      <c r="P601" t="s">
        <v>602</v>
      </c>
      <c r="Q601" t="s">
        <v>602</v>
      </c>
      <c r="R601" t="s">
        <v>603</v>
      </c>
      <c r="S601" t="s">
        <v>602</v>
      </c>
      <c r="T601" t="s">
        <v>602</v>
      </c>
      <c r="U601" s="47">
        <v>-11</v>
      </c>
    </row>
    <row r="602" spans="2:21" x14ac:dyDescent="0.2">
      <c r="B602" s="46"/>
      <c r="F602" s="47"/>
      <c r="J602" s="46"/>
      <c r="K602" s="48"/>
      <c r="O602" t="s">
        <v>602</v>
      </c>
      <c r="P602" t="s">
        <v>602</v>
      </c>
      <c r="Q602" t="s">
        <v>602</v>
      </c>
      <c r="R602" t="s">
        <v>603</v>
      </c>
      <c r="S602" t="s">
        <v>602</v>
      </c>
      <c r="T602" t="s">
        <v>602</v>
      </c>
      <c r="U602" s="47">
        <v>-76</v>
      </c>
    </row>
    <row r="603" spans="2:21" x14ac:dyDescent="0.2">
      <c r="B603" s="46"/>
      <c r="F603" s="47"/>
      <c r="J603" s="46"/>
      <c r="K603" s="48"/>
      <c r="O603" t="s">
        <v>602</v>
      </c>
      <c r="P603" t="s">
        <v>602</v>
      </c>
      <c r="Q603" t="s">
        <v>602</v>
      </c>
      <c r="R603" t="s">
        <v>603</v>
      </c>
      <c r="S603" t="s">
        <v>602</v>
      </c>
      <c r="T603" t="s">
        <v>602</v>
      </c>
      <c r="U603" s="47">
        <v>-54</v>
      </c>
    </row>
    <row r="604" spans="2:21" x14ac:dyDescent="0.2">
      <c r="B604" s="46"/>
      <c r="F604" s="47"/>
      <c r="J604" s="46"/>
      <c r="K604" s="48"/>
      <c r="O604" t="s">
        <v>602</v>
      </c>
      <c r="P604" t="s">
        <v>602</v>
      </c>
      <c r="Q604" t="s">
        <v>602</v>
      </c>
      <c r="R604" t="s">
        <v>603</v>
      </c>
      <c r="S604" t="s">
        <v>602</v>
      </c>
      <c r="T604" t="s">
        <v>602</v>
      </c>
      <c r="U604" s="47">
        <v>-11</v>
      </c>
    </row>
    <row r="605" spans="2:21" x14ac:dyDescent="0.2">
      <c r="B605" s="46"/>
      <c r="F605" s="47"/>
      <c r="J605" s="46"/>
      <c r="K605" s="48"/>
      <c r="O605" t="s">
        <v>602</v>
      </c>
      <c r="P605" t="s">
        <v>602</v>
      </c>
      <c r="Q605" t="s">
        <v>602</v>
      </c>
      <c r="R605" t="s">
        <v>603</v>
      </c>
      <c r="S605" t="s">
        <v>602</v>
      </c>
      <c r="T605" t="s">
        <v>602</v>
      </c>
      <c r="U605" s="47">
        <v>-216</v>
      </c>
    </row>
    <row r="606" spans="2:21" x14ac:dyDescent="0.2">
      <c r="B606" s="46"/>
      <c r="F606" s="47"/>
      <c r="J606" s="46"/>
      <c r="K606" s="48"/>
      <c r="O606" t="s">
        <v>602</v>
      </c>
      <c r="P606" t="s">
        <v>602</v>
      </c>
      <c r="Q606" t="s">
        <v>602</v>
      </c>
      <c r="R606" t="s">
        <v>603</v>
      </c>
      <c r="S606" t="s">
        <v>602</v>
      </c>
      <c r="T606" t="s">
        <v>602</v>
      </c>
      <c r="U606" s="47">
        <v>-22</v>
      </c>
    </row>
    <row r="607" spans="2:21" x14ac:dyDescent="0.2">
      <c r="B607" s="46"/>
      <c r="F607" s="47"/>
      <c r="J607" s="46"/>
      <c r="K607" s="48"/>
      <c r="O607" t="s">
        <v>602</v>
      </c>
      <c r="P607" t="s">
        <v>602</v>
      </c>
      <c r="Q607" t="s">
        <v>602</v>
      </c>
      <c r="R607" t="s">
        <v>603</v>
      </c>
      <c r="S607" t="s">
        <v>602</v>
      </c>
      <c r="T607" t="s">
        <v>602</v>
      </c>
      <c r="U607" s="47">
        <v>-108</v>
      </c>
    </row>
    <row r="608" spans="2:21" x14ac:dyDescent="0.2">
      <c r="B608" s="46"/>
      <c r="F608" s="47"/>
      <c r="J608" s="46"/>
      <c r="K608" s="48"/>
      <c r="O608" t="s">
        <v>602</v>
      </c>
      <c r="P608" t="s">
        <v>602</v>
      </c>
      <c r="Q608" t="s">
        <v>602</v>
      </c>
      <c r="R608" t="s">
        <v>603</v>
      </c>
      <c r="S608" t="s">
        <v>602</v>
      </c>
      <c r="T608" t="s">
        <v>602</v>
      </c>
      <c r="U608" s="47">
        <v>-54</v>
      </c>
    </row>
    <row r="609" spans="2:21" x14ac:dyDescent="0.2">
      <c r="B609" s="46"/>
      <c r="F609" s="47"/>
      <c r="J609" s="46"/>
      <c r="K609" s="48"/>
      <c r="O609" t="s">
        <v>602</v>
      </c>
      <c r="P609" t="s">
        <v>602</v>
      </c>
      <c r="Q609" t="s">
        <v>602</v>
      </c>
      <c r="R609" t="s">
        <v>603</v>
      </c>
      <c r="S609" t="s">
        <v>602</v>
      </c>
      <c r="T609" t="s">
        <v>602</v>
      </c>
      <c r="U609" s="47">
        <v>-97</v>
      </c>
    </row>
    <row r="610" spans="2:21" x14ac:dyDescent="0.2">
      <c r="B610" s="46"/>
      <c r="F610" s="47"/>
      <c r="J610" s="46"/>
      <c r="K610" s="48"/>
      <c r="O610" t="s">
        <v>602</v>
      </c>
      <c r="P610" t="s">
        <v>602</v>
      </c>
      <c r="Q610" t="s">
        <v>602</v>
      </c>
      <c r="R610" t="s">
        <v>603</v>
      </c>
      <c r="S610" t="s">
        <v>602</v>
      </c>
      <c r="T610" t="s">
        <v>602</v>
      </c>
      <c r="U610" s="47">
        <v>-43</v>
      </c>
    </row>
    <row r="611" spans="2:21" x14ac:dyDescent="0.2">
      <c r="B611" s="46"/>
      <c r="F611" s="47"/>
      <c r="J611" s="46"/>
      <c r="K611" s="48"/>
      <c r="O611" t="s">
        <v>602</v>
      </c>
      <c r="P611" t="s">
        <v>602</v>
      </c>
      <c r="Q611" t="s">
        <v>602</v>
      </c>
      <c r="R611" t="s">
        <v>603</v>
      </c>
      <c r="S611" t="s">
        <v>602</v>
      </c>
      <c r="T611" t="s">
        <v>602</v>
      </c>
      <c r="U611" s="47">
        <v>-31</v>
      </c>
    </row>
    <row r="612" spans="2:21" x14ac:dyDescent="0.2">
      <c r="B612" s="46"/>
      <c r="F612" s="47"/>
      <c r="J612" s="46"/>
      <c r="K612" s="48"/>
      <c r="O612" t="s">
        <v>602</v>
      </c>
      <c r="P612" t="s">
        <v>602</v>
      </c>
      <c r="Q612" t="s">
        <v>602</v>
      </c>
      <c r="R612" t="s">
        <v>603</v>
      </c>
      <c r="S612" t="s">
        <v>602</v>
      </c>
      <c r="T612" t="s">
        <v>602</v>
      </c>
      <c r="U612" s="47">
        <v>-21</v>
      </c>
    </row>
    <row r="613" spans="2:21" x14ac:dyDescent="0.2">
      <c r="B613" s="46"/>
      <c r="F613" s="47"/>
      <c r="J613" s="46"/>
      <c r="K613" s="48"/>
      <c r="O613" t="s">
        <v>602</v>
      </c>
      <c r="P613" t="s">
        <v>602</v>
      </c>
      <c r="Q613" t="s">
        <v>602</v>
      </c>
      <c r="R613" t="s">
        <v>603</v>
      </c>
      <c r="S613" t="s">
        <v>602</v>
      </c>
      <c r="T613" t="s">
        <v>602</v>
      </c>
      <c r="U613" s="47">
        <v>-21</v>
      </c>
    </row>
    <row r="614" spans="2:21" x14ac:dyDescent="0.2">
      <c r="B614" s="46"/>
      <c r="F614" s="47"/>
      <c r="J614" s="46"/>
      <c r="K614" s="48"/>
      <c r="O614" t="s">
        <v>602</v>
      </c>
      <c r="P614" t="s">
        <v>602</v>
      </c>
      <c r="Q614" t="s">
        <v>602</v>
      </c>
      <c r="R614" t="s">
        <v>603</v>
      </c>
      <c r="S614" t="s">
        <v>602</v>
      </c>
      <c r="T614" t="s">
        <v>602</v>
      </c>
      <c r="U614" s="47">
        <v>-31</v>
      </c>
    </row>
    <row r="615" spans="2:21" x14ac:dyDescent="0.2">
      <c r="B615" s="46"/>
      <c r="F615" s="47"/>
      <c r="J615" s="46"/>
      <c r="K615" s="48"/>
      <c r="O615" t="s">
        <v>602</v>
      </c>
      <c r="P615" t="s">
        <v>602</v>
      </c>
      <c r="Q615" t="s">
        <v>602</v>
      </c>
      <c r="R615" t="s">
        <v>603</v>
      </c>
      <c r="S615" t="s">
        <v>602</v>
      </c>
      <c r="T615" t="s">
        <v>602</v>
      </c>
      <c r="U615" s="47">
        <v>-72</v>
      </c>
    </row>
    <row r="616" spans="2:21" x14ac:dyDescent="0.2">
      <c r="B616" s="46"/>
      <c r="F616" s="47"/>
      <c r="J616" s="46"/>
      <c r="K616" s="48"/>
      <c r="O616" t="s">
        <v>602</v>
      </c>
      <c r="P616" t="s">
        <v>602</v>
      </c>
      <c r="Q616" t="s">
        <v>602</v>
      </c>
      <c r="R616" t="s">
        <v>603</v>
      </c>
      <c r="S616" t="s">
        <v>602</v>
      </c>
      <c r="T616" t="s">
        <v>602</v>
      </c>
      <c r="U616" s="47">
        <v>-41</v>
      </c>
    </row>
    <row r="617" spans="2:21" x14ac:dyDescent="0.2">
      <c r="B617" s="46"/>
      <c r="F617" s="47"/>
      <c r="J617" s="46"/>
      <c r="K617" s="48"/>
      <c r="O617" t="s">
        <v>602</v>
      </c>
      <c r="P617" t="s">
        <v>602</v>
      </c>
      <c r="Q617" t="s">
        <v>602</v>
      </c>
      <c r="R617" t="s">
        <v>603</v>
      </c>
      <c r="S617" t="s">
        <v>602</v>
      </c>
      <c r="T617" t="s">
        <v>602</v>
      </c>
      <c r="U617" s="47">
        <v>-62</v>
      </c>
    </row>
    <row r="618" spans="2:21" x14ac:dyDescent="0.2">
      <c r="B618" s="46"/>
      <c r="F618" s="47"/>
      <c r="J618" s="46"/>
      <c r="K618" s="48"/>
      <c r="O618" t="s">
        <v>602</v>
      </c>
      <c r="P618" t="s">
        <v>602</v>
      </c>
      <c r="Q618" t="s">
        <v>602</v>
      </c>
      <c r="R618" t="s">
        <v>603</v>
      </c>
      <c r="S618" t="s">
        <v>602</v>
      </c>
      <c r="T618" t="s">
        <v>602</v>
      </c>
      <c r="U618" s="47">
        <v>-103</v>
      </c>
    </row>
    <row r="619" spans="2:21" x14ac:dyDescent="0.2">
      <c r="B619" s="46"/>
      <c r="F619" s="47"/>
      <c r="J619" s="46"/>
      <c r="K619" s="48"/>
      <c r="O619" t="s">
        <v>602</v>
      </c>
      <c r="P619" t="s">
        <v>602</v>
      </c>
      <c r="Q619" t="s">
        <v>602</v>
      </c>
      <c r="R619" t="s">
        <v>603</v>
      </c>
      <c r="S619" t="s">
        <v>602</v>
      </c>
      <c r="T619" t="s">
        <v>602</v>
      </c>
      <c r="U619" s="47">
        <v>-206</v>
      </c>
    </row>
    <row r="620" spans="2:21" x14ac:dyDescent="0.2">
      <c r="B620" s="46"/>
      <c r="F620" s="47"/>
      <c r="J620" s="46"/>
      <c r="K620" s="48"/>
      <c r="O620" t="s">
        <v>602</v>
      </c>
      <c r="P620" t="s">
        <v>602</v>
      </c>
      <c r="Q620" t="s">
        <v>602</v>
      </c>
      <c r="R620" t="s">
        <v>603</v>
      </c>
      <c r="S620" t="s">
        <v>602</v>
      </c>
      <c r="T620" t="s">
        <v>602</v>
      </c>
      <c r="U620" s="47">
        <v>-103</v>
      </c>
    </row>
    <row r="621" spans="2:21" x14ac:dyDescent="0.2">
      <c r="B621" s="46"/>
      <c r="F621" s="47"/>
      <c r="J621" s="46"/>
      <c r="K621" s="48"/>
      <c r="O621" t="s">
        <v>602</v>
      </c>
      <c r="P621" t="s">
        <v>602</v>
      </c>
      <c r="Q621" t="s">
        <v>602</v>
      </c>
      <c r="R621" t="s">
        <v>603</v>
      </c>
      <c r="S621" t="s">
        <v>602</v>
      </c>
      <c r="T621" t="s">
        <v>602</v>
      </c>
      <c r="U621" s="47">
        <v>-206</v>
      </c>
    </row>
    <row r="622" spans="2:21" x14ac:dyDescent="0.2">
      <c r="B622" s="46"/>
      <c r="F622" s="47"/>
      <c r="J622" s="46"/>
      <c r="K622" s="48"/>
      <c r="O622" t="s">
        <v>602</v>
      </c>
      <c r="P622" t="s">
        <v>602</v>
      </c>
      <c r="Q622" t="s">
        <v>602</v>
      </c>
      <c r="R622" t="s">
        <v>603</v>
      </c>
      <c r="S622" t="s">
        <v>602</v>
      </c>
      <c r="T622" t="s">
        <v>602</v>
      </c>
      <c r="U622" s="47">
        <v>-31</v>
      </c>
    </row>
    <row r="623" spans="2:21" x14ac:dyDescent="0.2">
      <c r="B623" s="46"/>
      <c r="F623" s="47"/>
      <c r="J623" s="46"/>
      <c r="K623" s="48"/>
      <c r="O623" t="s">
        <v>602</v>
      </c>
      <c r="P623" t="s">
        <v>602</v>
      </c>
      <c r="Q623" t="s">
        <v>602</v>
      </c>
      <c r="R623" t="s">
        <v>603</v>
      </c>
      <c r="S623" t="s">
        <v>602</v>
      </c>
      <c r="T623" t="s">
        <v>602</v>
      </c>
      <c r="U623" s="47">
        <v>-206</v>
      </c>
    </row>
    <row r="624" spans="2:21" x14ac:dyDescent="0.2">
      <c r="B624" s="46"/>
      <c r="F624" s="47"/>
      <c r="J624" s="46"/>
      <c r="K624" s="48"/>
      <c r="O624" t="s">
        <v>602</v>
      </c>
      <c r="P624" t="s">
        <v>602</v>
      </c>
      <c r="Q624" t="s">
        <v>602</v>
      </c>
      <c r="R624" t="s">
        <v>603</v>
      </c>
      <c r="S624" t="s">
        <v>602</v>
      </c>
      <c r="T624" t="s">
        <v>602</v>
      </c>
      <c r="U624" s="47">
        <v>-10</v>
      </c>
    </row>
    <row r="625" spans="2:21" x14ac:dyDescent="0.2">
      <c r="B625" s="46"/>
      <c r="F625" s="47"/>
      <c r="J625" s="46"/>
      <c r="K625" s="48"/>
      <c r="O625" t="s">
        <v>602</v>
      </c>
      <c r="P625" t="s">
        <v>602</v>
      </c>
      <c r="Q625" t="s">
        <v>602</v>
      </c>
      <c r="R625" t="s">
        <v>603</v>
      </c>
      <c r="S625" t="s">
        <v>602</v>
      </c>
      <c r="T625" t="s">
        <v>602</v>
      </c>
      <c r="U625" s="47">
        <v>-10</v>
      </c>
    </row>
    <row r="626" spans="2:21" x14ac:dyDescent="0.2">
      <c r="B626" s="46"/>
      <c r="F626" s="47"/>
      <c r="J626" s="46"/>
      <c r="K626" s="48"/>
      <c r="O626" t="s">
        <v>602</v>
      </c>
      <c r="P626" t="s">
        <v>602</v>
      </c>
      <c r="Q626" t="s">
        <v>602</v>
      </c>
      <c r="R626" t="s">
        <v>603</v>
      </c>
      <c r="S626" t="s">
        <v>602</v>
      </c>
      <c r="T626" t="s">
        <v>602</v>
      </c>
      <c r="U626" s="47">
        <v>-72</v>
      </c>
    </row>
    <row r="627" spans="2:21" x14ac:dyDescent="0.2">
      <c r="B627" s="46"/>
      <c r="F627" s="47"/>
      <c r="J627" s="46"/>
      <c r="K627" s="48"/>
      <c r="O627" t="s">
        <v>602</v>
      </c>
      <c r="P627" t="s">
        <v>602</v>
      </c>
      <c r="Q627" t="s">
        <v>602</v>
      </c>
      <c r="R627" t="s">
        <v>603</v>
      </c>
      <c r="S627" t="s">
        <v>602</v>
      </c>
      <c r="T627" t="s">
        <v>602</v>
      </c>
      <c r="U627" s="47">
        <v>-62</v>
      </c>
    </row>
    <row r="628" spans="2:21" x14ac:dyDescent="0.2">
      <c r="B628" s="46"/>
      <c r="F628" s="47"/>
      <c r="J628" s="46"/>
      <c r="K628" s="48"/>
      <c r="O628" t="s">
        <v>602</v>
      </c>
      <c r="P628" t="s">
        <v>602</v>
      </c>
      <c r="Q628" t="s">
        <v>602</v>
      </c>
      <c r="R628" t="s">
        <v>603</v>
      </c>
      <c r="S628" t="s">
        <v>602</v>
      </c>
      <c r="T628" t="s">
        <v>602</v>
      </c>
      <c r="U628" s="47">
        <v>-21</v>
      </c>
    </row>
    <row r="629" spans="2:21" x14ac:dyDescent="0.2">
      <c r="B629" s="46"/>
      <c r="F629" s="47"/>
      <c r="J629" s="46"/>
      <c r="K629" s="48"/>
      <c r="O629" t="s">
        <v>602</v>
      </c>
      <c r="P629" t="s">
        <v>602</v>
      </c>
      <c r="Q629" t="s">
        <v>602</v>
      </c>
      <c r="R629" t="s">
        <v>603</v>
      </c>
      <c r="S629" t="s">
        <v>602</v>
      </c>
      <c r="T629" t="s">
        <v>602</v>
      </c>
      <c r="U629" s="47">
        <v>-41</v>
      </c>
    </row>
    <row r="630" spans="2:21" x14ac:dyDescent="0.2">
      <c r="B630" s="46"/>
      <c r="F630" s="47"/>
      <c r="J630" s="46"/>
      <c r="K630" s="48"/>
      <c r="O630" t="s">
        <v>602</v>
      </c>
      <c r="P630" t="s">
        <v>602</v>
      </c>
      <c r="Q630" t="s">
        <v>602</v>
      </c>
      <c r="R630" t="s">
        <v>603</v>
      </c>
      <c r="S630" t="s">
        <v>602</v>
      </c>
      <c r="T630" t="s">
        <v>602</v>
      </c>
      <c r="U630" s="47">
        <v>-93</v>
      </c>
    </row>
    <row r="631" spans="2:21" x14ac:dyDescent="0.2">
      <c r="B631" s="46"/>
      <c r="F631" s="47"/>
      <c r="J631" s="46"/>
      <c r="K631" s="48"/>
      <c r="O631" t="s">
        <v>602</v>
      </c>
      <c r="P631" t="s">
        <v>602</v>
      </c>
      <c r="Q631" t="s">
        <v>602</v>
      </c>
      <c r="R631" t="s">
        <v>603</v>
      </c>
      <c r="S631" t="s">
        <v>602</v>
      </c>
      <c r="T631" t="s">
        <v>602</v>
      </c>
      <c r="U631" s="47">
        <v>-10</v>
      </c>
    </row>
    <row r="632" spans="2:21" x14ac:dyDescent="0.2">
      <c r="B632" s="46"/>
      <c r="F632" s="47"/>
      <c r="J632" s="46"/>
      <c r="K632" s="48"/>
      <c r="O632" t="s">
        <v>602</v>
      </c>
      <c r="P632" t="s">
        <v>602</v>
      </c>
      <c r="Q632" t="s">
        <v>602</v>
      </c>
      <c r="R632" t="s">
        <v>603</v>
      </c>
      <c r="S632" t="s">
        <v>602</v>
      </c>
      <c r="T632" t="s">
        <v>602</v>
      </c>
      <c r="U632" s="47">
        <v>-21</v>
      </c>
    </row>
    <row r="633" spans="2:21" x14ac:dyDescent="0.2">
      <c r="B633" s="46"/>
      <c r="F633" s="47"/>
      <c r="J633" s="46"/>
      <c r="K633" s="48"/>
      <c r="O633" t="s">
        <v>602</v>
      </c>
      <c r="P633" t="s">
        <v>602</v>
      </c>
      <c r="Q633" t="s">
        <v>602</v>
      </c>
      <c r="R633" t="s">
        <v>603</v>
      </c>
      <c r="S633" t="s">
        <v>602</v>
      </c>
      <c r="T633" t="s">
        <v>602</v>
      </c>
      <c r="U633" s="47">
        <v>-164</v>
      </c>
    </row>
    <row r="634" spans="2:21" x14ac:dyDescent="0.2">
      <c r="B634" s="46"/>
      <c r="F634" s="47"/>
      <c r="J634" s="46"/>
      <c r="K634" s="48"/>
      <c r="O634" t="s">
        <v>602</v>
      </c>
      <c r="P634" t="s">
        <v>602</v>
      </c>
      <c r="Q634" t="s">
        <v>602</v>
      </c>
      <c r="R634" t="s">
        <v>603</v>
      </c>
      <c r="S634" t="s">
        <v>602</v>
      </c>
      <c r="T634" t="s">
        <v>602</v>
      </c>
      <c r="U634" s="47">
        <v>-82</v>
      </c>
    </row>
    <row r="635" spans="2:21" x14ac:dyDescent="0.2">
      <c r="B635" s="46"/>
      <c r="F635" s="47"/>
      <c r="J635" s="46"/>
      <c r="K635" s="48"/>
      <c r="O635" t="s">
        <v>602</v>
      </c>
      <c r="P635" t="s">
        <v>602</v>
      </c>
      <c r="Q635" t="s">
        <v>602</v>
      </c>
      <c r="R635" t="s">
        <v>603</v>
      </c>
      <c r="S635" t="s">
        <v>602</v>
      </c>
      <c r="T635" t="s">
        <v>602</v>
      </c>
      <c r="U635" s="47">
        <v>-49</v>
      </c>
    </row>
    <row r="636" spans="2:21" x14ac:dyDescent="0.2">
      <c r="B636" s="46"/>
      <c r="F636" s="47"/>
      <c r="J636" s="46"/>
      <c r="K636" s="48"/>
      <c r="O636" t="s">
        <v>602</v>
      </c>
      <c r="P636" t="s">
        <v>602</v>
      </c>
      <c r="Q636" t="s">
        <v>602</v>
      </c>
      <c r="R636" t="s">
        <v>603</v>
      </c>
      <c r="S636" t="s">
        <v>602</v>
      </c>
      <c r="T636" t="s">
        <v>602</v>
      </c>
      <c r="U636" s="47">
        <v>-33</v>
      </c>
    </row>
    <row r="637" spans="2:21" x14ac:dyDescent="0.2">
      <c r="B637" s="46"/>
      <c r="F637" s="47"/>
      <c r="J637" s="46"/>
      <c r="K637" s="48"/>
      <c r="O637" t="s">
        <v>602</v>
      </c>
      <c r="P637" t="s">
        <v>602</v>
      </c>
      <c r="Q637" t="s">
        <v>602</v>
      </c>
      <c r="R637" t="s">
        <v>603</v>
      </c>
      <c r="S637" t="s">
        <v>602</v>
      </c>
      <c r="T637" t="s">
        <v>602</v>
      </c>
      <c r="U637" s="47">
        <v>-66</v>
      </c>
    </row>
    <row r="638" spans="2:21" x14ac:dyDescent="0.2">
      <c r="B638" s="46"/>
      <c r="F638" s="47"/>
      <c r="J638" s="46"/>
      <c r="K638" s="48"/>
      <c r="O638" t="s">
        <v>602</v>
      </c>
      <c r="P638" t="s">
        <v>602</v>
      </c>
      <c r="Q638" t="s">
        <v>602</v>
      </c>
      <c r="R638" t="s">
        <v>603</v>
      </c>
      <c r="S638" t="s">
        <v>602</v>
      </c>
      <c r="T638" t="s">
        <v>602</v>
      </c>
      <c r="U638" s="47">
        <v>-164</v>
      </c>
    </row>
    <row r="639" spans="2:21" x14ac:dyDescent="0.2">
      <c r="B639" s="46"/>
      <c r="F639" s="47"/>
      <c r="J639" s="46"/>
      <c r="K639" s="48"/>
      <c r="O639" t="s">
        <v>602</v>
      </c>
      <c r="P639" t="s">
        <v>602</v>
      </c>
      <c r="Q639" t="s">
        <v>602</v>
      </c>
      <c r="R639" t="s">
        <v>603</v>
      </c>
      <c r="S639" t="s">
        <v>602</v>
      </c>
      <c r="T639" t="s">
        <v>602</v>
      </c>
      <c r="U639" s="47">
        <v>-16</v>
      </c>
    </row>
    <row r="640" spans="2:21" x14ac:dyDescent="0.2">
      <c r="B640" s="46"/>
      <c r="F640" s="47"/>
      <c r="J640" s="46"/>
      <c r="K640" s="48"/>
      <c r="O640" t="s">
        <v>602</v>
      </c>
      <c r="P640" t="s">
        <v>602</v>
      </c>
      <c r="Q640" t="s">
        <v>602</v>
      </c>
      <c r="R640" t="s">
        <v>603</v>
      </c>
      <c r="S640" t="s">
        <v>602</v>
      </c>
      <c r="T640" t="s">
        <v>602</v>
      </c>
      <c r="U640" s="47">
        <v>-98</v>
      </c>
    </row>
    <row r="641" spans="2:21" x14ac:dyDescent="0.2">
      <c r="B641" s="46"/>
      <c r="F641" s="47"/>
      <c r="J641" s="46"/>
      <c r="K641" s="48"/>
      <c r="O641" t="s">
        <v>602</v>
      </c>
      <c r="P641" t="s">
        <v>602</v>
      </c>
      <c r="Q641" t="s">
        <v>602</v>
      </c>
      <c r="R641" t="s">
        <v>603</v>
      </c>
      <c r="S641" t="s">
        <v>602</v>
      </c>
      <c r="T641" t="s">
        <v>602</v>
      </c>
      <c r="U641" s="47">
        <v>-164</v>
      </c>
    </row>
    <row r="642" spans="2:21" x14ac:dyDescent="0.2">
      <c r="B642" s="46"/>
      <c r="F642" s="47"/>
      <c r="J642" s="46"/>
      <c r="K642" s="48"/>
      <c r="O642" t="s">
        <v>602</v>
      </c>
      <c r="P642" t="s">
        <v>602</v>
      </c>
      <c r="Q642" t="s">
        <v>602</v>
      </c>
      <c r="R642" t="s">
        <v>603</v>
      </c>
      <c r="S642" t="s">
        <v>602</v>
      </c>
      <c r="T642" t="s">
        <v>602</v>
      </c>
      <c r="U642" s="47">
        <v>-82</v>
      </c>
    </row>
    <row r="643" spans="2:21" x14ac:dyDescent="0.2">
      <c r="B643" s="46"/>
      <c r="F643" s="47"/>
      <c r="J643" s="46"/>
      <c r="K643" s="48"/>
      <c r="O643" t="s">
        <v>602</v>
      </c>
      <c r="P643" t="s">
        <v>602</v>
      </c>
      <c r="Q643" t="s">
        <v>602</v>
      </c>
      <c r="R643" t="s">
        <v>603</v>
      </c>
      <c r="S643" t="s">
        <v>602</v>
      </c>
      <c r="T643" t="s">
        <v>602</v>
      </c>
      <c r="U643" s="47">
        <v>-98</v>
      </c>
    </row>
    <row r="644" spans="2:21" x14ac:dyDescent="0.2">
      <c r="B644" s="46"/>
      <c r="F644" s="47"/>
      <c r="J644" s="46"/>
      <c r="K644" s="48"/>
      <c r="O644" t="s">
        <v>602</v>
      </c>
      <c r="P644" t="s">
        <v>602</v>
      </c>
      <c r="Q644" t="s">
        <v>602</v>
      </c>
      <c r="R644" t="s">
        <v>603</v>
      </c>
      <c r="S644" t="s">
        <v>602</v>
      </c>
      <c r="T644" t="s">
        <v>602</v>
      </c>
      <c r="U644" s="47">
        <v>-16</v>
      </c>
    </row>
    <row r="645" spans="2:21" x14ac:dyDescent="0.2">
      <c r="B645" s="46"/>
      <c r="F645" s="47"/>
      <c r="J645" s="46"/>
      <c r="K645" s="48"/>
      <c r="O645" t="s">
        <v>602</v>
      </c>
      <c r="P645" t="s">
        <v>602</v>
      </c>
      <c r="Q645" t="s">
        <v>602</v>
      </c>
      <c r="R645" t="s">
        <v>603</v>
      </c>
      <c r="S645" t="s">
        <v>602</v>
      </c>
      <c r="T645" t="s">
        <v>602</v>
      </c>
      <c r="U645" s="47">
        <v>-148</v>
      </c>
    </row>
    <row r="646" spans="2:21" x14ac:dyDescent="0.2">
      <c r="B646" s="46"/>
      <c r="F646" s="47"/>
      <c r="J646" s="46"/>
      <c r="K646" s="48"/>
      <c r="O646" t="s">
        <v>602</v>
      </c>
      <c r="P646" t="s">
        <v>602</v>
      </c>
      <c r="Q646" t="s">
        <v>602</v>
      </c>
      <c r="R646" t="s">
        <v>603</v>
      </c>
      <c r="S646" t="s">
        <v>602</v>
      </c>
      <c r="T646" t="s">
        <v>602</v>
      </c>
      <c r="U646" s="47">
        <v>-98</v>
      </c>
    </row>
    <row r="647" spans="2:21" x14ac:dyDescent="0.2">
      <c r="B647" s="46"/>
      <c r="F647" s="47"/>
      <c r="J647" s="46"/>
      <c r="K647" s="48"/>
      <c r="O647" t="s">
        <v>602</v>
      </c>
      <c r="P647" t="s">
        <v>602</v>
      </c>
      <c r="Q647" t="s">
        <v>602</v>
      </c>
      <c r="R647" t="s">
        <v>603</v>
      </c>
      <c r="S647" t="s">
        <v>602</v>
      </c>
      <c r="T647" t="s">
        <v>602</v>
      </c>
      <c r="U647" s="47">
        <v>-33</v>
      </c>
    </row>
    <row r="648" spans="2:21" x14ac:dyDescent="0.2">
      <c r="B648" s="46"/>
      <c r="F648" s="47"/>
      <c r="J648" s="46"/>
      <c r="K648" s="48"/>
      <c r="O648" t="s">
        <v>602</v>
      </c>
      <c r="P648" t="s">
        <v>602</v>
      </c>
      <c r="Q648" t="s">
        <v>602</v>
      </c>
      <c r="R648" t="s">
        <v>603</v>
      </c>
      <c r="S648" t="s">
        <v>602</v>
      </c>
      <c r="T648" t="s">
        <v>602</v>
      </c>
      <c r="U648" s="47">
        <v>-115</v>
      </c>
    </row>
    <row r="649" spans="2:21" x14ac:dyDescent="0.2">
      <c r="B649" s="46"/>
      <c r="F649" s="47"/>
      <c r="J649" s="46"/>
      <c r="K649" s="48"/>
      <c r="O649" t="s">
        <v>602</v>
      </c>
      <c r="P649" t="s">
        <v>602</v>
      </c>
      <c r="Q649" t="s">
        <v>602</v>
      </c>
      <c r="R649" t="s">
        <v>603</v>
      </c>
      <c r="S649" t="s">
        <v>602</v>
      </c>
      <c r="T649" t="s">
        <v>602</v>
      </c>
      <c r="U649" s="47">
        <v>-115</v>
      </c>
    </row>
    <row r="650" spans="2:21" x14ac:dyDescent="0.2">
      <c r="B650" s="46"/>
      <c r="F650" s="47"/>
      <c r="J650" s="46"/>
      <c r="K650" s="48"/>
      <c r="O650" t="s">
        <v>602</v>
      </c>
      <c r="P650" t="s">
        <v>602</v>
      </c>
      <c r="Q650" t="s">
        <v>602</v>
      </c>
      <c r="R650" t="s">
        <v>603</v>
      </c>
      <c r="S650" t="s">
        <v>602</v>
      </c>
      <c r="T650" t="s">
        <v>602</v>
      </c>
      <c r="U650" s="47">
        <v>-16</v>
      </c>
    </row>
    <row r="651" spans="2:21" x14ac:dyDescent="0.2">
      <c r="B651" s="46"/>
      <c r="F651" s="47"/>
      <c r="J651" s="46"/>
      <c r="K651" s="48"/>
      <c r="O651" t="s">
        <v>602</v>
      </c>
      <c r="P651" t="s">
        <v>602</v>
      </c>
      <c r="Q651" t="s">
        <v>602</v>
      </c>
      <c r="R651" t="s">
        <v>603</v>
      </c>
      <c r="S651" t="s">
        <v>602</v>
      </c>
      <c r="T651" t="s">
        <v>602</v>
      </c>
      <c r="U651" s="47">
        <v>-131</v>
      </c>
    </row>
    <row r="652" spans="2:21" x14ac:dyDescent="0.2">
      <c r="B652" s="46"/>
      <c r="F652" s="47"/>
      <c r="J652" s="46"/>
      <c r="K652" s="48"/>
      <c r="O652" t="s">
        <v>602</v>
      </c>
      <c r="P652" t="s">
        <v>602</v>
      </c>
      <c r="Q652" t="s">
        <v>602</v>
      </c>
      <c r="R652" t="s">
        <v>603</v>
      </c>
      <c r="S652" t="s">
        <v>602</v>
      </c>
      <c r="T652" t="s">
        <v>602</v>
      </c>
      <c r="U652" s="47">
        <v>-115</v>
      </c>
    </row>
    <row r="653" spans="2:21" x14ac:dyDescent="0.2">
      <c r="B653" s="46"/>
      <c r="F653" s="47"/>
      <c r="J653" s="46"/>
      <c r="K653" s="48"/>
      <c r="O653" t="s">
        <v>602</v>
      </c>
      <c r="P653" t="s">
        <v>602</v>
      </c>
      <c r="Q653" t="s">
        <v>602</v>
      </c>
      <c r="R653" t="s">
        <v>603</v>
      </c>
      <c r="S653" t="s">
        <v>602</v>
      </c>
      <c r="T653" t="s">
        <v>602</v>
      </c>
      <c r="U653" s="47">
        <v>-16</v>
      </c>
    </row>
    <row r="654" spans="2:21" x14ac:dyDescent="0.2">
      <c r="B654" s="46"/>
      <c r="F654" s="47"/>
      <c r="J654" s="46"/>
      <c r="K654" s="48"/>
      <c r="O654" t="s">
        <v>602</v>
      </c>
      <c r="P654" t="s">
        <v>602</v>
      </c>
      <c r="Q654" t="s">
        <v>602</v>
      </c>
      <c r="R654" t="s">
        <v>603</v>
      </c>
      <c r="S654" t="s">
        <v>602</v>
      </c>
      <c r="T654" t="s">
        <v>602</v>
      </c>
      <c r="U654" s="47">
        <v>-33</v>
      </c>
    </row>
    <row r="655" spans="2:21" x14ac:dyDescent="0.2">
      <c r="B655" s="46"/>
      <c r="F655" s="47"/>
      <c r="J655" s="46"/>
      <c r="K655" s="48"/>
      <c r="O655" t="s">
        <v>602</v>
      </c>
      <c r="P655" t="s">
        <v>602</v>
      </c>
      <c r="Q655" t="s">
        <v>602</v>
      </c>
      <c r="R655" t="s">
        <v>603</v>
      </c>
      <c r="S655" t="s">
        <v>602</v>
      </c>
      <c r="T655" t="s">
        <v>602</v>
      </c>
      <c r="U655" s="47">
        <v>-49</v>
      </c>
    </row>
    <row r="656" spans="2:21" x14ac:dyDescent="0.2">
      <c r="B656" s="46"/>
      <c r="F656" s="47"/>
      <c r="J656" s="46"/>
      <c r="K656" s="48"/>
      <c r="O656" t="s">
        <v>602</v>
      </c>
      <c r="P656" t="s">
        <v>602</v>
      </c>
      <c r="Q656" t="s">
        <v>602</v>
      </c>
      <c r="R656" t="s">
        <v>603</v>
      </c>
      <c r="S656" t="s">
        <v>602</v>
      </c>
      <c r="T656" t="s">
        <v>602</v>
      </c>
      <c r="U656" s="47">
        <v>-115</v>
      </c>
    </row>
    <row r="657" spans="2:21" x14ac:dyDescent="0.2">
      <c r="B657" s="46"/>
      <c r="F657" s="47"/>
      <c r="J657" s="46"/>
      <c r="K657" s="48"/>
      <c r="O657" t="s">
        <v>602</v>
      </c>
      <c r="P657" t="s">
        <v>602</v>
      </c>
      <c r="Q657" t="s">
        <v>602</v>
      </c>
      <c r="R657" t="s">
        <v>603</v>
      </c>
      <c r="S657" t="s">
        <v>602</v>
      </c>
      <c r="T657" t="s">
        <v>602</v>
      </c>
      <c r="U657" s="47">
        <v>-148</v>
      </c>
    </row>
    <row r="658" spans="2:21" x14ac:dyDescent="0.2">
      <c r="B658" s="46"/>
      <c r="F658" s="47"/>
      <c r="J658" s="46"/>
      <c r="K658" s="48"/>
      <c r="O658" t="s">
        <v>602</v>
      </c>
      <c r="P658" t="s">
        <v>602</v>
      </c>
      <c r="Q658" t="s">
        <v>602</v>
      </c>
      <c r="R658" t="s">
        <v>603</v>
      </c>
      <c r="S658" t="s">
        <v>602</v>
      </c>
      <c r="T658" t="s">
        <v>602</v>
      </c>
      <c r="U658" s="47">
        <v>-66</v>
      </c>
    </row>
    <row r="659" spans="2:21" x14ac:dyDescent="0.2">
      <c r="B659" s="46"/>
      <c r="F659" s="47"/>
      <c r="J659" s="46"/>
      <c r="K659" s="48"/>
      <c r="O659" t="s">
        <v>602</v>
      </c>
      <c r="P659" t="s">
        <v>602</v>
      </c>
      <c r="Q659" t="s">
        <v>602</v>
      </c>
      <c r="R659" t="s">
        <v>603</v>
      </c>
      <c r="S659" t="s">
        <v>602</v>
      </c>
      <c r="T659" t="s">
        <v>602</v>
      </c>
      <c r="U659" s="47">
        <v>-49</v>
      </c>
    </row>
    <row r="660" spans="2:21" x14ac:dyDescent="0.2">
      <c r="B660" s="46"/>
      <c r="F660" s="47"/>
      <c r="J660" s="46"/>
      <c r="K660" s="48"/>
      <c r="O660" t="s">
        <v>602</v>
      </c>
      <c r="P660" t="s">
        <v>602</v>
      </c>
      <c r="Q660" t="s">
        <v>602</v>
      </c>
      <c r="R660" t="s">
        <v>603</v>
      </c>
      <c r="S660" t="s">
        <v>602</v>
      </c>
      <c r="T660" t="s">
        <v>602</v>
      </c>
      <c r="U660" s="47">
        <v>-66</v>
      </c>
    </row>
    <row r="661" spans="2:21" x14ac:dyDescent="0.2">
      <c r="B661" s="46"/>
      <c r="F661" s="47"/>
      <c r="J661" s="46"/>
      <c r="K661" s="48"/>
      <c r="O661" t="s">
        <v>602</v>
      </c>
      <c r="P661" t="s">
        <v>602</v>
      </c>
      <c r="Q661" t="s">
        <v>602</v>
      </c>
      <c r="R661" t="s">
        <v>603</v>
      </c>
      <c r="S661" t="s">
        <v>602</v>
      </c>
      <c r="T661" t="s">
        <v>602</v>
      </c>
      <c r="U661" s="47">
        <v>-33</v>
      </c>
    </row>
    <row r="662" spans="2:21" x14ac:dyDescent="0.2">
      <c r="B662" s="46"/>
      <c r="F662" s="47"/>
      <c r="J662" s="46"/>
      <c r="K662" s="48"/>
      <c r="O662" t="s">
        <v>602</v>
      </c>
      <c r="P662" t="s">
        <v>602</v>
      </c>
      <c r="Q662" t="s">
        <v>602</v>
      </c>
      <c r="R662" t="s">
        <v>603</v>
      </c>
      <c r="S662" t="s">
        <v>602</v>
      </c>
      <c r="T662" t="s">
        <v>602</v>
      </c>
      <c r="U662" s="47">
        <v>-16</v>
      </c>
    </row>
    <row r="663" spans="2:21" x14ac:dyDescent="0.2">
      <c r="B663" s="46"/>
      <c r="F663" s="47"/>
      <c r="J663" s="46"/>
      <c r="K663" s="48"/>
      <c r="O663" t="s">
        <v>602</v>
      </c>
      <c r="P663" t="s">
        <v>602</v>
      </c>
      <c r="Q663" t="s">
        <v>602</v>
      </c>
      <c r="R663" t="s">
        <v>603</v>
      </c>
      <c r="S663" t="s">
        <v>602</v>
      </c>
      <c r="T663" t="s">
        <v>602</v>
      </c>
      <c r="U663" s="47">
        <v>-33</v>
      </c>
    </row>
    <row r="664" spans="2:21" x14ac:dyDescent="0.2">
      <c r="B664" s="46"/>
      <c r="F664" s="47"/>
      <c r="J664" s="46"/>
      <c r="K664" s="48"/>
      <c r="O664" t="s">
        <v>602</v>
      </c>
      <c r="P664" t="s">
        <v>602</v>
      </c>
      <c r="Q664" t="s">
        <v>602</v>
      </c>
      <c r="R664" t="s">
        <v>603</v>
      </c>
      <c r="S664" t="s">
        <v>602</v>
      </c>
      <c r="T664" t="s">
        <v>602</v>
      </c>
      <c r="U664" s="47">
        <v>-600</v>
      </c>
    </row>
    <row r="665" spans="2:21" x14ac:dyDescent="0.2">
      <c r="B665" s="46"/>
      <c r="F665" s="47"/>
      <c r="J665" s="46"/>
      <c r="K665" s="48"/>
      <c r="O665" t="s">
        <v>602</v>
      </c>
      <c r="P665" t="s">
        <v>602</v>
      </c>
      <c r="Q665" t="s">
        <v>602</v>
      </c>
      <c r="R665" t="s">
        <v>603</v>
      </c>
      <c r="S665" t="s">
        <v>602</v>
      </c>
      <c r="T665" t="s">
        <v>602</v>
      </c>
      <c r="U665" s="47">
        <v>-600</v>
      </c>
    </row>
    <row r="666" spans="2:21" x14ac:dyDescent="0.2">
      <c r="B666" s="46"/>
      <c r="F666" s="47"/>
      <c r="J666" s="46"/>
      <c r="K666" s="48"/>
      <c r="O666" t="s">
        <v>602</v>
      </c>
      <c r="P666" t="s">
        <v>602</v>
      </c>
      <c r="Q666" t="s">
        <v>602</v>
      </c>
      <c r="R666" t="s">
        <v>603</v>
      </c>
      <c r="S666" t="s">
        <v>602</v>
      </c>
      <c r="T666" t="s">
        <v>602</v>
      </c>
      <c r="U666" s="47">
        <v>-300</v>
      </c>
    </row>
    <row r="667" spans="2:21" x14ac:dyDescent="0.2">
      <c r="B667" s="46"/>
      <c r="F667" s="47"/>
      <c r="J667" s="46"/>
      <c r="K667" s="48"/>
      <c r="O667" t="s">
        <v>602</v>
      </c>
      <c r="P667" t="s">
        <v>602</v>
      </c>
      <c r="Q667" t="s">
        <v>602</v>
      </c>
      <c r="R667" t="s">
        <v>603</v>
      </c>
      <c r="S667" t="s">
        <v>602</v>
      </c>
      <c r="T667" t="s">
        <v>602</v>
      </c>
      <c r="U667" s="47">
        <v>-600</v>
      </c>
    </row>
    <row r="668" spans="2:21" x14ac:dyDescent="0.2">
      <c r="B668" s="46"/>
      <c r="F668" s="47"/>
      <c r="J668" s="46"/>
      <c r="K668" s="48"/>
      <c r="O668" t="s">
        <v>602</v>
      </c>
      <c r="P668" t="s">
        <v>602</v>
      </c>
      <c r="Q668" t="s">
        <v>602</v>
      </c>
      <c r="R668" t="s">
        <v>603</v>
      </c>
      <c r="S668" t="s">
        <v>602</v>
      </c>
      <c r="T668" t="s">
        <v>602</v>
      </c>
      <c r="U668" s="47">
        <v>-600</v>
      </c>
    </row>
    <row r="669" spans="2:21" x14ac:dyDescent="0.2">
      <c r="B669" s="46"/>
      <c r="F669" s="47"/>
      <c r="J669" s="46"/>
      <c r="K669" s="48"/>
      <c r="O669" t="s">
        <v>602</v>
      </c>
      <c r="P669" t="s">
        <v>602</v>
      </c>
      <c r="Q669" t="s">
        <v>602</v>
      </c>
      <c r="R669" t="s">
        <v>603</v>
      </c>
      <c r="S669" t="s">
        <v>602</v>
      </c>
      <c r="T669" t="s">
        <v>602</v>
      </c>
      <c r="U669" s="47">
        <v>-600</v>
      </c>
    </row>
    <row r="670" spans="2:21" x14ac:dyDescent="0.2">
      <c r="B670" s="46"/>
      <c r="F670" s="47"/>
      <c r="J670" s="46"/>
      <c r="K670" s="48"/>
      <c r="O670" t="s">
        <v>602</v>
      </c>
      <c r="P670" t="s">
        <v>602</v>
      </c>
      <c r="Q670" t="s">
        <v>602</v>
      </c>
      <c r="R670" t="s">
        <v>603</v>
      </c>
      <c r="S670" t="s">
        <v>602</v>
      </c>
      <c r="T670" t="s">
        <v>602</v>
      </c>
      <c r="U670" s="47">
        <v>-600</v>
      </c>
    </row>
    <row r="671" spans="2:21" x14ac:dyDescent="0.2">
      <c r="B671" s="46"/>
      <c r="F671" s="47"/>
      <c r="J671" s="46"/>
      <c r="K671" s="48"/>
      <c r="O671" t="s">
        <v>602</v>
      </c>
      <c r="P671" t="s">
        <v>602</v>
      </c>
      <c r="Q671" t="s">
        <v>602</v>
      </c>
      <c r="R671" t="s">
        <v>603</v>
      </c>
      <c r="S671" t="s">
        <v>602</v>
      </c>
      <c r="T671" t="s">
        <v>602</v>
      </c>
      <c r="U671" s="47">
        <v>-150</v>
      </c>
    </row>
    <row r="672" spans="2:21" x14ac:dyDescent="0.2">
      <c r="B672" s="46"/>
      <c r="F672" s="47"/>
      <c r="J672" s="46"/>
      <c r="K672" s="48"/>
      <c r="O672" t="s">
        <v>602</v>
      </c>
      <c r="P672" t="s">
        <v>602</v>
      </c>
      <c r="Q672" t="s">
        <v>602</v>
      </c>
      <c r="R672" t="s">
        <v>603</v>
      </c>
      <c r="S672" t="s">
        <v>602</v>
      </c>
      <c r="T672" t="s">
        <v>602</v>
      </c>
      <c r="U672" s="47">
        <v>-150</v>
      </c>
    </row>
    <row r="673" spans="2:21" x14ac:dyDescent="0.2">
      <c r="B673" s="46"/>
      <c r="F673" s="47"/>
      <c r="J673" s="46"/>
      <c r="K673" s="48"/>
      <c r="O673" t="s">
        <v>602</v>
      </c>
      <c r="P673" t="s">
        <v>602</v>
      </c>
      <c r="Q673" t="s">
        <v>602</v>
      </c>
      <c r="R673" t="s">
        <v>603</v>
      </c>
      <c r="S673" t="s">
        <v>602</v>
      </c>
      <c r="T673" t="s">
        <v>602</v>
      </c>
      <c r="U673" s="47">
        <v>-600</v>
      </c>
    </row>
    <row r="674" spans="2:21" x14ac:dyDescent="0.2">
      <c r="B674" s="46"/>
      <c r="F674" s="47"/>
      <c r="J674" s="46"/>
      <c r="K674" s="48"/>
      <c r="O674" t="s">
        <v>602</v>
      </c>
      <c r="P674" t="s">
        <v>602</v>
      </c>
      <c r="Q674" t="s">
        <v>602</v>
      </c>
      <c r="R674" t="s">
        <v>603</v>
      </c>
      <c r="S674" t="s">
        <v>602</v>
      </c>
      <c r="T674" t="s">
        <v>602</v>
      </c>
      <c r="U674" s="47">
        <v>-600</v>
      </c>
    </row>
    <row r="675" spans="2:21" x14ac:dyDescent="0.2">
      <c r="B675" s="46"/>
      <c r="F675" s="47"/>
      <c r="J675" s="46"/>
      <c r="K675" s="48"/>
      <c r="O675" t="s">
        <v>602</v>
      </c>
      <c r="P675" t="s">
        <v>602</v>
      </c>
      <c r="Q675" t="s">
        <v>602</v>
      </c>
      <c r="R675" t="s">
        <v>603</v>
      </c>
      <c r="S675" t="s">
        <v>602</v>
      </c>
      <c r="T675" t="s">
        <v>602</v>
      </c>
      <c r="U675" s="47">
        <v>-600</v>
      </c>
    </row>
    <row r="676" spans="2:21" x14ac:dyDescent="0.2">
      <c r="B676" s="46"/>
      <c r="F676" s="47"/>
      <c r="J676" s="46"/>
      <c r="K676" s="48"/>
      <c r="O676" t="s">
        <v>602</v>
      </c>
      <c r="P676" t="s">
        <v>602</v>
      </c>
      <c r="Q676" t="s">
        <v>602</v>
      </c>
      <c r="R676" t="s">
        <v>603</v>
      </c>
      <c r="S676" t="s">
        <v>602</v>
      </c>
      <c r="T676" t="s">
        <v>602</v>
      </c>
      <c r="U676" s="47">
        <v>-600</v>
      </c>
    </row>
    <row r="677" spans="2:21" x14ac:dyDescent="0.2">
      <c r="B677" s="46"/>
      <c r="F677" s="47"/>
      <c r="J677" s="46"/>
      <c r="K677" s="48"/>
      <c r="O677" t="s">
        <v>602</v>
      </c>
      <c r="P677" t="s">
        <v>602</v>
      </c>
      <c r="Q677" t="s">
        <v>602</v>
      </c>
      <c r="R677" t="s">
        <v>603</v>
      </c>
      <c r="S677" t="s">
        <v>602</v>
      </c>
      <c r="T677" t="s">
        <v>602</v>
      </c>
      <c r="U677" s="47">
        <v>-300</v>
      </c>
    </row>
    <row r="678" spans="2:21" x14ac:dyDescent="0.2">
      <c r="B678" s="46"/>
      <c r="F678" s="47"/>
      <c r="J678" s="46"/>
      <c r="K678" s="48"/>
      <c r="O678" t="s">
        <v>602</v>
      </c>
      <c r="P678" t="s">
        <v>602</v>
      </c>
      <c r="Q678" t="s">
        <v>602</v>
      </c>
      <c r="R678" t="s">
        <v>603</v>
      </c>
      <c r="S678" t="s">
        <v>602</v>
      </c>
      <c r="T678" t="s">
        <v>602</v>
      </c>
      <c r="U678" s="47">
        <v>-600</v>
      </c>
    </row>
    <row r="679" spans="2:21" x14ac:dyDescent="0.2">
      <c r="B679" s="46"/>
      <c r="F679" s="47"/>
      <c r="J679" s="46"/>
      <c r="K679" s="48"/>
      <c r="O679" t="s">
        <v>602</v>
      </c>
      <c r="P679" t="s">
        <v>602</v>
      </c>
      <c r="Q679" t="s">
        <v>602</v>
      </c>
      <c r="R679" t="s">
        <v>603</v>
      </c>
      <c r="S679" t="s">
        <v>602</v>
      </c>
      <c r="T679" t="s">
        <v>602</v>
      </c>
      <c r="U679" s="47">
        <v>-600</v>
      </c>
    </row>
    <row r="680" spans="2:21" x14ac:dyDescent="0.2">
      <c r="B680" s="46"/>
      <c r="F680" s="47"/>
      <c r="J680" s="46"/>
      <c r="K680" s="48"/>
      <c r="O680" t="s">
        <v>602</v>
      </c>
      <c r="P680" t="s">
        <v>602</v>
      </c>
      <c r="Q680" t="s">
        <v>602</v>
      </c>
      <c r="R680" t="s">
        <v>603</v>
      </c>
      <c r="S680" t="s">
        <v>602</v>
      </c>
      <c r="T680" t="s">
        <v>602</v>
      </c>
      <c r="U680" s="47">
        <v>-600</v>
      </c>
    </row>
    <row r="681" spans="2:21" x14ac:dyDescent="0.2">
      <c r="B681" s="46"/>
      <c r="F681" s="47"/>
      <c r="J681" s="46"/>
      <c r="K681" s="48"/>
      <c r="O681" t="s">
        <v>602</v>
      </c>
      <c r="P681" t="s">
        <v>602</v>
      </c>
      <c r="Q681" t="s">
        <v>602</v>
      </c>
      <c r="R681" t="s">
        <v>603</v>
      </c>
      <c r="S681" t="s">
        <v>602</v>
      </c>
      <c r="T681" t="s">
        <v>602</v>
      </c>
      <c r="U681" s="47">
        <v>-600</v>
      </c>
    </row>
    <row r="682" spans="2:21" x14ac:dyDescent="0.2">
      <c r="B682" s="46"/>
      <c r="F682" s="47"/>
      <c r="J682" s="46"/>
      <c r="K682" s="48"/>
      <c r="O682" t="s">
        <v>602</v>
      </c>
      <c r="P682" t="s">
        <v>602</v>
      </c>
      <c r="Q682" t="s">
        <v>602</v>
      </c>
      <c r="R682" t="s">
        <v>603</v>
      </c>
      <c r="S682" t="s">
        <v>602</v>
      </c>
      <c r="T682" t="s">
        <v>602</v>
      </c>
      <c r="U682" s="47">
        <v>-600</v>
      </c>
    </row>
    <row r="683" spans="2:21" x14ac:dyDescent="0.2">
      <c r="B683" s="46"/>
      <c r="F683" s="47"/>
      <c r="J683" s="46"/>
      <c r="K683" s="48"/>
      <c r="O683" t="s">
        <v>602</v>
      </c>
      <c r="P683" t="s">
        <v>602</v>
      </c>
      <c r="Q683" t="s">
        <v>602</v>
      </c>
      <c r="R683" t="s">
        <v>603</v>
      </c>
      <c r="S683" t="s">
        <v>602</v>
      </c>
      <c r="T683" t="s">
        <v>602</v>
      </c>
      <c r="U683" s="47">
        <v>-600</v>
      </c>
    </row>
    <row r="684" spans="2:21" x14ac:dyDescent="0.2">
      <c r="B684" s="46"/>
      <c r="F684" s="47"/>
      <c r="J684" s="46"/>
      <c r="K684" s="48"/>
      <c r="O684" t="s">
        <v>602</v>
      </c>
      <c r="P684" t="s">
        <v>602</v>
      </c>
      <c r="Q684" t="s">
        <v>602</v>
      </c>
      <c r="R684" t="s">
        <v>603</v>
      </c>
      <c r="S684" t="s">
        <v>602</v>
      </c>
      <c r="T684" t="s">
        <v>602</v>
      </c>
      <c r="U684" s="47">
        <v>-260</v>
      </c>
    </row>
    <row r="685" spans="2:21" x14ac:dyDescent="0.2">
      <c r="B685" s="46"/>
      <c r="F685" s="47"/>
      <c r="J685" s="46"/>
      <c r="K685" s="48"/>
      <c r="O685" t="s">
        <v>602</v>
      </c>
      <c r="P685" t="s">
        <v>602</v>
      </c>
      <c r="Q685" t="s">
        <v>602</v>
      </c>
      <c r="R685" t="s">
        <v>603</v>
      </c>
      <c r="S685" t="s">
        <v>602</v>
      </c>
      <c r="T685" t="s">
        <v>602</v>
      </c>
      <c r="U685" s="47">
        <v>-258</v>
      </c>
    </row>
    <row r="686" spans="2:21" x14ac:dyDescent="0.2">
      <c r="B686" s="46"/>
      <c r="F686" s="47"/>
      <c r="J686" s="46"/>
      <c r="K686" s="48"/>
      <c r="O686" t="s">
        <v>602</v>
      </c>
      <c r="P686" t="s">
        <v>602</v>
      </c>
      <c r="Q686" t="s">
        <v>602</v>
      </c>
      <c r="R686" t="s">
        <v>603</v>
      </c>
      <c r="S686" t="s">
        <v>602</v>
      </c>
      <c r="T686" t="s">
        <v>602</v>
      </c>
      <c r="U686" s="47">
        <v>-430</v>
      </c>
    </row>
    <row r="687" spans="2:21" x14ac:dyDescent="0.2">
      <c r="B687" s="46"/>
      <c r="F687" s="47"/>
      <c r="J687" s="46"/>
      <c r="K687" s="48"/>
      <c r="O687" t="s">
        <v>602</v>
      </c>
      <c r="P687" t="s">
        <v>602</v>
      </c>
      <c r="Q687" t="s">
        <v>602</v>
      </c>
      <c r="R687" t="s">
        <v>603</v>
      </c>
      <c r="S687" t="s">
        <v>602</v>
      </c>
      <c r="T687" t="s">
        <v>602</v>
      </c>
      <c r="U687" s="47">
        <v>-108</v>
      </c>
    </row>
    <row r="688" spans="2:21" x14ac:dyDescent="0.2">
      <c r="B688" s="46"/>
      <c r="F688" s="47"/>
      <c r="J688" s="46"/>
      <c r="K688" s="48"/>
      <c r="O688" t="s">
        <v>602</v>
      </c>
      <c r="P688" t="s">
        <v>602</v>
      </c>
      <c r="Q688" t="s">
        <v>602</v>
      </c>
      <c r="R688" t="s">
        <v>603</v>
      </c>
      <c r="S688" t="s">
        <v>602</v>
      </c>
      <c r="T688" t="s">
        <v>602</v>
      </c>
      <c r="U688" s="47">
        <v>-22</v>
      </c>
    </row>
    <row r="689" spans="2:21" x14ac:dyDescent="0.2">
      <c r="B689" s="46"/>
      <c r="F689" s="47"/>
      <c r="J689" s="46"/>
      <c r="K689" s="48"/>
      <c r="O689" t="s">
        <v>602</v>
      </c>
      <c r="P689" t="s">
        <v>602</v>
      </c>
      <c r="Q689" t="s">
        <v>602</v>
      </c>
      <c r="R689" t="s">
        <v>603</v>
      </c>
      <c r="S689" t="s">
        <v>602</v>
      </c>
      <c r="T689" t="s">
        <v>602</v>
      </c>
      <c r="U689" s="47">
        <v>-43</v>
      </c>
    </row>
    <row r="690" spans="2:21" x14ac:dyDescent="0.2">
      <c r="B690" s="46"/>
      <c r="F690" s="47"/>
      <c r="J690" s="46"/>
      <c r="K690" s="48"/>
      <c r="O690" t="s">
        <v>602</v>
      </c>
      <c r="P690" t="s">
        <v>602</v>
      </c>
      <c r="Q690" t="s">
        <v>602</v>
      </c>
      <c r="R690" t="s">
        <v>603</v>
      </c>
      <c r="S690" t="s">
        <v>602</v>
      </c>
      <c r="T690" t="s">
        <v>602</v>
      </c>
      <c r="U690" s="47">
        <v>-22</v>
      </c>
    </row>
    <row r="691" spans="2:21" x14ac:dyDescent="0.2">
      <c r="B691" s="46"/>
      <c r="F691" s="47"/>
      <c r="J691" s="46"/>
      <c r="K691" s="48"/>
      <c r="O691" t="s">
        <v>602</v>
      </c>
      <c r="P691" t="s">
        <v>602</v>
      </c>
      <c r="Q691" t="s">
        <v>602</v>
      </c>
      <c r="R691" t="s">
        <v>603</v>
      </c>
      <c r="S691" t="s">
        <v>602</v>
      </c>
      <c r="T691" t="s">
        <v>602</v>
      </c>
      <c r="U691" s="47">
        <v>-22</v>
      </c>
    </row>
    <row r="692" spans="2:21" x14ac:dyDescent="0.2">
      <c r="B692" s="46"/>
      <c r="F692" s="47"/>
      <c r="J692" s="46"/>
      <c r="K692" s="48"/>
      <c r="O692" t="s">
        <v>602</v>
      </c>
      <c r="P692" t="s">
        <v>602</v>
      </c>
      <c r="Q692" t="s">
        <v>602</v>
      </c>
      <c r="R692" t="s">
        <v>603</v>
      </c>
      <c r="S692" t="s">
        <v>602</v>
      </c>
      <c r="T692" t="s">
        <v>602</v>
      </c>
      <c r="U692" s="47">
        <v>-108</v>
      </c>
    </row>
    <row r="693" spans="2:21" x14ac:dyDescent="0.2">
      <c r="B693" s="46"/>
      <c r="F693" s="47"/>
      <c r="J693" s="46"/>
      <c r="K693" s="48"/>
      <c r="O693" t="s">
        <v>602</v>
      </c>
      <c r="P693" t="s">
        <v>602</v>
      </c>
      <c r="Q693" t="s">
        <v>602</v>
      </c>
      <c r="R693" t="s">
        <v>603</v>
      </c>
      <c r="S693" t="s">
        <v>602</v>
      </c>
      <c r="T693" t="s">
        <v>602</v>
      </c>
      <c r="U693" s="47">
        <v>-301</v>
      </c>
    </row>
    <row r="694" spans="2:21" x14ac:dyDescent="0.2">
      <c r="B694" s="46"/>
      <c r="F694" s="47"/>
      <c r="J694" s="46"/>
      <c r="K694" s="48"/>
      <c r="O694" t="s">
        <v>602</v>
      </c>
      <c r="P694" t="s">
        <v>602</v>
      </c>
      <c r="Q694" t="s">
        <v>602</v>
      </c>
      <c r="R694" t="s">
        <v>603</v>
      </c>
      <c r="S694" t="s">
        <v>602</v>
      </c>
      <c r="T694" t="s">
        <v>602</v>
      </c>
      <c r="U694" s="47">
        <v>-21</v>
      </c>
    </row>
    <row r="695" spans="2:21" x14ac:dyDescent="0.2">
      <c r="B695" s="46"/>
      <c r="F695" s="47"/>
      <c r="J695" s="46"/>
      <c r="K695" s="48"/>
      <c r="O695" t="s">
        <v>602</v>
      </c>
      <c r="P695" t="s">
        <v>602</v>
      </c>
      <c r="Q695" t="s">
        <v>602</v>
      </c>
      <c r="R695" t="s">
        <v>603</v>
      </c>
      <c r="S695" t="s">
        <v>602</v>
      </c>
      <c r="T695" t="s">
        <v>602</v>
      </c>
      <c r="U695" s="47">
        <v>-43</v>
      </c>
    </row>
    <row r="696" spans="2:21" x14ac:dyDescent="0.2">
      <c r="B696" s="46"/>
      <c r="F696" s="47"/>
      <c r="J696" s="46"/>
      <c r="K696" s="48"/>
      <c r="O696" t="s">
        <v>602</v>
      </c>
      <c r="P696" t="s">
        <v>602</v>
      </c>
      <c r="Q696" t="s">
        <v>602</v>
      </c>
      <c r="R696" t="s">
        <v>603</v>
      </c>
      <c r="S696" t="s">
        <v>602</v>
      </c>
      <c r="T696" t="s">
        <v>602</v>
      </c>
      <c r="U696" s="47">
        <v>-107</v>
      </c>
    </row>
    <row r="697" spans="2:21" x14ac:dyDescent="0.2">
      <c r="B697" s="46"/>
      <c r="F697" s="47"/>
      <c r="J697" s="46"/>
      <c r="K697" s="48"/>
      <c r="O697" t="s">
        <v>602</v>
      </c>
      <c r="P697" t="s">
        <v>602</v>
      </c>
      <c r="Q697" t="s">
        <v>602</v>
      </c>
      <c r="R697" t="s">
        <v>603</v>
      </c>
      <c r="S697" t="s">
        <v>602</v>
      </c>
      <c r="T697" t="s">
        <v>602</v>
      </c>
      <c r="U697" s="47">
        <v>-21</v>
      </c>
    </row>
    <row r="698" spans="2:21" x14ac:dyDescent="0.2">
      <c r="B698" s="46"/>
      <c r="F698" s="47"/>
      <c r="J698" s="46"/>
      <c r="K698" s="48"/>
      <c r="O698" t="s">
        <v>602</v>
      </c>
      <c r="P698" t="s">
        <v>602</v>
      </c>
      <c r="Q698" t="s">
        <v>602</v>
      </c>
      <c r="R698" t="s">
        <v>603</v>
      </c>
      <c r="S698" t="s">
        <v>602</v>
      </c>
      <c r="T698" t="s">
        <v>602</v>
      </c>
      <c r="U698" s="47">
        <v>-43</v>
      </c>
    </row>
    <row r="699" spans="2:21" x14ac:dyDescent="0.2">
      <c r="B699" s="46"/>
      <c r="F699" s="47"/>
      <c r="J699" s="46"/>
      <c r="K699" s="48"/>
      <c r="O699" t="s">
        <v>602</v>
      </c>
      <c r="P699" t="s">
        <v>602</v>
      </c>
      <c r="Q699" t="s">
        <v>602</v>
      </c>
      <c r="R699" t="s">
        <v>603</v>
      </c>
      <c r="S699" t="s">
        <v>602</v>
      </c>
      <c r="T699" t="s">
        <v>602</v>
      </c>
      <c r="U699" s="47">
        <v>-237</v>
      </c>
    </row>
    <row r="700" spans="2:21" x14ac:dyDescent="0.2">
      <c r="B700" s="46"/>
      <c r="F700" s="47"/>
      <c r="J700" s="46"/>
      <c r="K700" s="48"/>
      <c r="O700" t="s">
        <v>602</v>
      </c>
      <c r="P700" t="s">
        <v>602</v>
      </c>
      <c r="Q700" t="s">
        <v>602</v>
      </c>
      <c r="R700" t="s">
        <v>603</v>
      </c>
      <c r="S700" t="s">
        <v>602</v>
      </c>
      <c r="T700" t="s">
        <v>602</v>
      </c>
      <c r="U700" s="47">
        <v>-65</v>
      </c>
    </row>
    <row r="701" spans="2:21" x14ac:dyDescent="0.2">
      <c r="B701" s="46"/>
      <c r="F701" s="47"/>
      <c r="J701" s="46"/>
      <c r="K701" s="48"/>
      <c r="O701" t="s">
        <v>602</v>
      </c>
      <c r="P701" t="s">
        <v>602</v>
      </c>
      <c r="Q701" t="s">
        <v>602</v>
      </c>
      <c r="R701" t="s">
        <v>603</v>
      </c>
      <c r="S701" t="s">
        <v>602</v>
      </c>
      <c r="T701" t="s">
        <v>602</v>
      </c>
      <c r="U701" s="47">
        <v>-430</v>
      </c>
    </row>
    <row r="702" spans="2:21" x14ac:dyDescent="0.2">
      <c r="B702" s="46"/>
      <c r="F702" s="47"/>
      <c r="J702" s="46"/>
      <c r="K702" s="48"/>
      <c r="O702" t="s">
        <v>602</v>
      </c>
      <c r="P702" t="s">
        <v>602</v>
      </c>
      <c r="Q702" t="s">
        <v>602</v>
      </c>
      <c r="R702" t="s">
        <v>603</v>
      </c>
      <c r="S702" t="s">
        <v>602</v>
      </c>
      <c r="T702" t="s">
        <v>602</v>
      </c>
      <c r="U702" s="47">
        <v>-322</v>
      </c>
    </row>
    <row r="703" spans="2:21" x14ac:dyDescent="0.2">
      <c r="B703" s="46"/>
      <c r="F703" s="47"/>
      <c r="J703" s="46"/>
      <c r="K703" s="48"/>
      <c r="O703" t="s">
        <v>602</v>
      </c>
      <c r="P703" t="s">
        <v>602</v>
      </c>
      <c r="Q703" t="s">
        <v>602</v>
      </c>
      <c r="R703" t="s">
        <v>603</v>
      </c>
      <c r="S703" t="s">
        <v>602</v>
      </c>
      <c r="T703" t="s">
        <v>602</v>
      </c>
      <c r="U703" s="47">
        <v>-215</v>
      </c>
    </row>
    <row r="704" spans="2:21" x14ac:dyDescent="0.2">
      <c r="B704" s="46"/>
      <c r="F704" s="47"/>
      <c r="J704" s="46"/>
      <c r="K704" s="48"/>
      <c r="O704" t="s">
        <v>602</v>
      </c>
      <c r="P704" t="s">
        <v>602</v>
      </c>
      <c r="Q704" t="s">
        <v>602</v>
      </c>
      <c r="R704" t="s">
        <v>603</v>
      </c>
      <c r="S704" t="s">
        <v>602</v>
      </c>
      <c r="T704" t="s">
        <v>602</v>
      </c>
      <c r="U704" s="47">
        <v>-21</v>
      </c>
    </row>
    <row r="705" spans="2:21" x14ac:dyDescent="0.2">
      <c r="B705" s="46"/>
      <c r="F705" s="47"/>
      <c r="J705" s="46"/>
      <c r="K705" s="48"/>
      <c r="O705" t="s">
        <v>602</v>
      </c>
      <c r="P705" t="s">
        <v>602</v>
      </c>
      <c r="Q705" t="s">
        <v>602</v>
      </c>
      <c r="R705" t="s">
        <v>603</v>
      </c>
      <c r="S705" t="s">
        <v>602</v>
      </c>
      <c r="T705" t="s">
        <v>602</v>
      </c>
      <c r="U705" s="47">
        <v>-43</v>
      </c>
    </row>
    <row r="706" spans="2:21" x14ac:dyDescent="0.2">
      <c r="B706" s="46"/>
      <c r="F706" s="47"/>
      <c r="J706" s="46"/>
      <c r="K706" s="48"/>
      <c r="O706" t="s">
        <v>602</v>
      </c>
      <c r="P706" t="s">
        <v>602</v>
      </c>
      <c r="Q706" t="s">
        <v>602</v>
      </c>
      <c r="R706" t="s">
        <v>603</v>
      </c>
      <c r="S706" t="s">
        <v>602</v>
      </c>
      <c r="T706" t="s">
        <v>602</v>
      </c>
      <c r="U706" s="47">
        <v>-258</v>
      </c>
    </row>
    <row r="707" spans="2:21" x14ac:dyDescent="0.2">
      <c r="B707" s="46"/>
      <c r="F707" s="47"/>
      <c r="J707" s="46"/>
      <c r="K707" s="48"/>
      <c r="O707" t="s">
        <v>602</v>
      </c>
      <c r="P707" t="s">
        <v>602</v>
      </c>
      <c r="Q707" t="s">
        <v>602</v>
      </c>
      <c r="R707" t="s">
        <v>603</v>
      </c>
      <c r="S707" t="s">
        <v>602</v>
      </c>
      <c r="T707" t="s">
        <v>602</v>
      </c>
      <c r="U707" s="47">
        <v>-280</v>
      </c>
    </row>
    <row r="708" spans="2:21" x14ac:dyDescent="0.2">
      <c r="B708" s="46"/>
      <c r="F708" s="47"/>
      <c r="J708" s="46"/>
      <c r="K708" s="48"/>
      <c r="O708" t="s">
        <v>602</v>
      </c>
      <c r="P708" t="s">
        <v>602</v>
      </c>
      <c r="Q708" t="s">
        <v>602</v>
      </c>
      <c r="R708" t="s">
        <v>603</v>
      </c>
      <c r="S708" t="s">
        <v>602</v>
      </c>
      <c r="T708" t="s">
        <v>602</v>
      </c>
      <c r="U708" s="47">
        <v>-22</v>
      </c>
    </row>
    <row r="709" spans="2:21" x14ac:dyDescent="0.2">
      <c r="B709" s="46"/>
      <c r="F709" s="47"/>
      <c r="J709" s="46"/>
      <c r="K709" s="48"/>
      <c r="O709" t="s">
        <v>602</v>
      </c>
      <c r="P709" t="s">
        <v>602</v>
      </c>
      <c r="Q709" t="s">
        <v>602</v>
      </c>
      <c r="R709" t="s">
        <v>603</v>
      </c>
      <c r="S709" t="s">
        <v>602</v>
      </c>
      <c r="T709" t="s">
        <v>602</v>
      </c>
      <c r="U709" s="47">
        <v>-193</v>
      </c>
    </row>
    <row r="710" spans="2:21" x14ac:dyDescent="0.2">
      <c r="B710" s="46"/>
      <c r="F710" s="47"/>
      <c r="J710" s="46"/>
      <c r="K710" s="48"/>
      <c r="O710" t="s">
        <v>602</v>
      </c>
      <c r="P710" t="s">
        <v>602</v>
      </c>
      <c r="Q710" t="s">
        <v>602</v>
      </c>
      <c r="R710" t="s">
        <v>603</v>
      </c>
      <c r="S710" t="s">
        <v>602</v>
      </c>
      <c r="T710" t="s">
        <v>602</v>
      </c>
      <c r="U710" s="47">
        <v>-172</v>
      </c>
    </row>
    <row r="711" spans="2:21" x14ac:dyDescent="0.2">
      <c r="B711" s="46"/>
      <c r="F711" s="47"/>
      <c r="J711" s="46"/>
      <c r="K711" s="48"/>
      <c r="O711" t="s">
        <v>602</v>
      </c>
      <c r="P711" t="s">
        <v>602</v>
      </c>
      <c r="Q711" t="s">
        <v>602</v>
      </c>
      <c r="R711" t="s">
        <v>603</v>
      </c>
      <c r="S711" t="s">
        <v>602</v>
      </c>
      <c r="T711" t="s">
        <v>602</v>
      </c>
      <c r="U711" s="47">
        <v>-430</v>
      </c>
    </row>
    <row r="712" spans="2:21" x14ac:dyDescent="0.2">
      <c r="B712" s="46"/>
      <c r="F712" s="47"/>
      <c r="J712" s="46"/>
      <c r="K712" s="48"/>
      <c r="O712" t="s">
        <v>602</v>
      </c>
      <c r="P712" t="s">
        <v>602</v>
      </c>
      <c r="Q712" t="s">
        <v>602</v>
      </c>
      <c r="R712" t="s">
        <v>603</v>
      </c>
      <c r="S712" t="s">
        <v>602</v>
      </c>
      <c r="T712" t="s">
        <v>602</v>
      </c>
      <c r="U712" s="47">
        <v>-21</v>
      </c>
    </row>
    <row r="713" spans="2:21" x14ac:dyDescent="0.2">
      <c r="B713" s="46"/>
      <c r="F713" s="47"/>
      <c r="J713" s="46"/>
      <c r="K713" s="48"/>
      <c r="O713" t="s">
        <v>602</v>
      </c>
      <c r="P713" t="s">
        <v>602</v>
      </c>
      <c r="Q713" t="s">
        <v>602</v>
      </c>
      <c r="R713" t="s">
        <v>603</v>
      </c>
      <c r="S713" t="s">
        <v>602</v>
      </c>
      <c r="T713" t="s">
        <v>602</v>
      </c>
      <c r="U713" s="47">
        <v>-430</v>
      </c>
    </row>
    <row r="714" spans="2:21" x14ac:dyDescent="0.2">
      <c r="B714" s="46"/>
      <c r="F714" s="47"/>
      <c r="J714" s="46"/>
      <c r="K714" s="48"/>
      <c r="O714" t="s">
        <v>602</v>
      </c>
      <c r="P714" t="s">
        <v>602</v>
      </c>
      <c r="Q714" t="s">
        <v>602</v>
      </c>
      <c r="R714" t="s">
        <v>603</v>
      </c>
      <c r="S714" t="s">
        <v>602</v>
      </c>
      <c r="T714" t="s">
        <v>602</v>
      </c>
      <c r="U714" s="47">
        <v>-236</v>
      </c>
    </row>
    <row r="715" spans="2:21" x14ac:dyDescent="0.2">
      <c r="B715" s="46"/>
      <c r="F715" s="47"/>
      <c r="J715" s="46"/>
      <c r="K715" s="48"/>
      <c r="O715" t="s">
        <v>602</v>
      </c>
      <c r="P715" t="s">
        <v>602</v>
      </c>
      <c r="Q715" t="s">
        <v>602</v>
      </c>
      <c r="R715" t="s">
        <v>603</v>
      </c>
      <c r="S715" t="s">
        <v>602</v>
      </c>
      <c r="T715" t="s">
        <v>602</v>
      </c>
      <c r="U715" s="47">
        <v>-430</v>
      </c>
    </row>
    <row r="716" spans="2:21" x14ac:dyDescent="0.2">
      <c r="B716" s="46"/>
      <c r="F716" s="47"/>
      <c r="J716" s="46"/>
      <c r="K716" s="48"/>
      <c r="O716" t="s">
        <v>602</v>
      </c>
      <c r="P716" t="s">
        <v>602</v>
      </c>
      <c r="Q716" t="s">
        <v>602</v>
      </c>
      <c r="R716" t="s">
        <v>603</v>
      </c>
      <c r="S716" t="s">
        <v>602</v>
      </c>
      <c r="T716" t="s">
        <v>602</v>
      </c>
      <c r="U716" s="47">
        <v>-150</v>
      </c>
    </row>
    <row r="717" spans="2:21" x14ac:dyDescent="0.2">
      <c r="B717" s="46"/>
      <c r="F717" s="47"/>
      <c r="J717" s="46"/>
      <c r="K717" s="48"/>
      <c r="O717" t="s">
        <v>602</v>
      </c>
      <c r="P717" t="s">
        <v>602</v>
      </c>
      <c r="Q717" t="s">
        <v>602</v>
      </c>
      <c r="R717" t="s">
        <v>603</v>
      </c>
      <c r="S717" t="s">
        <v>602</v>
      </c>
      <c r="T717" t="s">
        <v>602</v>
      </c>
      <c r="U717" s="47">
        <v>-150</v>
      </c>
    </row>
    <row r="718" spans="2:21" x14ac:dyDescent="0.2">
      <c r="B718" s="46"/>
      <c r="F718" s="47"/>
      <c r="J718" s="46"/>
      <c r="K718" s="48"/>
      <c r="O718" t="s">
        <v>602</v>
      </c>
      <c r="P718" t="s">
        <v>602</v>
      </c>
      <c r="Q718" t="s">
        <v>602</v>
      </c>
      <c r="R718" t="s">
        <v>603</v>
      </c>
      <c r="S718" t="s">
        <v>602</v>
      </c>
      <c r="T718" t="s">
        <v>602</v>
      </c>
      <c r="U718" s="47">
        <v>-75</v>
      </c>
    </row>
    <row r="719" spans="2:21" x14ac:dyDescent="0.2">
      <c r="B719" s="46"/>
      <c r="F719" s="47"/>
      <c r="J719" s="46"/>
      <c r="K719" s="48"/>
      <c r="O719" t="s">
        <v>602</v>
      </c>
      <c r="P719" t="s">
        <v>602</v>
      </c>
      <c r="Q719" t="s">
        <v>602</v>
      </c>
      <c r="R719" t="s">
        <v>603</v>
      </c>
      <c r="S719" t="s">
        <v>602</v>
      </c>
      <c r="T719" t="s">
        <v>602</v>
      </c>
      <c r="U719" s="47">
        <v>-150</v>
      </c>
    </row>
    <row r="720" spans="2:21" x14ac:dyDescent="0.2">
      <c r="B720" s="46"/>
      <c r="F720" s="47"/>
      <c r="J720" s="46"/>
      <c r="K720" s="48"/>
      <c r="O720" t="s">
        <v>602</v>
      </c>
      <c r="P720" t="s">
        <v>602</v>
      </c>
      <c r="Q720" t="s">
        <v>602</v>
      </c>
      <c r="R720" t="s">
        <v>603</v>
      </c>
      <c r="S720" t="s">
        <v>602</v>
      </c>
      <c r="T720" t="s">
        <v>602</v>
      </c>
      <c r="U720" s="47">
        <v>-38</v>
      </c>
    </row>
    <row r="721" spans="2:21" x14ac:dyDescent="0.2">
      <c r="B721" s="46"/>
      <c r="F721" s="47"/>
      <c r="J721" s="46"/>
      <c r="K721" s="48"/>
      <c r="O721" t="s">
        <v>602</v>
      </c>
      <c r="P721" t="s">
        <v>602</v>
      </c>
      <c r="Q721" t="s">
        <v>602</v>
      </c>
      <c r="R721" t="s">
        <v>603</v>
      </c>
      <c r="S721" t="s">
        <v>602</v>
      </c>
      <c r="T721" t="s">
        <v>602</v>
      </c>
      <c r="U721" s="47">
        <v>-150</v>
      </c>
    </row>
    <row r="722" spans="2:21" x14ac:dyDescent="0.2">
      <c r="B722" s="46"/>
      <c r="F722" s="47"/>
      <c r="J722" s="46"/>
      <c r="K722" s="48"/>
      <c r="O722" t="s">
        <v>602</v>
      </c>
      <c r="P722" t="s">
        <v>602</v>
      </c>
      <c r="Q722" t="s">
        <v>602</v>
      </c>
      <c r="R722" t="s">
        <v>603</v>
      </c>
      <c r="S722" t="s">
        <v>602</v>
      </c>
      <c r="T722" t="s">
        <v>602</v>
      </c>
      <c r="U722" s="47">
        <v>-75</v>
      </c>
    </row>
    <row r="723" spans="2:21" x14ac:dyDescent="0.2">
      <c r="B723" s="46"/>
      <c r="F723" s="47"/>
      <c r="J723" s="46"/>
      <c r="K723" s="48"/>
      <c r="O723" t="s">
        <v>602</v>
      </c>
      <c r="P723" t="s">
        <v>602</v>
      </c>
      <c r="Q723" t="s">
        <v>602</v>
      </c>
      <c r="R723" t="s">
        <v>603</v>
      </c>
      <c r="S723" t="s">
        <v>602</v>
      </c>
      <c r="T723" t="s">
        <v>602</v>
      </c>
      <c r="U723" s="47">
        <v>-150</v>
      </c>
    </row>
    <row r="724" spans="2:21" x14ac:dyDescent="0.2">
      <c r="B724" s="46"/>
      <c r="F724" s="47"/>
      <c r="J724" s="46"/>
      <c r="K724" s="48"/>
      <c r="O724" t="s">
        <v>602</v>
      </c>
      <c r="P724" t="s">
        <v>602</v>
      </c>
      <c r="Q724" t="s">
        <v>602</v>
      </c>
      <c r="R724" t="s">
        <v>603</v>
      </c>
      <c r="S724" t="s">
        <v>602</v>
      </c>
      <c r="T724" t="s">
        <v>602</v>
      </c>
      <c r="U724" s="47">
        <v>-150</v>
      </c>
    </row>
    <row r="725" spans="2:21" x14ac:dyDescent="0.2">
      <c r="B725" s="46"/>
      <c r="F725" s="47"/>
      <c r="J725" s="46"/>
      <c r="K725" s="48"/>
      <c r="O725" t="s">
        <v>602</v>
      </c>
      <c r="P725" t="s">
        <v>602</v>
      </c>
      <c r="Q725" t="s">
        <v>602</v>
      </c>
      <c r="R725" t="s">
        <v>603</v>
      </c>
      <c r="S725" t="s">
        <v>602</v>
      </c>
      <c r="T725" t="s">
        <v>602</v>
      </c>
      <c r="U725" s="47">
        <v>-150</v>
      </c>
    </row>
    <row r="726" spans="2:21" x14ac:dyDescent="0.2">
      <c r="B726" s="46"/>
      <c r="F726" s="47"/>
      <c r="J726" s="46"/>
      <c r="K726" s="48"/>
      <c r="O726" t="s">
        <v>602</v>
      </c>
      <c r="P726" t="s">
        <v>602</v>
      </c>
      <c r="Q726" t="s">
        <v>602</v>
      </c>
      <c r="R726" t="s">
        <v>603</v>
      </c>
      <c r="S726" t="s">
        <v>602</v>
      </c>
      <c r="T726" t="s">
        <v>602</v>
      </c>
      <c r="U726" s="47">
        <v>-38</v>
      </c>
    </row>
    <row r="727" spans="2:21" x14ac:dyDescent="0.2">
      <c r="B727" s="46"/>
      <c r="F727" s="47"/>
      <c r="J727" s="46"/>
      <c r="K727" s="48"/>
      <c r="O727" t="s">
        <v>602</v>
      </c>
      <c r="P727" t="s">
        <v>602</v>
      </c>
      <c r="Q727" t="s">
        <v>602</v>
      </c>
      <c r="R727" t="s">
        <v>603</v>
      </c>
      <c r="S727" t="s">
        <v>602</v>
      </c>
      <c r="T727" t="s">
        <v>602</v>
      </c>
      <c r="U727" s="47">
        <v>-150</v>
      </c>
    </row>
    <row r="728" spans="2:21" x14ac:dyDescent="0.2">
      <c r="B728" s="46"/>
      <c r="F728" s="47"/>
      <c r="J728" s="46"/>
      <c r="K728" s="48"/>
      <c r="O728" t="s">
        <v>602</v>
      </c>
      <c r="P728" t="s">
        <v>602</v>
      </c>
      <c r="Q728" t="s">
        <v>602</v>
      </c>
      <c r="R728" t="s">
        <v>603</v>
      </c>
      <c r="S728" t="s">
        <v>602</v>
      </c>
      <c r="T728" t="s">
        <v>602</v>
      </c>
      <c r="U728" s="47">
        <v>-150</v>
      </c>
    </row>
    <row r="729" spans="2:21" x14ac:dyDescent="0.2">
      <c r="B729" s="46"/>
      <c r="F729" s="47"/>
      <c r="J729" s="46"/>
      <c r="K729" s="48"/>
      <c r="O729" t="s">
        <v>602</v>
      </c>
      <c r="P729" t="s">
        <v>602</v>
      </c>
      <c r="Q729" t="s">
        <v>602</v>
      </c>
      <c r="R729" t="s">
        <v>603</v>
      </c>
      <c r="S729" t="s">
        <v>602</v>
      </c>
      <c r="T729" t="s">
        <v>602</v>
      </c>
      <c r="U729" s="47">
        <v>-75</v>
      </c>
    </row>
    <row r="730" spans="2:21" x14ac:dyDescent="0.2">
      <c r="B730" s="46"/>
      <c r="F730" s="47"/>
      <c r="J730" s="46"/>
      <c r="K730" s="48"/>
      <c r="O730" t="s">
        <v>602</v>
      </c>
      <c r="P730" t="s">
        <v>602</v>
      </c>
      <c r="Q730" t="s">
        <v>602</v>
      </c>
      <c r="R730" t="s">
        <v>603</v>
      </c>
      <c r="S730" t="s">
        <v>602</v>
      </c>
      <c r="T730" t="s">
        <v>602</v>
      </c>
      <c r="U730" s="47">
        <v>-150</v>
      </c>
    </row>
    <row r="731" spans="2:21" x14ac:dyDescent="0.2">
      <c r="B731" s="46"/>
      <c r="F731" s="47"/>
      <c r="J731" s="46"/>
      <c r="K731" s="48"/>
      <c r="O731" t="s">
        <v>602</v>
      </c>
      <c r="P731" t="s">
        <v>602</v>
      </c>
      <c r="Q731" t="s">
        <v>602</v>
      </c>
      <c r="R731" t="s">
        <v>603</v>
      </c>
      <c r="S731" t="s">
        <v>602</v>
      </c>
      <c r="T731" t="s">
        <v>602</v>
      </c>
      <c r="U731" s="47">
        <v>-150</v>
      </c>
    </row>
    <row r="732" spans="2:21" x14ac:dyDescent="0.2">
      <c r="B732" s="46"/>
      <c r="F732" s="47"/>
      <c r="J732" s="46"/>
      <c r="K732" s="48"/>
      <c r="O732" t="s">
        <v>602</v>
      </c>
      <c r="P732" t="s">
        <v>602</v>
      </c>
      <c r="Q732" t="s">
        <v>602</v>
      </c>
      <c r="R732" t="s">
        <v>603</v>
      </c>
      <c r="S732" t="s">
        <v>602</v>
      </c>
      <c r="T732" t="s">
        <v>602</v>
      </c>
      <c r="U732" s="47">
        <v>-150</v>
      </c>
    </row>
    <row r="733" spans="2:21" x14ac:dyDescent="0.2">
      <c r="B733" s="46"/>
      <c r="F733" s="47"/>
      <c r="J733" s="46"/>
      <c r="K733" s="48"/>
      <c r="O733" t="s">
        <v>602</v>
      </c>
      <c r="P733" t="s">
        <v>602</v>
      </c>
      <c r="Q733" t="s">
        <v>602</v>
      </c>
      <c r="R733" t="s">
        <v>603</v>
      </c>
      <c r="S733" t="s">
        <v>602</v>
      </c>
      <c r="T733" t="s">
        <v>602</v>
      </c>
      <c r="U733" s="47">
        <v>-150</v>
      </c>
    </row>
    <row r="734" spans="2:21" x14ac:dyDescent="0.2">
      <c r="B734" s="46"/>
      <c r="F734" s="47"/>
      <c r="J734" s="46"/>
      <c r="K734" s="48"/>
      <c r="O734" t="s">
        <v>602</v>
      </c>
      <c r="P734" t="s">
        <v>602</v>
      </c>
      <c r="Q734" t="s">
        <v>602</v>
      </c>
      <c r="R734" t="s">
        <v>603</v>
      </c>
      <c r="S734" t="s">
        <v>602</v>
      </c>
      <c r="T734" t="s">
        <v>602</v>
      </c>
      <c r="U734" s="47">
        <v>-150</v>
      </c>
    </row>
    <row r="735" spans="2:21" x14ac:dyDescent="0.2">
      <c r="B735" s="46"/>
      <c r="F735" s="47"/>
      <c r="J735" s="46"/>
      <c r="K735" s="48"/>
      <c r="O735" t="s">
        <v>602</v>
      </c>
      <c r="P735" t="s">
        <v>602</v>
      </c>
      <c r="Q735" t="s">
        <v>602</v>
      </c>
      <c r="R735" t="s">
        <v>603</v>
      </c>
      <c r="S735" t="s">
        <v>602</v>
      </c>
      <c r="T735" t="s">
        <v>602</v>
      </c>
      <c r="U735" s="47">
        <v>-150</v>
      </c>
    </row>
    <row r="736" spans="2:21" x14ac:dyDescent="0.2">
      <c r="B736" s="46"/>
      <c r="F736" s="47"/>
      <c r="J736" s="46"/>
      <c r="K736" s="48"/>
      <c r="O736" t="s">
        <v>602</v>
      </c>
      <c r="P736" t="s">
        <v>602</v>
      </c>
      <c r="Q736" t="s">
        <v>602</v>
      </c>
      <c r="R736" t="s">
        <v>603</v>
      </c>
      <c r="S736" t="s">
        <v>602</v>
      </c>
      <c r="T736" t="s">
        <v>602</v>
      </c>
      <c r="U736" s="47">
        <v>-150</v>
      </c>
    </row>
    <row r="737" spans="2:21" x14ac:dyDescent="0.2">
      <c r="B737" s="46"/>
      <c r="F737" s="47"/>
      <c r="J737" s="46"/>
      <c r="K737" s="48"/>
      <c r="O737" t="s">
        <v>602</v>
      </c>
      <c r="P737" t="s">
        <v>602</v>
      </c>
      <c r="Q737" t="s">
        <v>602</v>
      </c>
      <c r="R737" t="s">
        <v>603</v>
      </c>
      <c r="S737" t="s">
        <v>602</v>
      </c>
      <c r="T737" t="s">
        <v>602</v>
      </c>
      <c r="U737" s="47">
        <v>-1240</v>
      </c>
    </row>
    <row r="738" spans="2:21" x14ac:dyDescent="0.2">
      <c r="B738" s="46"/>
      <c r="F738" s="47"/>
      <c r="J738" s="46"/>
      <c r="K738" s="48"/>
      <c r="O738" t="s">
        <v>602</v>
      </c>
      <c r="P738" t="s">
        <v>602</v>
      </c>
      <c r="Q738" t="s">
        <v>602</v>
      </c>
      <c r="R738" t="s">
        <v>603</v>
      </c>
      <c r="S738" t="s">
        <v>602</v>
      </c>
      <c r="T738" t="s">
        <v>602</v>
      </c>
      <c r="U738" s="47">
        <v>-1240</v>
      </c>
    </row>
    <row r="739" spans="2:21" x14ac:dyDescent="0.2">
      <c r="B739" s="46"/>
      <c r="F739" s="47"/>
      <c r="J739" s="46"/>
      <c r="K739" s="48"/>
      <c r="O739" t="s">
        <v>602</v>
      </c>
      <c r="P739" t="s">
        <v>602</v>
      </c>
      <c r="Q739" t="s">
        <v>602</v>
      </c>
      <c r="R739" t="s">
        <v>603</v>
      </c>
      <c r="S739" t="s">
        <v>602</v>
      </c>
      <c r="T739" t="s">
        <v>602</v>
      </c>
      <c r="U739" s="47">
        <v>-1240</v>
      </c>
    </row>
    <row r="740" spans="2:21" x14ac:dyDescent="0.2">
      <c r="B740" s="46"/>
      <c r="F740" s="47"/>
      <c r="J740" s="46"/>
      <c r="K740" s="48"/>
      <c r="O740" t="s">
        <v>602</v>
      </c>
      <c r="P740" t="s">
        <v>602</v>
      </c>
      <c r="Q740" t="s">
        <v>602</v>
      </c>
      <c r="R740" t="s">
        <v>603</v>
      </c>
      <c r="S740" t="s">
        <v>602</v>
      </c>
      <c r="T740" t="s">
        <v>602</v>
      </c>
      <c r="U740" s="47">
        <v>-1240</v>
      </c>
    </row>
    <row r="741" spans="2:21" x14ac:dyDescent="0.2">
      <c r="B741" s="46"/>
      <c r="F741" s="47"/>
      <c r="J741" s="46"/>
      <c r="K741" s="48"/>
      <c r="O741" t="s">
        <v>602</v>
      </c>
      <c r="P741" t="s">
        <v>602</v>
      </c>
      <c r="Q741" t="s">
        <v>602</v>
      </c>
      <c r="R741" t="s">
        <v>603</v>
      </c>
      <c r="S741" t="s">
        <v>602</v>
      </c>
      <c r="T741" t="s">
        <v>602</v>
      </c>
      <c r="U741" s="47">
        <v>-620</v>
      </c>
    </row>
    <row r="742" spans="2:21" x14ac:dyDescent="0.2">
      <c r="B742" s="46"/>
      <c r="F742" s="47"/>
      <c r="J742" s="46"/>
      <c r="K742" s="48"/>
      <c r="O742" t="s">
        <v>602</v>
      </c>
      <c r="P742" t="s">
        <v>602</v>
      </c>
      <c r="Q742" t="s">
        <v>602</v>
      </c>
      <c r="R742" t="s">
        <v>603</v>
      </c>
      <c r="S742" t="s">
        <v>602</v>
      </c>
      <c r="T742" t="s">
        <v>602</v>
      </c>
      <c r="U742" s="47">
        <v>-620</v>
      </c>
    </row>
    <row r="743" spans="2:21" x14ac:dyDescent="0.2">
      <c r="B743" s="46"/>
      <c r="F743" s="47"/>
      <c r="J743" s="46"/>
      <c r="K743" s="48"/>
      <c r="O743" t="s">
        <v>602</v>
      </c>
      <c r="P743" t="s">
        <v>602</v>
      </c>
      <c r="Q743" t="s">
        <v>602</v>
      </c>
      <c r="R743" t="s">
        <v>603</v>
      </c>
      <c r="S743" t="s">
        <v>602</v>
      </c>
      <c r="T743" t="s">
        <v>602</v>
      </c>
      <c r="U743" s="47">
        <v>-1240</v>
      </c>
    </row>
    <row r="744" spans="2:21" x14ac:dyDescent="0.2">
      <c r="B744" s="46"/>
      <c r="F744" s="47"/>
      <c r="J744" s="46"/>
      <c r="K744" s="48"/>
      <c r="O744" t="s">
        <v>602</v>
      </c>
      <c r="P744" t="s">
        <v>602</v>
      </c>
      <c r="Q744" t="s">
        <v>602</v>
      </c>
      <c r="R744" t="s">
        <v>603</v>
      </c>
      <c r="S744" t="s">
        <v>602</v>
      </c>
      <c r="T744" t="s">
        <v>602</v>
      </c>
      <c r="U744" s="47">
        <v>-1240</v>
      </c>
    </row>
    <row r="745" spans="2:21" x14ac:dyDescent="0.2">
      <c r="B745" s="46"/>
      <c r="F745" s="47"/>
      <c r="J745" s="46"/>
      <c r="K745" s="48"/>
      <c r="O745" t="s">
        <v>602</v>
      </c>
      <c r="P745" t="s">
        <v>602</v>
      </c>
      <c r="Q745" t="s">
        <v>602</v>
      </c>
      <c r="R745" t="s">
        <v>603</v>
      </c>
      <c r="S745" t="s">
        <v>602</v>
      </c>
      <c r="T745" t="s">
        <v>602</v>
      </c>
      <c r="U745" s="47">
        <v>-1240</v>
      </c>
    </row>
    <row r="746" spans="2:21" x14ac:dyDescent="0.2">
      <c r="B746" s="46"/>
      <c r="F746" s="47"/>
      <c r="J746" s="46"/>
      <c r="K746" s="48"/>
      <c r="O746" t="s">
        <v>602</v>
      </c>
      <c r="P746" t="s">
        <v>602</v>
      </c>
      <c r="Q746" t="s">
        <v>602</v>
      </c>
      <c r="R746" t="s">
        <v>603</v>
      </c>
      <c r="S746" t="s">
        <v>602</v>
      </c>
      <c r="T746" t="s">
        <v>602</v>
      </c>
      <c r="U746" s="47">
        <v>-1240</v>
      </c>
    </row>
    <row r="747" spans="2:21" x14ac:dyDescent="0.2">
      <c r="B747" s="46"/>
      <c r="F747" s="47"/>
      <c r="J747" s="46"/>
      <c r="K747" s="48"/>
      <c r="O747" t="s">
        <v>602</v>
      </c>
      <c r="P747" t="s">
        <v>602</v>
      </c>
      <c r="Q747" t="s">
        <v>602</v>
      </c>
      <c r="R747" t="s">
        <v>603</v>
      </c>
      <c r="S747" t="s">
        <v>602</v>
      </c>
      <c r="T747" t="s">
        <v>602</v>
      </c>
      <c r="U747" s="47">
        <v>-1240</v>
      </c>
    </row>
    <row r="748" spans="2:21" x14ac:dyDescent="0.2">
      <c r="B748" s="46"/>
      <c r="F748" s="47"/>
      <c r="J748" s="46"/>
      <c r="K748" s="48"/>
      <c r="O748" t="s">
        <v>602</v>
      </c>
      <c r="P748" t="s">
        <v>602</v>
      </c>
      <c r="Q748" t="s">
        <v>602</v>
      </c>
      <c r="R748" t="s">
        <v>603</v>
      </c>
      <c r="S748" t="s">
        <v>602</v>
      </c>
      <c r="T748" t="s">
        <v>602</v>
      </c>
      <c r="U748" s="47">
        <v>-1240</v>
      </c>
    </row>
    <row r="749" spans="2:21" x14ac:dyDescent="0.2">
      <c r="B749" s="46"/>
      <c r="F749" s="47"/>
      <c r="J749" s="46"/>
      <c r="K749" s="48"/>
      <c r="O749" t="s">
        <v>602</v>
      </c>
      <c r="P749" t="s">
        <v>602</v>
      </c>
      <c r="Q749" t="s">
        <v>602</v>
      </c>
      <c r="R749" t="s">
        <v>603</v>
      </c>
      <c r="S749" t="s">
        <v>602</v>
      </c>
      <c r="T749" t="s">
        <v>602</v>
      </c>
      <c r="U749" s="47">
        <v>-1240</v>
      </c>
    </row>
    <row r="750" spans="2:21" x14ac:dyDescent="0.2">
      <c r="B750" s="46"/>
      <c r="F750" s="47"/>
      <c r="J750" s="46"/>
      <c r="K750" s="48"/>
      <c r="O750" t="s">
        <v>602</v>
      </c>
      <c r="P750" t="s">
        <v>602</v>
      </c>
      <c r="Q750" t="s">
        <v>602</v>
      </c>
      <c r="R750" t="s">
        <v>603</v>
      </c>
      <c r="S750" t="s">
        <v>602</v>
      </c>
      <c r="T750" t="s">
        <v>602</v>
      </c>
      <c r="U750" s="47">
        <v>-1240</v>
      </c>
    </row>
    <row r="751" spans="2:21" x14ac:dyDescent="0.2">
      <c r="B751" s="46"/>
      <c r="F751" s="47"/>
      <c r="J751" s="46"/>
      <c r="K751" s="48"/>
      <c r="O751" t="s">
        <v>602</v>
      </c>
      <c r="P751" t="s">
        <v>602</v>
      </c>
      <c r="Q751" t="s">
        <v>602</v>
      </c>
      <c r="R751" t="s">
        <v>603</v>
      </c>
      <c r="S751" t="s">
        <v>602</v>
      </c>
      <c r="T751" t="s">
        <v>602</v>
      </c>
      <c r="U751" s="47">
        <v>-1240</v>
      </c>
    </row>
    <row r="752" spans="2:21" x14ac:dyDescent="0.2">
      <c r="B752" s="46"/>
      <c r="F752" s="47"/>
      <c r="J752" s="46"/>
      <c r="K752" s="48"/>
      <c r="O752" t="s">
        <v>602</v>
      </c>
      <c r="P752" t="s">
        <v>602</v>
      </c>
      <c r="Q752" t="s">
        <v>602</v>
      </c>
      <c r="R752" t="s">
        <v>603</v>
      </c>
      <c r="S752" t="s">
        <v>602</v>
      </c>
      <c r="T752" t="s">
        <v>602</v>
      </c>
      <c r="U752" s="47">
        <v>-1240</v>
      </c>
    </row>
    <row r="753" spans="2:21" x14ac:dyDescent="0.2">
      <c r="B753" s="46"/>
      <c r="F753" s="47"/>
      <c r="J753" s="46"/>
      <c r="K753" s="48"/>
      <c r="O753" t="s">
        <v>602</v>
      </c>
      <c r="P753" t="s">
        <v>602</v>
      </c>
      <c r="Q753" t="s">
        <v>602</v>
      </c>
      <c r="R753" t="s">
        <v>603</v>
      </c>
      <c r="S753" t="s">
        <v>602</v>
      </c>
      <c r="T753" t="s">
        <v>602</v>
      </c>
      <c r="U753" s="47">
        <v>-310</v>
      </c>
    </row>
    <row r="754" spans="2:21" x14ac:dyDescent="0.2">
      <c r="B754" s="46"/>
      <c r="F754" s="47"/>
      <c r="J754" s="46"/>
      <c r="K754" s="48"/>
      <c r="O754" t="s">
        <v>602</v>
      </c>
      <c r="P754" t="s">
        <v>602</v>
      </c>
      <c r="Q754" t="s">
        <v>602</v>
      </c>
      <c r="R754" t="s">
        <v>603</v>
      </c>
      <c r="S754" t="s">
        <v>602</v>
      </c>
      <c r="T754" t="s">
        <v>602</v>
      </c>
      <c r="U754" s="47">
        <v>-310</v>
      </c>
    </row>
    <row r="755" spans="2:21" x14ac:dyDescent="0.2">
      <c r="B755" s="46"/>
      <c r="F755" s="47"/>
      <c r="J755" s="46"/>
      <c r="K755" s="48"/>
      <c r="O755" t="s">
        <v>602</v>
      </c>
      <c r="P755" t="s">
        <v>602</v>
      </c>
      <c r="Q755" t="s">
        <v>602</v>
      </c>
      <c r="R755" t="s">
        <v>603</v>
      </c>
      <c r="S755" t="s">
        <v>602</v>
      </c>
      <c r="T755" t="s">
        <v>602</v>
      </c>
      <c r="U755" s="47">
        <v>-1240</v>
      </c>
    </row>
    <row r="756" spans="2:21" x14ac:dyDescent="0.2">
      <c r="B756" s="46"/>
      <c r="F756" s="47"/>
      <c r="J756" s="46"/>
      <c r="K756" s="48"/>
      <c r="O756" t="s">
        <v>602</v>
      </c>
      <c r="P756" t="s">
        <v>602</v>
      </c>
      <c r="Q756" t="s">
        <v>602</v>
      </c>
      <c r="R756" t="s">
        <v>603</v>
      </c>
      <c r="S756" t="s">
        <v>602</v>
      </c>
      <c r="T756" t="s">
        <v>602</v>
      </c>
      <c r="U756" s="47">
        <v>-1240</v>
      </c>
    </row>
    <row r="757" spans="2:21" x14ac:dyDescent="0.2">
      <c r="B757" s="46"/>
      <c r="F757" s="47"/>
      <c r="J757" s="46"/>
      <c r="K757" s="48"/>
      <c r="O757" t="s">
        <v>602</v>
      </c>
      <c r="P757" t="s">
        <v>602</v>
      </c>
      <c r="Q757" t="s">
        <v>602</v>
      </c>
      <c r="R757" t="s">
        <v>603</v>
      </c>
      <c r="S757" t="s">
        <v>602</v>
      </c>
      <c r="T757" t="s">
        <v>602</v>
      </c>
      <c r="U757" s="47">
        <v>-500</v>
      </c>
    </row>
    <row r="758" spans="2:21" x14ac:dyDescent="0.2">
      <c r="B758" s="46"/>
      <c r="F758" s="47"/>
      <c r="J758" s="46"/>
      <c r="K758" s="48"/>
      <c r="O758" t="s">
        <v>602</v>
      </c>
      <c r="P758" t="s">
        <v>602</v>
      </c>
      <c r="Q758" t="s">
        <v>602</v>
      </c>
      <c r="R758" t="s">
        <v>603</v>
      </c>
      <c r="S758" t="s">
        <v>602</v>
      </c>
      <c r="T758" t="s">
        <v>602</v>
      </c>
      <c r="U758" s="47">
        <v>-108</v>
      </c>
    </row>
    <row r="759" spans="2:21" x14ac:dyDescent="0.2">
      <c r="B759" s="46"/>
      <c r="F759" s="47"/>
      <c r="J759" s="46"/>
      <c r="K759" s="48"/>
      <c r="O759" t="s">
        <v>602</v>
      </c>
      <c r="P759" t="s">
        <v>602</v>
      </c>
      <c r="Q759" t="s">
        <v>602</v>
      </c>
      <c r="R759" t="s">
        <v>603</v>
      </c>
      <c r="S759" t="s">
        <v>602</v>
      </c>
      <c r="T759" t="s">
        <v>602</v>
      </c>
      <c r="U759" s="47">
        <v>-215</v>
      </c>
    </row>
    <row r="760" spans="2:21" x14ac:dyDescent="0.2">
      <c r="B760" s="46"/>
      <c r="F760" s="47"/>
      <c r="J760" s="46"/>
      <c r="K760" s="48"/>
      <c r="O760" t="s">
        <v>602</v>
      </c>
      <c r="P760" t="s">
        <v>602</v>
      </c>
      <c r="Q760" t="s">
        <v>602</v>
      </c>
      <c r="R760" t="s">
        <v>603</v>
      </c>
      <c r="S760" t="s">
        <v>602</v>
      </c>
      <c r="T760" t="s">
        <v>602</v>
      </c>
      <c r="U760" s="47">
        <v>-430</v>
      </c>
    </row>
    <row r="761" spans="2:21" x14ac:dyDescent="0.2">
      <c r="B761" s="46"/>
      <c r="F761" s="47"/>
      <c r="J761" s="46"/>
      <c r="K761" s="48"/>
      <c r="O761" t="s">
        <v>602</v>
      </c>
      <c r="P761" t="s">
        <v>602</v>
      </c>
      <c r="Q761" t="s">
        <v>602</v>
      </c>
      <c r="R761" t="s">
        <v>603</v>
      </c>
      <c r="S761" t="s">
        <v>602</v>
      </c>
      <c r="T761" t="s">
        <v>602</v>
      </c>
      <c r="U761" s="47">
        <v>-430</v>
      </c>
    </row>
    <row r="762" spans="2:21" x14ac:dyDescent="0.2">
      <c r="B762" s="46"/>
      <c r="F762" s="47"/>
      <c r="J762" s="46"/>
      <c r="K762" s="48"/>
      <c r="O762" t="s">
        <v>602</v>
      </c>
      <c r="P762" t="s">
        <v>602</v>
      </c>
      <c r="Q762" t="s">
        <v>602</v>
      </c>
      <c r="R762" t="s">
        <v>603</v>
      </c>
      <c r="S762" t="s">
        <v>602</v>
      </c>
      <c r="T762" t="s">
        <v>602</v>
      </c>
      <c r="U762" s="47">
        <v>-430</v>
      </c>
    </row>
    <row r="763" spans="2:21" x14ac:dyDescent="0.2">
      <c r="B763" s="46"/>
      <c r="F763" s="47"/>
      <c r="J763" s="46"/>
      <c r="K763" s="48"/>
      <c r="O763" t="s">
        <v>602</v>
      </c>
      <c r="P763" t="s">
        <v>602</v>
      </c>
      <c r="Q763" t="s">
        <v>602</v>
      </c>
      <c r="R763" t="s">
        <v>603</v>
      </c>
      <c r="S763" t="s">
        <v>602</v>
      </c>
      <c r="T763" t="s">
        <v>602</v>
      </c>
      <c r="U763" s="47">
        <v>-430</v>
      </c>
    </row>
    <row r="764" spans="2:21" x14ac:dyDescent="0.2">
      <c r="B764" s="46"/>
      <c r="F764" s="47"/>
      <c r="J764" s="46"/>
      <c r="K764" s="48"/>
      <c r="O764" t="s">
        <v>602</v>
      </c>
      <c r="P764" t="s">
        <v>602</v>
      </c>
      <c r="Q764" t="s">
        <v>602</v>
      </c>
      <c r="R764" t="s">
        <v>603</v>
      </c>
      <c r="S764" t="s">
        <v>602</v>
      </c>
      <c r="T764" t="s">
        <v>602</v>
      </c>
      <c r="U764" s="47">
        <v>-430</v>
      </c>
    </row>
    <row r="765" spans="2:21" x14ac:dyDescent="0.2">
      <c r="B765" s="46"/>
      <c r="F765" s="47"/>
      <c r="J765" s="46"/>
      <c r="K765" s="48"/>
      <c r="O765" t="s">
        <v>602</v>
      </c>
      <c r="P765" t="s">
        <v>602</v>
      </c>
      <c r="Q765" t="s">
        <v>602</v>
      </c>
      <c r="R765" t="s">
        <v>603</v>
      </c>
      <c r="S765" t="s">
        <v>602</v>
      </c>
      <c r="T765" t="s">
        <v>602</v>
      </c>
      <c r="U765" s="47">
        <v>-430</v>
      </c>
    </row>
    <row r="766" spans="2:21" x14ac:dyDescent="0.2">
      <c r="B766" s="46"/>
      <c r="F766" s="47"/>
      <c r="J766" s="46"/>
      <c r="K766" s="48"/>
      <c r="O766" t="s">
        <v>602</v>
      </c>
      <c r="P766" t="s">
        <v>602</v>
      </c>
      <c r="Q766" t="s">
        <v>602</v>
      </c>
      <c r="R766" t="s">
        <v>603</v>
      </c>
      <c r="S766" t="s">
        <v>602</v>
      </c>
      <c r="T766" t="s">
        <v>602</v>
      </c>
      <c r="U766" s="47">
        <v>-22</v>
      </c>
    </row>
    <row r="767" spans="2:21" x14ac:dyDescent="0.2">
      <c r="B767" s="46"/>
      <c r="F767" s="47"/>
      <c r="J767" s="46"/>
      <c r="K767" s="48"/>
      <c r="O767" t="s">
        <v>602</v>
      </c>
      <c r="P767" t="s">
        <v>602</v>
      </c>
      <c r="Q767" t="s">
        <v>602</v>
      </c>
      <c r="R767" t="s">
        <v>603</v>
      </c>
      <c r="S767" t="s">
        <v>602</v>
      </c>
      <c r="T767" t="s">
        <v>602</v>
      </c>
      <c r="U767" s="47">
        <v>-107</v>
      </c>
    </row>
    <row r="768" spans="2:21" x14ac:dyDescent="0.2">
      <c r="B768" s="46"/>
      <c r="F768" s="47"/>
      <c r="J768" s="46"/>
      <c r="K768" s="48"/>
      <c r="O768" t="s">
        <v>602</v>
      </c>
      <c r="P768" t="s">
        <v>602</v>
      </c>
      <c r="Q768" t="s">
        <v>602</v>
      </c>
      <c r="R768" t="s">
        <v>603</v>
      </c>
      <c r="S768" t="s">
        <v>602</v>
      </c>
      <c r="T768" t="s">
        <v>602</v>
      </c>
      <c r="U768" s="47">
        <v>-215</v>
      </c>
    </row>
    <row r="769" spans="2:21" x14ac:dyDescent="0.2">
      <c r="B769" s="46"/>
      <c r="F769" s="47"/>
      <c r="J769" s="46"/>
      <c r="K769" s="48"/>
      <c r="O769" t="s">
        <v>602</v>
      </c>
      <c r="P769" t="s">
        <v>602</v>
      </c>
      <c r="Q769" t="s">
        <v>602</v>
      </c>
      <c r="R769" t="s">
        <v>603</v>
      </c>
      <c r="S769" t="s">
        <v>602</v>
      </c>
      <c r="T769" t="s">
        <v>602</v>
      </c>
      <c r="U769" s="47">
        <v>-430</v>
      </c>
    </row>
    <row r="770" spans="2:21" x14ac:dyDescent="0.2">
      <c r="B770" s="46"/>
      <c r="F770" s="47"/>
      <c r="J770" s="46"/>
      <c r="K770" s="48"/>
      <c r="O770" t="s">
        <v>602</v>
      </c>
      <c r="P770" t="s">
        <v>602</v>
      </c>
      <c r="Q770" t="s">
        <v>602</v>
      </c>
      <c r="R770" t="s">
        <v>603</v>
      </c>
      <c r="S770" t="s">
        <v>602</v>
      </c>
      <c r="T770" t="s">
        <v>602</v>
      </c>
      <c r="U770" s="47">
        <v>-430</v>
      </c>
    </row>
    <row r="771" spans="2:21" x14ac:dyDescent="0.2">
      <c r="B771" s="46"/>
      <c r="F771" s="47"/>
      <c r="J771" s="46"/>
      <c r="K771" s="48"/>
      <c r="O771" t="s">
        <v>602</v>
      </c>
      <c r="P771" t="s">
        <v>602</v>
      </c>
      <c r="Q771" t="s">
        <v>602</v>
      </c>
      <c r="R771" t="s">
        <v>603</v>
      </c>
      <c r="S771" t="s">
        <v>602</v>
      </c>
      <c r="T771" t="s">
        <v>602</v>
      </c>
      <c r="U771" s="47">
        <v>-430</v>
      </c>
    </row>
    <row r="772" spans="2:21" x14ac:dyDescent="0.2">
      <c r="B772" s="46"/>
      <c r="F772" s="47"/>
      <c r="J772" s="46"/>
      <c r="K772" s="48"/>
      <c r="O772" t="s">
        <v>602</v>
      </c>
      <c r="P772" t="s">
        <v>602</v>
      </c>
      <c r="Q772" t="s">
        <v>602</v>
      </c>
      <c r="R772" t="s">
        <v>603</v>
      </c>
      <c r="S772" t="s">
        <v>602</v>
      </c>
      <c r="T772" t="s">
        <v>602</v>
      </c>
      <c r="U772" s="47">
        <v>-430</v>
      </c>
    </row>
    <row r="773" spans="2:21" x14ac:dyDescent="0.2">
      <c r="B773" s="46"/>
      <c r="F773" s="47"/>
      <c r="J773" s="46"/>
      <c r="K773" s="48"/>
      <c r="O773" t="s">
        <v>602</v>
      </c>
      <c r="P773" t="s">
        <v>602</v>
      </c>
      <c r="Q773" t="s">
        <v>602</v>
      </c>
      <c r="R773" t="s">
        <v>603</v>
      </c>
      <c r="S773" t="s">
        <v>602</v>
      </c>
      <c r="T773" t="s">
        <v>602</v>
      </c>
      <c r="U773" s="47">
        <v>-430</v>
      </c>
    </row>
    <row r="774" spans="2:21" x14ac:dyDescent="0.2">
      <c r="B774" s="46"/>
      <c r="F774" s="47"/>
      <c r="J774" s="46"/>
      <c r="K774" s="48"/>
      <c r="O774" t="s">
        <v>602</v>
      </c>
      <c r="P774" t="s">
        <v>602</v>
      </c>
      <c r="Q774" t="s">
        <v>602</v>
      </c>
      <c r="R774" t="s">
        <v>603</v>
      </c>
      <c r="S774" t="s">
        <v>602</v>
      </c>
      <c r="T774" t="s">
        <v>602</v>
      </c>
      <c r="U774" s="47">
        <v>-430</v>
      </c>
    </row>
    <row r="775" spans="2:21" x14ac:dyDescent="0.2">
      <c r="B775" s="46"/>
      <c r="F775" s="47"/>
      <c r="J775" s="46"/>
      <c r="K775" s="48"/>
      <c r="O775" t="s">
        <v>602</v>
      </c>
      <c r="P775" t="s">
        <v>602</v>
      </c>
      <c r="Q775" t="s">
        <v>602</v>
      </c>
      <c r="R775" t="s">
        <v>603</v>
      </c>
      <c r="S775" t="s">
        <v>602</v>
      </c>
      <c r="T775" t="s">
        <v>602</v>
      </c>
      <c r="U775" s="47">
        <v>-430</v>
      </c>
    </row>
    <row r="776" spans="2:21" x14ac:dyDescent="0.2">
      <c r="B776" s="46"/>
      <c r="F776" s="47"/>
      <c r="J776" s="46"/>
      <c r="K776" s="48"/>
      <c r="O776" t="s">
        <v>602</v>
      </c>
      <c r="P776" t="s">
        <v>602</v>
      </c>
      <c r="Q776" t="s">
        <v>602</v>
      </c>
      <c r="R776" t="s">
        <v>603</v>
      </c>
      <c r="S776" t="s">
        <v>602</v>
      </c>
      <c r="T776" t="s">
        <v>602</v>
      </c>
      <c r="U776" s="47">
        <v>-430</v>
      </c>
    </row>
    <row r="777" spans="2:21" x14ac:dyDescent="0.2">
      <c r="B777" s="46"/>
      <c r="F777" s="47"/>
      <c r="J777" s="46"/>
      <c r="K777" s="48"/>
      <c r="O777" t="s">
        <v>602</v>
      </c>
      <c r="P777" t="s">
        <v>602</v>
      </c>
      <c r="Q777" t="s">
        <v>602</v>
      </c>
      <c r="R777" t="s">
        <v>603</v>
      </c>
      <c r="S777" t="s">
        <v>602</v>
      </c>
      <c r="T777" t="s">
        <v>602</v>
      </c>
      <c r="U777" s="47">
        <v>-430</v>
      </c>
    </row>
    <row r="778" spans="2:21" x14ac:dyDescent="0.2">
      <c r="B778" s="46"/>
      <c r="F778" s="47"/>
      <c r="J778" s="46"/>
      <c r="K778" s="48"/>
      <c r="O778" t="s">
        <v>602</v>
      </c>
      <c r="P778" t="s">
        <v>602</v>
      </c>
      <c r="Q778" t="s">
        <v>602</v>
      </c>
      <c r="R778" t="s">
        <v>603</v>
      </c>
      <c r="S778" t="s">
        <v>602</v>
      </c>
      <c r="T778" t="s">
        <v>602</v>
      </c>
      <c r="U778" s="47">
        <v>-430</v>
      </c>
    </row>
    <row r="779" spans="2:21" x14ac:dyDescent="0.2">
      <c r="B779" s="46"/>
      <c r="F779" s="47"/>
      <c r="J779" s="46"/>
      <c r="K779" s="48"/>
      <c r="O779" t="s">
        <v>602</v>
      </c>
      <c r="P779" t="s">
        <v>602</v>
      </c>
      <c r="Q779" t="s">
        <v>602</v>
      </c>
      <c r="R779" t="s">
        <v>603</v>
      </c>
      <c r="S779" t="s">
        <v>602</v>
      </c>
      <c r="T779" t="s">
        <v>602</v>
      </c>
      <c r="U779" s="47">
        <v>-179</v>
      </c>
    </row>
    <row r="780" spans="2:21" x14ac:dyDescent="0.2">
      <c r="B780" s="46"/>
      <c r="F780" s="47"/>
      <c r="J780" s="46"/>
      <c r="K780" s="48"/>
      <c r="O780" t="s">
        <v>602</v>
      </c>
      <c r="P780" t="s">
        <v>602</v>
      </c>
      <c r="Q780" t="s">
        <v>602</v>
      </c>
      <c r="R780" t="s">
        <v>603</v>
      </c>
      <c r="S780" t="s">
        <v>602</v>
      </c>
      <c r="T780" t="s">
        <v>602</v>
      </c>
      <c r="U780" s="47">
        <v>-143</v>
      </c>
    </row>
    <row r="781" spans="2:21" x14ac:dyDescent="0.2">
      <c r="B781" s="46"/>
      <c r="F781" s="47"/>
      <c r="J781" s="46"/>
      <c r="K781" s="48"/>
      <c r="O781" t="s">
        <v>602</v>
      </c>
      <c r="P781" t="s">
        <v>602</v>
      </c>
      <c r="Q781" t="s">
        <v>602</v>
      </c>
      <c r="R781" t="s">
        <v>603</v>
      </c>
      <c r="S781" t="s">
        <v>602</v>
      </c>
      <c r="T781" t="s">
        <v>602</v>
      </c>
      <c r="U781" s="47">
        <v>-55</v>
      </c>
    </row>
    <row r="782" spans="2:21" x14ac:dyDescent="0.2">
      <c r="B782" s="46"/>
      <c r="F782" s="47"/>
      <c r="J782" s="46"/>
      <c r="K782" s="48"/>
      <c r="O782" t="s">
        <v>602</v>
      </c>
      <c r="P782" t="s">
        <v>602</v>
      </c>
      <c r="Q782" t="s">
        <v>602</v>
      </c>
      <c r="R782" t="s">
        <v>603</v>
      </c>
      <c r="S782" t="s">
        <v>602</v>
      </c>
      <c r="T782" t="s">
        <v>602</v>
      </c>
      <c r="U782" s="47">
        <v>-220</v>
      </c>
    </row>
    <row r="783" spans="2:21" x14ac:dyDescent="0.2">
      <c r="B783" s="46"/>
      <c r="F783" s="47"/>
      <c r="J783" s="46"/>
      <c r="K783" s="48"/>
      <c r="O783" t="s">
        <v>602</v>
      </c>
      <c r="P783" t="s">
        <v>602</v>
      </c>
      <c r="Q783" t="s">
        <v>602</v>
      </c>
      <c r="R783" t="s">
        <v>603</v>
      </c>
      <c r="S783" t="s">
        <v>602</v>
      </c>
      <c r="T783" t="s">
        <v>602</v>
      </c>
      <c r="U783" s="47">
        <v>-11</v>
      </c>
    </row>
    <row r="784" spans="2:21" x14ac:dyDescent="0.2">
      <c r="B784" s="46"/>
      <c r="F784" s="47"/>
      <c r="J784" s="46"/>
      <c r="K784" s="48"/>
      <c r="O784" t="s">
        <v>602</v>
      </c>
      <c r="P784" t="s">
        <v>602</v>
      </c>
      <c r="Q784" t="s">
        <v>602</v>
      </c>
      <c r="R784" t="s">
        <v>603</v>
      </c>
      <c r="S784" t="s">
        <v>602</v>
      </c>
      <c r="T784" t="s">
        <v>602</v>
      </c>
      <c r="U784" s="47">
        <v>-121</v>
      </c>
    </row>
    <row r="785" spans="2:21" x14ac:dyDescent="0.2">
      <c r="B785" s="46"/>
      <c r="F785" s="47"/>
      <c r="J785" s="46"/>
      <c r="K785" s="48"/>
      <c r="O785" t="s">
        <v>602</v>
      </c>
      <c r="P785" t="s">
        <v>602</v>
      </c>
      <c r="Q785" t="s">
        <v>602</v>
      </c>
      <c r="R785" t="s">
        <v>603</v>
      </c>
      <c r="S785" t="s">
        <v>602</v>
      </c>
      <c r="T785" t="s">
        <v>602</v>
      </c>
      <c r="U785" s="47">
        <v>-110</v>
      </c>
    </row>
    <row r="786" spans="2:21" x14ac:dyDescent="0.2">
      <c r="B786" s="46"/>
      <c r="F786" s="47"/>
      <c r="J786" s="46"/>
      <c r="K786" s="48"/>
      <c r="O786" t="s">
        <v>602</v>
      </c>
      <c r="P786" t="s">
        <v>602</v>
      </c>
      <c r="Q786" t="s">
        <v>602</v>
      </c>
      <c r="R786" t="s">
        <v>603</v>
      </c>
      <c r="S786" t="s">
        <v>602</v>
      </c>
      <c r="T786" t="s">
        <v>602</v>
      </c>
      <c r="U786" s="47">
        <v>-22</v>
      </c>
    </row>
    <row r="787" spans="2:21" x14ac:dyDescent="0.2">
      <c r="B787" s="46"/>
      <c r="F787" s="47"/>
      <c r="J787" s="46"/>
      <c r="K787" s="48"/>
      <c r="O787" t="s">
        <v>602</v>
      </c>
      <c r="P787" t="s">
        <v>602</v>
      </c>
      <c r="Q787" t="s">
        <v>602</v>
      </c>
      <c r="R787" t="s">
        <v>603</v>
      </c>
      <c r="S787" t="s">
        <v>602</v>
      </c>
      <c r="T787" t="s">
        <v>602</v>
      </c>
      <c r="U787" s="47">
        <v>-220</v>
      </c>
    </row>
    <row r="788" spans="2:21" x14ac:dyDescent="0.2">
      <c r="B788" s="46"/>
      <c r="F788" s="47"/>
      <c r="J788" s="46"/>
      <c r="K788" s="48"/>
      <c r="O788" t="s">
        <v>602</v>
      </c>
      <c r="P788" t="s">
        <v>602</v>
      </c>
      <c r="Q788" t="s">
        <v>602</v>
      </c>
      <c r="R788" t="s">
        <v>603</v>
      </c>
      <c r="S788" t="s">
        <v>602</v>
      </c>
      <c r="T788" t="s">
        <v>602</v>
      </c>
      <c r="U788" s="47">
        <v>-99</v>
      </c>
    </row>
    <row r="789" spans="2:21" x14ac:dyDescent="0.2">
      <c r="B789" s="46"/>
      <c r="F789" s="47"/>
      <c r="J789" s="46"/>
      <c r="K789" s="48"/>
      <c r="O789" t="s">
        <v>602</v>
      </c>
      <c r="P789" t="s">
        <v>602</v>
      </c>
      <c r="Q789" t="s">
        <v>602</v>
      </c>
      <c r="R789" t="s">
        <v>603</v>
      </c>
      <c r="S789" t="s">
        <v>602</v>
      </c>
      <c r="T789" t="s">
        <v>602</v>
      </c>
      <c r="U789" s="47">
        <v>-11</v>
      </c>
    </row>
    <row r="790" spans="2:21" x14ac:dyDescent="0.2">
      <c r="B790" s="46"/>
      <c r="F790" s="47"/>
      <c r="J790" s="46"/>
      <c r="K790" s="48"/>
      <c r="O790" t="s">
        <v>602</v>
      </c>
      <c r="P790" t="s">
        <v>602</v>
      </c>
      <c r="Q790" t="s">
        <v>602</v>
      </c>
      <c r="R790" t="s">
        <v>603</v>
      </c>
      <c r="S790" t="s">
        <v>602</v>
      </c>
      <c r="T790" t="s">
        <v>602</v>
      </c>
      <c r="U790" s="47">
        <v>-11</v>
      </c>
    </row>
    <row r="791" spans="2:21" x14ac:dyDescent="0.2">
      <c r="B791" s="46"/>
      <c r="F791" s="47"/>
      <c r="J791" s="46"/>
      <c r="K791" s="48"/>
      <c r="O791" t="s">
        <v>602</v>
      </c>
      <c r="P791" t="s">
        <v>602</v>
      </c>
      <c r="Q791" t="s">
        <v>602</v>
      </c>
      <c r="R791" t="s">
        <v>603</v>
      </c>
      <c r="S791" t="s">
        <v>602</v>
      </c>
      <c r="T791" t="s">
        <v>602</v>
      </c>
      <c r="U791" s="47">
        <v>-22</v>
      </c>
    </row>
    <row r="792" spans="2:21" x14ac:dyDescent="0.2">
      <c r="B792" s="46"/>
      <c r="F792" s="47"/>
      <c r="J792" s="46"/>
      <c r="K792" s="48"/>
      <c r="O792" t="s">
        <v>602</v>
      </c>
      <c r="P792" t="s">
        <v>602</v>
      </c>
      <c r="Q792" t="s">
        <v>602</v>
      </c>
      <c r="R792" t="s">
        <v>603</v>
      </c>
      <c r="S792" t="s">
        <v>602</v>
      </c>
      <c r="T792" t="s">
        <v>602</v>
      </c>
      <c r="U792" s="47">
        <v>-11</v>
      </c>
    </row>
    <row r="793" spans="2:21" x14ac:dyDescent="0.2">
      <c r="B793" s="46"/>
      <c r="F793" s="47"/>
      <c r="J793" s="46"/>
      <c r="K793" s="48"/>
      <c r="O793" t="s">
        <v>602</v>
      </c>
      <c r="P793" t="s">
        <v>602</v>
      </c>
      <c r="Q793" t="s">
        <v>602</v>
      </c>
      <c r="R793" t="s">
        <v>603</v>
      </c>
      <c r="S793" t="s">
        <v>602</v>
      </c>
      <c r="T793" t="s">
        <v>602</v>
      </c>
      <c r="U793" s="47">
        <v>-165</v>
      </c>
    </row>
    <row r="794" spans="2:21" x14ac:dyDescent="0.2">
      <c r="B794" s="46"/>
      <c r="F794" s="47"/>
      <c r="J794" s="46"/>
      <c r="K794" s="48"/>
      <c r="O794" t="s">
        <v>602</v>
      </c>
      <c r="P794" t="s">
        <v>602</v>
      </c>
      <c r="Q794" t="s">
        <v>602</v>
      </c>
      <c r="R794" t="s">
        <v>603</v>
      </c>
      <c r="S794" t="s">
        <v>602</v>
      </c>
      <c r="T794" t="s">
        <v>602</v>
      </c>
      <c r="U794" s="47">
        <v>-11</v>
      </c>
    </row>
    <row r="795" spans="2:21" x14ac:dyDescent="0.2">
      <c r="B795" s="46"/>
      <c r="F795" s="47"/>
      <c r="J795" s="46"/>
      <c r="K795" s="48"/>
      <c r="O795" t="s">
        <v>602</v>
      </c>
      <c r="P795" t="s">
        <v>602</v>
      </c>
      <c r="Q795" t="s">
        <v>602</v>
      </c>
      <c r="R795" t="s">
        <v>603</v>
      </c>
      <c r="S795" t="s">
        <v>602</v>
      </c>
      <c r="T795" t="s">
        <v>602</v>
      </c>
      <c r="U795" s="47">
        <v>-110</v>
      </c>
    </row>
    <row r="796" spans="2:21" x14ac:dyDescent="0.2">
      <c r="B796" s="46"/>
      <c r="F796" s="47"/>
      <c r="J796" s="46"/>
      <c r="K796" s="48"/>
      <c r="O796" t="s">
        <v>602</v>
      </c>
      <c r="P796" t="s">
        <v>602</v>
      </c>
      <c r="Q796" t="s">
        <v>602</v>
      </c>
      <c r="R796" t="s">
        <v>603</v>
      </c>
      <c r="S796" t="s">
        <v>602</v>
      </c>
      <c r="T796" t="s">
        <v>602</v>
      </c>
      <c r="U796" s="47">
        <v>-220</v>
      </c>
    </row>
    <row r="797" spans="2:21" x14ac:dyDescent="0.2">
      <c r="B797" s="46"/>
      <c r="F797" s="47"/>
      <c r="J797" s="46"/>
      <c r="K797" s="48"/>
      <c r="O797" t="s">
        <v>602</v>
      </c>
      <c r="P797" t="s">
        <v>602</v>
      </c>
      <c r="Q797" t="s">
        <v>602</v>
      </c>
      <c r="R797" t="s">
        <v>603</v>
      </c>
      <c r="S797" t="s">
        <v>602</v>
      </c>
      <c r="T797" t="s">
        <v>602</v>
      </c>
      <c r="U797" s="47">
        <v>-33</v>
      </c>
    </row>
    <row r="798" spans="2:21" x14ac:dyDescent="0.2">
      <c r="B798" s="46"/>
      <c r="F798" s="47"/>
      <c r="J798" s="46"/>
      <c r="K798" s="48"/>
      <c r="O798" t="s">
        <v>602</v>
      </c>
      <c r="P798" t="s">
        <v>602</v>
      </c>
      <c r="Q798" t="s">
        <v>602</v>
      </c>
      <c r="R798" t="s">
        <v>603</v>
      </c>
      <c r="S798" t="s">
        <v>602</v>
      </c>
      <c r="T798" t="s">
        <v>602</v>
      </c>
      <c r="U798" s="47">
        <v>-110</v>
      </c>
    </row>
    <row r="799" spans="2:21" x14ac:dyDescent="0.2">
      <c r="B799" s="46"/>
      <c r="F799" s="47"/>
      <c r="J799" s="46"/>
      <c r="K799" s="48"/>
      <c r="O799" t="s">
        <v>602</v>
      </c>
      <c r="P799" t="s">
        <v>602</v>
      </c>
      <c r="Q799" t="s">
        <v>602</v>
      </c>
      <c r="R799" t="s">
        <v>603</v>
      </c>
      <c r="S799" t="s">
        <v>602</v>
      </c>
      <c r="T799" t="s">
        <v>602</v>
      </c>
      <c r="U799" s="47">
        <v>-55</v>
      </c>
    </row>
    <row r="800" spans="2:21" x14ac:dyDescent="0.2">
      <c r="B800" s="46"/>
      <c r="F800" s="47"/>
      <c r="J800" s="46"/>
      <c r="K800" s="48"/>
      <c r="O800" t="s">
        <v>602</v>
      </c>
      <c r="P800" t="s">
        <v>602</v>
      </c>
      <c r="Q800" t="s">
        <v>602</v>
      </c>
      <c r="R800" t="s">
        <v>603</v>
      </c>
      <c r="S800" t="s">
        <v>602</v>
      </c>
      <c r="T800" t="s">
        <v>602</v>
      </c>
      <c r="U800" s="47">
        <v>-88</v>
      </c>
    </row>
    <row r="801" spans="2:21" x14ac:dyDescent="0.2">
      <c r="B801" s="46"/>
      <c r="F801" s="47"/>
      <c r="J801" s="46"/>
      <c r="K801" s="48"/>
      <c r="O801" t="s">
        <v>602</v>
      </c>
      <c r="P801" t="s">
        <v>602</v>
      </c>
      <c r="Q801" t="s">
        <v>602</v>
      </c>
      <c r="R801" t="s">
        <v>603</v>
      </c>
      <c r="S801" t="s">
        <v>602</v>
      </c>
      <c r="T801" t="s">
        <v>602</v>
      </c>
      <c r="U801" s="47">
        <v>-132</v>
      </c>
    </row>
    <row r="802" spans="2:21" x14ac:dyDescent="0.2">
      <c r="B802" s="46"/>
      <c r="F802" s="47"/>
      <c r="J802" s="46"/>
      <c r="K802" s="48"/>
      <c r="O802" t="s">
        <v>602</v>
      </c>
      <c r="P802" t="s">
        <v>602</v>
      </c>
      <c r="Q802" t="s">
        <v>602</v>
      </c>
      <c r="R802" t="s">
        <v>603</v>
      </c>
      <c r="S802" t="s">
        <v>602</v>
      </c>
      <c r="T802" t="s">
        <v>602</v>
      </c>
      <c r="U802" s="47">
        <v>-220</v>
      </c>
    </row>
    <row r="803" spans="2:21" x14ac:dyDescent="0.2">
      <c r="B803" s="46"/>
      <c r="F803" s="47"/>
      <c r="J803" s="46"/>
      <c r="K803" s="48"/>
      <c r="O803" t="s">
        <v>602</v>
      </c>
      <c r="P803" t="s">
        <v>602</v>
      </c>
      <c r="Q803" t="s">
        <v>602</v>
      </c>
      <c r="R803" t="s">
        <v>603</v>
      </c>
      <c r="S803" t="s">
        <v>602</v>
      </c>
      <c r="T803" t="s">
        <v>602</v>
      </c>
      <c r="U803" s="47">
        <v>-220</v>
      </c>
    </row>
    <row r="804" spans="2:21" x14ac:dyDescent="0.2">
      <c r="B804" s="46"/>
      <c r="F804" s="47"/>
      <c r="J804" s="46"/>
      <c r="K804" s="48"/>
      <c r="O804" t="s">
        <v>602</v>
      </c>
      <c r="P804" t="s">
        <v>602</v>
      </c>
      <c r="Q804" t="s">
        <v>602</v>
      </c>
      <c r="R804" t="s">
        <v>603</v>
      </c>
      <c r="S804" t="s">
        <v>602</v>
      </c>
      <c r="T804" t="s">
        <v>602</v>
      </c>
      <c r="U804" s="47">
        <v>-132</v>
      </c>
    </row>
    <row r="805" spans="2:21" x14ac:dyDescent="0.2">
      <c r="B805" s="46"/>
      <c r="F805" s="47"/>
      <c r="J805" s="46"/>
      <c r="K805" s="48"/>
      <c r="O805" t="s">
        <v>602</v>
      </c>
      <c r="P805" t="s">
        <v>602</v>
      </c>
      <c r="Q805" t="s">
        <v>602</v>
      </c>
      <c r="R805" t="s">
        <v>603</v>
      </c>
      <c r="S805" t="s">
        <v>602</v>
      </c>
      <c r="T805" t="s">
        <v>602</v>
      </c>
      <c r="U805" s="47">
        <v>-220</v>
      </c>
    </row>
    <row r="806" spans="2:21" x14ac:dyDescent="0.2">
      <c r="B806" s="46"/>
      <c r="F806" s="47"/>
      <c r="J806" s="46"/>
      <c r="K806" s="48"/>
      <c r="O806" t="s">
        <v>602</v>
      </c>
      <c r="P806" t="s">
        <v>602</v>
      </c>
      <c r="Q806" t="s">
        <v>602</v>
      </c>
      <c r="R806" t="s">
        <v>603</v>
      </c>
      <c r="S806" t="s">
        <v>602</v>
      </c>
      <c r="T806" t="s">
        <v>602</v>
      </c>
      <c r="U806" s="47">
        <v>-110</v>
      </c>
    </row>
    <row r="807" spans="2:21" x14ac:dyDescent="0.2">
      <c r="B807" s="46"/>
      <c r="F807" s="47"/>
      <c r="J807" s="46"/>
      <c r="K807" s="48"/>
      <c r="O807" t="s">
        <v>602</v>
      </c>
      <c r="P807" t="s">
        <v>602</v>
      </c>
      <c r="Q807" t="s">
        <v>602</v>
      </c>
      <c r="R807" t="s">
        <v>603</v>
      </c>
      <c r="S807" t="s">
        <v>602</v>
      </c>
      <c r="T807" t="s">
        <v>602</v>
      </c>
      <c r="U807" s="47">
        <v>-220</v>
      </c>
    </row>
    <row r="808" spans="2:21" x14ac:dyDescent="0.2">
      <c r="B808" s="46"/>
      <c r="F808" s="47"/>
      <c r="J808" s="46"/>
      <c r="K808" s="48"/>
      <c r="O808" t="s">
        <v>602</v>
      </c>
      <c r="P808" t="s">
        <v>602</v>
      </c>
      <c r="Q808" t="s">
        <v>602</v>
      </c>
      <c r="R808" t="s">
        <v>603</v>
      </c>
      <c r="S808" t="s">
        <v>602</v>
      </c>
      <c r="T808" t="s">
        <v>602</v>
      </c>
      <c r="U808" s="47">
        <v>-121</v>
      </c>
    </row>
    <row r="809" spans="2:21" x14ac:dyDescent="0.2">
      <c r="B809" s="46"/>
      <c r="F809" s="47"/>
      <c r="J809" s="46"/>
      <c r="K809" s="48"/>
      <c r="O809" t="s">
        <v>602</v>
      </c>
      <c r="P809" t="s">
        <v>602</v>
      </c>
      <c r="Q809" t="s">
        <v>602</v>
      </c>
      <c r="R809" t="s">
        <v>603</v>
      </c>
      <c r="S809" t="s">
        <v>602</v>
      </c>
      <c r="T809" t="s">
        <v>602</v>
      </c>
      <c r="U809" s="47">
        <v>-220</v>
      </c>
    </row>
    <row r="810" spans="2:21" x14ac:dyDescent="0.2">
      <c r="B810" s="46"/>
      <c r="F810" s="47"/>
      <c r="J810" s="46"/>
      <c r="K810" s="48"/>
      <c r="O810" t="s">
        <v>602</v>
      </c>
      <c r="P810" t="s">
        <v>602</v>
      </c>
      <c r="Q810" t="s">
        <v>602</v>
      </c>
      <c r="R810" t="s">
        <v>603</v>
      </c>
      <c r="S810" t="s">
        <v>602</v>
      </c>
      <c r="T810" t="s">
        <v>602</v>
      </c>
      <c r="U810" s="47">
        <v>-220</v>
      </c>
    </row>
    <row r="811" spans="2:21" x14ac:dyDescent="0.2">
      <c r="B811" s="46"/>
      <c r="F811" s="47"/>
      <c r="J811" s="46"/>
      <c r="K811" s="48"/>
      <c r="O811" t="s">
        <v>602</v>
      </c>
      <c r="P811" t="s">
        <v>602</v>
      </c>
      <c r="Q811" t="s">
        <v>602</v>
      </c>
      <c r="R811" t="s">
        <v>603</v>
      </c>
      <c r="S811" t="s">
        <v>602</v>
      </c>
      <c r="T811" t="s">
        <v>602</v>
      </c>
      <c r="U811" s="47">
        <v>-11</v>
      </c>
    </row>
    <row r="812" spans="2:21" x14ac:dyDescent="0.2">
      <c r="B812" s="46"/>
      <c r="F812" s="47"/>
      <c r="J812" s="46"/>
      <c r="K812" s="48"/>
      <c r="O812" t="s">
        <v>602</v>
      </c>
      <c r="P812" t="s">
        <v>602</v>
      </c>
      <c r="Q812" t="s">
        <v>602</v>
      </c>
      <c r="R812" t="s">
        <v>603</v>
      </c>
      <c r="S812" t="s">
        <v>602</v>
      </c>
      <c r="T812" t="s">
        <v>602</v>
      </c>
      <c r="U812" s="47">
        <v>-220</v>
      </c>
    </row>
    <row r="813" spans="2:21" x14ac:dyDescent="0.2">
      <c r="B813" s="46"/>
      <c r="F813" s="47"/>
      <c r="J813" s="46"/>
      <c r="K813" s="48"/>
      <c r="O813" t="s">
        <v>602</v>
      </c>
      <c r="P813" t="s">
        <v>602</v>
      </c>
      <c r="Q813" t="s">
        <v>602</v>
      </c>
      <c r="R813" t="s">
        <v>603</v>
      </c>
      <c r="S813" t="s">
        <v>602</v>
      </c>
      <c r="T813" t="s">
        <v>602</v>
      </c>
      <c r="U813" s="47">
        <v>-22</v>
      </c>
    </row>
    <row r="814" spans="2:21" x14ac:dyDescent="0.2">
      <c r="B814" s="46"/>
      <c r="F814" s="47"/>
      <c r="J814" s="46"/>
      <c r="K814" s="48"/>
      <c r="O814" t="s">
        <v>602</v>
      </c>
      <c r="P814" t="s">
        <v>602</v>
      </c>
      <c r="Q814" t="s">
        <v>602</v>
      </c>
      <c r="R814" t="s">
        <v>603</v>
      </c>
      <c r="S814" t="s">
        <v>602</v>
      </c>
      <c r="T814" t="s">
        <v>602</v>
      </c>
      <c r="U814" s="47">
        <v>-11</v>
      </c>
    </row>
    <row r="815" spans="2:21" x14ac:dyDescent="0.2">
      <c r="B815" s="46"/>
      <c r="F815" s="47"/>
      <c r="J815" s="46"/>
      <c r="K815" s="48"/>
      <c r="O815" t="s">
        <v>602</v>
      </c>
      <c r="P815" t="s">
        <v>602</v>
      </c>
      <c r="Q815" t="s">
        <v>602</v>
      </c>
      <c r="R815" t="s">
        <v>603</v>
      </c>
      <c r="S815" t="s">
        <v>602</v>
      </c>
      <c r="T815" t="s">
        <v>602</v>
      </c>
      <c r="U815" s="47">
        <v>-220</v>
      </c>
    </row>
    <row r="816" spans="2:21" x14ac:dyDescent="0.2">
      <c r="B816" s="46"/>
      <c r="F816" s="47"/>
      <c r="J816" s="46"/>
      <c r="K816" s="48"/>
      <c r="O816" t="s">
        <v>602</v>
      </c>
      <c r="P816" t="s">
        <v>602</v>
      </c>
      <c r="Q816" t="s">
        <v>602</v>
      </c>
      <c r="R816" t="s">
        <v>603</v>
      </c>
      <c r="S816" t="s">
        <v>602</v>
      </c>
      <c r="T816" t="s">
        <v>602</v>
      </c>
      <c r="U816" s="47">
        <v>-220</v>
      </c>
    </row>
    <row r="817" spans="2:21" x14ac:dyDescent="0.2">
      <c r="B817" s="46"/>
      <c r="F817" s="47"/>
      <c r="J817" s="46"/>
      <c r="K817" s="48"/>
      <c r="O817" t="s">
        <v>602</v>
      </c>
      <c r="P817" t="s">
        <v>602</v>
      </c>
      <c r="Q817" t="s">
        <v>602</v>
      </c>
      <c r="R817" t="s">
        <v>603</v>
      </c>
      <c r="S817" t="s">
        <v>602</v>
      </c>
      <c r="T817" t="s">
        <v>602</v>
      </c>
      <c r="U817" s="47">
        <v>-220</v>
      </c>
    </row>
    <row r="818" spans="2:21" x14ac:dyDescent="0.2">
      <c r="B818" s="46"/>
      <c r="F818" s="47"/>
      <c r="J818" s="46"/>
      <c r="K818" s="48"/>
      <c r="O818" t="s">
        <v>602</v>
      </c>
      <c r="P818" t="s">
        <v>602</v>
      </c>
      <c r="Q818" t="s">
        <v>602</v>
      </c>
      <c r="R818" t="s">
        <v>603</v>
      </c>
      <c r="S818" t="s">
        <v>602</v>
      </c>
      <c r="T818" t="s">
        <v>602</v>
      </c>
      <c r="U818" s="47">
        <v>-220</v>
      </c>
    </row>
    <row r="819" spans="2:21" x14ac:dyDescent="0.2">
      <c r="B819" s="46"/>
      <c r="F819" s="47"/>
      <c r="J819" s="46"/>
      <c r="K819" s="48"/>
      <c r="O819" t="s">
        <v>602</v>
      </c>
      <c r="P819" t="s">
        <v>602</v>
      </c>
      <c r="Q819" t="s">
        <v>602</v>
      </c>
      <c r="R819" t="s">
        <v>603</v>
      </c>
      <c r="S819" t="s">
        <v>602</v>
      </c>
      <c r="T819" t="s">
        <v>602</v>
      </c>
      <c r="U819" s="47">
        <v>-55</v>
      </c>
    </row>
    <row r="820" spans="2:21" x14ac:dyDescent="0.2">
      <c r="B820" s="46"/>
      <c r="F820" s="47"/>
      <c r="J820" s="46"/>
      <c r="K820" s="48"/>
      <c r="O820" t="s">
        <v>602</v>
      </c>
      <c r="P820" t="s">
        <v>602</v>
      </c>
      <c r="Q820" t="s">
        <v>602</v>
      </c>
      <c r="R820" t="s">
        <v>603</v>
      </c>
      <c r="S820" t="s">
        <v>602</v>
      </c>
      <c r="T820" t="s">
        <v>602</v>
      </c>
      <c r="U820" s="47">
        <v>-154</v>
      </c>
    </row>
    <row r="821" spans="2:21" x14ac:dyDescent="0.2">
      <c r="B821" s="46"/>
      <c r="F821" s="47"/>
      <c r="J821" s="46"/>
      <c r="K821" s="48"/>
      <c r="O821" t="s">
        <v>602</v>
      </c>
      <c r="P821" t="s">
        <v>602</v>
      </c>
      <c r="Q821" t="s">
        <v>602</v>
      </c>
      <c r="R821" t="s">
        <v>603</v>
      </c>
      <c r="S821" t="s">
        <v>602</v>
      </c>
      <c r="T821" t="s">
        <v>602</v>
      </c>
      <c r="U821" s="47">
        <v>-220</v>
      </c>
    </row>
    <row r="822" spans="2:21" x14ac:dyDescent="0.2">
      <c r="B822" s="46"/>
      <c r="F822" s="47"/>
      <c r="J822" s="46"/>
      <c r="K822" s="48"/>
      <c r="O822" t="s">
        <v>602</v>
      </c>
      <c r="P822" t="s">
        <v>602</v>
      </c>
      <c r="Q822" t="s">
        <v>602</v>
      </c>
      <c r="R822" t="s">
        <v>603</v>
      </c>
      <c r="S822" t="s">
        <v>602</v>
      </c>
      <c r="T822" t="s">
        <v>602</v>
      </c>
      <c r="U822" s="47">
        <v>-55</v>
      </c>
    </row>
    <row r="823" spans="2:21" x14ac:dyDescent="0.2">
      <c r="B823" s="46"/>
      <c r="F823" s="47"/>
      <c r="J823" s="46"/>
      <c r="K823" s="48"/>
      <c r="O823" t="s">
        <v>602</v>
      </c>
      <c r="P823" t="s">
        <v>602</v>
      </c>
      <c r="Q823" t="s">
        <v>602</v>
      </c>
      <c r="R823" t="s">
        <v>603</v>
      </c>
      <c r="S823" t="s">
        <v>602</v>
      </c>
      <c r="T823" t="s">
        <v>602</v>
      </c>
      <c r="U823" s="47">
        <v>-22</v>
      </c>
    </row>
    <row r="824" spans="2:21" x14ac:dyDescent="0.2">
      <c r="B824" s="46"/>
      <c r="F824" s="47"/>
      <c r="J824" s="46"/>
      <c r="K824" s="48"/>
      <c r="O824" t="s">
        <v>602</v>
      </c>
      <c r="P824" t="s">
        <v>602</v>
      </c>
      <c r="Q824" t="s">
        <v>602</v>
      </c>
      <c r="R824" t="s">
        <v>603</v>
      </c>
      <c r="S824" t="s">
        <v>602</v>
      </c>
      <c r="T824" t="s">
        <v>602</v>
      </c>
      <c r="U824" s="47">
        <v>-220</v>
      </c>
    </row>
    <row r="825" spans="2:21" x14ac:dyDescent="0.2">
      <c r="B825" s="46"/>
      <c r="F825" s="47"/>
      <c r="J825" s="46"/>
      <c r="K825" s="48"/>
      <c r="O825" t="s">
        <v>602</v>
      </c>
      <c r="P825" t="s">
        <v>602</v>
      </c>
      <c r="Q825" t="s">
        <v>602</v>
      </c>
      <c r="R825" t="s">
        <v>603</v>
      </c>
      <c r="S825" t="s">
        <v>602</v>
      </c>
      <c r="T825" t="s">
        <v>602</v>
      </c>
      <c r="U825" s="47">
        <v>-220</v>
      </c>
    </row>
    <row r="826" spans="2:21" x14ac:dyDescent="0.2">
      <c r="B826" s="46"/>
      <c r="F826" s="47"/>
      <c r="J826" s="46"/>
      <c r="K826" s="48"/>
      <c r="O826" t="s">
        <v>602</v>
      </c>
      <c r="P826" t="s">
        <v>602</v>
      </c>
      <c r="Q826" t="s">
        <v>602</v>
      </c>
      <c r="R826" t="s">
        <v>603</v>
      </c>
      <c r="S826" t="s">
        <v>602</v>
      </c>
      <c r="T826" t="s">
        <v>602</v>
      </c>
      <c r="U826" s="47">
        <v>-55</v>
      </c>
    </row>
    <row r="827" spans="2:21" x14ac:dyDescent="0.2">
      <c r="B827" s="46"/>
      <c r="F827" s="47"/>
      <c r="J827" s="46"/>
      <c r="K827" s="48"/>
      <c r="O827" t="s">
        <v>602</v>
      </c>
      <c r="P827" t="s">
        <v>602</v>
      </c>
      <c r="Q827" t="s">
        <v>602</v>
      </c>
      <c r="R827" t="s">
        <v>603</v>
      </c>
      <c r="S827" t="s">
        <v>602</v>
      </c>
      <c r="T827" t="s">
        <v>602</v>
      </c>
      <c r="U827" s="47">
        <v>-1</v>
      </c>
    </row>
    <row r="828" spans="2:21" x14ac:dyDescent="0.2">
      <c r="B828" s="46"/>
      <c r="F828" s="47"/>
      <c r="J828" s="46"/>
      <c r="K828" s="48"/>
      <c r="O828" t="s">
        <v>602</v>
      </c>
      <c r="P828" t="s">
        <v>602</v>
      </c>
      <c r="Q828" t="s">
        <v>602</v>
      </c>
      <c r="R828" t="s">
        <v>603</v>
      </c>
      <c r="S828" t="s">
        <v>602</v>
      </c>
      <c r="T828" t="s">
        <v>602</v>
      </c>
      <c r="U828" s="47">
        <v>-1</v>
      </c>
    </row>
    <row r="829" spans="2:21" x14ac:dyDescent="0.2">
      <c r="B829" s="46"/>
      <c r="F829" s="47"/>
      <c r="J829" s="46"/>
      <c r="K829" s="48"/>
      <c r="O829" t="s">
        <v>602</v>
      </c>
      <c r="P829" t="s">
        <v>602</v>
      </c>
      <c r="Q829" t="s">
        <v>602</v>
      </c>
      <c r="R829" t="s">
        <v>603</v>
      </c>
      <c r="S829" t="s">
        <v>602</v>
      </c>
      <c r="T829" t="s">
        <v>602</v>
      </c>
      <c r="U829" s="47">
        <v>-10</v>
      </c>
    </row>
    <row r="830" spans="2:21" x14ac:dyDescent="0.2">
      <c r="B830" s="46"/>
      <c r="F830" s="47"/>
      <c r="J830" s="46"/>
      <c r="K830" s="48"/>
      <c r="O830" t="s">
        <v>602</v>
      </c>
      <c r="P830" t="s">
        <v>602</v>
      </c>
      <c r="Q830" t="s">
        <v>602</v>
      </c>
      <c r="R830" t="s">
        <v>603</v>
      </c>
      <c r="S830" t="s">
        <v>602</v>
      </c>
      <c r="T830" t="s">
        <v>602</v>
      </c>
      <c r="U830" s="47">
        <v>-14</v>
      </c>
    </row>
    <row r="831" spans="2:21" x14ac:dyDescent="0.2">
      <c r="B831" s="46"/>
      <c r="F831" s="47"/>
      <c r="J831" s="46"/>
      <c r="K831" s="48"/>
      <c r="O831" t="s">
        <v>602</v>
      </c>
      <c r="P831" t="s">
        <v>602</v>
      </c>
      <c r="Q831" t="s">
        <v>602</v>
      </c>
      <c r="R831" t="s">
        <v>603</v>
      </c>
      <c r="S831" t="s">
        <v>602</v>
      </c>
      <c r="T831" t="s">
        <v>602</v>
      </c>
      <c r="U831" s="47">
        <v>-13</v>
      </c>
    </row>
    <row r="832" spans="2:21" x14ac:dyDescent="0.2">
      <c r="B832" s="46"/>
      <c r="F832" s="47"/>
      <c r="J832" s="46"/>
      <c r="K832" s="48"/>
      <c r="O832" t="s">
        <v>602</v>
      </c>
      <c r="P832" t="s">
        <v>602</v>
      </c>
      <c r="Q832" t="s">
        <v>602</v>
      </c>
      <c r="R832" t="s">
        <v>603</v>
      </c>
      <c r="S832" t="s">
        <v>602</v>
      </c>
      <c r="T832" t="s">
        <v>602</v>
      </c>
      <c r="U832" s="47">
        <v>-1</v>
      </c>
    </row>
    <row r="833" spans="2:21" x14ac:dyDescent="0.2">
      <c r="B833" s="46"/>
      <c r="F833" s="47"/>
      <c r="J833" s="46"/>
      <c r="K833" s="48"/>
      <c r="O833" t="s">
        <v>602</v>
      </c>
      <c r="P833" t="s">
        <v>602</v>
      </c>
      <c r="Q833" t="s">
        <v>602</v>
      </c>
      <c r="R833" t="s">
        <v>603</v>
      </c>
      <c r="S833" t="s">
        <v>602</v>
      </c>
      <c r="T833" t="s">
        <v>602</v>
      </c>
      <c r="U833" s="47">
        <v>-2</v>
      </c>
    </row>
    <row r="834" spans="2:21" x14ac:dyDescent="0.2">
      <c r="B834" s="46"/>
      <c r="F834" s="47"/>
      <c r="J834" s="46"/>
      <c r="K834" s="48"/>
      <c r="O834" t="s">
        <v>602</v>
      </c>
      <c r="P834" t="s">
        <v>602</v>
      </c>
      <c r="Q834" t="s">
        <v>602</v>
      </c>
      <c r="R834" t="s">
        <v>603</v>
      </c>
      <c r="S834" t="s">
        <v>602</v>
      </c>
      <c r="T834" t="s">
        <v>602</v>
      </c>
      <c r="U834" s="47">
        <v>-9</v>
      </c>
    </row>
    <row r="835" spans="2:21" x14ac:dyDescent="0.2">
      <c r="B835" s="46"/>
      <c r="F835" s="47"/>
      <c r="J835" s="46"/>
      <c r="K835" s="48"/>
      <c r="O835" t="s">
        <v>602</v>
      </c>
      <c r="P835" t="s">
        <v>602</v>
      </c>
      <c r="Q835" t="s">
        <v>602</v>
      </c>
      <c r="R835" t="s">
        <v>603</v>
      </c>
      <c r="S835" t="s">
        <v>602</v>
      </c>
      <c r="T835" t="s">
        <v>602</v>
      </c>
      <c r="U835" s="47">
        <v>-1</v>
      </c>
    </row>
    <row r="836" spans="2:21" x14ac:dyDescent="0.2">
      <c r="B836" s="46"/>
      <c r="F836" s="47"/>
      <c r="J836" s="46"/>
      <c r="K836" s="48"/>
      <c r="O836" t="s">
        <v>602</v>
      </c>
      <c r="P836" t="s">
        <v>602</v>
      </c>
      <c r="Q836" t="s">
        <v>602</v>
      </c>
      <c r="R836" t="s">
        <v>603</v>
      </c>
      <c r="S836" t="s">
        <v>602</v>
      </c>
      <c r="T836" t="s">
        <v>602</v>
      </c>
      <c r="U836" s="47">
        <v>-2</v>
      </c>
    </row>
    <row r="837" spans="2:21" x14ac:dyDescent="0.2">
      <c r="B837" s="46"/>
      <c r="F837" s="47"/>
      <c r="J837" s="46"/>
      <c r="K837" s="48"/>
      <c r="O837" t="s">
        <v>602</v>
      </c>
      <c r="P837" t="s">
        <v>602</v>
      </c>
      <c r="Q837" t="s">
        <v>602</v>
      </c>
      <c r="R837" t="s">
        <v>603</v>
      </c>
      <c r="S837" t="s">
        <v>602</v>
      </c>
      <c r="T837" t="s">
        <v>602</v>
      </c>
      <c r="U837" s="47">
        <v>-5</v>
      </c>
    </row>
    <row r="838" spans="2:21" x14ac:dyDescent="0.2">
      <c r="B838" s="46"/>
      <c r="F838" s="47"/>
      <c r="J838" s="46"/>
      <c r="K838" s="48"/>
      <c r="O838" t="s">
        <v>602</v>
      </c>
      <c r="P838" t="s">
        <v>602</v>
      </c>
      <c r="Q838" t="s">
        <v>602</v>
      </c>
      <c r="R838" t="s">
        <v>603</v>
      </c>
      <c r="S838" t="s">
        <v>602</v>
      </c>
      <c r="T838" t="s">
        <v>602</v>
      </c>
      <c r="U838" s="47">
        <v>-1</v>
      </c>
    </row>
    <row r="839" spans="2:21" x14ac:dyDescent="0.2">
      <c r="B839" s="46"/>
      <c r="F839" s="47"/>
      <c r="J839" s="46"/>
      <c r="K839" s="48"/>
      <c r="O839" t="s">
        <v>602</v>
      </c>
      <c r="P839" t="s">
        <v>602</v>
      </c>
      <c r="Q839" t="s">
        <v>602</v>
      </c>
      <c r="R839" t="s">
        <v>603</v>
      </c>
      <c r="S839" t="s">
        <v>602</v>
      </c>
      <c r="T839" t="s">
        <v>602</v>
      </c>
      <c r="U839" s="47">
        <v>-5</v>
      </c>
    </row>
    <row r="840" spans="2:21" x14ac:dyDescent="0.2">
      <c r="B840" s="46"/>
      <c r="F840" s="47"/>
      <c r="J840" s="46"/>
      <c r="K840" s="48"/>
      <c r="O840" t="s">
        <v>602</v>
      </c>
      <c r="P840" t="s">
        <v>602</v>
      </c>
      <c r="Q840" t="s">
        <v>602</v>
      </c>
      <c r="R840" t="s">
        <v>603</v>
      </c>
      <c r="S840" t="s">
        <v>602</v>
      </c>
      <c r="T840" t="s">
        <v>602</v>
      </c>
      <c r="U840" s="47">
        <v>-2</v>
      </c>
    </row>
    <row r="841" spans="2:21" x14ac:dyDescent="0.2">
      <c r="B841" s="46"/>
      <c r="F841" s="47"/>
      <c r="J841" s="46"/>
      <c r="K841" s="48"/>
      <c r="O841" t="s">
        <v>602</v>
      </c>
      <c r="P841" t="s">
        <v>602</v>
      </c>
      <c r="Q841" t="s">
        <v>602</v>
      </c>
      <c r="R841" t="s">
        <v>603</v>
      </c>
      <c r="S841" t="s">
        <v>602</v>
      </c>
      <c r="T841" t="s">
        <v>602</v>
      </c>
      <c r="U841" s="47">
        <v>-5</v>
      </c>
    </row>
    <row r="842" spans="2:21" x14ac:dyDescent="0.2">
      <c r="B842" s="46"/>
      <c r="F842" s="47"/>
      <c r="J842" s="46"/>
      <c r="K842" s="48"/>
      <c r="O842" t="s">
        <v>602</v>
      </c>
      <c r="P842" t="s">
        <v>602</v>
      </c>
      <c r="Q842" t="s">
        <v>602</v>
      </c>
      <c r="R842" t="s">
        <v>603</v>
      </c>
      <c r="S842" t="s">
        <v>602</v>
      </c>
      <c r="T842" t="s">
        <v>602</v>
      </c>
      <c r="U842" s="47">
        <v>-11</v>
      </c>
    </row>
    <row r="843" spans="2:21" x14ac:dyDescent="0.2">
      <c r="B843" s="46"/>
      <c r="F843" s="47"/>
      <c r="J843" s="46"/>
      <c r="K843" s="48"/>
      <c r="O843" t="s">
        <v>602</v>
      </c>
      <c r="P843" t="s">
        <v>602</v>
      </c>
      <c r="Q843" t="s">
        <v>602</v>
      </c>
      <c r="R843" t="s">
        <v>603</v>
      </c>
      <c r="S843" t="s">
        <v>602</v>
      </c>
      <c r="T843" t="s">
        <v>602</v>
      </c>
      <c r="U843" s="47">
        <v>-1</v>
      </c>
    </row>
    <row r="844" spans="2:21" x14ac:dyDescent="0.2">
      <c r="B844" s="46"/>
      <c r="F844" s="47"/>
      <c r="J844" s="46"/>
      <c r="K844" s="48"/>
      <c r="O844" t="s">
        <v>602</v>
      </c>
      <c r="P844" t="s">
        <v>602</v>
      </c>
      <c r="Q844" t="s">
        <v>602</v>
      </c>
      <c r="R844" t="s">
        <v>603</v>
      </c>
      <c r="S844" t="s">
        <v>602</v>
      </c>
      <c r="T844" t="s">
        <v>602</v>
      </c>
      <c r="U844" s="47">
        <v>-10</v>
      </c>
    </row>
    <row r="845" spans="2:21" x14ac:dyDescent="0.2">
      <c r="B845" s="46"/>
      <c r="F845" s="47"/>
      <c r="J845" s="46"/>
      <c r="K845" s="48"/>
      <c r="O845" t="s">
        <v>602</v>
      </c>
      <c r="P845" t="s">
        <v>602</v>
      </c>
      <c r="Q845" t="s">
        <v>602</v>
      </c>
      <c r="R845" t="s">
        <v>603</v>
      </c>
      <c r="S845" t="s">
        <v>602</v>
      </c>
      <c r="T845" t="s">
        <v>602</v>
      </c>
      <c r="U845" s="47">
        <v>-9</v>
      </c>
    </row>
    <row r="846" spans="2:21" x14ac:dyDescent="0.2">
      <c r="B846" s="46"/>
      <c r="F846" s="47"/>
      <c r="J846" s="46"/>
      <c r="K846" s="48"/>
      <c r="O846" t="s">
        <v>602</v>
      </c>
      <c r="P846" t="s">
        <v>602</v>
      </c>
      <c r="Q846" t="s">
        <v>602</v>
      </c>
      <c r="R846" t="s">
        <v>603</v>
      </c>
      <c r="S846" t="s">
        <v>602</v>
      </c>
      <c r="T846" t="s">
        <v>602</v>
      </c>
      <c r="U846" s="47">
        <v>-19</v>
      </c>
    </row>
    <row r="847" spans="2:21" x14ac:dyDescent="0.2">
      <c r="B847" s="46"/>
      <c r="F847" s="47"/>
      <c r="J847" s="46"/>
      <c r="K847" s="48"/>
      <c r="O847" t="s">
        <v>602</v>
      </c>
      <c r="P847" t="s">
        <v>602</v>
      </c>
      <c r="Q847" t="s">
        <v>602</v>
      </c>
      <c r="R847" t="s">
        <v>603</v>
      </c>
      <c r="S847" t="s">
        <v>602</v>
      </c>
      <c r="T847" t="s">
        <v>602</v>
      </c>
      <c r="U847" s="47">
        <v>-11</v>
      </c>
    </row>
    <row r="848" spans="2:21" x14ac:dyDescent="0.2">
      <c r="B848" s="46"/>
      <c r="F848" s="47"/>
      <c r="J848" s="46"/>
      <c r="K848" s="48"/>
      <c r="O848" t="s">
        <v>602</v>
      </c>
      <c r="P848" t="s">
        <v>602</v>
      </c>
      <c r="Q848" t="s">
        <v>602</v>
      </c>
      <c r="R848" t="s">
        <v>603</v>
      </c>
      <c r="S848" t="s">
        <v>602</v>
      </c>
      <c r="T848" t="s">
        <v>602</v>
      </c>
      <c r="U848" s="47">
        <v>-2</v>
      </c>
    </row>
    <row r="849" spans="2:21" x14ac:dyDescent="0.2">
      <c r="B849" s="46"/>
      <c r="F849" s="47"/>
      <c r="J849" s="46"/>
      <c r="K849" s="48"/>
      <c r="O849" t="s">
        <v>602</v>
      </c>
      <c r="P849" t="s">
        <v>602</v>
      </c>
      <c r="Q849" t="s">
        <v>602</v>
      </c>
      <c r="R849" t="s">
        <v>603</v>
      </c>
      <c r="S849" t="s">
        <v>602</v>
      </c>
      <c r="T849" t="s">
        <v>602</v>
      </c>
      <c r="U849" s="47">
        <v>-8</v>
      </c>
    </row>
    <row r="850" spans="2:21" x14ac:dyDescent="0.2">
      <c r="B850" s="46"/>
      <c r="F850" s="47"/>
      <c r="J850" s="46"/>
      <c r="K850" s="48"/>
      <c r="O850" t="s">
        <v>602</v>
      </c>
      <c r="P850" t="s">
        <v>602</v>
      </c>
      <c r="Q850" t="s">
        <v>602</v>
      </c>
      <c r="R850" t="s">
        <v>603</v>
      </c>
      <c r="S850" t="s">
        <v>602</v>
      </c>
      <c r="T850" t="s">
        <v>602</v>
      </c>
      <c r="U850" s="47">
        <v>-12</v>
      </c>
    </row>
    <row r="851" spans="2:21" x14ac:dyDescent="0.2">
      <c r="B851" s="46"/>
      <c r="F851" s="47"/>
      <c r="J851" s="46"/>
      <c r="K851" s="48"/>
      <c r="O851" t="s">
        <v>602</v>
      </c>
      <c r="P851" t="s">
        <v>602</v>
      </c>
      <c r="Q851" t="s">
        <v>602</v>
      </c>
      <c r="R851" t="s">
        <v>603</v>
      </c>
      <c r="S851" t="s">
        <v>602</v>
      </c>
      <c r="T851" t="s">
        <v>602</v>
      </c>
      <c r="U851" s="47">
        <v>-1</v>
      </c>
    </row>
    <row r="852" spans="2:21" x14ac:dyDescent="0.2">
      <c r="B852" s="46"/>
      <c r="F852" s="47"/>
      <c r="J852" s="46"/>
      <c r="K852" s="48"/>
      <c r="O852" t="s">
        <v>602</v>
      </c>
      <c r="P852" t="s">
        <v>602</v>
      </c>
      <c r="Q852" t="s">
        <v>602</v>
      </c>
      <c r="R852" t="s">
        <v>603</v>
      </c>
      <c r="S852" t="s">
        <v>602</v>
      </c>
      <c r="T852" t="s">
        <v>602</v>
      </c>
      <c r="U852" s="47">
        <v>-7</v>
      </c>
    </row>
    <row r="853" spans="2:21" x14ac:dyDescent="0.2">
      <c r="B853" s="46"/>
      <c r="F853" s="47"/>
      <c r="J853" s="46"/>
      <c r="K853" s="48"/>
      <c r="O853" t="s">
        <v>602</v>
      </c>
      <c r="P853" t="s">
        <v>602</v>
      </c>
      <c r="Q853" t="s">
        <v>602</v>
      </c>
      <c r="R853" t="s">
        <v>603</v>
      </c>
      <c r="S853" t="s">
        <v>602</v>
      </c>
      <c r="T853" t="s">
        <v>602</v>
      </c>
      <c r="U853" s="47">
        <v>-3</v>
      </c>
    </row>
    <row r="854" spans="2:21" x14ac:dyDescent="0.2">
      <c r="B854" s="46"/>
      <c r="F854" s="47"/>
      <c r="J854" s="46"/>
      <c r="K854" s="48"/>
      <c r="O854" t="s">
        <v>602</v>
      </c>
      <c r="P854" t="s">
        <v>602</v>
      </c>
      <c r="Q854" t="s">
        <v>602</v>
      </c>
      <c r="R854" t="s">
        <v>603</v>
      </c>
      <c r="S854" t="s">
        <v>602</v>
      </c>
      <c r="T854" t="s">
        <v>602</v>
      </c>
      <c r="U854" s="47">
        <v>-12</v>
      </c>
    </row>
    <row r="855" spans="2:21" x14ac:dyDescent="0.2">
      <c r="B855" s="46"/>
      <c r="F855" s="47"/>
      <c r="J855" s="46"/>
      <c r="K855" s="48"/>
      <c r="O855" t="s">
        <v>602</v>
      </c>
      <c r="P855" t="s">
        <v>602</v>
      </c>
      <c r="Q855" t="s">
        <v>602</v>
      </c>
      <c r="R855" t="s">
        <v>603</v>
      </c>
      <c r="S855" t="s">
        <v>602</v>
      </c>
      <c r="T855" t="s">
        <v>602</v>
      </c>
      <c r="U855" s="47">
        <v>-33</v>
      </c>
    </row>
    <row r="856" spans="2:21" x14ac:dyDescent="0.2">
      <c r="B856" s="46"/>
      <c r="F856" s="47"/>
      <c r="J856" s="46"/>
      <c r="K856" s="48"/>
      <c r="O856" t="s">
        <v>602</v>
      </c>
      <c r="P856" t="s">
        <v>602</v>
      </c>
      <c r="Q856" t="s">
        <v>602</v>
      </c>
      <c r="R856" t="s">
        <v>603</v>
      </c>
      <c r="S856" t="s">
        <v>602</v>
      </c>
      <c r="T856" t="s">
        <v>602</v>
      </c>
      <c r="U856" s="47">
        <v>-66</v>
      </c>
    </row>
    <row r="857" spans="2:21" x14ac:dyDescent="0.2">
      <c r="B857" s="46"/>
      <c r="F857" s="47"/>
      <c r="J857" s="46"/>
      <c r="K857" s="48"/>
      <c r="O857" t="s">
        <v>602</v>
      </c>
      <c r="P857" t="s">
        <v>602</v>
      </c>
      <c r="Q857" t="s">
        <v>602</v>
      </c>
      <c r="R857" t="s">
        <v>603</v>
      </c>
      <c r="S857" t="s">
        <v>602</v>
      </c>
      <c r="T857" t="s">
        <v>602</v>
      </c>
      <c r="U857" s="47">
        <v>-105</v>
      </c>
    </row>
    <row r="858" spans="2:21" x14ac:dyDescent="0.2">
      <c r="B858" s="46"/>
      <c r="F858" s="47"/>
      <c r="J858" s="46"/>
      <c r="K858" s="48"/>
      <c r="O858" t="s">
        <v>602</v>
      </c>
      <c r="P858" t="s">
        <v>602</v>
      </c>
      <c r="Q858" t="s">
        <v>602</v>
      </c>
      <c r="R858" t="s">
        <v>603</v>
      </c>
      <c r="S858" t="s">
        <v>602</v>
      </c>
      <c r="T858" t="s">
        <v>602</v>
      </c>
      <c r="U858" s="47">
        <v>-1214</v>
      </c>
    </row>
    <row r="859" spans="2:21" x14ac:dyDescent="0.2">
      <c r="B859" s="46"/>
      <c r="F859" s="47"/>
      <c r="J859" s="46"/>
      <c r="K859" s="48"/>
      <c r="O859" t="s">
        <v>602</v>
      </c>
      <c r="P859" t="s">
        <v>602</v>
      </c>
      <c r="Q859" t="s">
        <v>602</v>
      </c>
      <c r="R859" t="s">
        <v>603</v>
      </c>
      <c r="S859" t="s">
        <v>602</v>
      </c>
      <c r="T859" t="s">
        <v>602</v>
      </c>
      <c r="U859" s="47">
        <v>-2936</v>
      </c>
    </row>
    <row r="860" spans="2:21" x14ac:dyDescent="0.2">
      <c r="B860" s="46"/>
      <c r="F860" s="47"/>
      <c r="J860" s="46"/>
      <c r="K860" s="48"/>
      <c r="O860" t="s">
        <v>602</v>
      </c>
      <c r="P860" t="s">
        <v>602</v>
      </c>
      <c r="Q860" t="s">
        <v>602</v>
      </c>
      <c r="R860" t="s">
        <v>603</v>
      </c>
      <c r="S860" t="s">
        <v>602</v>
      </c>
      <c r="T860" t="s">
        <v>602</v>
      </c>
      <c r="U860" s="47">
        <v>-2936</v>
      </c>
    </row>
    <row r="861" spans="2:21" x14ac:dyDescent="0.2">
      <c r="B861" s="46"/>
      <c r="F861" s="47"/>
      <c r="J861" s="46"/>
      <c r="K861" s="48"/>
      <c r="O861" t="s">
        <v>602</v>
      </c>
      <c r="P861" t="s">
        <v>602</v>
      </c>
      <c r="Q861" t="s">
        <v>602</v>
      </c>
      <c r="R861" t="s">
        <v>603</v>
      </c>
      <c r="S861" t="s">
        <v>602</v>
      </c>
      <c r="T861" t="s">
        <v>602</v>
      </c>
      <c r="U861" s="47">
        <v>-1468</v>
      </c>
    </row>
    <row r="862" spans="2:21" x14ac:dyDescent="0.2">
      <c r="B862" s="46"/>
      <c r="F862" s="47"/>
      <c r="J862" s="46"/>
      <c r="K862" s="48"/>
      <c r="O862" t="s">
        <v>602</v>
      </c>
      <c r="P862" t="s">
        <v>602</v>
      </c>
      <c r="Q862" t="s">
        <v>602</v>
      </c>
      <c r="R862" t="s">
        <v>603</v>
      </c>
      <c r="S862" t="s">
        <v>602</v>
      </c>
      <c r="T862" t="s">
        <v>602</v>
      </c>
      <c r="U862" s="47">
        <v>-2936</v>
      </c>
    </row>
    <row r="863" spans="2:21" x14ac:dyDescent="0.2">
      <c r="B863" s="46"/>
      <c r="F863" s="47"/>
      <c r="J863" s="46"/>
      <c r="K863" s="48"/>
      <c r="O863" t="s">
        <v>602</v>
      </c>
      <c r="P863" t="s">
        <v>602</v>
      </c>
      <c r="Q863" t="s">
        <v>602</v>
      </c>
      <c r="R863" t="s">
        <v>603</v>
      </c>
      <c r="S863" t="s">
        <v>602</v>
      </c>
      <c r="T863" t="s">
        <v>602</v>
      </c>
      <c r="U863" s="47">
        <v>-2936</v>
      </c>
    </row>
    <row r="864" spans="2:21" x14ac:dyDescent="0.2">
      <c r="B864" s="46"/>
      <c r="F864" s="47"/>
      <c r="J864" s="46"/>
      <c r="K864" s="48"/>
      <c r="O864" t="s">
        <v>602</v>
      </c>
      <c r="P864" t="s">
        <v>602</v>
      </c>
      <c r="Q864" t="s">
        <v>602</v>
      </c>
      <c r="R864" t="s">
        <v>603</v>
      </c>
      <c r="S864" t="s">
        <v>602</v>
      </c>
      <c r="T864" t="s">
        <v>602</v>
      </c>
      <c r="U864" s="47">
        <v>-1468</v>
      </c>
    </row>
    <row r="865" spans="2:21" x14ac:dyDescent="0.2">
      <c r="B865" s="46"/>
      <c r="F865" s="47"/>
      <c r="J865" s="46"/>
      <c r="K865" s="48"/>
      <c r="O865" t="s">
        <v>602</v>
      </c>
      <c r="P865" t="s">
        <v>602</v>
      </c>
      <c r="Q865" t="s">
        <v>602</v>
      </c>
      <c r="R865" t="s">
        <v>603</v>
      </c>
      <c r="S865" t="s">
        <v>602</v>
      </c>
      <c r="T865" t="s">
        <v>602</v>
      </c>
      <c r="U865" s="47">
        <v>-734</v>
      </c>
    </row>
    <row r="866" spans="2:21" x14ac:dyDescent="0.2">
      <c r="B866" s="46"/>
      <c r="F866" s="47"/>
      <c r="J866" s="46"/>
      <c r="K866" s="48"/>
      <c r="O866" t="s">
        <v>602</v>
      </c>
      <c r="P866" t="s">
        <v>602</v>
      </c>
      <c r="Q866" t="s">
        <v>602</v>
      </c>
      <c r="R866" t="s">
        <v>603</v>
      </c>
      <c r="S866" t="s">
        <v>602</v>
      </c>
      <c r="T866" t="s">
        <v>602</v>
      </c>
      <c r="U866" s="47">
        <v>-2998</v>
      </c>
    </row>
    <row r="867" spans="2:21" x14ac:dyDescent="0.2">
      <c r="B867" s="46"/>
      <c r="F867" s="47"/>
      <c r="J867" s="46"/>
      <c r="K867" s="48"/>
      <c r="O867" t="s">
        <v>602</v>
      </c>
      <c r="P867" t="s">
        <v>602</v>
      </c>
      <c r="Q867" t="s">
        <v>602</v>
      </c>
      <c r="R867" t="s">
        <v>603</v>
      </c>
      <c r="S867" t="s">
        <v>602</v>
      </c>
      <c r="T867" t="s">
        <v>602</v>
      </c>
      <c r="U867" s="47">
        <v>-2998</v>
      </c>
    </row>
    <row r="868" spans="2:21" x14ac:dyDescent="0.2">
      <c r="B868" s="46"/>
      <c r="F868" s="47"/>
      <c r="J868" s="46"/>
      <c r="K868" s="48"/>
      <c r="O868" t="s">
        <v>602</v>
      </c>
      <c r="P868" t="s">
        <v>602</v>
      </c>
      <c r="Q868" t="s">
        <v>602</v>
      </c>
      <c r="R868" t="s">
        <v>603</v>
      </c>
      <c r="S868" t="s">
        <v>602</v>
      </c>
      <c r="T868" t="s">
        <v>602</v>
      </c>
      <c r="U868" s="47">
        <v>-2998</v>
      </c>
    </row>
    <row r="869" spans="2:21" x14ac:dyDescent="0.2">
      <c r="B869" s="46"/>
      <c r="F869" s="47"/>
      <c r="J869" s="46"/>
      <c r="K869" s="48"/>
      <c r="O869" t="s">
        <v>602</v>
      </c>
      <c r="P869" t="s">
        <v>602</v>
      </c>
      <c r="Q869" t="s">
        <v>602</v>
      </c>
      <c r="R869" t="s">
        <v>603</v>
      </c>
      <c r="S869" t="s">
        <v>602</v>
      </c>
      <c r="T869" t="s">
        <v>602</v>
      </c>
      <c r="U869" s="47">
        <v>-2998</v>
      </c>
    </row>
    <row r="870" spans="2:21" x14ac:dyDescent="0.2">
      <c r="B870" s="46"/>
      <c r="F870" s="47"/>
      <c r="J870" s="46"/>
      <c r="K870" s="48"/>
      <c r="O870" t="s">
        <v>602</v>
      </c>
      <c r="P870" t="s">
        <v>602</v>
      </c>
      <c r="Q870" t="s">
        <v>602</v>
      </c>
      <c r="R870" t="s">
        <v>603</v>
      </c>
      <c r="S870" t="s">
        <v>602</v>
      </c>
      <c r="T870" t="s">
        <v>602</v>
      </c>
      <c r="U870" s="47">
        <v>-2998</v>
      </c>
    </row>
    <row r="871" spans="2:21" x14ac:dyDescent="0.2">
      <c r="B871" s="46"/>
      <c r="F871" s="47"/>
      <c r="J871" s="46"/>
      <c r="K871" s="48"/>
      <c r="O871" t="s">
        <v>602</v>
      </c>
      <c r="P871" t="s">
        <v>602</v>
      </c>
      <c r="Q871" t="s">
        <v>602</v>
      </c>
      <c r="R871" t="s">
        <v>603</v>
      </c>
      <c r="S871" t="s">
        <v>602</v>
      </c>
      <c r="T871" t="s">
        <v>602</v>
      </c>
      <c r="U871" s="47">
        <v>-2998</v>
      </c>
    </row>
    <row r="872" spans="2:21" x14ac:dyDescent="0.2">
      <c r="B872" s="46"/>
      <c r="F872" s="47"/>
      <c r="J872" s="46"/>
      <c r="K872" s="48"/>
      <c r="O872" t="s">
        <v>602</v>
      </c>
      <c r="P872" t="s">
        <v>602</v>
      </c>
      <c r="Q872" t="s">
        <v>602</v>
      </c>
      <c r="R872" t="s">
        <v>603</v>
      </c>
      <c r="S872" t="s">
        <v>602</v>
      </c>
      <c r="T872" t="s">
        <v>602</v>
      </c>
      <c r="U872" s="47">
        <v>-2998</v>
      </c>
    </row>
    <row r="873" spans="2:21" x14ac:dyDescent="0.2">
      <c r="B873" s="46"/>
      <c r="F873" s="47"/>
      <c r="J873" s="46"/>
      <c r="K873" s="48"/>
      <c r="O873" t="s">
        <v>602</v>
      </c>
      <c r="P873" t="s">
        <v>602</v>
      </c>
      <c r="Q873" t="s">
        <v>602</v>
      </c>
      <c r="R873" t="s">
        <v>603</v>
      </c>
      <c r="S873" t="s">
        <v>602</v>
      </c>
      <c r="T873" t="s">
        <v>602</v>
      </c>
      <c r="U873" s="47">
        <v>-2998</v>
      </c>
    </row>
    <row r="874" spans="2:21" x14ac:dyDescent="0.2">
      <c r="B874" s="46"/>
      <c r="F874" s="47"/>
      <c r="J874" s="46"/>
      <c r="K874" s="48"/>
      <c r="O874" t="s">
        <v>602</v>
      </c>
      <c r="P874" t="s">
        <v>602</v>
      </c>
      <c r="Q874" t="s">
        <v>602</v>
      </c>
      <c r="R874" t="s">
        <v>603</v>
      </c>
      <c r="S874" t="s">
        <v>602</v>
      </c>
      <c r="T874" t="s">
        <v>602</v>
      </c>
      <c r="U874" s="47">
        <v>-2998</v>
      </c>
    </row>
    <row r="875" spans="2:21" x14ac:dyDescent="0.2">
      <c r="B875" s="46"/>
      <c r="F875" s="47"/>
      <c r="J875" s="46"/>
      <c r="K875" s="48"/>
      <c r="O875" t="s">
        <v>602</v>
      </c>
      <c r="P875" t="s">
        <v>602</v>
      </c>
      <c r="Q875" t="s">
        <v>602</v>
      </c>
      <c r="R875" t="s">
        <v>603</v>
      </c>
      <c r="S875" t="s">
        <v>602</v>
      </c>
      <c r="T875" t="s">
        <v>602</v>
      </c>
      <c r="U875" s="47">
        <v>-2998</v>
      </c>
    </row>
    <row r="876" spans="2:21" x14ac:dyDescent="0.2">
      <c r="B876" s="46"/>
      <c r="F876" s="47"/>
      <c r="J876" s="46"/>
      <c r="K876" s="48"/>
      <c r="O876" t="s">
        <v>602</v>
      </c>
      <c r="P876" t="s">
        <v>602</v>
      </c>
      <c r="Q876" t="s">
        <v>602</v>
      </c>
      <c r="R876" t="s">
        <v>603</v>
      </c>
      <c r="S876" t="s">
        <v>602</v>
      </c>
      <c r="T876" t="s">
        <v>602</v>
      </c>
      <c r="U876" s="47">
        <v>-2998</v>
      </c>
    </row>
    <row r="877" spans="2:21" x14ac:dyDescent="0.2">
      <c r="B877" s="46"/>
      <c r="F877" s="47"/>
      <c r="J877" s="46"/>
      <c r="K877" s="48"/>
      <c r="O877" t="s">
        <v>602</v>
      </c>
      <c r="P877" t="s">
        <v>602</v>
      </c>
      <c r="Q877" t="s">
        <v>602</v>
      </c>
      <c r="R877" t="s">
        <v>603</v>
      </c>
      <c r="S877" t="s">
        <v>602</v>
      </c>
      <c r="T877" t="s">
        <v>602</v>
      </c>
      <c r="U877" s="47">
        <v>-750</v>
      </c>
    </row>
    <row r="878" spans="2:21" x14ac:dyDescent="0.2">
      <c r="B878" s="46"/>
      <c r="F878" s="47"/>
      <c r="J878" s="46"/>
      <c r="K878" s="48"/>
      <c r="O878" t="s">
        <v>602</v>
      </c>
      <c r="P878" t="s">
        <v>602</v>
      </c>
      <c r="Q878" t="s">
        <v>602</v>
      </c>
      <c r="R878" t="s">
        <v>603</v>
      </c>
      <c r="S878" t="s">
        <v>602</v>
      </c>
      <c r="T878" t="s">
        <v>602</v>
      </c>
      <c r="U878" s="47">
        <v>-3028</v>
      </c>
    </row>
    <row r="879" spans="2:21" x14ac:dyDescent="0.2">
      <c r="B879" s="46"/>
      <c r="F879" s="47"/>
      <c r="J879" s="46"/>
      <c r="K879" s="48"/>
      <c r="O879" t="s">
        <v>602</v>
      </c>
      <c r="P879" t="s">
        <v>602</v>
      </c>
      <c r="Q879" t="s">
        <v>602</v>
      </c>
      <c r="R879" t="s">
        <v>603</v>
      </c>
      <c r="S879" t="s">
        <v>602</v>
      </c>
      <c r="T879" t="s">
        <v>602</v>
      </c>
      <c r="U879" s="47">
        <v>-1203</v>
      </c>
    </row>
    <row r="880" spans="2:21" x14ac:dyDescent="0.2">
      <c r="B880" s="46"/>
      <c r="F880" s="47"/>
      <c r="J880" s="46"/>
      <c r="K880" s="48"/>
      <c r="O880" t="s">
        <v>602</v>
      </c>
      <c r="P880" t="s">
        <v>602</v>
      </c>
      <c r="Q880" t="s">
        <v>602</v>
      </c>
      <c r="R880" t="s">
        <v>603</v>
      </c>
      <c r="S880" t="s">
        <v>602</v>
      </c>
      <c r="T880" t="s">
        <v>602</v>
      </c>
      <c r="U880" s="47">
        <v>-1877</v>
      </c>
    </row>
    <row r="881" spans="2:21" x14ac:dyDescent="0.2">
      <c r="B881" s="46"/>
      <c r="F881" s="47"/>
      <c r="J881" s="46"/>
      <c r="K881" s="48"/>
      <c r="O881" t="s">
        <v>602</v>
      </c>
      <c r="P881" t="s">
        <v>602</v>
      </c>
      <c r="Q881" t="s">
        <v>602</v>
      </c>
      <c r="R881" t="s">
        <v>603</v>
      </c>
      <c r="S881" t="s">
        <v>602</v>
      </c>
      <c r="T881" t="s">
        <v>602</v>
      </c>
      <c r="U881" s="47">
        <v>-3754</v>
      </c>
    </row>
    <row r="882" spans="2:21" x14ac:dyDescent="0.2">
      <c r="B882" s="46"/>
      <c r="F882" s="47"/>
      <c r="J882" s="46"/>
      <c r="K882" s="48"/>
      <c r="O882" t="s">
        <v>602</v>
      </c>
      <c r="P882" t="s">
        <v>602</v>
      </c>
      <c r="Q882" t="s">
        <v>602</v>
      </c>
      <c r="R882" t="s">
        <v>603</v>
      </c>
      <c r="S882" t="s">
        <v>602</v>
      </c>
      <c r="T882" t="s">
        <v>602</v>
      </c>
      <c r="U882" s="47">
        <v>-2065</v>
      </c>
    </row>
    <row r="883" spans="2:21" x14ac:dyDescent="0.2">
      <c r="B883" s="46"/>
      <c r="F883" s="47"/>
      <c r="J883" s="46"/>
      <c r="K883" s="48"/>
      <c r="O883" t="s">
        <v>602</v>
      </c>
      <c r="P883" t="s">
        <v>602</v>
      </c>
      <c r="Q883" t="s">
        <v>602</v>
      </c>
      <c r="R883" t="s">
        <v>603</v>
      </c>
      <c r="S883" t="s">
        <v>602</v>
      </c>
      <c r="T883" t="s">
        <v>602</v>
      </c>
      <c r="U883" s="47">
        <v>-192</v>
      </c>
    </row>
    <row r="884" spans="2:21" x14ac:dyDescent="0.2">
      <c r="B884" s="46"/>
      <c r="F884" s="47"/>
      <c r="J884" s="46"/>
      <c r="K884" s="48"/>
      <c r="O884" t="s">
        <v>602</v>
      </c>
      <c r="P884" t="s">
        <v>602</v>
      </c>
      <c r="Q884" t="s">
        <v>602</v>
      </c>
      <c r="R884" t="s">
        <v>603</v>
      </c>
      <c r="S884" t="s">
        <v>602</v>
      </c>
      <c r="T884" t="s">
        <v>602</v>
      </c>
      <c r="U884" s="47">
        <v>-192</v>
      </c>
    </row>
    <row r="885" spans="2:21" x14ac:dyDescent="0.2">
      <c r="B885" s="46"/>
      <c r="F885" s="47"/>
      <c r="J885" s="46"/>
      <c r="K885" s="48"/>
      <c r="O885" t="s">
        <v>602</v>
      </c>
      <c r="P885" t="s">
        <v>602</v>
      </c>
      <c r="Q885" t="s">
        <v>602</v>
      </c>
      <c r="R885" t="s">
        <v>603</v>
      </c>
      <c r="S885" t="s">
        <v>602</v>
      </c>
      <c r="T885" t="s">
        <v>602</v>
      </c>
      <c r="U885" s="47">
        <v>-384</v>
      </c>
    </row>
    <row r="886" spans="2:21" x14ac:dyDescent="0.2">
      <c r="B886" s="46"/>
      <c r="F886" s="47"/>
      <c r="J886" s="46"/>
      <c r="K886" s="48"/>
      <c r="O886" t="s">
        <v>602</v>
      </c>
      <c r="P886" t="s">
        <v>602</v>
      </c>
      <c r="Q886" t="s">
        <v>602</v>
      </c>
      <c r="R886" t="s">
        <v>603</v>
      </c>
      <c r="S886" t="s">
        <v>602</v>
      </c>
      <c r="T886" t="s">
        <v>602</v>
      </c>
      <c r="U886" s="47">
        <v>-576</v>
      </c>
    </row>
    <row r="887" spans="2:21" x14ac:dyDescent="0.2">
      <c r="B887" s="46"/>
      <c r="F887" s="47"/>
      <c r="J887" s="46"/>
      <c r="K887" s="48"/>
      <c r="O887" t="s">
        <v>602</v>
      </c>
      <c r="P887" t="s">
        <v>602</v>
      </c>
      <c r="Q887" t="s">
        <v>602</v>
      </c>
      <c r="R887" t="s">
        <v>603</v>
      </c>
      <c r="S887" t="s">
        <v>602</v>
      </c>
      <c r="T887" t="s">
        <v>602</v>
      </c>
      <c r="U887" s="47">
        <v>-864</v>
      </c>
    </row>
    <row r="888" spans="2:21" x14ac:dyDescent="0.2">
      <c r="B888" s="46"/>
      <c r="F888" s="47"/>
      <c r="J888" s="46"/>
      <c r="K888" s="48"/>
      <c r="O888" t="s">
        <v>602</v>
      </c>
      <c r="P888" t="s">
        <v>602</v>
      </c>
      <c r="Q888" t="s">
        <v>602</v>
      </c>
      <c r="R888" t="s">
        <v>603</v>
      </c>
      <c r="S888" t="s">
        <v>602</v>
      </c>
      <c r="T888" t="s">
        <v>602</v>
      </c>
      <c r="U888" s="47">
        <v>-96</v>
      </c>
    </row>
    <row r="889" spans="2:21" x14ac:dyDescent="0.2">
      <c r="B889" s="46"/>
      <c r="F889" s="47"/>
      <c r="J889" s="46"/>
      <c r="K889" s="48"/>
      <c r="O889" t="s">
        <v>602</v>
      </c>
      <c r="P889" t="s">
        <v>602</v>
      </c>
      <c r="Q889" t="s">
        <v>602</v>
      </c>
      <c r="R889" t="s">
        <v>603</v>
      </c>
      <c r="S889" t="s">
        <v>602</v>
      </c>
      <c r="T889" t="s">
        <v>602</v>
      </c>
      <c r="U889" s="47">
        <v>-96</v>
      </c>
    </row>
    <row r="890" spans="2:21" x14ac:dyDescent="0.2">
      <c r="B890" s="46"/>
      <c r="F890" s="47"/>
      <c r="J890" s="46"/>
      <c r="K890" s="48"/>
      <c r="O890" t="s">
        <v>602</v>
      </c>
      <c r="P890" t="s">
        <v>602</v>
      </c>
      <c r="Q890" t="s">
        <v>602</v>
      </c>
      <c r="R890" t="s">
        <v>603</v>
      </c>
      <c r="S890" t="s">
        <v>602</v>
      </c>
      <c r="T890" t="s">
        <v>602</v>
      </c>
      <c r="U890" s="47">
        <v>-192</v>
      </c>
    </row>
    <row r="891" spans="2:21" x14ac:dyDescent="0.2">
      <c r="B891" s="46"/>
      <c r="F891" s="47"/>
      <c r="J891" s="46"/>
      <c r="K891" s="48"/>
      <c r="O891" t="s">
        <v>602</v>
      </c>
      <c r="P891" t="s">
        <v>602</v>
      </c>
      <c r="Q891" t="s">
        <v>602</v>
      </c>
      <c r="R891" t="s">
        <v>603</v>
      </c>
      <c r="S891" t="s">
        <v>602</v>
      </c>
      <c r="T891" t="s">
        <v>602</v>
      </c>
      <c r="U891" s="47">
        <v>-288</v>
      </c>
    </row>
    <row r="892" spans="2:21" x14ac:dyDescent="0.2">
      <c r="B892" s="46"/>
      <c r="F892" s="47"/>
      <c r="J892" s="46"/>
      <c r="K892" s="48"/>
      <c r="O892" t="s">
        <v>602</v>
      </c>
      <c r="P892" t="s">
        <v>602</v>
      </c>
      <c r="Q892" t="s">
        <v>602</v>
      </c>
      <c r="R892" t="s">
        <v>603</v>
      </c>
      <c r="S892" t="s">
        <v>602</v>
      </c>
      <c r="T892" t="s">
        <v>602</v>
      </c>
      <c r="U892" s="47">
        <v>-96</v>
      </c>
    </row>
    <row r="893" spans="2:21" x14ac:dyDescent="0.2">
      <c r="B893" s="46"/>
      <c r="F893" s="47"/>
      <c r="J893" s="46"/>
      <c r="K893" s="48"/>
      <c r="O893" t="s">
        <v>602</v>
      </c>
      <c r="P893" t="s">
        <v>602</v>
      </c>
      <c r="Q893" t="s">
        <v>602</v>
      </c>
      <c r="R893" t="s">
        <v>603</v>
      </c>
      <c r="S893" t="s">
        <v>602</v>
      </c>
      <c r="T893" t="s">
        <v>602</v>
      </c>
      <c r="U893" s="47">
        <v>-192</v>
      </c>
    </row>
    <row r="894" spans="2:21" x14ac:dyDescent="0.2">
      <c r="B894" s="46"/>
      <c r="F894" s="47"/>
      <c r="J894" s="46"/>
      <c r="K894" s="48"/>
      <c r="O894" t="s">
        <v>602</v>
      </c>
      <c r="P894" t="s">
        <v>602</v>
      </c>
      <c r="Q894" t="s">
        <v>602</v>
      </c>
      <c r="R894" t="s">
        <v>603</v>
      </c>
      <c r="S894" t="s">
        <v>602</v>
      </c>
      <c r="T894" t="s">
        <v>602</v>
      </c>
      <c r="U894" s="47">
        <v>-576</v>
      </c>
    </row>
    <row r="895" spans="2:21" x14ac:dyDescent="0.2">
      <c r="B895" s="46"/>
      <c r="F895" s="47"/>
      <c r="J895" s="46"/>
      <c r="K895" s="48"/>
      <c r="O895" t="s">
        <v>602</v>
      </c>
      <c r="P895" t="s">
        <v>602</v>
      </c>
      <c r="Q895" t="s">
        <v>602</v>
      </c>
      <c r="R895" t="s">
        <v>603</v>
      </c>
      <c r="S895" t="s">
        <v>602</v>
      </c>
      <c r="T895" t="s">
        <v>602</v>
      </c>
      <c r="U895" s="47">
        <v>-960</v>
      </c>
    </row>
    <row r="896" spans="2:21" x14ac:dyDescent="0.2">
      <c r="B896" s="46"/>
      <c r="F896" s="47"/>
      <c r="J896" s="46"/>
      <c r="K896" s="48"/>
      <c r="O896" t="s">
        <v>602</v>
      </c>
      <c r="P896" t="s">
        <v>602</v>
      </c>
      <c r="Q896" t="s">
        <v>602</v>
      </c>
      <c r="R896" t="s">
        <v>603</v>
      </c>
      <c r="S896" t="s">
        <v>602</v>
      </c>
      <c r="T896" t="s">
        <v>602</v>
      </c>
      <c r="U896" s="47">
        <v>-192</v>
      </c>
    </row>
    <row r="897" spans="2:21" x14ac:dyDescent="0.2">
      <c r="B897" s="46"/>
      <c r="F897" s="47"/>
      <c r="J897" s="46"/>
      <c r="K897" s="48"/>
      <c r="O897" t="s">
        <v>602</v>
      </c>
      <c r="P897" t="s">
        <v>602</v>
      </c>
      <c r="Q897" t="s">
        <v>602</v>
      </c>
      <c r="R897" t="s">
        <v>603</v>
      </c>
      <c r="S897" t="s">
        <v>602</v>
      </c>
      <c r="T897" t="s">
        <v>602</v>
      </c>
      <c r="U897" s="47">
        <v>-480</v>
      </c>
    </row>
    <row r="898" spans="2:21" x14ac:dyDescent="0.2">
      <c r="B898" s="46"/>
      <c r="F898" s="47"/>
      <c r="J898" s="46"/>
      <c r="K898" s="48"/>
      <c r="O898" t="s">
        <v>602</v>
      </c>
      <c r="P898" t="s">
        <v>602</v>
      </c>
      <c r="Q898" t="s">
        <v>602</v>
      </c>
      <c r="R898" t="s">
        <v>603</v>
      </c>
      <c r="S898" t="s">
        <v>602</v>
      </c>
      <c r="T898" t="s">
        <v>602</v>
      </c>
      <c r="U898" s="47">
        <v>-480</v>
      </c>
    </row>
    <row r="899" spans="2:21" x14ac:dyDescent="0.2">
      <c r="B899" s="46"/>
      <c r="F899" s="47"/>
      <c r="J899" s="46"/>
      <c r="K899" s="48"/>
      <c r="O899" t="s">
        <v>602</v>
      </c>
      <c r="P899" t="s">
        <v>602</v>
      </c>
      <c r="Q899" t="s">
        <v>602</v>
      </c>
      <c r="R899" t="s">
        <v>603</v>
      </c>
      <c r="S899" t="s">
        <v>602</v>
      </c>
      <c r="T899" t="s">
        <v>602</v>
      </c>
      <c r="U899" s="47">
        <v>-480</v>
      </c>
    </row>
    <row r="900" spans="2:21" x14ac:dyDescent="0.2">
      <c r="B900" s="46"/>
      <c r="F900" s="47"/>
      <c r="J900" s="46"/>
      <c r="K900" s="48"/>
      <c r="O900" t="s">
        <v>602</v>
      </c>
      <c r="P900" t="s">
        <v>602</v>
      </c>
      <c r="Q900" t="s">
        <v>602</v>
      </c>
      <c r="R900" t="s">
        <v>603</v>
      </c>
      <c r="S900" t="s">
        <v>602</v>
      </c>
      <c r="T900" t="s">
        <v>602</v>
      </c>
      <c r="U900" s="47">
        <v>-384</v>
      </c>
    </row>
    <row r="901" spans="2:21" x14ac:dyDescent="0.2">
      <c r="B901" s="46"/>
      <c r="F901" s="47"/>
      <c r="J901" s="46"/>
      <c r="K901" s="48"/>
      <c r="O901" t="s">
        <v>602</v>
      </c>
      <c r="P901" t="s">
        <v>602</v>
      </c>
      <c r="Q901" t="s">
        <v>602</v>
      </c>
      <c r="R901" t="s">
        <v>603</v>
      </c>
      <c r="S901" t="s">
        <v>602</v>
      </c>
      <c r="T901" t="s">
        <v>602</v>
      </c>
      <c r="U901" s="47">
        <v>-1380</v>
      </c>
    </row>
    <row r="902" spans="2:21" x14ac:dyDescent="0.2">
      <c r="B902" s="46"/>
      <c r="F902" s="47"/>
      <c r="J902" s="46"/>
      <c r="K902" s="48"/>
      <c r="O902" t="s">
        <v>602</v>
      </c>
      <c r="P902" t="s">
        <v>602</v>
      </c>
      <c r="Q902" t="s">
        <v>602</v>
      </c>
      <c r="R902" t="s">
        <v>603</v>
      </c>
      <c r="S902" t="s">
        <v>602</v>
      </c>
      <c r="T902" t="s">
        <v>602</v>
      </c>
      <c r="U902" s="47">
        <v>-276</v>
      </c>
    </row>
    <row r="903" spans="2:21" x14ac:dyDescent="0.2">
      <c r="B903" s="46"/>
      <c r="F903" s="47"/>
      <c r="J903" s="46"/>
      <c r="K903" s="48"/>
      <c r="O903" t="s">
        <v>602</v>
      </c>
      <c r="P903" t="s">
        <v>602</v>
      </c>
      <c r="Q903" t="s">
        <v>602</v>
      </c>
      <c r="R903" t="s">
        <v>603</v>
      </c>
      <c r="S903" t="s">
        <v>602</v>
      </c>
      <c r="T903" t="s">
        <v>602</v>
      </c>
      <c r="U903" s="47">
        <v>-690</v>
      </c>
    </row>
    <row r="904" spans="2:21" x14ac:dyDescent="0.2">
      <c r="B904" s="46"/>
      <c r="F904" s="47"/>
      <c r="J904" s="46"/>
      <c r="K904" s="48"/>
      <c r="O904" t="s">
        <v>602</v>
      </c>
      <c r="P904" t="s">
        <v>602</v>
      </c>
      <c r="Q904" t="s">
        <v>602</v>
      </c>
      <c r="R904" t="s">
        <v>603</v>
      </c>
      <c r="S904" t="s">
        <v>602</v>
      </c>
      <c r="T904" t="s">
        <v>602</v>
      </c>
      <c r="U904" s="47">
        <v>-828</v>
      </c>
    </row>
    <row r="905" spans="2:21" x14ac:dyDescent="0.2">
      <c r="B905" s="46"/>
      <c r="F905" s="47"/>
      <c r="J905" s="46"/>
      <c r="K905" s="48"/>
      <c r="O905" t="s">
        <v>602</v>
      </c>
      <c r="P905" t="s">
        <v>602</v>
      </c>
      <c r="Q905" t="s">
        <v>602</v>
      </c>
      <c r="R905" t="s">
        <v>603</v>
      </c>
      <c r="S905" t="s">
        <v>602</v>
      </c>
      <c r="T905" t="s">
        <v>602</v>
      </c>
      <c r="U905" s="47">
        <v>-828</v>
      </c>
    </row>
    <row r="906" spans="2:21" x14ac:dyDescent="0.2">
      <c r="B906" s="46"/>
      <c r="F906" s="47"/>
      <c r="J906" s="46"/>
      <c r="K906" s="48"/>
      <c r="O906" t="s">
        <v>602</v>
      </c>
      <c r="P906" t="s">
        <v>602</v>
      </c>
      <c r="Q906" t="s">
        <v>602</v>
      </c>
      <c r="R906" t="s">
        <v>603</v>
      </c>
      <c r="S906" t="s">
        <v>602</v>
      </c>
      <c r="T906" t="s">
        <v>602</v>
      </c>
      <c r="U906" s="47">
        <v>-138</v>
      </c>
    </row>
    <row r="907" spans="2:21" x14ac:dyDescent="0.2">
      <c r="B907" s="46"/>
      <c r="F907" s="47"/>
      <c r="J907" s="46"/>
      <c r="K907" s="48"/>
      <c r="O907" t="s">
        <v>602</v>
      </c>
      <c r="P907" t="s">
        <v>602</v>
      </c>
      <c r="Q907" t="s">
        <v>602</v>
      </c>
      <c r="R907" t="s">
        <v>603</v>
      </c>
      <c r="S907" t="s">
        <v>602</v>
      </c>
      <c r="T907" t="s">
        <v>602</v>
      </c>
      <c r="U907" s="47">
        <v>-414</v>
      </c>
    </row>
    <row r="908" spans="2:21" x14ac:dyDescent="0.2">
      <c r="B908" s="46"/>
      <c r="F908" s="47"/>
      <c r="J908" s="46"/>
      <c r="K908" s="48"/>
      <c r="O908" t="s">
        <v>602</v>
      </c>
      <c r="P908" t="s">
        <v>602</v>
      </c>
      <c r="Q908" t="s">
        <v>602</v>
      </c>
      <c r="R908" t="s">
        <v>603</v>
      </c>
      <c r="S908" t="s">
        <v>602</v>
      </c>
      <c r="T908" t="s">
        <v>602</v>
      </c>
      <c r="U908" s="47">
        <v>-690</v>
      </c>
    </row>
    <row r="909" spans="2:21" x14ac:dyDescent="0.2">
      <c r="B909" s="46"/>
      <c r="F909" s="47"/>
      <c r="J909" s="46"/>
      <c r="K909" s="48"/>
      <c r="O909" t="s">
        <v>602</v>
      </c>
      <c r="P909" t="s">
        <v>602</v>
      </c>
      <c r="Q909" t="s">
        <v>602</v>
      </c>
      <c r="R909" t="s">
        <v>603</v>
      </c>
      <c r="S909" t="s">
        <v>602</v>
      </c>
      <c r="T909" t="s">
        <v>602</v>
      </c>
      <c r="U909" s="47">
        <v>-138</v>
      </c>
    </row>
    <row r="910" spans="2:21" x14ac:dyDescent="0.2">
      <c r="B910" s="46"/>
      <c r="F910" s="47"/>
      <c r="J910" s="46"/>
      <c r="K910" s="48"/>
      <c r="O910" t="s">
        <v>602</v>
      </c>
      <c r="P910" t="s">
        <v>602</v>
      </c>
      <c r="Q910" t="s">
        <v>602</v>
      </c>
      <c r="R910" t="s">
        <v>603</v>
      </c>
      <c r="S910" t="s">
        <v>602</v>
      </c>
      <c r="T910" t="s">
        <v>602</v>
      </c>
      <c r="U910" s="47">
        <v>-552</v>
      </c>
    </row>
    <row r="911" spans="2:21" x14ac:dyDescent="0.2">
      <c r="B911" s="46"/>
      <c r="F911" s="47"/>
      <c r="J911" s="46"/>
      <c r="K911" s="48"/>
      <c r="O911" t="s">
        <v>602</v>
      </c>
      <c r="P911" t="s">
        <v>602</v>
      </c>
      <c r="Q911" t="s">
        <v>602</v>
      </c>
      <c r="R911" t="s">
        <v>603</v>
      </c>
      <c r="S911" t="s">
        <v>602</v>
      </c>
      <c r="T911" t="s">
        <v>602</v>
      </c>
      <c r="U911" s="47">
        <v>-690</v>
      </c>
    </row>
    <row r="912" spans="2:21" x14ac:dyDescent="0.2">
      <c r="B912" s="46"/>
      <c r="F912" s="47"/>
      <c r="J912" s="46"/>
      <c r="K912" s="48"/>
      <c r="O912" t="s">
        <v>602</v>
      </c>
      <c r="P912" t="s">
        <v>602</v>
      </c>
      <c r="Q912" t="s">
        <v>602</v>
      </c>
      <c r="R912" t="s">
        <v>603</v>
      </c>
      <c r="S912" t="s">
        <v>602</v>
      </c>
      <c r="T912" t="s">
        <v>602</v>
      </c>
      <c r="U912" s="47">
        <v>-276</v>
      </c>
    </row>
    <row r="913" spans="2:21" x14ac:dyDescent="0.2">
      <c r="B913" s="46"/>
      <c r="F913" s="47"/>
      <c r="J913" s="46"/>
      <c r="K913" s="48"/>
      <c r="O913" t="s">
        <v>602</v>
      </c>
      <c r="P913" t="s">
        <v>602</v>
      </c>
      <c r="Q913" t="s">
        <v>602</v>
      </c>
      <c r="R913" t="s">
        <v>603</v>
      </c>
      <c r="S913" t="s">
        <v>602</v>
      </c>
      <c r="T913" t="s">
        <v>602</v>
      </c>
      <c r="U913" s="47">
        <v>-276</v>
      </c>
    </row>
    <row r="914" spans="2:21" x14ac:dyDescent="0.2">
      <c r="B914" s="46"/>
      <c r="F914" s="47"/>
      <c r="J914" s="46"/>
      <c r="K914" s="48"/>
      <c r="O914" t="s">
        <v>602</v>
      </c>
      <c r="P914" t="s">
        <v>602</v>
      </c>
      <c r="Q914" t="s">
        <v>602</v>
      </c>
      <c r="R914" t="s">
        <v>603</v>
      </c>
      <c r="S914" t="s">
        <v>602</v>
      </c>
      <c r="T914" t="s">
        <v>602</v>
      </c>
      <c r="U914" s="47">
        <v>-276</v>
      </c>
    </row>
    <row r="915" spans="2:21" x14ac:dyDescent="0.2">
      <c r="B915" s="46"/>
      <c r="F915" s="47"/>
      <c r="J915" s="46"/>
      <c r="K915" s="48"/>
      <c r="O915" t="s">
        <v>602</v>
      </c>
      <c r="P915" t="s">
        <v>602</v>
      </c>
      <c r="Q915" t="s">
        <v>602</v>
      </c>
      <c r="R915" t="s">
        <v>603</v>
      </c>
      <c r="S915" t="s">
        <v>602</v>
      </c>
      <c r="T915" t="s">
        <v>602</v>
      </c>
      <c r="U915" s="47">
        <v>-276</v>
      </c>
    </row>
    <row r="916" spans="2:21" x14ac:dyDescent="0.2">
      <c r="B916" s="46"/>
      <c r="F916" s="47"/>
      <c r="J916" s="46"/>
      <c r="K916" s="48"/>
      <c r="O916" t="s">
        <v>602</v>
      </c>
      <c r="P916" t="s">
        <v>602</v>
      </c>
      <c r="Q916" t="s">
        <v>602</v>
      </c>
      <c r="R916" t="s">
        <v>603</v>
      </c>
      <c r="S916" t="s">
        <v>602</v>
      </c>
      <c r="T916" t="s">
        <v>602</v>
      </c>
      <c r="U916" s="47">
        <v>-1242</v>
      </c>
    </row>
    <row r="917" spans="2:21" x14ac:dyDescent="0.2">
      <c r="B917" s="46"/>
      <c r="F917" s="47"/>
      <c r="J917" s="46"/>
      <c r="K917" s="48"/>
      <c r="O917" t="s">
        <v>602</v>
      </c>
      <c r="P917" t="s">
        <v>602</v>
      </c>
      <c r="Q917" t="s">
        <v>602</v>
      </c>
      <c r="R917" t="s">
        <v>603</v>
      </c>
      <c r="S917" t="s">
        <v>602</v>
      </c>
      <c r="T917" t="s">
        <v>602</v>
      </c>
      <c r="U917" s="47">
        <v>-138</v>
      </c>
    </row>
    <row r="918" spans="2:21" x14ac:dyDescent="0.2">
      <c r="B918" s="46"/>
      <c r="F918" s="47"/>
      <c r="J918" s="46"/>
      <c r="K918" s="48"/>
      <c r="O918" t="s">
        <v>602</v>
      </c>
      <c r="P918" t="s">
        <v>602</v>
      </c>
      <c r="Q918" t="s">
        <v>602</v>
      </c>
      <c r="R918" t="s">
        <v>603</v>
      </c>
      <c r="S918" t="s">
        <v>602</v>
      </c>
      <c r="T918" t="s">
        <v>602</v>
      </c>
      <c r="U918" s="47">
        <v>-552</v>
      </c>
    </row>
    <row r="919" spans="2:21" x14ac:dyDescent="0.2">
      <c r="B919" s="46"/>
      <c r="F919" s="47"/>
      <c r="J919" s="46"/>
      <c r="K919" s="48"/>
      <c r="O919" t="s">
        <v>602</v>
      </c>
      <c r="P919" t="s">
        <v>602</v>
      </c>
      <c r="Q919" t="s">
        <v>602</v>
      </c>
      <c r="R919" t="s">
        <v>603</v>
      </c>
      <c r="S919" t="s">
        <v>602</v>
      </c>
      <c r="T919" t="s">
        <v>602</v>
      </c>
      <c r="U919" s="47">
        <v>-224</v>
      </c>
    </row>
    <row r="920" spans="2:21" x14ac:dyDescent="0.2">
      <c r="B920" s="46"/>
      <c r="F920" s="47"/>
      <c r="J920" s="46"/>
      <c r="K920" s="48"/>
      <c r="O920" t="s">
        <v>602</v>
      </c>
      <c r="P920" t="s">
        <v>602</v>
      </c>
      <c r="Q920" t="s">
        <v>602</v>
      </c>
      <c r="R920" t="s">
        <v>603</v>
      </c>
      <c r="S920" t="s">
        <v>602</v>
      </c>
      <c r="T920" t="s">
        <v>602</v>
      </c>
      <c r="U920" s="47">
        <v>-269</v>
      </c>
    </row>
    <row r="921" spans="2:21" x14ac:dyDescent="0.2">
      <c r="B921" s="46"/>
      <c r="F921" s="47"/>
      <c r="J921" s="46"/>
      <c r="K921" s="48"/>
      <c r="O921" t="s">
        <v>602</v>
      </c>
      <c r="P921" t="s">
        <v>602</v>
      </c>
      <c r="Q921" t="s">
        <v>602</v>
      </c>
      <c r="R921" t="s">
        <v>603</v>
      </c>
      <c r="S921" t="s">
        <v>602</v>
      </c>
      <c r="T921" t="s">
        <v>602</v>
      </c>
      <c r="U921" s="47">
        <v>-448</v>
      </c>
    </row>
    <row r="922" spans="2:21" x14ac:dyDescent="0.2">
      <c r="B922" s="46"/>
      <c r="F922" s="47"/>
      <c r="J922" s="46"/>
      <c r="K922" s="48"/>
      <c r="O922" t="s">
        <v>602</v>
      </c>
      <c r="P922" t="s">
        <v>602</v>
      </c>
      <c r="Q922" t="s">
        <v>602</v>
      </c>
      <c r="R922" t="s">
        <v>603</v>
      </c>
      <c r="S922" t="s">
        <v>602</v>
      </c>
      <c r="T922" t="s">
        <v>602</v>
      </c>
      <c r="U922" s="47">
        <v>-90</v>
      </c>
    </row>
    <row r="923" spans="2:21" x14ac:dyDescent="0.2">
      <c r="B923" s="46"/>
      <c r="F923" s="47"/>
      <c r="J923" s="46"/>
      <c r="K923" s="48"/>
      <c r="O923" t="s">
        <v>602</v>
      </c>
      <c r="P923" t="s">
        <v>602</v>
      </c>
      <c r="Q923" t="s">
        <v>602</v>
      </c>
      <c r="R923" t="s">
        <v>603</v>
      </c>
      <c r="S923" t="s">
        <v>602</v>
      </c>
      <c r="T923" t="s">
        <v>602</v>
      </c>
      <c r="U923" s="47">
        <v>-134</v>
      </c>
    </row>
    <row r="924" spans="2:21" x14ac:dyDescent="0.2">
      <c r="B924" s="46"/>
      <c r="F924" s="47"/>
      <c r="J924" s="46"/>
      <c r="K924" s="48"/>
      <c r="O924" t="s">
        <v>602</v>
      </c>
      <c r="P924" t="s">
        <v>602</v>
      </c>
      <c r="Q924" t="s">
        <v>602</v>
      </c>
      <c r="R924" t="s">
        <v>603</v>
      </c>
      <c r="S924" t="s">
        <v>602</v>
      </c>
      <c r="T924" t="s">
        <v>602</v>
      </c>
      <c r="U924" s="47">
        <v>-45</v>
      </c>
    </row>
    <row r="925" spans="2:21" x14ac:dyDescent="0.2">
      <c r="B925" s="46"/>
      <c r="F925" s="47"/>
      <c r="J925" s="46"/>
      <c r="K925" s="48"/>
      <c r="O925" t="s">
        <v>602</v>
      </c>
      <c r="P925" t="s">
        <v>602</v>
      </c>
      <c r="Q925" t="s">
        <v>602</v>
      </c>
      <c r="R925" t="s">
        <v>603</v>
      </c>
      <c r="S925" t="s">
        <v>602</v>
      </c>
      <c r="T925" t="s">
        <v>602</v>
      </c>
      <c r="U925" s="47">
        <v>-224</v>
      </c>
    </row>
    <row r="926" spans="2:21" x14ac:dyDescent="0.2">
      <c r="B926" s="46"/>
      <c r="F926" s="47"/>
      <c r="J926" s="46"/>
      <c r="K926" s="48"/>
      <c r="O926" t="s">
        <v>602</v>
      </c>
      <c r="P926" t="s">
        <v>602</v>
      </c>
      <c r="Q926" t="s">
        <v>602</v>
      </c>
      <c r="R926" t="s">
        <v>603</v>
      </c>
      <c r="S926" t="s">
        <v>602</v>
      </c>
      <c r="T926" t="s">
        <v>602</v>
      </c>
      <c r="U926" s="47">
        <v>-90</v>
      </c>
    </row>
    <row r="927" spans="2:21" x14ac:dyDescent="0.2">
      <c r="B927" s="46"/>
      <c r="F927" s="47"/>
      <c r="J927" s="46"/>
      <c r="K927" s="48"/>
      <c r="O927" t="s">
        <v>602</v>
      </c>
      <c r="P927" t="s">
        <v>602</v>
      </c>
      <c r="Q927" t="s">
        <v>602</v>
      </c>
      <c r="R927" t="s">
        <v>603</v>
      </c>
      <c r="S927" t="s">
        <v>602</v>
      </c>
      <c r="T927" t="s">
        <v>602</v>
      </c>
      <c r="U927" s="47">
        <v>-179</v>
      </c>
    </row>
    <row r="928" spans="2:21" x14ac:dyDescent="0.2">
      <c r="B928" s="46"/>
      <c r="F928" s="47"/>
      <c r="J928" s="46"/>
      <c r="K928" s="48"/>
      <c r="O928" t="s">
        <v>602</v>
      </c>
      <c r="P928" t="s">
        <v>602</v>
      </c>
      <c r="Q928" t="s">
        <v>602</v>
      </c>
      <c r="R928" t="s">
        <v>603</v>
      </c>
      <c r="S928" t="s">
        <v>602</v>
      </c>
      <c r="T928" t="s">
        <v>602</v>
      </c>
      <c r="U928" s="47">
        <v>-224</v>
      </c>
    </row>
    <row r="929" spans="2:21" x14ac:dyDescent="0.2">
      <c r="B929" s="46"/>
      <c r="F929" s="47"/>
      <c r="J929" s="46"/>
      <c r="K929" s="48"/>
      <c r="O929" t="s">
        <v>602</v>
      </c>
      <c r="P929" t="s">
        <v>602</v>
      </c>
      <c r="Q929" t="s">
        <v>602</v>
      </c>
      <c r="R929" t="s">
        <v>603</v>
      </c>
      <c r="S929" t="s">
        <v>602</v>
      </c>
      <c r="T929" t="s">
        <v>602</v>
      </c>
      <c r="U929" s="47">
        <v>-90</v>
      </c>
    </row>
    <row r="930" spans="2:21" x14ac:dyDescent="0.2">
      <c r="B930" s="46"/>
      <c r="F930" s="47"/>
      <c r="J930" s="46"/>
      <c r="K930" s="48"/>
      <c r="O930" t="s">
        <v>602</v>
      </c>
      <c r="P930" t="s">
        <v>602</v>
      </c>
      <c r="Q930" t="s">
        <v>602</v>
      </c>
      <c r="R930" t="s">
        <v>603</v>
      </c>
      <c r="S930" t="s">
        <v>602</v>
      </c>
      <c r="T930" t="s">
        <v>602</v>
      </c>
      <c r="U930" s="47">
        <v>-45</v>
      </c>
    </row>
    <row r="931" spans="2:21" x14ac:dyDescent="0.2">
      <c r="B931" s="46"/>
      <c r="F931" s="47"/>
      <c r="J931" s="46"/>
      <c r="K931" s="48"/>
      <c r="O931" t="s">
        <v>602</v>
      </c>
      <c r="P931" t="s">
        <v>602</v>
      </c>
      <c r="Q931" t="s">
        <v>602</v>
      </c>
      <c r="R931" t="s">
        <v>603</v>
      </c>
      <c r="S931" t="s">
        <v>602</v>
      </c>
      <c r="T931" t="s">
        <v>602</v>
      </c>
      <c r="U931" s="47">
        <v>-269</v>
      </c>
    </row>
    <row r="932" spans="2:21" x14ac:dyDescent="0.2">
      <c r="B932" s="46"/>
      <c r="F932" s="47"/>
      <c r="J932" s="46"/>
      <c r="K932" s="48"/>
      <c r="O932" t="s">
        <v>602</v>
      </c>
      <c r="P932" t="s">
        <v>602</v>
      </c>
      <c r="Q932" t="s">
        <v>602</v>
      </c>
      <c r="R932" t="s">
        <v>603</v>
      </c>
      <c r="S932" t="s">
        <v>602</v>
      </c>
      <c r="T932" t="s">
        <v>602</v>
      </c>
      <c r="U932" s="47">
        <v>-90</v>
      </c>
    </row>
    <row r="933" spans="2:21" x14ac:dyDescent="0.2">
      <c r="B933" s="46"/>
      <c r="F933" s="47"/>
      <c r="J933" s="46"/>
      <c r="K933" s="48"/>
      <c r="O933" t="s">
        <v>602</v>
      </c>
      <c r="P933" t="s">
        <v>602</v>
      </c>
      <c r="Q933" t="s">
        <v>602</v>
      </c>
      <c r="R933" t="s">
        <v>603</v>
      </c>
      <c r="S933" t="s">
        <v>602</v>
      </c>
      <c r="T933" t="s">
        <v>602</v>
      </c>
      <c r="U933" s="47">
        <v>-90</v>
      </c>
    </row>
    <row r="934" spans="2:21" x14ac:dyDescent="0.2">
      <c r="B934" s="46"/>
      <c r="F934" s="47"/>
      <c r="J934" s="46"/>
      <c r="K934" s="48"/>
      <c r="O934" t="s">
        <v>602</v>
      </c>
      <c r="P934" t="s">
        <v>602</v>
      </c>
      <c r="Q934" t="s">
        <v>602</v>
      </c>
      <c r="R934" t="s">
        <v>603</v>
      </c>
      <c r="S934" t="s">
        <v>602</v>
      </c>
      <c r="T934" t="s">
        <v>602</v>
      </c>
      <c r="U934" s="47">
        <v>-179</v>
      </c>
    </row>
    <row r="935" spans="2:21" x14ac:dyDescent="0.2">
      <c r="B935" s="46"/>
      <c r="F935" s="47"/>
      <c r="J935" s="46"/>
      <c r="K935" s="48"/>
      <c r="O935" t="s">
        <v>602</v>
      </c>
      <c r="P935" t="s">
        <v>602</v>
      </c>
      <c r="Q935" t="s">
        <v>602</v>
      </c>
      <c r="R935" t="s">
        <v>603</v>
      </c>
      <c r="S935" t="s">
        <v>602</v>
      </c>
      <c r="T935" t="s">
        <v>602</v>
      </c>
      <c r="U935" s="47">
        <v>-45</v>
      </c>
    </row>
    <row r="936" spans="2:21" x14ac:dyDescent="0.2">
      <c r="B936" s="46"/>
      <c r="F936" s="47"/>
      <c r="J936" s="46"/>
      <c r="K936" s="48"/>
      <c r="O936" t="s">
        <v>602</v>
      </c>
      <c r="P936" t="s">
        <v>602</v>
      </c>
      <c r="Q936" t="s">
        <v>602</v>
      </c>
      <c r="R936" t="s">
        <v>603</v>
      </c>
      <c r="S936" t="s">
        <v>602</v>
      </c>
      <c r="T936" t="s">
        <v>602</v>
      </c>
      <c r="U936" s="47">
        <v>-403</v>
      </c>
    </row>
    <row r="937" spans="2:21" x14ac:dyDescent="0.2">
      <c r="B937" s="46"/>
      <c r="F937" s="47"/>
      <c r="J937" s="46"/>
      <c r="K937" s="48"/>
      <c r="O937" t="s">
        <v>602</v>
      </c>
      <c r="P937" t="s">
        <v>602</v>
      </c>
      <c r="Q937" t="s">
        <v>602</v>
      </c>
      <c r="R937" t="s">
        <v>603</v>
      </c>
      <c r="S937" t="s">
        <v>602</v>
      </c>
      <c r="T937" t="s">
        <v>602</v>
      </c>
      <c r="U937" s="47">
        <v>-127</v>
      </c>
    </row>
    <row r="938" spans="2:21" x14ac:dyDescent="0.2">
      <c r="B938" s="46"/>
      <c r="F938" s="47"/>
      <c r="J938" s="46"/>
      <c r="K938" s="48"/>
      <c r="O938" t="s">
        <v>602</v>
      </c>
      <c r="P938" t="s">
        <v>602</v>
      </c>
      <c r="Q938" t="s">
        <v>602</v>
      </c>
      <c r="R938" t="s">
        <v>603</v>
      </c>
      <c r="S938" t="s">
        <v>602</v>
      </c>
      <c r="T938" t="s">
        <v>602</v>
      </c>
      <c r="U938" s="47">
        <v>-387</v>
      </c>
    </row>
    <row r="939" spans="2:21" x14ac:dyDescent="0.2">
      <c r="B939" s="46"/>
      <c r="F939" s="47"/>
      <c r="J939" s="46"/>
      <c r="K939" s="48"/>
      <c r="O939" t="s">
        <v>602</v>
      </c>
      <c r="P939" t="s">
        <v>602</v>
      </c>
      <c r="Q939" t="s">
        <v>602</v>
      </c>
      <c r="R939" t="s">
        <v>603</v>
      </c>
      <c r="S939" t="s">
        <v>602</v>
      </c>
      <c r="T939" t="s">
        <v>602</v>
      </c>
      <c r="U939" s="47">
        <v>-963</v>
      </c>
    </row>
    <row r="940" spans="2:21" x14ac:dyDescent="0.2">
      <c r="B940" s="46"/>
      <c r="F940" s="47"/>
      <c r="J940" s="46"/>
      <c r="K940" s="48"/>
      <c r="O940" t="s">
        <v>602</v>
      </c>
      <c r="P940" t="s">
        <v>602</v>
      </c>
      <c r="Q940" t="s">
        <v>602</v>
      </c>
      <c r="R940" t="s">
        <v>603</v>
      </c>
      <c r="S940" t="s">
        <v>602</v>
      </c>
      <c r="T940" t="s">
        <v>602</v>
      </c>
      <c r="U940" s="47">
        <v>-482</v>
      </c>
    </row>
    <row r="941" spans="2:21" x14ac:dyDescent="0.2">
      <c r="B941" s="46"/>
      <c r="F941" s="47"/>
      <c r="J941" s="46"/>
      <c r="K941" s="48"/>
      <c r="O941" t="s">
        <v>602</v>
      </c>
      <c r="P941" t="s">
        <v>602</v>
      </c>
      <c r="Q941" t="s">
        <v>602</v>
      </c>
      <c r="R941" t="s">
        <v>603</v>
      </c>
      <c r="S941" t="s">
        <v>602</v>
      </c>
      <c r="T941" t="s">
        <v>602</v>
      </c>
      <c r="U941" s="47">
        <v>-481</v>
      </c>
    </row>
    <row r="942" spans="2:21" x14ac:dyDescent="0.2">
      <c r="B942" s="46"/>
      <c r="F942" s="47"/>
      <c r="J942" s="46"/>
      <c r="K942" s="48"/>
      <c r="O942" t="s">
        <v>602</v>
      </c>
      <c r="P942" t="s">
        <v>602</v>
      </c>
      <c r="Q942" t="s">
        <v>602</v>
      </c>
      <c r="R942" t="s">
        <v>603</v>
      </c>
      <c r="S942" t="s">
        <v>602</v>
      </c>
      <c r="T942" t="s">
        <v>602</v>
      </c>
      <c r="U942" s="47">
        <v>-289</v>
      </c>
    </row>
    <row r="943" spans="2:21" x14ac:dyDescent="0.2">
      <c r="B943" s="46"/>
      <c r="F943" s="47"/>
      <c r="J943" s="46"/>
      <c r="K943" s="48"/>
      <c r="O943" t="s">
        <v>602</v>
      </c>
      <c r="P943" t="s">
        <v>602</v>
      </c>
      <c r="Q943" t="s">
        <v>602</v>
      </c>
      <c r="R943" t="s">
        <v>603</v>
      </c>
      <c r="S943" t="s">
        <v>602</v>
      </c>
      <c r="T943" t="s">
        <v>602</v>
      </c>
      <c r="U943" s="47">
        <v>-963</v>
      </c>
    </row>
    <row r="944" spans="2:21" x14ac:dyDescent="0.2">
      <c r="B944" s="46"/>
      <c r="F944" s="47"/>
      <c r="J944" s="46"/>
      <c r="K944" s="48"/>
      <c r="O944" t="s">
        <v>602</v>
      </c>
      <c r="P944" t="s">
        <v>602</v>
      </c>
      <c r="Q944" t="s">
        <v>602</v>
      </c>
      <c r="R944" t="s">
        <v>603</v>
      </c>
      <c r="S944" t="s">
        <v>602</v>
      </c>
      <c r="T944" t="s">
        <v>602</v>
      </c>
      <c r="U944" s="47">
        <v>-481</v>
      </c>
    </row>
    <row r="945" spans="2:21" x14ac:dyDescent="0.2">
      <c r="B945" s="46"/>
      <c r="F945" s="47"/>
      <c r="J945" s="46"/>
      <c r="K945" s="48"/>
      <c r="O945" t="s">
        <v>602</v>
      </c>
      <c r="P945" t="s">
        <v>602</v>
      </c>
      <c r="Q945" t="s">
        <v>602</v>
      </c>
      <c r="R945" t="s">
        <v>603</v>
      </c>
      <c r="S945" t="s">
        <v>602</v>
      </c>
      <c r="T945" t="s">
        <v>602</v>
      </c>
      <c r="U945" s="47">
        <v>-867</v>
      </c>
    </row>
    <row r="946" spans="2:21" x14ac:dyDescent="0.2">
      <c r="B946" s="46"/>
      <c r="F946" s="47"/>
      <c r="J946" s="46"/>
      <c r="K946" s="48"/>
      <c r="O946" t="s">
        <v>602</v>
      </c>
      <c r="P946" t="s">
        <v>602</v>
      </c>
      <c r="Q946" t="s">
        <v>602</v>
      </c>
      <c r="R946" t="s">
        <v>603</v>
      </c>
      <c r="S946" t="s">
        <v>602</v>
      </c>
      <c r="T946" t="s">
        <v>602</v>
      </c>
      <c r="U946" s="47">
        <v>-963</v>
      </c>
    </row>
    <row r="947" spans="2:21" x14ac:dyDescent="0.2">
      <c r="B947" s="46"/>
      <c r="F947" s="47"/>
      <c r="J947" s="46"/>
      <c r="K947" s="48"/>
      <c r="O947" t="s">
        <v>602</v>
      </c>
      <c r="P947" t="s">
        <v>602</v>
      </c>
      <c r="Q947" t="s">
        <v>602</v>
      </c>
      <c r="R947" t="s">
        <v>603</v>
      </c>
      <c r="S947" t="s">
        <v>602</v>
      </c>
      <c r="T947" t="s">
        <v>602</v>
      </c>
      <c r="U947" s="47">
        <v>-963</v>
      </c>
    </row>
    <row r="948" spans="2:21" x14ac:dyDescent="0.2">
      <c r="B948" s="46"/>
      <c r="F948" s="47"/>
      <c r="J948" s="46"/>
      <c r="K948" s="48"/>
      <c r="O948" t="s">
        <v>602</v>
      </c>
      <c r="P948" t="s">
        <v>602</v>
      </c>
      <c r="Q948" t="s">
        <v>602</v>
      </c>
      <c r="R948" t="s">
        <v>603</v>
      </c>
      <c r="S948" t="s">
        <v>602</v>
      </c>
      <c r="T948" t="s">
        <v>602</v>
      </c>
      <c r="U948" s="47">
        <v>-963</v>
      </c>
    </row>
    <row r="949" spans="2:21" x14ac:dyDescent="0.2">
      <c r="B949" s="46"/>
      <c r="F949" s="47"/>
      <c r="J949" s="46"/>
      <c r="K949" s="48"/>
      <c r="O949" t="s">
        <v>602</v>
      </c>
      <c r="P949" t="s">
        <v>602</v>
      </c>
      <c r="Q949" t="s">
        <v>602</v>
      </c>
      <c r="R949" t="s">
        <v>603</v>
      </c>
      <c r="S949" t="s">
        <v>602</v>
      </c>
      <c r="T949" t="s">
        <v>602</v>
      </c>
      <c r="U949" s="47">
        <v>-963</v>
      </c>
    </row>
    <row r="950" spans="2:21" x14ac:dyDescent="0.2">
      <c r="B950" s="46"/>
      <c r="F950" s="47"/>
      <c r="J950" s="46"/>
      <c r="K950" s="48"/>
      <c r="O950" t="s">
        <v>602</v>
      </c>
      <c r="P950" t="s">
        <v>602</v>
      </c>
      <c r="Q950" t="s">
        <v>602</v>
      </c>
      <c r="R950" t="s">
        <v>603</v>
      </c>
      <c r="S950" t="s">
        <v>602</v>
      </c>
      <c r="T950" t="s">
        <v>602</v>
      </c>
      <c r="U950" s="47">
        <v>-963</v>
      </c>
    </row>
    <row r="951" spans="2:21" x14ac:dyDescent="0.2">
      <c r="B951" s="46"/>
      <c r="F951" s="47"/>
      <c r="J951" s="46"/>
      <c r="K951" s="48"/>
      <c r="O951" t="s">
        <v>602</v>
      </c>
      <c r="P951" t="s">
        <v>602</v>
      </c>
      <c r="Q951" t="s">
        <v>602</v>
      </c>
      <c r="R951" t="s">
        <v>603</v>
      </c>
      <c r="S951" t="s">
        <v>602</v>
      </c>
      <c r="T951" t="s">
        <v>602</v>
      </c>
      <c r="U951" s="47">
        <v>-481</v>
      </c>
    </row>
    <row r="952" spans="2:21" x14ac:dyDescent="0.2">
      <c r="B952" s="46"/>
      <c r="F952" s="47"/>
      <c r="J952" s="46"/>
      <c r="K952" s="48"/>
      <c r="O952" t="s">
        <v>602</v>
      </c>
      <c r="P952" t="s">
        <v>602</v>
      </c>
      <c r="Q952" t="s">
        <v>602</v>
      </c>
      <c r="R952" t="s">
        <v>603</v>
      </c>
      <c r="S952" t="s">
        <v>602</v>
      </c>
      <c r="T952" t="s">
        <v>602</v>
      </c>
      <c r="U952" s="47">
        <v>-117</v>
      </c>
    </row>
    <row r="953" spans="2:21" x14ac:dyDescent="0.2">
      <c r="B953" s="46"/>
      <c r="F953" s="47"/>
      <c r="J953" s="46"/>
      <c r="K953" s="48"/>
      <c r="O953" t="s">
        <v>602</v>
      </c>
      <c r="P953" t="s">
        <v>602</v>
      </c>
      <c r="Q953" t="s">
        <v>602</v>
      </c>
      <c r="R953" t="s">
        <v>603</v>
      </c>
      <c r="S953" t="s">
        <v>602</v>
      </c>
      <c r="T953" t="s">
        <v>602</v>
      </c>
      <c r="U953" s="47">
        <v>-361</v>
      </c>
    </row>
    <row r="954" spans="2:21" x14ac:dyDescent="0.2">
      <c r="B954" s="46"/>
      <c r="F954" s="47"/>
      <c r="J954" s="46"/>
      <c r="K954" s="48"/>
      <c r="O954" t="s">
        <v>602</v>
      </c>
      <c r="P954" t="s">
        <v>602</v>
      </c>
      <c r="Q954" t="s">
        <v>602</v>
      </c>
      <c r="R954" t="s">
        <v>603</v>
      </c>
      <c r="S954" t="s">
        <v>602</v>
      </c>
      <c r="T954" t="s">
        <v>602</v>
      </c>
      <c r="U954" s="47">
        <v>-903</v>
      </c>
    </row>
    <row r="955" spans="2:21" x14ac:dyDescent="0.2">
      <c r="B955" s="46"/>
      <c r="F955" s="47"/>
      <c r="J955" s="46"/>
      <c r="K955" s="48"/>
      <c r="O955" t="s">
        <v>602</v>
      </c>
      <c r="P955" t="s">
        <v>602</v>
      </c>
      <c r="Q955" t="s">
        <v>602</v>
      </c>
      <c r="R955" t="s">
        <v>603</v>
      </c>
      <c r="S955" t="s">
        <v>602</v>
      </c>
      <c r="T955" t="s">
        <v>602</v>
      </c>
      <c r="U955" s="47">
        <v>-452</v>
      </c>
    </row>
    <row r="956" spans="2:21" x14ac:dyDescent="0.2">
      <c r="B956" s="46"/>
      <c r="F956" s="47"/>
      <c r="J956" s="46"/>
      <c r="K956" s="48"/>
      <c r="O956" t="s">
        <v>602</v>
      </c>
      <c r="P956" t="s">
        <v>602</v>
      </c>
      <c r="Q956" t="s">
        <v>602</v>
      </c>
      <c r="R956" t="s">
        <v>603</v>
      </c>
      <c r="S956" t="s">
        <v>602</v>
      </c>
      <c r="T956" t="s">
        <v>602</v>
      </c>
      <c r="U956" s="47">
        <v>-903</v>
      </c>
    </row>
    <row r="957" spans="2:21" x14ac:dyDescent="0.2">
      <c r="B957" s="46"/>
      <c r="F957" s="47"/>
      <c r="J957" s="46"/>
      <c r="K957" s="48"/>
      <c r="O957" t="s">
        <v>602</v>
      </c>
      <c r="P957" t="s">
        <v>602</v>
      </c>
      <c r="Q957" t="s">
        <v>602</v>
      </c>
      <c r="R957" t="s">
        <v>603</v>
      </c>
      <c r="S957" t="s">
        <v>602</v>
      </c>
      <c r="T957" t="s">
        <v>602</v>
      </c>
      <c r="U957" s="47">
        <v>-903</v>
      </c>
    </row>
    <row r="958" spans="2:21" x14ac:dyDescent="0.2">
      <c r="B958" s="46"/>
      <c r="F958" s="47"/>
      <c r="J958" s="46"/>
      <c r="K958" s="48"/>
      <c r="O958" t="s">
        <v>602</v>
      </c>
      <c r="P958" t="s">
        <v>602</v>
      </c>
      <c r="Q958" t="s">
        <v>602</v>
      </c>
      <c r="R958" t="s">
        <v>603</v>
      </c>
      <c r="S958" t="s">
        <v>602</v>
      </c>
      <c r="T958" t="s">
        <v>602</v>
      </c>
      <c r="U958" s="47">
        <v>-903</v>
      </c>
    </row>
    <row r="959" spans="2:21" x14ac:dyDescent="0.2">
      <c r="B959" s="46"/>
      <c r="F959" s="47"/>
      <c r="J959" s="46"/>
      <c r="K959" s="48"/>
      <c r="O959" t="s">
        <v>602</v>
      </c>
      <c r="P959" t="s">
        <v>602</v>
      </c>
      <c r="Q959" t="s">
        <v>602</v>
      </c>
      <c r="R959" t="s">
        <v>603</v>
      </c>
      <c r="S959" t="s">
        <v>602</v>
      </c>
      <c r="T959" t="s">
        <v>602</v>
      </c>
      <c r="U959" s="47">
        <v>-632</v>
      </c>
    </row>
    <row r="960" spans="2:21" x14ac:dyDescent="0.2">
      <c r="B960" s="46"/>
      <c r="F960" s="47"/>
      <c r="J960" s="46"/>
      <c r="K960" s="48"/>
      <c r="O960" t="s">
        <v>602</v>
      </c>
      <c r="P960" t="s">
        <v>602</v>
      </c>
      <c r="Q960" t="s">
        <v>602</v>
      </c>
      <c r="R960" t="s">
        <v>603</v>
      </c>
      <c r="S960" t="s">
        <v>602</v>
      </c>
      <c r="T960" t="s">
        <v>602</v>
      </c>
      <c r="U960" s="47">
        <v>-511</v>
      </c>
    </row>
    <row r="961" spans="2:21" x14ac:dyDescent="0.2">
      <c r="B961" s="46"/>
      <c r="F961" s="47"/>
      <c r="J961" s="46"/>
      <c r="K961" s="48"/>
      <c r="O961" t="s">
        <v>602</v>
      </c>
      <c r="P961" t="s">
        <v>602</v>
      </c>
      <c r="Q961" t="s">
        <v>602</v>
      </c>
      <c r="R961" t="s">
        <v>603</v>
      </c>
      <c r="S961" t="s">
        <v>602</v>
      </c>
      <c r="T961" t="s">
        <v>602</v>
      </c>
      <c r="U961" s="47">
        <v>-248</v>
      </c>
    </row>
    <row r="962" spans="2:21" x14ac:dyDescent="0.2">
      <c r="B962" s="46"/>
      <c r="F962" s="47"/>
      <c r="J962" s="46"/>
      <c r="K962" s="48"/>
      <c r="O962" t="s">
        <v>602</v>
      </c>
      <c r="P962" t="s">
        <v>602</v>
      </c>
      <c r="Q962" t="s">
        <v>602</v>
      </c>
      <c r="R962" t="s">
        <v>603</v>
      </c>
      <c r="S962" t="s">
        <v>602</v>
      </c>
      <c r="T962" t="s">
        <v>602</v>
      </c>
      <c r="U962" s="47">
        <v>-126</v>
      </c>
    </row>
    <row r="963" spans="2:21" x14ac:dyDescent="0.2">
      <c r="B963" s="46"/>
      <c r="F963" s="47"/>
      <c r="J963" s="46"/>
      <c r="K963" s="48"/>
      <c r="O963" t="s">
        <v>602</v>
      </c>
      <c r="P963" t="s">
        <v>602</v>
      </c>
      <c r="Q963" t="s">
        <v>602</v>
      </c>
      <c r="R963" t="s">
        <v>603</v>
      </c>
      <c r="S963" t="s">
        <v>602</v>
      </c>
      <c r="T963" t="s">
        <v>602</v>
      </c>
      <c r="U963" s="47">
        <v>-1129</v>
      </c>
    </row>
    <row r="964" spans="2:21" x14ac:dyDescent="0.2">
      <c r="B964" s="46"/>
      <c r="F964" s="47"/>
      <c r="J964" s="46"/>
      <c r="K964" s="48"/>
      <c r="O964" t="s">
        <v>602</v>
      </c>
      <c r="P964" t="s">
        <v>602</v>
      </c>
      <c r="Q964" t="s">
        <v>602</v>
      </c>
      <c r="R964" t="s">
        <v>603</v>
      </c>
      <c r="S964" t="s">
        <v>602</v>
      </c>
      <c r="T964" t="s">
        <v>602</v>
      </c>
      <c r="U964" s="47">
        <v>-753</v>
      </c>
    </row>
    <row r="965" spans="2:21" x14ac:dyDescent="0.2">
      <c r="B965" s="46"/>
      <c r="F965" s="47"/>
      <c r="J965" s="46"/>
      <c r="K965" s="48"/>
      <c r="O965" t="s">
        <v>602</v>
      </c>
      <c r="P965" t="s">
        <v>602</v>
      </c>
      <c r="Q965" t="s">
        <v>602</v>
      </c>
      <c r="R965" t="s">
        <v>603</v>
      </c>
      <c r="S965" t="s">
        <v>602</v>
      </c>
      <c r="T965" t="s">
        <v>602</v>
      </c>
      <c r="U965" s="47">
        <v>-1130</v>
      </c>
    </row>
    <row r="966" spans="2:21" x14ac:dyDescent="0.2">
      <c r="B966" s="46"/>
      <c r="F966" s="47"/>
      <c r="J966" s="46"/>
      <c r="K966" s="48"/>
      <c r="O966" t="s">
        <v>602</v>
      </c>
      <c r="P966" t="s">
        <v>602</v>
      </c>
      <c r="Q966" t="s">
        <v>602</v>
      </c>
      <c r="R966" t="s">
        <v>603</v>
      </c>
      <c r="S966" t="s">
        <v>602</v>
      </c>
      <c r="T966" t="s">
        <v>602</v>
      </c>
      <c r="U966" s="47">
        <v>-974</v>
      </c>
    </row>
    <row r="967" spans="2:21" x14ac:dyDescent="0.2">
      <c r="B967" s="46"/>
      <c r="F967" s="47"/>
      <c r="J967" s="46"/>
      <c r="K967" s="48"/>
      <c r="O967" t="s">
        <v>602</v>
      </c>
      <c r="P967" t="s">
        <v>602</v>
      </c>
      <c r="Q967" t="s">
        <v>602</v>
      </c>
      <c r="R967" t="s">
        <v>603</v>
      </c>
      <c r="S967" t="s">
        <v>602</v>
      </c>
      <c r="T967" t="s">
        <v>602</v>
      </c>
      <c r="U967" s="47">
        <v>-974</v>
      </c>
    </row>
    <row r="968" spans="2:21" x14ac:dyDescent="0.2">
      <c r="B968" s="46"/>
      <c r="F968" s="47"/>
      <c r="J968" s="46"/>
      <c r="K968" s="48"/>
      <c r="O968" t="s">
        <v>602</v>
      </c>
      <c r="P968" t="s">
        <v>602</v>
      </c>
      <c r="Q968" t="s">
        <v>602</v>
      </c>
      <c r="R968" t="s">
        <v>603</v>
      </c>
      <c r="S968" t="s">
        <v>602</v>
      </c>
      <c r="T968" t="s">
        <v>602</v>
      </c>
      <c r="U968" s="47">
        <v>-312</v>
      </c>
    </row>
    <row r="969" spans="2:21" x14ac:dyDescent="0.2">
      <c r="B969" s="46"/>
      <c r="F969" s="47"/>
      <c r="J969" s="46"/>
      <c r="K969" s="48"/>
      <c r="O969" t="s">
        <v>602</v>
      </c>
      <c r="P969" t="s">
        <v>602</v>
      </c>
      <c r="Q969" t="s">
        <v>602</v>
      </c>
      <c r="R969" t="s">
        <v>603</v>
      </c>
      <c r="S969" t="s">
        <v>602</v>
      </c>
      <c r="T969" t="s">
        <v>602</v>
      </c>
      <c r="U969" s="47">
        <v>-234</v>
      </c>
    </row>
    <row r="970" spans="2:21" x14ac:dyDescent="0.2">
      <c r="B970" s="46"/>
      <c r="F970" s="47"/>
      <c r="J970" s="46"/>
      <c r="K970" s="48"/>
      <c r="O970" t="s">
        <v>602</v>
      </c>
      <c r="P970" t="s">
        <v>602</v>
      </c>
      <c r="Q970" t="s">
        <v>602</v>
      </c>
      <c r="R970" t="s">
        <v>603</v>
      </c>
      <c r="S970" t="s">
        <v>602</v>
      </c>
      <c r="T970" t="s">
        <v>602</v>
      </c>
      <c r="U970" s="47">
        <v>-156</v>
      </c>
    </row>
    <row r="971" spans="2:21" x14ac:dyDescent="0.2">
      <c r="B971" s="46"/>
      <c r="F971" s="47"/>
      <c r="J971" s="46"/>
      <c r="K971" s="48"/>
      <c r="O971" t="s">
        <v>602</v>
      </c>
      <c r="P971" t="s">
        <v>602</v>
      </c>
      <c r="Q971" t="s">
        <v>602</v>
      </c>
      <c r="R971" t="s">
        <v>603</v>
      </c>
      <c r="S971" t="s">
        <v>602</v>
      </c>
      <c r="T971" t="s">
        <v>602</v>
      </c>
      <c r="U971" s="47">
        <v>-156</v>
      </c>
    </row>
    <row r="972" spans="2:21" x14ac:dyDescent="0.2">
      <c r="B972" s="46"/>
      <c r="F972" s="47"/>
      <c r="J972" s="46"/>
      <c r="K972" s="48"/>
      <c r="O972" t="s">
        <v>602</v>
      </c>
      <c r="P972" t="s">
        <v>602</v>
      </c>
      <c r="Q972" t="s">
        <v>602</v>
      </c>
      <c r="R972" t="s">
        <v>603</v>
      </c>
      <c r="S972" t="s">
        <v>602</v>
      </c>
      <c r="T972" t="s">
        <v>602</v>
      </c>
      <c r="U972" s="47">
        <v>-78</v>
      </c>
    </row>
    <row r="973" spans="2:21" x14ac:dyDescent="0.2">
      <c r="B973" s="46"/>
      <c r="F973" s="47"/>
      <c r="J973" s="46"/>
      <c r="K973" s="48"/>
      <c r="O973" t="s">
        <v>602</v>
      </c>
      <c r="P973" t="s">
        <v>602</v>
      </c>
      <c r="Q973" t="s">
        <v>602</v>
      </c>
      <c r="R973" t="s">
        <v>603</v>
      </c>
      <c r="S973" t="s">
        <v>602</v>
      </c>
      <c r="T973" t="s">
        <v>602</v>
      </c>
      <c r="U973" s="47">
        <v>-156</v>
      </c>
    </row>
    <row r="974" spans="2:21" x14ac:dyDescent="0.2">
      <c r="B974" s="46"/>
      <c r="F974" s="47"/>
      <c r="J974" s="46"/>
      <c r="K974" s="48"/>
      <c r="O974" t="s">
        <v>602</v>
      </c>
      <c r="P974" t="s">
        <v>602</v>
      </c>
      <c r="Q974" t="s">
        <v>602</v>
      </c>
      <c r="R974" t="s">
        <v>603</v>
      </c>
      <c r="S974" t="s">
        <v>602</v>
      </c>
      <c r="T974" t="s">
        <v>602</v>
      </c>
      <c r="U974" s="47">
        <v>-103</v>
      </c>
    </row>
    <row r="975" spans="2:21" x14ac:dyDescent="0.2">
      <c r="B975" s="46"/>
      <c r="F975" s="47"/>
      <c r="J975" s="46"/>
      <c r="K975" s="48"/>
      <c r="O975" t="s">
        <v>602</v>
      </c>
      <c r="P975" t="s">
        <v>602</v>
      </c>
      <c r="Q975" t="s">
        <v>602</v>
      </c>
      <c r="R975" t="s">
        <v>603</v>
      </c>
      <c r="S975" t="s">
        <v>602</v>
      </c>
      <c r="T975" t="s">
        <v>602</v>
      </c>
      <c r="U975" s="47">
        <v>-1479</v>
      </c>
    </row>
    <row r="976" spans="2:21" x14ac:dyDescent="0.2">
      <c r="B976" s="46"/>
      <c r="F976" s="47"/>
      <c r="J976" s="46"/>
      <c r="K976" s="48"/>
      <c r="O976" t="s">
        <v>602</v>
      </c>
      <c r="P976" t="s">
        <v>602</v>
      </c>
      <c r="Q976" t="s">
        <v>602</v>
      </c>
      <c r="R976" t="s">
        <v>603</v>
      </c>
      <c r="S976" t="s">
        <v>602</v>
      </c>
      <c r="T976" t="s">
        <v>602</v>
      </c>
      <c r="U976" s="47">
        <v>-986</v>
      </c>
    </row>
    <row r="977" spans="2:21" x14ac:dyDescent="0.2">
      <c r="B977" s="46"/>
      <c r="F977" s="47"/>
      <c r="J977" s="46"/>
      <c r="K977" s="48"/>
      <c r="O977" t="s">
        <v>602</v>
      </c>
      <c r="P977" t="s">
        <v>602</v>
      </c>
      <c r="Q977" t="s">
        <v>602</v>
      </c>
      <c r="R977" t="s">
        <v>603</v>
      </c>
      <c r="S977" t="s">
        <v>602</v>
      </c>
      <c r="T977" t="s">
        <v>602</v>
      </c>
      <c r="U977" s="47">
        <v>-296</v>
      </c>
    </row>
    <row r="978" spans="2:21" x14ac:dyDescent="0.2">
      <c r="B978" s="46"/>
      <c r="F978" s="47"/>
      <c r="J978" s="46"/>
      <c r="K978" s="48"/>
      <c r="O978" t="s">
        <v>602</v>
      </c>
      <c r="P978" t="s">
        <v>602</v>
      </c>
      <c r="Q978" t="s">
        <v>602</v>
      </c>
      <c r="R978" t="s">
        <v>603</v>
      </c>
      <c r="S978" t="s">
        <v>602</v>
      </c>
      <c r="T978" t="s">
        <v>602</v>
      </c>
      <c r="U978" s="47">
        <v>-986</v>
      </c>
    </row>
    <row r="979" spans="2:21" x14ac:dyDescent="0.2">
      <c r="B979" s="46"/>
      <c r="F979" s="47"/>
      <c r="J979" s="46"/>
      <c r="K979" s="48"/>
      <c r="O979" t="s">
        <v>602</v>
      </c>
      <c r="P979" t="s">
        <v>602</v>
      </c>
      <c r="Q979" t="s">
        <v>602</v>
      </c>
      <c r="R979" t="s">
        <v>603</v>
      </c>
      <c r="S979" t="s">
        <v>602</v>
      </c>
      <c r="T979" t="s">
        <v>602</v>
      </c>
      <c r="U979" s="47">
        <v>-316</v>
      </c>
    </row>
    <row r="980" spans="2:21" x14ac:dyDescent="0.2">
      <c r="B980" s="46"/>
      <c r="F980" s="47"/>
      <c r="J980" s="46"/>
      <c r="K980" s="48"/>
      <c r="O980" t="s">
        <v>602</v>
      </c>
      <c r="P980" t="s">
        <v>602</v>
      </c>
      <c r="Q980" t="s">
        <v>602</v>
      </c>
      <c r="R980" t="s">
        <v>603</v>
      </c>
      <c r="S980" t="s">
        <v>602</v>
      </c>
      <c r="T980" t="s">
        <v>602</v>
      </c>
      <c r="U980" s="47">
        <v>-711</v>
      </c>
    </row>
    <row r="981" spans="2:21" x14ac:dyDescent="0.2">
      <c r="B981" s="46"/>
      <c r="F981" s="47"/>
      <c r="J981" s="46"/>
      <c r="K981" s="48"/>
      <c r="O981" t="s">
        <v>602</v>
      </c>
      <c r="P981" t="s">
        <v>602</v>
      </c>
      <c r="Q981" t="s">
        <v>602</v>
      </c>
      <c r="R981" t="s">
        <v>603</v>
      </c>
      <c r="S981" t="s">
        <v>602</v>
      </c>
      <c r="T981" t="s">
        <v>602</v>
      </c>
      <c r="U981" s="47">
        <v>-474</v>
      </c>
    </row>
    <row r="982" spans="2:21" x14ac:dyDescent="0.2">
      <c r="B982" s="46"/>
      <c r="F982" s="47"/>
      <c r="J982" s="46"/>
      <c r="K982" s="48"/>
      <c r="O982" t="s">
        <v>602</v>
      </c>
      <c r="P982" t="s">
        <v>602</v>
      </c>
      <c r="Q982" t="s">
        <v>602</v>
      </c>
      <c r="R982" t="s">
        <v>603</v>
      </c>
      <c r="S982" t="s">
        <v>602</v>
      </c>
      <c r="T982" t="s">
        <v>602</v>
      </c>
      <c r="U982" s="47">
        <v>-570</v>
      </c>
    </row>
    <row r="983" spans="2:21" x14ac:dyDescent="0.2">
      <c r="B983" s="46"/>
      <c r="F983" s="47"/>
      <c r="J983" s="46"/>
      <c r="K983" s="48"/>
      <c r="O983" t="s">
        <v>602</v>
      </c>
      <c r="P983" t="s">
        <v>602</v>
      </c>
      <c r="Q983" t="s">
        <v>602</v>
      </c>
      <c r="R983" t="s">
        <v>603</v>
      </c>
      <c r="S983" t="s">
        <v>602</v>
      </c>
      <c r="T983" t="s">
        <v>602</v>
      </c>
      <c r="U983" s="47">
        <v>-488</v>
      </c>
    </row>
    <row r="984" spans="2:21" x14ac:dyDescent="0.2">
      <c r="B984" s="46"/>
      <c r="F984" s="47"/>
      <c r="J984" s="46"/>
      <c r="K984" s="48"/>
      <c r="O984" t="s">
        <v>602</v>
      </c>
      <c r="P984" t="s">
        <v>602</v>
      </c>
      <c r="Q984" t="s">
        <v>602</v>
      </c>
      <c r="R984" t="s">
        <v>603</v>
      </c>
      <c r="S984" t="s">
        <v>602</v>
      </c>
      <c r="T984" t="s">
        <v>602</v>
      </c>
      <c r="U984" s="47">
        <v>-570</v>
      </c>
    </row>
    <row r="985" spans="2:21" x14ac:dyDescent="0.2">
      <c r="B985" s="46"/>
      <c r="F985" s="47"/>
      <c r="J985" s="46"/>
      <c r="K985" s="48"/>
      <c r="O985" t="s">
        <v>602</v>
      </c>
      <c r="P985" t="s">
        <v>602</v>
      </c>
      <c r="Q985" t="s">
        <v>602</v>
      </c>
      <c r="R985" t="s">
        <v>603</v>
      </c>
      <c r="S985" t="s">
        <v>602</v>
      </c>
      <c r="T985" t="s">
        <v>602</v>
      </c>
      <c r="U985" s="47">
        <v>-163</v>
      </c>
    </row>
    <row r="986" spans="2:21" x14ac:dyDescent="0.2">
      <c r="B986" s="46"/>
      <c r="F986" s="47"/>
      <c r="J986" s="46"/>
      <c r="K986" s="48"/>
      <c r="O986" t="s">
        <v>602</v>
      </c>
      <c r="P986" t="s">
        <v>602</v>
      </c>
      <c r="Q986" t="s">
        <v>602</v>
      </c>
      <c r="R986" t="s">
        <v>603</v>
      </c>
      <c r="S986" t="s">
        <v>602</v>
      </c>
      <c r="T986" t="s">
        <v>602</v>
      </c>
      <c r="U986" s="47">
        <v>-202</v>
      </c>
    </row>
    <row r="987" spans="2:21" x14ac:dyDescent="0.2">
      <c r="B987" s="46"/>
      <c r="F987" s="47"/>
      <c r="J987" s="46"/>
      <c r="K987" s="48"/>
      <c r="O987" t="s">
        <v>602</v>
      </c>
      <c r="P987" t="s">
        <v>602</v>
      </c>
      <c r="Q987" t="s">
        <v>602</v>
      </c>
      <c r="R987" t="s">
        <v>603</v>
      </c>
      <c r="S987" t="s">
        <v>602</v>
      </c>
      <c r="T987" t="s">
        <v>602</v>
      </c>
      <c r="U987" s="47">
        <v>-101</v>
      </c>
    </row>
    <row r="988" spans="2:21" x14ac:dyDescent="0.2">
      <c r="B988" s="46"/>
      <c r="F988" s="47"/>
      <c r="J988" s="46"/>
      <c r="K988" s="48"/>
      <c r="O988" t="s">
        <v>602</v>
      </c>
      <c r="P988" t="s">
        <v>602</v>
      </c>
      <c r="Q988" t="s">
        <v>602</v>
      </c>
      <c r="R988" t="s">
        <v>603</v>
      </c>
      <c r="S988" t="s">
        <v>602</v>
      </c>
      <c r="T988" t="s">
        <v>602</v>
      </c>
      <c r="U988" s="47">
        <v>-106</v>
      </c>
    </row>
    <row r="989" spans="2:21" x14ac:dyDescent="0.2">
      <c r="B989" s="46"/>
      <c r="F989" s="47"/>
      <c r="J989" s="46"/>
      <c r="K989" s="48"/>
      <c r="O989" t="s">
        <v>602</v>
      </c>
      <c r="P989" t="s">
        <v>602</v>
      </c>
      <c r="Q989" t="s">
        <v>602</v>
      </c>
      <c r="R989" t="s">
        <v>603</v>
      </c>
      <c r="S989" t="s">
        <v>602</v>
      </c>
      <c r="T989" t="s">
        <v>602</v>
      </c>
      <c r="U989" s="47">
        <v>-426</v>
      </c>
    </row>
    <row r="990" spans="2:21" x14ac:dyDescent="0.2">
      <c r="B990" s="46"/>
      <c r="F990" s="47"/>
      <c r="J990" s="46"/>
      <c r="K990" s="48"/>
      <c r="O990" t="s">
        <v>602</v>
      </c>
      <c r="P990" t="s">
        <v>602</v>
      </c>
      <c r="Q990" t="s">
        <v>602</v>
      </c>
      <c r="R990" t="s">
        <v>603</v>
      </c>
      <c r="S990" t="s">
        <v>602</v>
      </c>
      <c r="T990" t="s">
        <v>602</v>
      </c>
      <c r="U990" s="47">
        <v>-341</v>
      </c>
    </row>
    <row r="991" spans="2:21" x14ac:dyDescent="0.2">
      <c r="B991" s="46"/>
      <c r="F991" s="47"/>
      <c r="J991" s="46"/>
      <c r="K991" s="48"/>
      <c r="O991" t="s">
        <v>602</v>
      </c>
      <c r="P991" t="s">
        <v>602</v>
      </c>
      <c r="Q991" t="s">
        <v>602</v>
      </c>
      <c r="R991" t="s">
        <v>603</v>
      </c>
      <c r="S991" t="s">
        <v>602</v>
      </c>
      <c r="T991" t="s">
        <v>602</v>
      </c>
      <c r="U991" s="47">
        <v>-682</v>
      </c>
    </row>
    <row r="992" spans="2:21" x14ac:dyDescent="0.2">
      <c r="B992" s="46"/>
      <c r="F992" s="47"/>
      <c r="J992" s="46"/>
      <c r="K992" s="48"/>
      <c r="O992" t="s">
        <v>602</v>
      </c>
      <c r="P992" t="s">
        <v>602</v>
      </c>
      <c r="Q992" t="s">
        <v>602</v>
      </c>
      <c r="R992" t="s">
        <v>603</v>
      </c>
      <c r="S992" t="s">
        <v>602</v>
      </c>
      <c r="T992" t="s">
        <v>602</v>
      </c>
      <c r="U992" s="47">
        <v>-171</v>
      </c>
    </row>
    <row r="993" spans="2:21" x14ac:dyDescent="0.2">
      <c r="B993" s="46"/>
      <c r="F993" s="47"/>
      <c r="J993" s="46"/>
      <c r="K993" s="48"/>
      <c r="O993" t="s">
        <v>602</v>
      </c>
      <c r="P993" t="s">
        <v>602</v>
      </c>
      <c r="Q993" t="s">
        <v>602</v>
      </c>
      <c r="R993" t="s">
        <v>603</v>
      </c>
      <c r="S993" t="s">
        <v>602</v>
      </c>
      <c r="T993" t="s">
        <v>602</v>
      </c>
      <c r="U993" s="47">
        <v>-512</v>
      </c>
    </row>
    <row r="994" spans="2:21" x14ac:dyDescent="0.2">
      <c r="B994" s="46"/>
      <c r="F994" s="47"/>
      <c r="J994" s="46"/>
      <c r="K994" s="48"/>
      <c r="O994" t="s">
        <v>602</v>
      </c>
      <c r="P994" t="s">
        <v>602</v>
      </c>
      <c r="Q994" t="s">
        <v>602</v>
      </c>
      <c r="R994" t="s">
        <v>603</v>
      </c>
      <c r="S994" t="s">
        <v>602</v>
      </c>
      <c r="T994" t="s">
        <v>602</v>
      </c>
      <c r="U994" s="47">
        <v>-597</v>
      </c>
    </row>
    <row r="995" spans="2:21" x14ac:dyDescent="0.2">
      <c r="B995" s="46"/>
      <c r="F995" s="47"/>
      <c r="J995" s="46"/>
      <c r="K995" s="48"/>
      <c r="O995" t="s">
        <v>602</v>
      </c>
      <c r="P995" t="s">
        <v>602</v>
      </c>
      <c r="Q995" t="s">
        <v>602</v>
      </c>
      <c r="R995" t="s">
        <v>603</v>
      </c>
      <c r="S995" t="s">
        <v>602</v>
      </c>
      <c r="T995" t="s">
        <v>602</v>
      </c>
      <c r="U995" s="47">
        <v>-597</v>
      </c>
    </row>
    <row r="996" spans="2:21" x14ac:dyDescent="0.2">
      <c r="B996" s="46"/>
      <c r="F996" s="47"/>
      <c r="J996" s="46"/>
      <c r="K996" s="48"/>
      <c r="O996" t="s">
        <v>602</v>
      </c>
      <c r="P996" t="s">
        <v>602</v>
      </c>
      <c r="Q996" t="s">
        <v>602</v>
      </c>
      <c r="R996" t="s">
        <v>603</v>
      </c>
      <c r="S996" t="s">
        <v>602</v>
      </c>
      <c r="T996" t="s">
        <v>602</v>
      </c>
      <c r="U996" s="47">
        <v>-427</v>
      </c>
    </row>
    <row r="997" spans="2:21" x14ac:dyDescent="0.2">
      <c r="B997" s="46"/>
      <c r="F997" s="47"/>
      <c r="J997" s="46"/>
      <c r="K997" s="48"/>
      <c r="O997" t="s">
        <v>602</v>
      </c>
      <c r="P997" t="s">
        <v>602</v>
      </c>
      <c r="Q997" t="s">
        <v>602</v>
      </c>
      <c r="R997" t="s">
        <v>603</v>
      </c>
      <c r="S997" t="s">
        <v>602</v>
      </c>
      <c r="T997" t="s">
        <v>602</v>
      </c>
      <c r="U997" s="47">
        <v>-768</v>
      </c>
    </row>
    <row r="998" spans="2:21" x14ac:dyDescent="0.2">
      <c r="B998" s="46"/>
      <c r="F998" s="47"/>
      <c r="J998" s="46"/>
      <c r="K998" s="48"/>
      <c r="O998" t="s">
        <v>602</v>
      </c>
      <c r="P998" t="s">
        <v>602</v>
      </c>
      <c r="Q998" t="s">
        <v>602</v>
      </c>
      <c r="R998" t="s">
        <v>603</v>
      </c>
      <c r="S998" t="s">
        <v>602</v>
      </c>
      <c r="T998" t="s">
        <v>602</v>
      </c>
      <c r="U998" s="47">
        <v>-108</v>
      </c>
    </row>
    <row r="999" spans="2:21" x14ac:dyDescent="0.2">
      <c r="B999" s="46"/>
      <c r="F999" s="47"/>
      <c r="J999" s="46"/>
      <c r="K999" s="48"/>
      <c r="O999" t="s">
        <v>602</v>
      </c>
      <c r="P999" t="s">
        <v>602</v>
      </c>
      <c r="Q999" t="s">
        <v>602</v>
      </c>
      <c r="R999" t="s">
        <v>603</v>
      </c>
      <c r="S999" t="s">
        <v>602</v>
      </c>
      <c r="T999" t="s">
        <v>602</v>
      </c>
      <c r="U999" s="47">
        <v>-208</v>
      </c>
    </row>
    <row r="1000" spans="2:21" x14ac:dyDescent="0.2">
      <c r="B1000" s="46"/>
      <c r="F1000" s="47"/>
      <c r="J1000" s="46"/>
      <c r="K1000" s="48"/>
      <c r="O1000" t="s">
        <v>602</v>
      </c>
      <c r="P1000" t="s">
        <v>602</v>
      </c>
      <c r="Q1000" t="s">
        <v>602</v>
      </c>
      <c r="R1000" t="s">
        <v>603</v>
      </c>
      <c r="S1000" t="s">
        <v>602</v>
      </c>
      <c r="T1000" t="s">
        <v>602</v>
      </c>
      <c r="U1000" s="47">
        <v>-1041</v>
      </c>
    </row>
    <row r="1001" spans="2:21" x14ac:dyDescent="0.2">
      <c r="B1001" s="46"/>
      <c r="F1001" s="47"/>
      <c r="J1001" s="46"/>
      <c r="K1001" s="48"/>
      <c r="O1001" t="s">
        <v>602</v>
      </c>
      <c r="P1001" t="s">
        <v>602</v>
      </c>
      <c r="Q1001" t="s">
        <v>602</v>
      </c>
      <c r="R1001" t="s">
        <v>603</v>
      </c>
      <c r="S1001" t="s">
        <v>602</v>
      </c>
      <c r="T1001" t="s">
        <v>602</v>
      </c>
      <c r="U1001" s="47">
        <v>-1090</v>
      </c>
    </row>
    <row r="1002" spans="2:21" x14ac:dyDescent="0.2">
      <c r="B1002" s="46"/>
      <c r="F1002" s="47"/>
      <c r="J1002" s="46"/>
      <c r="K1002" s="48"/>
      <c r="O1002" t="s">
        <v>602</v>
      </c>
      <c r="P1002" t="s">
        <v>602</v>
      </c>
      <c r="Q1002" t="s">
        <v>602</v>
      </c>
      <c r="R1002" t="s">
        <v>603</v>
      </c>
      <c r="S1002" t="s">
        <v>602</v>
      </c>
      <c r="T1002" t="s">
        <v>602</v>
      </c>
      <c r="U1002" s="47">
        <v>-763</v>
      </c>
    </row>
    <row r="1003" spans="2:21" x14ac:dyDescent="0.2">
      <c r="B1003" s="46"/>
      <c r="F1003" s="47"/>
      <c r="J1003" s="46"/>
      <c r="K1003" s="48"/>
      <c r="O1003" t="s">
        <v>602</v>
      </c>
      <c r="P1003" t="s">
        <v>602</v>
      </c>
      <c r="Q1003" t="s">
        <v>602</v>
      </c>
      <c r="R1003" t="s">
        <v>603</v>
      </c>
      <c r="S1003" t="s">
        <v>602</v>
      </c>
      <c r="T1003" t="s">
        <v>602</v>
      </c>
      <c r="U1003" s="47">
        <v>-224</v>
      </c>
    </row>
    <row r="1004" spans="2:21" x14ac:dyDescent="0.2">
      <c r="B1004" s="46"/>
      <c r="F1004" s="47"/>
      <c r="J1004" s="46"/>
      <c r="K1004" s="48"/>
      <c r="O1004" t="s">
        <v>602</v>
      </c>
      <c r="P1004" t="s">
        <v>602</v>
      </c>
      <c r="Q1004" t="s">
        <v>602</v>
      </c>
      <c r="R1004" t="s">
        <v>603</v>
      </c>
      <c r="S1004" t="s">
        <v>602</v>
      </c>
      <c r="T1004" t="s">
        <v>602</v>
      </c>
      <c r="U1004" s="47">
        <v>-597</v>
      </c>
    </row>
    <row r="1005" spans="2:21" x14ac:dyDescent="0.2">
      <c r="B1005" s="46"/>
      <c r="F1005" s="47"/>
      <c r="J1005" s="46"/>
      <c r="K1005" s="48"/>
      <c r="O1005" t="s">
        <v>602</v>
      </c>
      <c r="P1005" t="s">
        <v>602</v>
      </c>
      <c r="Q1005" t="s">
        <v>602</v>
      </c>
      <c r="R1005" t="s">
        <v>603</v>
      </c>
      <c r="S1005" t="s">
        <v>602</v>
      </c>
      <c r="T1005" t="s">
        <v>602</v>
      </c>
      <c r="U1005" s="47">
        <v>-358</v>
      </c>
    </row>
    <row r="1006" spans="2:21" x14ac:dyDescent="0.2">
      <c r="B1006" s="46"/>
      <c r="F1006" s="47"/>
      <c r="J1006" s="46"/>
      <c r="K1006" s="48"/>
      <c r="O1006" t="s">
        <v>602</v>
      </c>
      <c r="P1006" t="s">
        <v>602</v>
      </c>
      <c r="Q1006" t="s">
        <v>602</v>
      </c>
      <c r="R1006" t="s">
        <v>603</v>
      </c>
      <c r="S1006" t="s">
        <v>602</v>
      </c>
      <c r="T1006" t="s">
        <v>602</v>
      </c>
      <c r="U1006" s="47">
        <v>-358</v>
      </c>
    </row>
    <row r="1007" spans="2:21" x14ac:dyDescent="0.2">
      <c r="B1007" s="46"/>
      <c r="F1007" s="47"/>
      <c r="J1007" s="46"/>
      <c r="K1007" s="48"/>
      <c r="O1007" t="s">
        <v>602</v>
      </c>
      <c r="P1007" t="s">
        <v>602</v>
      </c>
      <c r="Q1007" t="s">
        <v>602</v>
      </c>
      <c r="R1007" t="s">
        <v>603</v>
      </c>
      <c r="S1007" t="s">
        <v>602</v>
      </c>
      <c r="T1007" t="s">
        <v>602</v>
      </c>
      <c r="U1007" s="47">
        <v>-239</v>
      </c>
    </row>
    <row r="1008" spans="2:21" x14ac:dyDescent="0.2">
      <c r="B1008" s="46"/>
      <c r="F1008" s="47"/>
      <c r="J1008" s="46"/>
      <c r="K1008" s="48"/>
      <c r="O1008" t="s">
        <v>602</v>
      </c>
      <c r="P1008" t="s">
        <v>602</v>
      </c>
      <c r="Q1008" t="s">
        <v>602</v>
      </c>
      <c r="R1008" t="s">
        <v>603</v>
      </c>
      <c r="S1008" t="s">
        <v>602</v>
      </c>
      <c r="T1008" t="s">
        <v>602</v>
      </c>
      <c r="U1008" s="47">
        <v>-358</v>
      </c>
    </row>
    <row r="1009" spans="2:21" x14ac:dyDescent="0.2">
      <c r="B1009" s="46"/>
      <c r="F1009" s="47"/>
      <c r="J1009" s="46"/>
      <c r="K1009" s="48"/>
      <c r="O1009" t="s">
        <v>602</v>
      </c>
      <c r="P1009" t="s">
        <v>602</v>
      </c>
      <c r="Q1009" t="s">
        <v>602</v>
      </c>
      <c r="R1009" t="s">
        <v>603</v>
      </c>
      <c r="S1009" t="s">
        <v>602</v>
      </c>
      <c r="T1009" t="s">
        <v>602</v>
      </c>
      <c r="U1009" s="47">
        <v>-597</v>
      </c>
    </row>
    <row r="1010" spans="2:21" x14ac:dyDescent="0.2">
      <c r="B1010" s="46"/>
      <c r="F1010" s="47"/>
      <c r="J1010" s="46"/>
      <c r="K1010" s="48"/>
      <c r="O1010" t="s">
        <v>602</v>
      </c>
      <c r="P1010" t="s">
        <v>602</v>
      </c>
      <c r="Q1010" t="s">
        <v>602</v>
      </c>
      <c r="R1010" t="s">
        <v>603</v>
      </c>
      <c r="S1010" t="s">
        <v>602</v>
      </c>
      <c r="T1010" t="s">
        <v>602</v>
      </c>
      <c r="U1010" s="47">
        <v>-358</v>
      </c>
    </row>
    <row r="1011" spans="2:21" x14ac:dyDescent="0.2">
      <c r="B1011" s="46"/>
      <c r="F1011" s="47"/>
      <c r="J1011" s="46"/>
      <c r="K1011" s="48"/>
      <c r="O1011" t="s">
        <v>602</v>
      </c>
      <c r="P1011" t="s">
        <v>602</v>
      </c>
      <c r="Q1011" t="s">
        <v>602</v>
      </c>
      <c r="R1011" t="s">
        <v>603</v>
      </c>
      <c r="S1011" t="s">
        <v>602</v>
      </c>
      <c r="T1011" t="s">
        <v>602</v>
      </c>
      <c r="U1011" s="47">
        <v>-597</v>
      </c>
    </row>
    <row r="1012" spans="2:21" x14ac:dyDescent="0.2">
      <c r="B1012" s="46"/>
      <c r="F1012" s="47"/>
      <c r="J1012" s="46"/>
      <c r="K1012" s="48"/>
      <c r="O1012" t="s">
        <v>602</v>
      </c>
      <c r="P1012" t="s">
        <v>602</v>
      </c>
      <c r="Q1012" t="s">
        <v>602</v>
      </c>
      <c r="R1012" t="s">
        <v>603</v>
      </c>
      <c r="S1012" t="s">
        <v>602</v>
      </c>
      <c r="T1012" t="s">
        <v>602</v>
      </c>
      <c r="U1012" s="47">
        <v>-367</v>
      </c>
    </row>
    <row r="1013" spans="2:21" x14ac:dyDescent="0.2">
      <c r="B1013" s="46"/>
      <c r="F1013" s="47"/>
      <c r="J1013" s="46"/>
      <c r="K1013" s="48"/>
      <c r="O1013" t="s">
        <v>602</v>
      </c>
      <c r="P1013" t="s">
        <v>602</v>
      </c>
      <c r="Q1013" t="s">
        <v>602</v>
      </c>
      <c r="R1013" t="s">
        <v>603</v>
      </c>
      <c r="S1013" t="s">
        <v>602</v>
      </c>
      <c r="T1013" t="s">
        <v>602</v>
      </c>
      <c r="U1013" s="47">
        <v>-244</v>
      </c>
    </row>
    <row r="1014" spans="2:21" x14ac:dyDescent="0.2">
      <c r="B1014" s="46"/>
      <c r="F1014" s="47"/>
      <c r="J1014" s="46"/>
      <c r="K1014" s="48"/>
      <c r="O1014" t="s">
        <v>602</v>
      </c>
      <c r="P1014" t="s">
        <v>602</v>
      </c>
      <c r="Q1014" t="s">
        <v>602</v>
      </c>
      <c r="R1014" t="s">
        <v>603</v>
      </c>
      <c r="S1014" t="s">
        <v>602</v>
      </c>
      <c r="T1014" t="s">
        <v>602</v>
      </c>
      <c r="U1014" s="47">
        <v>-489</v>
      </c>
    </row>
    <row r="1015" spans="2:21" x14ac:dyDescent="0.2">
      <c r="B1015" s="46"/>
      <c r="F1015" s="47"/>
      <c r="J1015" s="46"/>
      <c r="K1015" s="48"/>
      <c r="O1015" t="s">
        <v>602</v>
      </c>
      <c r="P1015" t="s">
        <v>602</v>
      </c>
      <c r="Q1015" t="s">
        <v>602</v>
      </c>
      <c r="R1015" t="s">
        <v>603</v>
      </c>
      <c r="S1015" t="s">
        <v>602</v>
      </c>
      <c r="T1015" t="s">
        <v>602</v>
      </c>
      <c r="U1015" s="47">
        <v>-244</v>
      </c>
    </row>
    <row r="1016" spans="2:21" x14ac:dyDescent="0.2">
      <c r="B1016" s="46"/>
      <c r="F1016" s="47"/>
      <c r="J1016" s="46"/>
      <c r="K1016" s="48"/>
      <c r="O1016" t="s">
        <v>602</v>
      </c>
      <c r="P1016" t="s">
        <v>602</v>
      </c>
      <c r="Q1016" t="s">
        <v>602</v>
      </c>
      <c r="R1016" t="s">
        <v>603</v>
      </c>
      <c r="S1016" t="s">
        <v>602</v>
      </c>
      <c r="T1016" t="s">
        <v>602</v>
      </c>
      <c r="U1016" s="47">
        <v>-366</v>
      </c>
    </row>
    <row r="1017" spans="2:21" x14ac:dyDescent="0.2">
      <c r="B1017" s="46"/>
      <c r="F1017" s="47"/>
      <c r="J1017" s="46"/>
      <c r="K1017" s="48"/>
      <c r="O1017" t="s">
        <v>602</v>
      </c>
      <c r="P1017" t="s">
        <v>602</v>
      </c>
      <c r="Q1017" t="s">
        <v>602</v>
      </c>
      <c r="R1017" t="s">
        <v>603</v>
      </c>
      <c r="S1017" t="s">
        <v>602</v>
      </c>
      <c r="T1017" t="s">
        <v>602</v>
      </c>
      <c r="U1017" s="47">
        <v>-123</v>
      </c>
    </row>
    <row r="1018" spans="2:21" x14ac:dyDescent="0.2">
      <c r="B1018" s="46"/>
      <c r="F1018" s="47"/>
      <c r="J1018" s="46"/>
      <c r="K1018" s="48"/>
      <c r="O1018" t="s">
        <v>602</v>
      </c>
      <c r="P1018" t="s">
        <v>602</v>
      </c>
      <c r="Q1018" t="s">
        <v>602</v>
      </c>
      <c r="R1018" t="s">
        <v>603</v>
      </c>
      <c r="S1018" t="s">
        <v>602</v>
      </c>
      <c r="T1018" t="s">
        <v>602</v>
      </c>
      <c r="U1018" s="47">
        <v>-502</v>
      </c>
    </row>
    <row r="1019" spans="2:21" x14ac:dyDescent="0.2">
      <c r="B1019" s="46"/>
      <c r="F1019" s="47"/>
      <c r="J1019" s="46"/>
      <c r="K1019" s="48"/>
      <c r="O1019" t="s">
        <v>602</v>
      </c>
      <c r="P1019" t="s">
        <v>602</v>
      </c>
      <c r="Q1019" t="s">
        <v>602</v>
      </c>
      <c r="R1019" t="s">
        <v>603</v>
      </c>
      <c r="S1019" t="s">
        <v>602</v>
      </c>
      <c r="T1019" t="s">
        <v>602</v>
      </c>
      <c r="U1019" s="47">
        <v>-251</v>
      </c>
    </row>
    <row r="1020" spans="2:21" x14ac:dyDescent="0.2">
      <c r="B1020" s="46"/>
      <c r="F1020" s="47"/>
      <c r="J1020" s="46"/>
      <c r="K1020" s="48"/>
      <c r="O1020" t="s">
        <v>602</v>
      </c>
      <c r="P1020" t="s">
        <v>602</v>
      </c>
      <c r="Q1020" t="s">
        <v>602</v>
      </c>
      <c r="R1020" t="s">
        <v>603</v>
      </c>
      <c r="S1020" t="s">
        <v>602</v>
      </c>
      <c r="T1020" t="s">
        <v>602</v>
      </c>
      <c r="U1020" s="47">
        <v>-502</v>
      </c>
    </row>
    <row r="1021" spans="2:21" x14ac:dyDescent="0.2">
      <c r="B1021" s="46"/>
      <c r="F1021" s="47"/>
      <c r="J1021" s="46"/>
      <c r="K1021" s="48"/>
      <c r="O1021" t="s">
        <v>602</v>
      </c>
      <c r="P1021" t="s">
        <v>602</v>
      </c>
      <c r="Q1021" t="s">
        <v>602</v>
      </c>
      <c r="R1021" t="s">
        <v>603</v>
      </c>
      <c r="S1021" t="s">
        <v>602</v>
      </c>
      <c r="T1021" t="s">
        <v>602</v>
      </c>
      <c r="U1021" s="47">
        <v>-1507</v>
      </c>
    </row>
    <row r="1022" spans="2:21" x14ac:dyDescent="0.2">
      <c r="B1022" s="46"/>
      <c r="F1022" s="47"/>
      <c r="J1022" s="46"/>
      <c r="K1022" s="48"/>
      <c r="O1022" t="s">
        <v>602</v>
      </c>
      <c r="P1022" t="s">
        <v>602</v>
      </c>
      <c r="Q1022" t="s">
        <v>602</v>
      </c>
      <c r="R1022" t="s">
        <v>603</v>
      </c>
      <c r="S1022" t="s">
        <v>602</v>
      </c>
      <c r="T1022" t="s">
        <v>602</v>
      </c>
      <c r="U1022" s="47">
        <v>-1278</v>
      </c>
    </row>
    <row r="1023" spans="2:21" x14ac:dyDescent="0.2">
      <c r="B1023" s="46"/>
      <c r="F1023" s="47"/>
      <c r="J1023" s="46"/>
      <c r="K1023" s="48"/>
      <c r="O1023" t="s">
        <v>602</v>
      </c>
      <c r="P1023" t="s">
        <v>602</v>
      </c>
      <c r="Q1023" t="s">
        <v>602</v>
      </c>
      <c r="R1023" t="s">
        <v>603</v>
      </c>
      <c r="S1023" t="s">
        <v>602</v>
      </c>
      <c r="T1023" t="s">
        <v>602</v>
      </c>
      <c r="U1023" s="47">
        <v>-2556</v>
      </c>
    </row>
    <row r="1024" spans="2:21" x14ac:dyDescent="0.2">
      <c r="B1024" s="46"/>
      <c r="F1024" s="47"/>
      <c r="J1024" s="46"/>
      <c r="K1024" s="48"/>
      <c r="O1024" t="s">
        <v>602</v>
      </c>
      <c r="P1024" t="s">
        <v>602</v>
      </c>
      <c r="Q1024" t="s">
        <v>602</v>
      </c>
      <c r="R1024" t="s">
        <v>603</v>
      </c>
      <c r="S1024" t="s">
        <v>602</v>
      </c>
      <c r="T1024" t="s">
        <v>602</v>
      </c>
      <c r="U1024" s="47">
        <v>-5112</v>
      </c>
    </row>
    <row r="1025" spans="2:21" x14ac:dyDescent="0.2">
      <c r="B1025" s="46"/>
      <c r="F1025" s="47"/>
      <c r="J1025" s="46"/>
      <c r="K1025" s="48"/>
      <c r="O1025" t="s">
        <v>602</v>
      </c>
      <c r="P1025" t="s">
        <v>602</v>
      </c>
      <c r="Q1025" t="s">
        <v>602</v>
      </c>
      <c r="R1025" t="s">
        <v>603</v>
      </c>
      <c r="S1025" t="s">
        <v>602</v>
      </c>
      <c r="T1025" t="s">
        <v>602</v>
      </c>
      <c r="U1025" s="47">
        <v>-3834</v>
      </c>
    </row>
    <row r="1026" spans="2:21" x14ac:dyDescent="0.2">
      <c r="B1026" s="46"/>
      <c r="F1026" s="47"/>
      <c r="J1026" s="46"/>
      <c r="K1026" s="48"/>
      <c r="O1026" t="s">
        <v>602</v>
      </c>
      <c r="P1026" t="s">
        <v>602</v>
      </c>
      <c r="Q1026" t="s">
        <v>602</v>
      </c>
      <c r="R1026" t="s">
        <v>603</v>
      </c>
      <c r="S1026" t="s">
        <v>602</v>
      </c>
      <c r="T1026" t="s">
        <v>602</v>
      </c>
      <c r="U1026" s="47">
        <v>-2556</v>
      </c>
    </row>
    <row r="1027" spans="2:21" x14ac:dyDescent="0.2">
      <c r="B1027" s="46"/>
      <c r="F1027" s="47"/>
      <c r="J1027" s="46"/>
      <c r="K1027" s="48"/>
      <c r="O1027" t="s">
        <v>602</v>
      </c>
      <c r="P1027" t="s">
        <v>602</v>
      </c>
      <c r="Q1027" t="s">
        <v>602</v>
      </c>
      <c r="R1027" t="s">
        <v>603</v>
      </c>
      <c r="S1027" t="s">
        <v>602</v>
      </c>
      <c r="T1027" t="s">
        <v>602</v>
      </c>
      <c r="U1027" s="47">
        <v>-3323</v>
      </c>
    </row>
    <row r="1028" spans="2:21" x14ac:dyDescent="0.2">
      <c r="B1028" s="46"/>
      <c r="F1028" s="47"/>
      <c r="J1028" s="46"/>
      <c r="K1028" s="48"/>
      <c r="O1028" t="s">
        <v>602</v>
      </c>
      <c r="P1028" t="s">
        <v>602</v>
      </c>
      <c r="Q1028" t="s">
        <v>602</v>
      </c>
      <c r="R1028" t="s">
        <v>603</v>
      </c>
      <c r="S1028" t="s">
        <v>602</v>
      </c>
      <c r="T1028" t="s">
        <v>602</v>
      </c>
      <c r="U1028" s="47">
        <v>-5112</v>
      </c>
    </row>
    <row r="1029" spans="2:21" x14ac:dyDescent="0.2">
      <c r="B1029" s="46"/>
      <c r="F1029" s="47"/>
      <c r="J1029" s="46"/>
      <c r="K1029" s="48"/>
      <c r="O1029" t="s">
        <v>602</v>
      </c>
      <c r="P1029" t="s">
        <v>602</v>
      </c>
      <c r="Q1029" t="s">
        <v>602</v>
      </c>
      <c r="R1029" t="s">
        <v>603</v>
      </c>
      <c r="S1029" t="s">
        <v>602</v>
      </c>
      <c r="T1029" t="s">
        <v>602</v>
      </c>
      <c r="U1029" s="47">
        <v>-2556</v>
      </c>
    </row>
    <row r="1030" spans="2:21" x14ac:dyDescent="0.2">
      <c r="B1030" s="46"/>
      <c r="F1030" s="47"/>
      <c r="J1030" s="46"/>
      <c r="K1030" s="48"/>
      <c r="O1030" t="s">
        <v>602</v>
      </c>
      <c r="P1030" t="s">
        <v>602</v>
      </c>
      <c r="Q1030" t="s">
        <v>602</v>
      </c>
      <c r="R1030" t="s">
        <v>603</v>
      </c>
      <c r="S1030" t="s">
        <v>602</v>
      </c>
      <c r="T1030" t="s">
        <v>602</v>
      </c>
      <c r="U1030" s="47">
        <v>-5112</v>
      </c>
    </row>
    <row r="1031" spans="2:21" x14ac:dyDescent="0.2">
      <c r="B1031" s="46"/>
      <c r="F1031" s="47"/>
      <c r="J1031" s="46"/>
      <c r="K1031" s="48"/>
      <c r="O1031" t="s">
        <v>602</v>
      </c>
      <c r="P1031" t="s">
        <v>602</v>
      </c>
      <c r="Q1031" t="s">
        <v>602</v>
      </c>
      <c r="R1031" t="s">
        <v>603</v>
      </c>
      <c r="S1031" t="s">
        <v>602</v>
      </c>
      <c r="T1031" t="s">
        <v>602</v>
      </c>
      <c r="U1031" s="47">
        <v>-5112</v>
      </c>
    </row>
    <row r="1032" spans="2:21" x14ac:dyDescent="0.2">
      <c r="B1032" s="46"/>
      <c r="F1032" s="47"/>
      <c r="J1032" s="46"/>
      <c r="K1032" s="48"/>
      <c r="O1032" t="s">
        <v>602</v>
      </c>
      <c r="P1032" t="s">
        <v>602</v>
      </c>
      <c r="Q1032" t="s">
        <v>602</v>
      </c>
      <c r="R1032" t="s">
        <v>603</v>
      </c>
      <c r="S1032" t="s">
        <v>602</v>
      </c>
      <c r="T1032" t="s">
        <v>602</v>
      </c>
      <c r="U1032" s="47">
        <v>-5112</v>
      </c>
    </row>
    <row r="1033" spans="2:21" x14ac:dyDescent="0.2">
      <c r="B1033" s="46"/>
      <c r="F1033" s="47"/>
      <c r="J1033" s="46"/>
      <c r="K1033" s="48"/>
      <c r="O1033" t="s">
        <v>602</v>
      </c>
      <c r="P1033" t="s">
        <v>602</v>
      </c>
      <c r="Q1033" t="s">
        <v>602</v>
      </c>
      <c r="R1033" t="s">
        <v>603</v>
      </c>
      <c r="S1033" t="s">
        <v>602</v>
      </c>
      <c r="T1033" t="s">
        <v>602</v>
      </c>
      <c r="U1033" s="47">
        <v>-5112</v>
      </c>
    </row>
    <row r="1034" spans="2:21" x14ac:dyDescent="0.2">
      <c r="B1034" s="46"/>
      <c r="F1034" s="47"/>
      <c r="J1034" s="46"/>
      <c r="K1034" s="48"/>
      <c r="O1034" t="s">
        <v>602</v>
      </c>
      <c r="P1034" t="s">
        <v>602</v>
      </c>
      <c r="Q1034" t="s">
        <v>602</v>
      </c>
      <c r="R1034" t="s">
        <v>603</v>
      </c>
      <c r="S1034" t="s">
        <v>602</v>
      </c>
      <c r="T1034" t="s">
        <v>602</v>
      </c>
      <c r="U1034" s="47">
        <v>-5112</v>
      </c>
    </row>
    <row r="1035" spans="2:21" x14ac:dyDescent="0.2">
      <c r="B1035" s="46"/>
      <c r="F1035" s="47"/>
      <c r="J1035" s="46"/>
      <c r="K1035" s="48"/>
      <c r="O1035" t="s">
        <v>602</v>
      </c>
      <c r="P1035" t="s">
        <v>602</v>
      </c>
      <c r="Q1035" t="s">
        <v>602</v>
      </c>
      <c r="R1035" t="s">
        <v>603</v>
      </c>
      <c r="S1035" t="s">
        <v>602</v>
      </c>
      <c r="T1035" t="s">
        <v>602</v>
      </c>
      <c r="U1035" s="47">
        <v>-5200</v>
      </c>
    </row>
    <row r="1036" spans="2:21" x14ac:dyDescent="0.2">
      <c r="B1036" s="46"/>
      <c r="F1036" s="47"/>
      <c r="J1036" s="46"/>
      <c r="K1036" s="48"/>
      <c r="O1036" t="s">
        <v>602</v>
      </c>
      <c r="P1036" t="s">
        <v>602</v>
      </c>
      <c r="Q1036" t="s">
        <v>602</v>
      </c>
      <c r="R1036" t="s">
        <v>603</v>
      </c>
      <c r="S1036" t="s">
        <v>602</v>
      </c>
      <c r="T1036" t="s">
        <v>602</v>
      </c>
      <c r="U1036" s="47">
        <v>-5200</v>
      </c>
    </row>
    <row r="1037" spans="2:21" x14ac:dyDescent="0.2">
      <c r="B1037" s="46"/>
      <c r="F1037" s="47"/>
      <c r="J1037" s="46"/>
      <c r="K1037" s="48"/>
      <c r="O1037" t="s">
        <v>602</v>
      </c>
      <c r="P1037" t="s">
        <v>602</v>
      </c>
      <c r="Q1037" t="s">
        <v>602</v>
      </c>
      <c r="R1037" t="s">
        <v>603</v>
      </c>
      <c r="S1037" t="s">
        <v>602</v>
      </c>
      <c r="T1037" t="s">
        <v>602</v>
      </c>
      <c r="U1037" s="47">
        <v>-3120</v>
      </c>
    </row>
    <row r="1038" spans="2:21" x14ac:dyDescent="0.2">
      <c r="B1038" s="46"/>
      <c r="F1038" s="47"/>
      <c r="J1038" s="46"/>
      <c r="K1038" s="48"/>
      <c r="O1038" t="s">
        <v>602</v>
      </c>
      <c r="P1038" t="s">
        <v>602</v>
      </c>
      <c r="Q1038" t="s">
        <v>602</v>
      </c>
      <c r="R1038" t="s">
        <v>603</v>
      </c>
      <c r="S1038" t="s">
        <v>602</v>
      </c>
      <c r="T1038" t="s">
        <v>602</v>
      </c>
      <c r="U1038" s="47">
        <v>-5200</v>
      </c>
    </row>
    <row r="1039" spans="2:21" x14ac:dyDescent="0.2">
      <c r="B1039" s="46"/>
      <c r="F1039" s="47"/>
      <c r="J1039" s="46"/>
      <c r="K1039" s="48"/>
      <c r="O1039" t="s">
        <v>602</v>
      </c>
      <c r="P1039" t="s">
        <v>602</v>
      </c>
      <c r="Q1039" t="s">
        <v>602</v>
      </c>
      <c r="R1039" t="s">
        <v>603</v>
      </c>
      <c r="S1039" t="s">
        <v>602</v>
      </c>
      <c r="T1039" t="s">
        <v>602</v>
      </c>
      <c r="U1039" s="47">
        <v>-5200</v>
      </c>
    </row>
    <row r="1040" spans="2:21" x14ac:dyDescent="0.2">
      <c r="B1040" s="46"/>
      <c r="F1040" s="47"/>
      <c r="J1040" s="46"/>
      <c r="K1040" s="48"/>
      <c r="O1040" t="s">
        <v>602</v>
      </c>
      <c r="P1040" t="s">
        <v>602</v>
      </c>
      <c r="Q1040" t="s">
        <v>602</v>
      </c>
      <c r="R1040" t="s">
        <v>603</v>
      </c>
      <c r="S1040" t="s">
        <v>602</v>
      </c>
      <c r="T1040" t="s">
        <v>602</v>
      </c>
      <c r="U1040" s="47">
        <v>-5200</v>
      </c>
    </row>
    <row r="1041" spans="2:21" x14ac:dyDescent="0.2">
      <c r="B1041" s="46"/>
      <c r="F1041" s="47"/>
      <c r="J1041" s="46"/>
      <c r="K1041" s="48"/>
      <c r="O1041" t="s">
        <v>602</v>
      </c>
      <c r="P1041" t="s">
        <v>602</v>
      </c>
      <c r="Q1041" t="s">
        <v>602</v>
      </c>
      <c r="R1041" t="s">
        <v>603</v>
      </c>
      <c r="S1041" t="s">
        <v>602</v>
      </c>
      <c r="T1041" t="s">
        <v>602</v>
      </c>
      <c r="U1041" s="47">
        <v>-5200</v>
      </c>
    </row>
    <row r="1042" spans="2:21" x14ac:dyDescent="0.2">
      <c r="B1042" s="46"/>
      <c r="F1042" s="47"/>
      <c r="J1042" s="46"/>
      <c r="K1042" s="48"/>
      <c r="O1042" t="s">
        <v>602</v>
      </c>
      <c r="P1042" t="s">
        <v>602</v>
      </c>
      <c r="Q1042" t="s">
        <v>602</v>
      </c>
      <c r="R1042" t="s">
        <v>603</v>
      </c>
      <c r="S1042" t="s">
        <v>602</v>
      </c>
      <c r="T1042" t="s">
        <v>602</v>
      </c>
      <c r="U1042" s="47">
        <v>-2600</v>
      </c>
    </row>
    <row r="1043" spans="2:21" x14ac:dyDescent="0.2">
      <c r="B1043" s="46"/>
      <c r="F1043" s="47"/>
      <c r="J1043" s="46"/>
      <c r="K1043" s="48"/>
      <c r="O1043" t="s">
        <v>602</v>
      </c>
      <c r="P1043" t="s">
        <v>602</v>
      </c>
      <c r="Q1043" t="s">
        <v>602</v>
      </c>
      <c r="R1043" t="s">
        <v>603</v>
      </c>
      <c r="S1043" t="s">
        <v>602</v>
      </c>
      <c r="T1043" t="s">
        <v>602</v>
      </c>
      <c r="U1043" s="47">
        <v>-2600</v>
      </c>
    </row>
    <row r="1044" spans="2:21" x14ac:dyDescent="0.2">
      <c r="B1044" s="46"/>
      <c r="F1044" s="47"/>
      <c r="J1044" s="46"/>
      <c r="K1044" s="48"/>
      <c r="O1044" t="s">
        <v>602</v>
      </c>
      <c r="P1044" t="s">
        <v>602</v>
      </c>
      <c r="Q1044" t="s">
        <v>602</v>
      </c>
      <c r="R1044" t="s">
        <v>603</v>
      </c>
      <c r="S1044" t="s">
        <v>602</v>
      </c>
      <c r="T1044" t="s">
        <v>602</v>
      </c>
      <c r="U1044" s="47">
        <v>-2600</v>
      </c>
    </row>
    <row r="1045" spans="2:21" x14ac:dyDescent="0.2">
      <c r="B1045" s="46"/>
      <c r="F1045" s="47"/>
      <c r="J1045" s="46"/>
      <c r="K1045" s="48"/>
      <c r="O1045" t="s">
        <v>602</v>
      </c>
      <c r="P1045" t="s">
        <v>602</v>
      </c>
      <c r="Q1045" t="s">
        <v>602</v>
      </c>
      <c r="R1045" t="s">
        <v>603</v>
      </c>
      <c r="S1045" t="s">
        <v>602</v>
      </c>
      <c r="T1045" t="s">
        <v>602</v>
      </c>
      <c r="U1045" s="47">
        <v>-2600</v>
      </c>
    </row>
    <row r="1046" spans="2:21" x14ac:dyDescent="0.2">
      <c r="B1046" s="46"/>
      <c r="F1046" s="47"/>
      <c r="J1046" s="46"/>
      <c r="K1046" s="48"/>
      <c r="O1046" t="s">
        <v>602</v>
      </c>
      <c r="P1046" t="s">
        <v>602</v>
      </c>
      <c r="Q1046" t="s">
        <v>602</v>
      </c>
      <c r="R1046" t="s">
        <v>603</v>
      </c>
      <c r="S1046" t="s">
        <v>602</v>
      </c>
      <c r="T1046" t="s">
        <v>602</v>
      </c>
      <c r="U1046" s="47">
        <v>-2860</v>
      </c>
    </row>
    <row r="1047" spans="2:21" x14ac:dyDescent="0.2">
      <c r="B1047" s="46"/>
      <c r="F1047" s="47"/>
      <c r="J1047" s="46"/>
      <c r="K1047" s="48"/>
      <c r="O1047" t="s">
        <v>602</v>
      </c>
      <c r="P1047" t="s">
        <v>602</v>
      </c>
      <c r="Q1047" t="s">
        <v>602</v>
      </c>
      <c r="R1047" t="s">
        <v>603</v>
      </c>
      <c r="S1047" t="s">
        <v>602</v>
      </c>
      <c r="T1047" t="s">
        <v>602</v>
      </c>
      <c r="U1047" s="47">
        <v>-2600</v>
      </c>
    </row>
    <row r="1048" spans="2:21" x14ac:dyDescent="0.2">
      <c r="B1048" s="46"/>
      <c r="F1048" s="47"/>
      <c r="J1048" s="46"/>
      <c r="K1048" s="48"/>
      <c r="O1048" t="s">
        <v>602</v>
      </c>
      <c r="P1048" t="s">
        <v>602</v>
      </c>
      <c r="Q1048" t="s">
        <v>602</v>
      </c>
      <c r="R1048" t="s">
        <v>603</v>
      </c>
      <c r="S1048" t="s">
        <v>602</v>
      </c>
      <c r="T1048" t="s">
        <v>602</v>
      </c>
      <c r="U1048" s="47">
        <v>-2600</v>
      </c>
    </row>
    <row r="1049" spans="2:21" x14ac:dyDescent="0.2">
      <c r="B1049" s="46"/>
      <c r="F1049" s="47"/>
      <c r="J1049" s="46"/>
      <c r="K1049" s="48"/>
      <c r="O1049" t="s">
        <v>602</v>
      </c>
      <c r="P1049" t="s">
        <v>602</v>
      </c>
      <c r="Q1049" t="s">
        <v>602</v>
      </c>
      <c r="R1049" t="s">
        <v>603</v>
      </c>
      <c r="S1049" t="s">
        <v>602</v>
      </c>
      <c r="T1049" t="s">
        <v>602</v>
      </c>
      <c r="U1049" s="47">
        <v>-322</v>
      </c>
    </row>
    <row r="1050" spans="2:21" x14ac:dyDescent="0.2">
      <c r="B1050" s="46"/>
      <c r="F1050" s="47"/>
      <c r="J1050" s="46"/>
      <c r="K1050" s="48"/>
      <c r="O1050" t="s">
        <v>602</v>
      </c>
      <c r="P1050" t="s">
        <v>602</v>
      </c>
      <c r="Q1050" t="s">
        <v>602</v>
      </c>
      <c r="R1050" t="s">
        <v>603</v>
      </c>
      <c r="S1050" t="s">
        <v>602</v>
      </c>
      <c r="T1050" t="s">
        <v>602</v>
      </c>
      <c r="U1050" s="47">
        <v>-97</v>
      </c>
    </row>
    <row r="1051" spans="2:21" x14ac:dyDescent="0.2">
      <c r="B1051" s="46"/>
      <c r="F1051" s="47"/>
      <c r="J1051" s="46"/>
      <c r="K1051" s="48"/>
      <c r="O1051" t="s">
        <v>602</v>
      </c>
      <c r="P1051" t="s">
        <v>602</v>
      </c>
      <c r="Q1051" t="s">
        <v>602</v>
      </c>
      <c r="R1051" t="s">
        <v>603</v>
      </c>
      <c r="S1051" t="s">
        <v>602</v>
      </c>
      <c r="T1051" t="s">
        <v>602</v>
      </c>
      <c r="U1051" s="47">
        <v>-337</v>
      </c>
    </row>
    <row r="1052" spans="2:21" x14ac:dyDescent="0.2">
      <c r="B1052" s="46"/>
      <c r="F1052" s="47"/>
      <c r="J1052" s="46"/>
      <c r="K1052" s="48"/>
      <c r="O1052" t="s">
        <v>602</v>
      </c>
      <c r="P1052" t="s">
        <v>602</v>
      </c>
      <c r="Q1052" t="s">
        <v>602</v>
      </c>
      <c r="R1052" t="s">
        <v>603</v>
      </c>
      <c r="S1052" t="s">
        <v>602</v>
      </c>
      <c r="T1052" t="s">
        <v>602</v>
      </c>
      <c r="U1052" s="47">
        <v>-5112</v>
      </c>
    </row>
    <row r="1053" spans="2:21" x14ac:dyDescent="0.2">
      <c r="B1053" s="46"/>
      <c r="F1053" s="47"/>
      <c r="J1053" s="46"/>
      <c r="K1053" s="48"/>
      <c r="O1053" t="s">
        <v>602</v>
      </c>
      <c r="P1053" t="s">
        <v>602</v>
      </c>
      <c r="Q1053" t="s">
        <v>602</v>
      </c>
      <c r="R1053" t="s">
        <v>603</v>
      </c>
      <c r="S1053" t="s">
        <v>602</v>
      </c>
      <c r="T1053" t="s">
        <v>602</v>
      </c>
      <c r="U1053" s="47">
        <v>-2080</v>
      </c>
    </row>
    <row r="1054" spans="2:21" x14ac:dyDescent="0.2">
      <c r="B1054" s="46"/>
      <c r="F1054" s="47"/>
      <c r="J1054" s="46"/>
      <c r="K1054" s="48"/>
      <c r="O1054" t="s">
        <v>602</v>
      </c>
      <c r="P1054" t="s">
        <v>602</v>
      </c>
      <c r="Q1054" t="s">
        <v>602</v>
      </c>
      <c r="R1054" t="s">
        <v>603</v>
      </c>
      <c r="S1054" t="s">
        <v>602</v>
      </c>
      <c r="T1054" t="s">
        <v>602</v>
      </c>
      <c r="U1054" s="47">
        <v>-175</v>
      </c>
    </row>
    <row r="1055" spans="2:21" x14ac:dyDescent="0.2">
      <c r="B1055" s="46"/>
      <c r="F1055" s="47"/>
      <c r="J1055" s="46"/>
      <c r="K1055" s="48"/>
      <c r="O1055" t="s">
        <v>602</v>
      </c>
      <c r="P1055" t="s">
        <v>602</v>
      </c>
      <c r="Q1055" t="s">
        <v>602</v>
      </c>
      <c r="R1055" t="s">
        <v>603</v>
      </c>
      <c r="S1055" t="s">
        <v>602</v>
      </c>
      <c r="T1055" t="s">
        <v>602</v>
      </c>
      <c r="U1055" s="47">
        <v>-164</v>
      </c>
    </row>
    <row r="1056" spans="2:21" x14ac:dyDescent="0.2">
      <c r="B1056" s="46"/>
      <c r="F1056" s="47"/>
      <c r="J1056" s="46"/>
      <c r="K1056" s="48"/>
      <c r="O1056" t="s">
        <v>602</v>
      </c>
      <c r="P1056" t="s">
        <v>602</v>
      </c>
      <c r="Q1056" t="s">
        <v>602</v>
      </c>
      <c r="R1056" t="s">
        <v>603</v>
      </c>
      <c r="S1056" t="s">
        <v>602</v>
      </c>
      <c r="T1056" t="s">
        <v>602</v>
      </c>
      <c r="U1056" s="47">
        <v>-164</v>
      </c>
    </row>
    <row r="1057" spans="2:21" x14ac:dyDescent="0.2">
      <c r="B1057" s="46"/>
      <c r="F1057" s="47"/>
      <c r="J1057" s="46"/>
      <c r="K1057" s="48"/>
      <c r="O1057" t="s">
        <v>602</v>
      </c>
      <c r="P1057" t="s">
        <v>602</v>
      </c>
      <c r="Q1057" t="s">
        <v>602</v>
      </c>
      <c r="R1057" t="s">
        <v>603</v>
      </c>
      <c r="S1057" t="s">
        <v>602</v>
      </c>
      <c r="T1057" t="s">
        <v>602</v>
      </c>
      <c r="U1057" s="47">
        <v>-164</v>
      </c>
    </row>
    <row r="1058" spans="2:21" x14ac:dyDescent="0.2">
      <c r="B1058" s="46"/>
      <c r="F1058" s="47"/>
      <c r="J1058" s="46"/>
      <c r="K1058" s="48"/>
      <c r="O1058" t="s">
        <v>602</v>
      </c>
      <c r="P1058" t="s">
        <v>602</v>
      </c>
      <c r="Q1058" t="s">
        <v>602</v>
      </c>
      <c r="R1058" t="s">
        <v>603</v>
      </c>
      <c r="S1058" t="s">
        <v>602</v>
      </c>
      <c r="T1058" t="s">
        <v>602</v>
      </c>
      <c r="U1058" s="47">
        <v>-915</v>
      </c>
    </row>
    <row r="1059" spans="2:21" x14ac:dyDescent="0.2">
      <c r="B1059" s="46"/>
      <c r="F1059" s="47"/>
      <c r="J1059" s="46"/>
      <c r="K1059" s="48"/>
      <c r="O1059" t="s">
        <v>602</v>
      </c>
      <c r="P1059" t="s">
        <v>602</v>
      </c>
      <c r="Q1059" t="s">
        <v>602</v>
      </c>
      <c r="R1059" t="s">
        <v>603</v>
      </c>
      <c r="S1059" t="s">
        <v>602</v>
      </c>
      <c r="T1059" t="s">
        <v>602</v>
      </c>
      <c r="U1059" s="47">
        <v>-749</v>
      </c>
    </row>
    <row r="1060" spans="2:21" x14ac:dyDescent="0.2">
      <c r="B1060" s="46"/>
      <c r="F1060" s="47"/>
      <c r="J1060" s="46"/>
      <c r="K1060" s="48"/>
      <c r="O1060" t="s">
        <v>602</v>
      </c>
      <c r="P1060" t="s">
        <v>602</v>
      </c>
      <c r="Q1060" t="s">
        <v>602</v>
      </c>
      <c r="R1060" t="s">
        <v>603</v>
      </c>
      <c r="S1060" t="s">
        <v>602</v>
      </c>
      <c r="T1060" t="s">
        <v>602</v>
      </c>
      <c r="U1060" s="47">
        <v>-832</v>
      </c>
    </row>
    <row r="1061" spans="2:21" x14ac:dyDescent="0.2">
      <c r="B1061" s="46"/>
      <c r="F1061" s="47"/>
      <c r="J1061" s="46"/>
      <c r="K1061" s="48"/>
      <c r="O1061" t="s">
        <v>602</v>
      </c>
      <c r="P1061" t="s">
        <v>602</v>
      </c>
      <c r="Q1061" t="s">
        <v>602</v>
      </c>
      <c r="R1061" t="s">
        <v>603</v>
      </c>
      <c r="S1061" t="s">
        <v>602</v>
      </c>
      <c r="T1061" t="s">
        <v>602</v>
      </c>
      <c r="U1061" s="47">
        <v>-1198</v>
      </c>
    </row>
    <row r="1062" spans="2:21" x14ac:dyDescent="0.2">
      <c r="B1062" s="46"/>
      <c r="F1062" s="47"/>
      <c r="J1062" s="46"/>
      <c r="K1062" s="48"/>
      <c r="O1062" t="s">
        <v>602</v>
      </c>
      <c r="P1062" t="s">
        <v>602</v>
      </c>
      <c r="Q1062" t="s">
        <v>602</v>
      </c>
      <c r="R1062" t="s">
        <v>603</v>
      </c>
      <c r="S1062" t="s">
        <v>602</v>
      </c>
      <c r="T1062" t="s">
        <v>602</v>
      </c>
      <c r="U1062" s="47">
        <v>-1027</v>
      </c>
    </row>
    <row r="1063" spans="2:21" x14ac:dyDescent="0.2">
      <c r="B1063" s="46"/>
      <c r="F1063" s="47"/>
      <c r="J1063" s="46"/>
      <c r="K1063" s="48"/>
      <c r="O1063" t="s">
        <v>602</v>
      </c>
      <c r="P1063" t="s">
        <v>602</v>
      </c>
      <c r="Q1063" t="s">
        <v>602</v>
      </c>
      <c r="R1063" t="s">
        <v>603</v>
      </c>
      <c r="S1063" t="s">
        <v>602</v>
      </c>
      <c r="T1063" t="s">
        <v>602</v>
      </c>
      <c r="U1063" s="47">
        <v>-1284</v>
      </c>
    </row>
    <row r="1064" spans="2:21" x14ac:dyDescent="0.2">
      <c r="B1064" s="46"/>
      <c r="F1064" s="47"/>
      <c r="J1064" s="46"/>
      <c r="K1064" s="48"/>
      <c r="O1064" t="s">
        <v>602</v>
      </c>
      <c r="P1064" t="s">
        <v>602</v>
      </c>
      <c r="Q1064" t="s">
        <v>602</v>
      </c>
      <c r="R1064" t="s">
        <v>603</v>
      </c>
      <c r="S1064" t="s">
        <v>602</v>
      </c>
      <c r="T1064" t="s">
        <v>602</v>
      </c>
      <c r="U1064" s="47">
        <v>-1712</v>
      </c>
    </row>
    <row r="1065" spans="2:21" x14ac:dyDescent="0.2">
      <c r="B1065" s="46"/>
      <c r="F1065" s="47"/>
      <c r="J1065" s="46"/>
      <c r="K1065" s="48"/>
      <c r="O1065" t="s">
        <v>602</v>
      </c>
      <c r="P1065" t="s">
        <v>602</v>
      </c>
      <c r="Q1065" t="s">
        <v>602</v>
      </c>
      <c r="R1065" t="s">
        <v>603</v>
      </c>
      <c r="S1065" t="s">
        <v>602</v>
      </c>
      <c r="T1065" t="s">
        <v>602</v>
      </c>
      <c r="U1065" s="47">
        <v>-1113</v>
      </c>
    </row>
    <row r="1066" spans="2:21" x14ac:dyDescent="0.2">
      <c r="B1066" s="46"/>
      <c r="F1066" s="47"/>
      <c r="J1066" s="46"/>
      <c r="K1066" s="48"/>
      <c r="O1066" t="s">
        <v>602</v>
      </c>
      <c r="P1066" t="s">
        <v>602</v>
      </c>
      <c r="Q1066" t="s">
        <v>602</v>
      </c>
      <c r="R1066" t="s">
        <v>603</v>
      </c>
      <c r="S1066" t="s">
        <v>602</v>
      </c>
      <c r="T1066" t="s">
        <v>602</v>
      </c>
      <c r="U1066" s="47">
        <v>-1060</v>
      </c>
    </row>
    <row r="1067" spans="2:21" x14ac:dyDescent="0.2">
      <c r="B1067" s="46"/>
      <c r="F1067" s="47"/>
      <c r="J1067" s="46"/>
      <c r="K1067" s="48"/>
      <c r="O1067" t="s">
        <v>602</v>
      </c>
      <c r="P1067" t="s">
        <v>602</v>
      </c>
      <c r="Q1067" t="s">
        <v>602</v>
      </c>
      <c r="R1067" t="s">
        <v>603</v>
      </c>
      <c r="S1067" t="s">
        <v>602</v>
      </c>
      <c r="T1067" t="s">
        <v>602</v>
      </c>
      <c r="U1067" s="47">
        <v>-971</v>
      </c>
    </row>
    <row r="1068" spans="2:21" x14ac:dyDescent="0.2">
      <c r="B1068" s="46"/>
      <c r="F1068" s="47"/>
      <c r="J1068" s="46"/>
      <c r="K1068" s="48"/>
      <c r="O1068" t="s">
        <v>602</v>
      </c>
      <c r="P1068" t="s">
        <v>602</v>
      </c>
      <c r="Q1068" t="s">
        <v>602</v>
      </c>
      <c r="R1068" t="s">
        <v>603</v>
      </c>
      <c r="S1068" t="s">
        <v>602</v>
      </c>
      <c r="T1068" t="s">
        <v>602</v>
      </c>
      <c r="U1068" s="47">
        <v>-706</v>
      </c>
    </row>
    <row r="1069" spans="2:21" x14ac:dyDescent="0.2">
      <c r="B1069" s="46"/>
      <c r="F1069" s="47"/>
      <c r="J1069" s="46"/>
      <c r="K1069" s="48"/>
      <c r="O1069" t="s">
        <v>602</v>
      </c>
      <c r="P1069" t="s">
        <v>602</v>
      </c>
      <c r="Q1069" t="s">
        <v>602</v>
      </c>
      <c r="R1069" t="s">
        <v>603</v>
      </c>
      <c r="S1069" t="s">
        <v>602</v>
      </c>
      <c r="T1069" t="s">
        <v>602</v>
      </c>
      <c r="U1069" s="47">
        <v>-456</v>
      </c>
    </row>
    <row r="1070" spans="2:21" x14ac:dyDescent="0.2">
      <c r="B1070" s="46"/>
      <c r="F1070" s="47"/>
      <c r="J1070" s="46"/>
      <c r="K1070" s="48"/>
      <c r="O1070" t="s">
        <v>602</v>
      </c>
      <c r="P1070" t="s">
        <v>602</v>
      </c>
      <c r="Q1070" t="s">
        <v>602</v>
      </c>
      <c r="R1070" t="s">
        <v>603</v>
      </c>
      <c r="S1070" t="s">
        <v>602</v>
      </c>
      <c r="T1070" t="s">
        <v>602</v>
      </c>
      <c r="U1070" s="47">
        <v>-455</v>
      </c>
    </row>
    <row r="1071" spans="2:21" x14ac:dyDescent="0.2">
      <c r="B1071" s="46"/>
      <c r="F1071" s="47"/>
      <c r="J1071" s="46"/>
      <c r="K1071" s="48"/>
      <c r="O1071" t="s">
        <v>602</v>
      </c>
      <c r="P1071" t="s">
        <v>602</v>
      </c>
      <c r="Q1071" t="s">
        <v>602</v>
      </c>
      <c r="R1071" t="s">
        <v>603</v>
      </c>
      <c r="S1071" t="s">
        <v>602</v>
      </c>
      <c r="T1071" t="s">
        <v>602</v>
      </c>
      <c r="U1071" s="47">
        <v>-273</v>
      </c>
    </row>
    <row r="1072" spans="2:21" x14ac:dyDescent="0.2">
      <c r="B1072" s="46"/>
      <c r="F1072" s="47"/>
      <c r="J1072" s="46"/>
      <c r="K1072" s="48"/>
      <c r="O1072" t="s">
        <v>602</v>
      </c>
      <c r="P1072" t="s">
        <v>602</v>
      </c>
      <c r="Q1072" t="s">
        <v>602</v>
      </c>
      <c r="R1072" t="s">
        <v>603</v>
      </c>
      <c r="S1072" t="s">
        <v>602</v>
      </c>
      <c r="T1072" t="s">
        <v>602</v>
      </c>
      <c r="U1072" s="47">
        <v>-456</v>
      </c>
    </row>
    <row r="1073" spans="2:21" x14ac:dyDescent="0.2">
      <c r="B1073" s="46"/>
      <c r="F1073" s="47"/>
      <c r="J1073" s="46"/>
      <c r="K1073" s="48"/>
      <c r="O1073" t="s">
        <v>602</v>
      </c>
      <c r="P1073" t="s">
        <v>602</v>
      </c>
      <c r="Q1073" t="s">
        <v>602</v>
      </c>
      <c r="R1073" t="s">
        <v>603</v>
      </c>
      <c r="S1073" t="s">
        <v>602</v>
      </c>
      <c r="T1073" t="s">
        <v>602</v>
      </c>
      <c r="U1073" s="47">
        <v>-1704</v>
      </c>
    </row>
    <row r="1074" spans="2:21" x14ac:dyDescent="0.2">
      <c r="B1074" s="46"/>
      <c r="F1074" s="47"/>
      <c r="J1074" s="46"/>
      <c r="K1074" s="48"/>
      <c r="O1074" t="s">
        <v>602</v>
      </c>
      <c r="P1074" t="s">
        <v>602</v>
      </c>
      <c r="Q1074" t="s">
        <v>602</v>
      </c>
      <c r="R1074" t="s">
        <v>603</v>
      </c>
      <c r="S1074" t="s">
        <v>602</v>
      </c>
      <c r="T1074" t="s">
        <v>602</v>
      </c>
      <c r="U1074" s="47">
        <v>-94</v>
      </c>
    </row>
    <row r="1075" spans="2:21" x14ac:dyDescent="0.2">
      <c r="B1075" s="46"/>
      <c r="F1075" s="47"/>
      <c r="J1075" s="46"/>
      <c r="K1075" s="48"/>
      <c r="O1075" t="s">
        <v>602</v>
      </c>
      <c r="P1075" t="s">
        <v>602</v>
      </c>
      <c r="Q1075" t="s">
        <v>602</v>
      </c>
      <c r="R1075" t="s">
        <v>603</v>
      </c>
      <c r="S1075" t="s">
        <v>602</v>
      </c>
      <c r="T1075" t="s">
        <v>602</v>
      </c>
      <c r="U1075" s="47">
        <v>-94</v>
      </c>
    </row>
    <row r="1076" spans="2:21" x14ac:dyDescent="0.2">
      <c r="B1076" s="46"/>
      <c r="F1076" s="47"/>
      <c r="J1076" s="46"/>
      <c r="K1076" s="48"/>
      <c r="O1076" t="s">
        <v>602</v>
      </c>
      <c r="P1076" t="s">
        <v>602</v>
      </c>
      <c r="Q1076" t="s">
        <v>602</v>
      </c>
      <c r="R1076" t="s">
        <v>603</v>
      </c>
      <c r="S1076" t="s">
        <v>602</v>
      </c>
      <c r="T1076" t="s">
        <v>602</v>
      </c>
      <c r="U1076" s="47">
        <v>-187</v>
      </c>
    </row>
    <row r="1077" spans="2:21" x14ac:dyDescent="0.2">
      <c r="B1077" s="46"/>
      <c r="F1077" s="47"/>
      <c r="J1077" s="46"/>
      <c r="K1077" s="48"/>
      <c r="O1077" t="s">
        <v>602</v>
      </c>
      <c r="P1077" t="s">
        <v>602</v>
      </c>
      <c r="Q1077" t="s">
        <v>602</v>
      </c>
      <c r="R1077" t="s">
        <v>603</v>
      </c>
      <c r="S1077" t="s">
        <v>602</v>
      </c>
      <c r="T1077" t="s">
        <v>602</v>
      </c>
      <c r="U1077" s="47">
        <v>-94</v>
      </c>
    </row>
    <row r="1078" spans="2:21" x14ac:dyDescent="0.2">
      <c r="B1078" s="46"/>
      <c r="F1078" s="47"/>
      <c r="J1078" s="46"/>
      <c r="K1078" s="48"/>
      <c r="O1078" t="s">
        <v>602</v>
      </c>
      <c r="P1078" t="s">
        <v>602</v>
      </c>
      <c r="Q1078" t="s">
        <v>602</v>
      </c>
      <c r="R1078" t="s">
        <v>603</v>
      </c>
      <c r="S1078" t="s">
        <v>602</v>
      </c>
      <c r="T1078" t="s">
        <v>602</v>
      </c>
      <c r="U1078" s="47">
        <v>-95</v>
      </c>
    </row>
    <row r="1079" spans="2:21" x14ac:dyDescent="0.2">
      <c r="B1079" s="46"/>
      <c r="F1079" s="47"/>
      <c r="J1079" s="46"/>
      <c r="K1079" s="48"/>
      <c r="O1079" t="s">
        <v>602</v>
      </c>
      <c r="P1079" t="s">
        <v>602</v>
      </c>
      <c r="Q1079" t="s">
        <v>602</v>
      </c>
      <c r="R1079" t="s">
        <v>603</v>
      </c>
      <c r="S1079" t="s">
        <v>602</v>
      </c>
      <c r="T1079" t="s">
        <v>602</v>
      </c>
      <c r="U1079" s="47">
        <v>-95</v>
      </c>
    </row>
    <row r="1080" spans="2:21" x14ac:dyDescent="0.2">
      <c r="B1080" s="46"/>
      <c r="F1080" s="47"/>
      <c r="J1080" s="46"/>
      <c r="K1080" s="48"/>
      <c r="O1080" t="s">
        <v>602</v>
      </c>
      <c r="P1080" t="s">
        <v>602</v>
      </c>
      <c r="Q1080" t="s">
        <v>602</v>
      </c>
      <c r="R1080" t="s">
        <v>603</v>
      </c>
      <c r="S1080" t="s">
        <v>602</v>
      </c>
      <c r="T1080" t="s">
        <v>602</v>
      </c>
      <c r="U1080" s="47">
        <v>-95</v>
      </c>
    </row>
    <row r="1081" spans="2:21" x14ac:dyDescent="0.2">
      <c r="B1081" s="46"/>
      <c r="F1081" s="47"/>
      <c r="J1081" s="46"/>
      <c r="K1081" s="48"/>
      <c r="O1081" t="s">
        <v>602</v>
      </c>
      <c r="P1081" t="s">
        <v>602</v>
      </c>
      <c r="Q1081" t="s">
        <v>602</v>
      </c>
      <c r="R1081" t="s">
        <v>603</v>
      </c>
      <c r="S1081" t="s">
        <v>602</v>
      </c>
      <c r="T1081" t="s">
        <v>602</v>
      </c>
      <c r="U1081" s="47">
        <v>-95</v>
      </c>
    </row>
    <row r="1082" spans="2:21" x14ac:dyDescent="0.2">
      <c r="B1082" s="46"/>
      <c r="F1082" s="47"/>
      <c r="J1082" s="46"/>
      <c r="K1082" s="48"/>
      <c r="O1082" t="s">
        <v>602</v>
      </c>
      <c r="P1082" t="s">
        <v>602</v>
      </c>
      <c r="Q1082" t="s">
        <v>602</v>
      </c>
      <c r="R1082" t="s">
        <v>603</v>
      </c>
      <c r="S1082" t="s">
        <v>602</v>
      </c>
      <c r="T1082" t="s">
        <v>602</v>
      </c>
      <c r="U1082" s="47">
        <v>-1724</v>
      </c>
    </row>
    <row r="1083" spans="2:21" x14ac:dyDescent="0.2">
      <c r="B1083" s="46"/>
      <c r="F1083" s="47"/>
      <c r="J1083" s="46"/>
      <c r="K1083" s="48"/>
      <c r="O1083" t="s">
        <v>602</v>
      </c>
      <c r="P1083" t="s">
        <v>602</v>
      </c>
      <c r="Q1083" t="s">
        <v>602</v>
      </c>
      <c r="R1083" t="s">
        <v>603</v>
      </c>
      <c r="S1083" t="s">
        <v>602</v>
      </c>
      <c r="T1083" t="s">
        <v>602</v>
      </c>
      <c r="U1083" s="47">
        <v>-1724</v>
      </c>
    </row>
    <row r="1084" spans="2:21" x14ac:dyDescent="0.2">
      <c r="B1084" s="46"/>
      <c r="F1084" s="47"/>
      <c r="J1084" s="46"/>
      <c r="K1084" s="48"/>
      <c r="O1084" t="s">
        <v>602</v>
      </c>
      <c r="P1084" t="s">
        <v>602</v>
      </c>
      <c r="Q1084" t="s">
        <v>602</v>
      </c>
      <c r="R1084" t="s">
        <v>603</v>
      </c>
      <c r="S1084" t="s">
        <v>602</v>
      </c>
      <c r="T1084" t="s">
        <v>602</v>
      </c>
      <c r="U1084" s="47">
        <v>-1754</v>
      </c>
    </row>
    <row r="1085" spans="2:21" x14ac:dyDescent="0.2">
      <c r="B1085" s="46"/>
      <c r="F1085" s="47"/>
      <c r="J1085" s="46"/>
      <c r="K1085" s="48"/>
      <c r="O1085" t="s">
        <v>602</v>
      </c>
      <c r="P1085" t="s">
        <v>602</v>
      </c>
      <c r="Q1085" t="s">
        <v>602</v>
      </c>
      <c r="R1085" t="s">
        <v>603</v>
      </c>
      <c r="S1085" t="s">
        <v>602</v>
      </c>
      <c r="T1085" t="s">
        <v>602</v>
      </c>
      <c r="U1085" s="47">
        <v>-380</v>
      </c>
    </row>
    <row r="1086" spans="2:21" x14ac:dyDescent="0.2">
      <c r="B1086" s="46"/>
      <c r="F1086" s="47"/>
      <c r="J1086" s="46"/>
      <c r="K1086" s="48"/>
      <c r="O1086" t="s">
        <v>602</v>
      </c>
      <c r="P1086" t="s">
        <v>602</v>
      </c>
      <c r="Q1086" t="s">
        <v>602</v>
      </c>
      <c r="R1086" t="s">
        <v>603</v>
      </c>
      <c r="S1086" t="s">
        <v>602</v>
      </c>
      <c r="T1086" t="s">
        <v>602</v>
      </c>
      <c r="U1086" s="47">
        <v>-769</v>
      </c>
    </row>
    <row r="1087" spans="2:21" x14ac:dyDescent="0.2">
      <c r="B1087" s="46"/>
      <c r="F1087" s="47"/>
      <c r="J1087" s="46"/>
      <c r="K1087" s="48"/>
      <c r="O1087" t="s">
        <v>602</v>
      </c>
      <c r="P1087" t="s">
        <v>602</v>
      </c>
      <c r="Q1087" t="s">
        <v>602</v>
      </c>
      <c r="R1087" t="s">
        <v>603</v>
      </c>
      <c r="S1087" t="s">
        <v>602</v>
      </c>
      <c r="T1087" t="s">
        <v>602</v>
      </c>
      <c r="U1087" s="47">
        <v>-1208</v>
      </c>
    </row>
    <row r="1088" spans="2:21" x14ac:dyDescent="0.2">
      <c r="B1088" s="46"/>
      <c r="F1088" s="47"/>
      <c r="J1088" s="46"/>
      <c r="K1088" s="48"/>
      <c r="O1088" t="s">
        <v>602</v>
      </c>
      <c r="P1088" t="s">
        <v>602</v>
      </c>
      <c r="Q1088" t="s">
        <v>602</v>
      </c>
      <c r="R1088" t="s">
        <v>603</v>
      </c>
      <c r="S1088" t="s">
        <v>602</v>
      </c>
      <c r="T1088" t="s">
        <v>602</v>
      </c>
      <c r="U1088" s="47">
        <v>-2110</v>
      </c>
    </row>
    <row r="1089" spans="2:21" x14ac:dyDescent="0.2">
      <c r="B1089" s="46"/>
      <c r="F1089" s="47"/>
      <c r="J1089" s="46"/>
      <c r="K1089" s="48"/>
      <c r="O1089" t="s">
        <v>602</v>
      </c>
      <c r="P1089" t="s">
        <v>602</v>
      </c>
      <c r="Q1089" t="s">
        <v>602</v>
      </c>
      <c r="R1089" t="s">
        <v>603</v>
      </c>
      <c r="S1089" t="s">
        <v>602</v>
      </c>
      <c r="T1089" t="s">
        <v>602</v>
      </c>
      <c r="U1089" s="47">
        <v>-124</v>
      </c>
    </row>
    <row r="1090" spans="2:21" x14ac:dyDescent="0.2">
      <c r="B1090" s="46"/>
      <c r="F1090" s="47"/>
      <c r="J1090" s="46"/>
      <c r="K1090" s="48"/>
      <c r="O1090" t="s">
        <v>602</v>
      </c>
      <c r="P1090" t="s">
        <v>602</v>
      </c>
      <c r="Q1090" t="s">
        <v>602</v>
      </c>
      <c r="R1090" t="s">
        <v>603</v>
      </c>
      <c r="S1090" t="s">
        <v>602</v>
      </c>
      <c r="T1090" t="s">
        <v>602</v>
      </c>
      <c r="U1090" s="47">
        <v>-2482</v>
      </c>
    </row>
    <row r="1091" spans="2:21" x14ac:dyDescent="0.2">
      <c r="B1091" s="46"/>
      <c r="F1091" s="47"/>
      <c r="J1091" s="46"/>
      <c r="K1091" s="48"/>
      <c r="O1091" t="s">
        <v>602</v>
      </c>
      <c r="P1091" t="s">
        <v>602</v>
      </c>
      <c r="Q1091" t="s">
        <v>602</v>
      </c>
      <c r="R1091" t="s">
        <v>603</v>
      </c>
      <c r="S1091" t="s">
        <v>602</v>
      </c>
      <c r="T1091" t="s">
        <v>602</v>
      </c>
      <c r="U1091" s="47">
        <v>-745</v>
      </c>
    </row>
    <row r="1092" spans="2:21" x14ac:dyDescent="0.2">
      <c r="B1092" s="46"/>
      <c r="F1092" s="47"/>
      <c r="J1092" s="46"/>
      <c r="K1092" s="48"/>
      <c r="O1092" t="s">
        <v>602</v>
      </c>
      <c r="P1092" t="s">
        <v>602</v>
      </c>
      <c r="Q1092" t="s">
        <v>602</v>
      </c>
      <c r="R1092" t="s">
        <v>603</v>
      </c>
      <c r="S1092" t="s">
        <v>602</v>
      </c>
      <c r="T1092" t="s">
        <v>602</v>
      </c>
      <c r="U1092" s="47">
        <v>-255</v>
      </c>
    </row>
    <row r="1093" spans="2:21" x14ac:dyDescent="0.2">
      <c r="B1093" s="46"/>
      <c r="F1093" s="47"/>
      <c r="J1093" s="46"/>
      <c r="K1093" s="48"/>
      <c r="O1093" t="s">
        <v>602</v>
      </c>
      <c r="P1093" t="s">
        <v>602</v>
      </c>
      <c r="Q1093" t="s">
        <v>602</v>
      </c>
      <c r="R1093" t="s">
        <v>603</v>
      </c>
      <c r="S1093" t="s">
        <v>602</v>
      </c>
      <c r="T1093" t="s">
        <v>602</v>
      </c>
      <c r="U1093" s="47">
        <v>-127</v>
      </c>
    </row>
    <row r="1094" spans="2:21" x14ac:dyDescent="0.2">
      <c r="B1094" s="46"/>
      <c r="F1094" s="47"/>
      <c r="J1094" s="46"/>
      <c r="K1094" s="48"/>
      <c r="O1094" t="s">
        <v>602</v>
      </c>
      <c r="P1094" t="s">
        <v>602</v>
      </c>
      <c r="Q1094" t="s">
        <v>602</v>
      </c>
      <c r="R1094" t="s">
        <v>603</v>
      </c>
      <c r="S1094" t="s">
        <v>602</v>
      </c>
      <c r="T1094" t="s">
        <v>602</v>
      </c>
      <c r="U1094" s="47">
        <v>-637</v>
      </c>
    </row>
    <row r="1095" spans="2:21" x14ac:dyDescent="0.2">
      <c r="B1095" s="46"/>
      <c r="F1095" s="47"/>
      <c r="J1095" s="46"/>
      <c r="K1095" s="48"/>
      <c r="O1095" t="s">
        <v>602</v>
      </c>
      <c r="P1095" t="s">
        <v>602</v>
      </c>
      <c r="Q1095" t="s">
        <v>602</v>
      </c>
      <c r="R1095" t="s">
        <v>603</v>
      </c>
      <c r="S1095" t="s">
        <v>602</v>
      </c>
      <c r="T1095" t="s">
        <v>602</v>
      </c>
      <c r="U1095" s="47">
        <v>-255</v>
      </c>
    </row>
    <row r="1096" spans="2:21" x14ac:dyDescent="0.2">
      <c r="B1096" s="46"/>
      <c r="F1096" s="47"/>
      <c r="J1096" s="46"/>
      <c r="K1096" s="48"/>
      <c r="O1096" t="s">
        <v>602</v>
      </c>
      <c r="P1096" t="s">
        <v>602</v>
      </c>
      <c r="Q1096" t="s">
        <v>602</v>
      </c>
      <c r="R1096" t="s">
        <v>603</v>
      </c>
      <c r="S1096" t="s">
        <v>602</v>
      </c>
      <c r="T1096" t="s">
        <v>602</v>
      </c>
      <c r="U1096" s="47">
        <v>-255</v>
      </c>
    </row>
    <row r="1097" spans="2:21" x14ac:dyDescent="0.2">
      <c r="B1097" s="46"/>
      <c r="F1097" s="47"/>
      <c r="J1097" s="46"/>
      <c r="K1097" s="48"/>
      <c r="O1097" t="s">
        <v>602</v>
      </c>
      <c r="P1097" t="s">
        <v>602</v>
      </c>
      <c r="Q1097" t="s">
        <v>602</v>
      </c>
      <c r="R1097" t="s">
        <v>603</v>
      </c>
      <c r="S1097" t="s">
        <v>602</v>
      </c>
      <c r="T1097" t="s">
        <v>602</v>
      </c>
      <c r="U1097" s="47">
        <v>-901</v>
      </c>
    </row>
    <row r="1098" spans="2:21" x14ac:dyDescent="0.2">
      <c r="B1098" s="46"/>
      <c r="F1098" s="47"/>
      <c r="J1098" s="46"/>
      <c r="K1098" s="48"/>
      <c r="O1098" t="s">
        <v>602</v>
      </c>
      <c r="P1098" t="s">
        <v>602</v>
      </c>
      <c r="Q1098" t="s">
        <v>602</v>
      </c>
      <c r="R1098" t="s">
        <v>603</v>
      </c>
      <c r="S1098" t="s">
        <v>602</v>
      </c>
      <c r="T1098" t="s">
        <v>602</v>
      </c>
      <c r="U1098" s="47">
        <v>-390</v>
      </c>
    </row>
    <row r="1099" spans="2:21" x14ac:dyDescent="0.2">
      <c r="B1099" s="46"/>
      <c r="F1099" s="47"/>
      <c r="J1099" s="46"/>
      <c r="K1099" s="48"/>
      <c r="O1099" t="s">
        <v>602</v>
      </c>
      <c r="P1099" t="s">
        <v>602</v>
      </c>
      <c r="Q1099" t="s">
        <v>602</v>
      </c>
      <c r="R1099" t="s">
        <v>603</v>
      </c>
      <c r="S1099" t="s">
        <v>602</v>
      </c>
      <c r="T1099" t="s">
        <v>602</v>
      </c>
      <c r="U1099" s="47">
        <v>-1301</v>
      </c>
    </row>
    <row r="1100" spans="2:21" x14ac:dyDescent="0.2">
      <c r="B1100" s="46"/>
      <c r="F1100" s="47"/>
      <c r="J1100" s="46"/>
      <c r="K1100" s="48"/>
      <c r="O1100" t="s">
        <v>602</v>
      </c>
      <c r="P1100" t="s">
        <v>602</v>
      </c>
      <c r="Q1100" t="s">
        <v>602</v>
      </c>
      <c r="R1100" t="s">
        <v>603</v>
      </c>
      <c r="S1100" t="s">
        <v>602</v>
      </c>
      <c r="T1100" t="s">
        <v>602</v>
      </c>
      <c r="U1100" s="47">
        <v>-911</v>
      </c>
    </row>
    <row r="1101" spans="2:21" x14ac:dyDescent="0.2">
      <c r="B1101" s="46"/>
      <c r="F1101" s="47"/>
      <c r="J1101" s="46"/>
      <c r="K1101" s="48"/>
      <c r="O1101" t="s">
        <v>602</v>
      </c>
      <c r="P1101" t="s">
        <v>602</v>
      </c>
      <c r="Q1101" t="s">
        <v>602</v>
      </c>
      <c r="R1101" t="s">
        <v>603</v>
      </c>
      <c r="S1101" t="s">
        <v>602</v>
      </c>
      <c r="T1101" t="s">
        <v>602</v>
      </c>
      <c r="U1101" s="47">
        <v>-390</v>
      </c>
    </row>
    <row r="1102" spans="2:21" x14ac:dyDescent="0.2">
      <c r="B1102" s="46"/>
      <c r="F1102" s="47"/>
      <c r="J1102" s="46"/>
      <c r="K1102" s="48"/>
      <c r="O1102" t="s">
        <v>602</v>
      </c>
      <c r="P1102" t="s">
        <v>602</v>
      </c>
      <c r="Q1102" t="s">
        <v>602</v>
      </c>
      <c r="R1102" t="s">
        <v>603</v>
      </c>
      <c r="S1102" t="s">
        <v>602</v>
      </c>
      <c r="T1102" t="s">
        <v>602</v>
      </c>
      <c r="U1102" s="47">
        <v>-130</v>
      </c>
    </row>
    <row r="1103" spans="2:21" x14ac:dyDescent="0.2">
      <c r="B1103" s="46"/>
      <c r="F1103" s="47"/>
      <c r="J1103" s="46"/>
      <c r="K1103" s="48"/>
      <c r="O1103" t="s">
        <v>602</v>
      </c>
      <c r="P1103" t="s">
        <v>602</v>
      </c>
      <c r="Q1103" t="s">
        <v>602</v>
      </c>
      <c r="R1103" t="s">
        <v>603</v>
      </c>
      <c r="S1103" t="s">
        <v>602</v>
      </c>
      <c r="T1103" t="s">
        <v>602</v>
      </c>
      <c r="U1103" s="47">
        <v>-2630</v>
      </c>
    </row>
    <row r="1104" spans="2:21" x14ac:dyDescent="0.2">
      <c r="B1104" s="46"/>
      <c r="F1104" s="47"/>
      <c r="J1104" s="46"/>
      <c r="K1104" s="48"/>
      <c r="O1104" t="s">
        <v>602</v>
      </c>
      <c r="P1104" t="s">
        <v>602</v>
      </c>
      <c r="Q1104" t="s">
        <v>602</v>
      </c>
      <c r="R1104" t="s">
        <v>603</v>
      </c>
      <c r="S1104" t="s">
        <v>602</v>
      </c>
      <c r="T1104" t="s">
        <v>602</v>
      </c>
      <c r="U1104" s="47">
        <v>-657</v>
      </c>
    </row>
    <row r="1105" spans="2:21" x14ac:dyDescent="0.2">
      <c r="B1105" s="46"/>
      <c r="F1105" s="47"/>
      <c r="J1105" s="46"/>
      <c r="K1105" s="48"/>
      <c r="O1105" t="s">
        <v>602</v>
      </c>
      <c r="P1105" t="s">
        <v>602</v>
      </c>
      <c r="Q1105" t="s">
        <v>602</v>
      </c>
      <c r="R1105" t="s">
        <v>603</v>
      </c>
      <c r="S1105" t="s">
        <v>602</v>
      </c>
      <c r="T1105" t="s">
        <v>602</v>
      </c>
      <c r="U1105" s="47">
        <v>-526</v>
      </c>
    </row>
    <row r="1106" spans="2:21" x14ac:dyDescent="0.2">
      <c r="B1106" s="46"/>
      <c r="F1106" s="47"/>
      <c r="J1106" s="46"/>
      <c r="K1106" s="48"/>
      <c r="O1106" t="s">
        <v>602</v>
      </c>
      <c r="P1106" t="s">
        <v>602</v>
      </c>
      <c r="Q1106" t="s">
        <v>602</v>
      </c>
      <c r="R1106" t="s">
        <v>603</v>
      </c>
      <c r="S1106" t="s">
        <v>602</v>
      </c>
      <c r="T1106" t="s">
        <v>602</v>
      </c>
      <c r="U1106" s="47">
        <v>-1214</v>
      </c>
    </row>
    <row r="1107" spans="2:21" x14ac:dyDescent="0.2">
      <c r="B1107" s="46"/>
      <c r="F1107" s="47"/>
      <c r="J1107" s="46"/>
      <c r="K1107" s="48"/>
      <c r="O1107" t="s">
        <v>602</v>
      </c>
      <c r="P1107" t="s">
        <v>602</v>
      </c>
      <c r="Q1107" t="s">
        <v>602</v>
      </c>
      <c r="R1107" t="s">
        <v>603</v>
      </c>
      <c r="S1107" t="s">
        <v>602</v>
      </c>
      <c r="T1107" t="s">
        <v>602</v>
      </c>
      <c r="U1107" s="47">
        <v>-1349</v>
      </c>
    </row>
    <row r="1108" spans="2:21" x14ac:dyDescent="0.2">
      <c r="B1108" s="46"/>
      <c r="F1108" s="47"/>
      <c r="J1108" s="46"/>
      <c r="K1108" s="48"/>
      <c r="O1108" t="s">
        <v>602</v>
      </c>
      <c r="P1108" t="s">
        <v>602</v>
      </c>
      <c r="Q1108" t="s">
        <v>602</v>
      </c>
      <c r="R1108" t="s">
        <v>603</v>
      </c>
      <c r="S1108" t="s">
        <v>602</v>
      </c>
      <c r="T1108" t="s">
        <v>602</v>
      </c>
      <c r="U1108" s="47">
        <v>-135</v>
      </c>
    </row>
    <row r="1109" spans="2:21" x14ac:dyDescent="0.2">
      <c r="B1109" s="46"/>
      <c r="F1109" s="47"/>
      <c r="J1109" s="46"/>
      <c r="K1109" s="48"/>
      <c r="O1109" t="s">
        <v>602</v>
      </c>
      <c r="P1109" t="s">
        <v>602</v>
      </c>
      <c r="Q1109" t="s">
        <v>602</v>
      </c>
      <c r="R1109" t="s">
        <v>603</v>
      </c>
      <c r="S1109" t="s">
        <v>602</v>
      </c>
      <c r="T1109" t="s">
        <v>602</v>
      </c>
      <c r="U1109" s="47">
        <v>-674</v>
      </c>
    </row>
    <row r="1110" spans="2:21" x14ac:dyDescent="0.2">
      <c r="B1110" s="46"/>
      <c r="F1110" s="47"/>
      <c r="J1110" s="46"/>
      <c r="K1110" s="48"/>
      <c r="O1110" t="s">
        <v>602</v>
      </c>
      <c r="P1110" t="s">
        <v>602</v>
      </c>
      <c r="Q1110" t="s">
        <v>602</v>
      </c>
      <c r="R1110" t="s">
        <v>603</v>
      </c>
      <c r="S1110" t="s">
        <v>602</v>
      </c>
      <c r="T1110" t="s">
        <v>602</v>
      </c>
      <c r="U1110" s="47">
        <v>-135</v>
      </c>
    </row>
    <row r="1111" spans="2:21" x14ac:dyDescent="0.2">
      <c r="B1111" s="46"/>
      <c r="F1111" s="47"/>
      <c r="J1111" s="46"/>
      <c r="K1111" s="48"/>
      <c r="O1111" t="s">
        <v>602</v>
      </c>
      <c r="P1111" t="s">
        <v>602</v>
      </c>
      <c r="Q1111" t="s">
        <v>602</v>
      </c>
      <c r="R1111" t="s">
        <v>603</v>
      </c>
      <c r="S1111" t="s">
        <v>602</v>
      </c>
      <c r="T1111" t="s">
        <v>602</v>
      </c>
      <c r="U1111" s="47">
        <v>-674</v>
      </c>
    </row>
    <row r="1112" spans="2:21" x14ac:dyDescent="0.2">
      <c r="B1112" s="46"/>
      <c r="F1112" s="47"/>
      <c r="J1112" s="46"/>
      <c r="K1112" s="48"/>
      <c r="O1112" t="s">
        <v>602</v>
      </c>
      <c r="P1112" t="s">
        <v>602</v>
      </c>
      <c r="Q1112" t="s">
        <v>602</v>
      </c>
      <c r="R1112" t="s">
        <v>603</v>
      </c>
      <c r="S1112" t="s">
        <v>602</v>
      </c>
      <c r="T1112" t="s">
        <v>602</v>
      </c>
      <c r="U1112" s="47">
        <v>-2158</v>
      </c>
    </row>
    <row r="1113" spans="2:21" x14ac:dyDescent="0.2">
      <c r="B1113" s="46"/>
      <c r="F1113" s="47"/>
      <c r="J1113" s="46"/>
      <c r="K1113" s="48"/>
      <c r="O1113" t="s">
        <v>602</v>
      </c>
      <c r="P1113" t="s">
        <v>602</v>
      </c>
      <c r="Q1113" t="s">
        <v>602</v>
      </c>
      <c r="R1113" t="s">
        <v>603</v>
      </c>
      <c r="S1113" t="s">
        <v>602</v>
      </c>
      <c r="T1113" t="s">
        <v>602</v>
      </c>
      <c r="U1113" s="47">
        <v>-809</v>
      </c>
    </row>
    <row r="1114" spans="2:21" x14ac:dyDescent="0.2">
      <c r="B1114" s="46"/>
      <c r="F1114" s="47"/>
      <c r="J1114" s="46"/>
      <c r="K1114" s="48"/>
      <c r="O1114" t="s">
        <v>602</v>
      </c>
      <c r="P1114" t="s">
        <v>602</v>
      </c>
      <c r="Q1114" t="s">
        <v>602</v>
      </c>
      <c r="R1114" t="s">
        <v>603</v>
      </c>
      <c r="S1114" t="s">
        <v>602</v>
      </c>
      <c r="T1114" t="s">
        <v>602</v>
      </c>
      <c r="U1114" s="47">
        <v>-1349</v>
      </c>
    </row>
    <row r="1115" spans="2:21" x14ac:dyDescent="0.2">
      <c r="B1115" s="46"/>
      <c r="F1115" s="47"/>
      <c r="J1115" s="46"/>
      <c r="K1115" s="48"/>
      <c r="O1115" t="s">
        <v>602</v>
      </c>
      <c r="P1115" t="s">
        <v>602</v>
      </c>
      <c r="Q1115" t="s">
        <v>602</v>
      </c>
      <c r="R1115" t="s">
        <v>603</v>
      </c>
      <c r="S1115" t="s">
        <v>602</v>
      </c>
      <c r="T1115" t="s">
        <v>602</v>
      </c>
      <c r="U1115" s="47">
        <v>-405</v>
      </c>
    </row>
    <row r="1116" spans="2:21" x14ac:dyDescent="0.2">
      <c r="B1116" s="46"/>
      <c r="F1116" s="47"/>
      <c r="J1116" s="46"/>
      <c r="K1116" s="48"/>
      <c r="O1116" t="s">
        <v>602</v>
      </c>
      <c r="P1116" t="s">
        <v>602</v>
      </c>
      <c r="Q1116" t="s">
        <v>602</v>
      </c>
      <c r="R1116" t="s">
        <v>603</v>
      </c>
      <c r="S1116" t="s">
        <v>602</v>
      </c>
      <c r="T1116" t="s">
        <v>602</v>
      </c>
      <c r="U1116" s="47">
        <v>-7</v>
      </c>
    </row>
    <row r="1117" spans="2:21" x14ac:dyDescent="0.2">
      <c r="B1117" s="46"/>
      <c r="F1117" s="47"/>
      <c r="J1117" s="46"/>
      <c r="K1117" s="48"/>
      <c r="O1117" t="s">
        <v>602</v>
      </c>
      <c r="P1117" t="s">
        <v>602</v>
      </c>
      <c r="Q1117" t="s">
        <v>602</v>
      </c>
      <c r="R1117" t="s">
        <v>603</v>
      </c>
      <c r="S1117" t="s">
        <v>602</v>
      </c>
      <c r="T1117" t="s">
        <v>602</v>
      </c>
      <c r="U1117" s="47">
        <v>-792</v>
      </c>
    </row>
    <row r="1118" spans="2:21" x14ac:dyDescent="0.2">
      <c r="B1118" s="46"/>
      <c r="F1118" s="47"/>
      <c r="J1118" s="46"/>
      <c r="K1118" s="48"/>
      <c r="O1118" t="s">
        <v>602</v>
      </c>
      <c r="P1118" t="s">
        <v>602</v>
      </c>
      <c r="Q1118" t="s">
        <v>602</v>
      </c>
      <c r="R1118" t="s">
        <v>603</v>
      </c>
      <c r="S1118" t="s">
        <v>602</v>
      </c>
      <c r="T1118" t="s">
        <v>602</v>
      </c>
      <c r="U1118" s="47">
        <v>-1440</v>
      </c>
    </row>
    <row r="1119" spans="2:21" x14ac:dyDescent="0.2">
      <c r="B1119" s="46"/>
      <c r="F1119" s="47"/>
      <c r="J1119" s="46"/>
      <c r="K1119" s="48"/>
      <c r="O1119" t="s">
        <v>602</v>
      </c>
      <c r="P1119" t="s">
        <v>602</v>
      </c>
      <c r="Q1119" t="s">
        <v>602</v>
      </c>
      <c r="R1119" t="s">
        <v>603</v>
      </c>
      <c r="S1119" t="s">
        <v>602</v>
      </c>
      <c r="T1119" t="s">
        <v>602</v>
      </c>
      <c r="U1119" s="47">
        <v>-720</v>
      </c>
    </row>
    <row r="1120" spans="2:21" x14ac:dyDescent="0.2">
      <c r="B1120" s="46"/>
      <c r="F1120" s="47"/>
      <c r="J1120" s="46"/>
      <c r="K1120" s="48"/>
      <c r="O1120" t="s">
        <v>602</v>
      </c>
      <c r="P1120" t="s">
        <v>602</v>
      </c>
      <c r="Q1120" t="s">
        <v>602</v>
      </c>
      <c r="R1120" t="s">
        <v>603</v>
      </c>
      <c r="S1120" t="s">
        <v>602</v>
      </c>
      <c r="T1120" t="s">
        <v>602</v>
      </c>
      <c r="U1120" s="47">
        <v>-64</v>
      </c>
    </row>
    <row r="1121" spans="2:21" x14ac:dyDescent="0.2">
      <c r="B1121" s="46"/>
      <c r="F1121" s="47"/>
      <c r="J1121" s="46"/>
      <c r="K1121" s="48"/>
      <c r="O1121" t="s">
        <v>602</v>
      </c>
      <c r="P1121" t="s">
        <v>602</v>
      </c>
      <c r="Q1121" t="s">
        <v>602</v>
      </c>
      <c r="R1121" t="s">
        <v>603</v>
      </c>
      <c r="S1121" t="s">
        <v>602</v>
      </c>
      <c r="T1121" t="s">
        <v>602</v>
      </c>
      <c r="U1121" s="47">
        <v>-9</v>
      </c>
    </row>
    <row r="1122" spans="2:21" x14ac:dyDescent="0.2">
      <c r="B1122" s="46"/>
      <c r="F1122" s="47"/>
      <c r="J1122" s="46"/>
      <c r="K1122" s="48"/>
      <c r="O1122" t="s">
        <v>602</v>
      </c>
      <c r="P1122" t="s">
        <v>602</v>
      </c>
      <c r="Q1122" t="s">
        <v>602</v>
      </c>
      <c r="R1122" t="s">
        <v>603</v>
      </c>
      <c r="S1122" t="s">
        <v>602</v>
      </c>
      <c r="T1122" t="s">
        <v>602</v>
      </c>
      <c r="U1122" s="47">
        <v>-9</v>
      </c>
    </row>
    <row r="1123" spans="2:21" x14ac:dyDescent="0.2">
      <c r="B1123" s="46"/>
      <c r="F1123" s="47"/>
      <c r="J1123" s="46"/>
      <c r="K1123" s="48"/>
      <c r="O1123" t="s">
        <v>602</v>
      </c>
      <c r="P1123" t="s">
        <v>602</v>
      </c>
      <c r="Q1123" t="s">
        <v>602</v>
      </c>
      <c r="R1123" t="s">
        <v>603</v>
      </c>
      <c r="S1123" t="s">
        <v>602</v>
      </c>
      <c r="T1123" t="s">
        <v>602</v>
      </c>
      <c r="U1123" s="47">
        <v>-9</v>
      </c>
    </row>
    <row r="1124" spans="2:21" x14ac:dyDescent="0.2">
      <c r="B1124" s="46"/>
      <c r="F1124" s="47"/>
      <c r="J1124" s="46"/>
      <c r="K1124" s="48"/>
      <c r="O1124" t="s">
        <v>602</v>
      </c>
      <c r="P1124" t="s">
        <v>602</v>
      </c>
      <c r="Q1124" t="s">
        <v>602</v>
      </c>
      <c r="R1124" t="s">
        <v>603</v>
      </c>
      <c r="S1124" t="s">
        <v>602</v>
      </c>
      <c r="T1124" t="s">
        <v>602</v>
      </c>
      <c r="U1124" s="47">
        <v>-9</v>
      </c>
    </row>
    <row r="1125" spans="2:21" x14ac:dyDescent="0.2">
      <c r="B1125" s="46"/>
      <c r="F1125" s="47"/>
      <c r="J1125" s="46"/>
      <c r="K1125" s="48"/>
      <c r="O1125" t="s">
        <v>602</v>
      </c>
      <c r="P1125" t="s">
        <v>602</v>
      </c>
      <c r="Q1125" t="s">
        <v>602</v>
      </c>
      <c r="R1125" t="s">
        <v>603</v>
      </c>
      <c r="S1125" t="s">
        <v>602</v>
      </c>
      <c r="T1125" t="s">
        <v>602</v>
      </c>
      <c r="U1125" s="47">
        <v>-7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563"/>
  <sheetViews>
    <sheetView showGridLines="0" tabSelected="1" zoomScaleNormal="100" workbookViewId="0">
      <selection activeCell="J11" sqref="J11"/>
    </sheetView>
  </sheetViews>
  <sheetFormatPr defaultRowHeight="12.75" x14ac:dyDescent="0.2"/>
  <cols>
    <col min="1" max="1" width="11.28515625" style="51" bestFit="1" customWidth="1"/>
    <col min="2" max="2" width="11.85546875" style="43" bestFit="1" customWidth="1"/>
    <col min="3" max="3" width="14.85546875" style="63" bestFit="1" customWidth="1"/>
    <col min="4" max="5" width="12.5703125" style="63" bestFit="1" customWidth="1"/>
    <col min="6" max="6" width="12.5703125" style="43" customWidth="1"/>
    <col min="7" max="7" width="18.28515625" style="17" bestFit="1" customWidth="1"/>
    <col min="8" max="8" width="11.7109375" style="17" bestFit="1" customWidth="1"/>
    <col min="9" max="10" width="11.85546875" bestFit="1" customWidth="1"/>
  </cols>
  <sheetData>
    <row r="1" spans="1:10" ht="14.25" x14ac:dyDescent="0.2">
      <c r="A1" s="52" t="s">
        <v>1526</v>
      </c>
      <c r="B1" s="53" t="s">
        <v>138</v>
      </c>
      <c r="C1" s="58" t="s">
        <v>1528</v>
      </c>
      <c r="D1" s="59" t="s">
        <v>238</v>
      </c>
      <c r="E1" s="59" t="s">
        <v>239</v>
      </c>
      <c r="F1" s="54" t="s">
        <v>1338</v>
      </c>
      <c r="G1" s="55" t="s">
        <v>595</v>
      </c>
      <c r="H1" s="55" t="s">
        <v>1525</v>
      </c>
      <c r="I1" s="56" t="s">
        <v>1527</v>
      </c>
      <c r="J1" s="57" t="s">
        <v>1529</v>
      </c>
    </row>
    <row r="2" spans="1:10" x14ac:dyDescent="0.2">
      <c r="A2" s="51" t="str">
        <f>IFERROR(VLOOKUP(B2,點上線資訊!A:R,18,0),"")</f>
        <v/>
      </c>
      <c r="B2" s="41">
        <f>'MB51'!A2</f>
        <v>6000029513</v>
      </c>
      <c r="C2" s="60" t="str">
        <f>IFERROR(VLOOKUP(B2,'MB51'!A:I,9,0),"")</f>
        <v>GI-1000010229</v>
      </c>
      <c r="D2" s="61">
        <f>IFERROR(VLOOKUP(B2,'MB51'!A:J,10,0),"")</f>
        <v>43895</v>
      </c>
      <c r="E2" s="62">
        <f>IFERROR(VLOOKUP(B2,'MB51'!A:K,11,0),"")</f>
        <v>0.55991898148148</v>
      </c>
      <c r="F2" s="42">
        <f>IFERROR(VLOOKUP(B2,'MB51'!A:F,6,0),"")</f>
        <v>-1</v>
      </c>
      <c r="G2" s="17" t="str">
        <f>TEXT(D2,"MM/DD")&amp;TEXT(E2,"  HH")&amp;"點揀料單"</f>
        <v>03/05  13點揀料單</v>
      </c>
      <c r="H2" s="17">
        <f>ABS(SUMIF(C:C,C2,F:F))</f>
        <v>1</v>
      </c>
      <c r="I2" t="str">
        <f>RIGHTB(C2,10)</f>
        <v>1000010229</v>
      </c>
      <c r="J2" t="str">
        <f>SUBSTITUTE(IF(COUNTIF(I$2:I2,I2)&gt;1,"",1)," ","")</f>
        <v>1</v>
      </c>
    </row>
    <row r="3" spans="1:10" x14ac:dyDescent="0.2">
      <c r="A3" s="51" t="str">
        <f>IFERROR(VLOOKUP(B3,點上線資訊!A:R,18,0),"")</f>
        <v/>
      </c>
      <c r="B3" s="41">
        <f>'MB51'!A3</f>
        <v>6000029325</v>
      </c>
      <c r="C3" s="60" t="str">
        <f>IFERROR(VLOOKUP(B3,'MB51'!A:I,9,0),"")</f>
        <v>GI-1000010203</v>
      </c>
      <c r="D3" s="61">
        <f>IFERROR(VLOOKUP(B3,'MB51'!A:J,10,0),"")</f>
        <v>43895</v>
      </c>
      <c r="E3" s="62">
        <f>IFERROR(VLOOKUP(B3,'MB51'!A:K,11,0),"")</f>
        <v>0.53037037037037005</v>
      </c>
      <c r="F3" s="42">
        <f>IFERROR(VLOOKUP(B3,'MB51'!A:F,6,0),"")</f>
        <v>-25</v>
      </c>
      <c r="G3" s="17" t="str">
        <f t="shared" ref="G3:G66" si="0">TEXT(D3,"MM/DD")&amp;TEXT(E3,"  HH")&amp;"點揀料單"</f>
        <v>03/05  12點揀料單</v>
      </c>
      <c r="H3" s="17">
        <f t="shared" ref="H3:H66" si="1">ABS(SUMIF(C:C,C3,F:F))</f>
        <v>25</v>
      </c>
      <c r="I3" t="str">
        <f t="shared" ref="I3:I66" si="2">RIGHTB(C3,10)</f>
        <v>1000010203</v>
      </c>
      <c r="J3" t="str">
        <f>SUBSTITUTE(IF(COUNTIF(I$2:I3,I3)&gt;1,"",1)," ","")</f>
        <v>1</v>
      </c>
    </row>
    <row r="4" spans="1:10" x14ac:dyDescent="0.2">
      <c r="A4" s="51" t="str">
        <f>IFERROR(VLOOKUP(B4,點上線資訊!A:R,18,0),"")</f>
        <v/>
      </c>
      <c r="B4" s="41">
        <f>'MB51'!A4</f>
        <v>6000029354</v>
      </c>
      <c r="C4" s="60" t="str">
        <f>IFERROR(VLOOKUP(B4,'MB51'!A:I,9,0),"")</f>
        <v>GI-1000010204</v>
      </c>
      <c r="D4" s="61">
        <f>IFERROR(VLOOKUP(B4,'MB51'!A:J,10,0),"")</f>
        <v>43895</v>
      </c>
      <c r="E4" s="62">
        <f>IFERROR(VLOOKUP(B4,'MB51'!A:K,11,0),"")</f>
        <v>0.53056712962963004</v>
      </c>
      <c r="F4" s="42">
        <f>IFERROR(VLOOKUP(B4,'MB51'!A:F,6,0),"")</f>
        <v>-6</v>
      </c>
      <c r="G4" s="17" t="str">
        <f t="shared" si="0"/>
        <v>03/05  12點揀料單</v>
      </c>
      <c r="H4" s="17">
        <f t="shared" si="1"/>
        <v>6</v>
      </c>
      <c r="I4" t="str">
        <f t="shared" si="2"/>
        <v>1000010204</v>
      </c>
      <c r="J4" t="str">
        <f>SUBSTITUTE(IF(COUNTIF(I$2:I4,I4)&gt;1,"",1)," ","")</f>
        <v>1</v>
      </c>
    </row>
    <row r="5" spans="1:10" x14ac:dyDescent="0.2">
      <c r="A5" s="51" t="str">
        <f>IFERROR(VLOOKUP(B5,點上線資訊!A:R,18,0),"")</f>
        <v/>
      </c>
      <c r="B5" s="41">
        <f>'MB51'!A5</f>
        <v>3000002108</v>
      </c>
      <c r="C5" s="60" t="str">
        <f>IFERROR(VLOOKUP(B5,'MB51'!A:I,9,0),"")</f>
        <v>GI-1000010210</v>
      </c>
      <c r="D5" s="61">
        <f>IFERROR(VLOOKUP(B5,'MB51'!A:J,10,0),"")</f>
        <v>43895</v>
      </c>
      <c r="E5" s="62">
        <f>IFERROR(VLOOKUP(B5,'MB51'!A:K,11,0),"")</f>
        <v>0.53321759259259005</v>
      </c>
      <c r="F5" s="42">
        <f>IFERROR(VLOOKUP(B5,'MB51'!A:F,6,0),"")</f>
        <v>-1</v>
      </c>
      <c r="G5" s="17" t="str">
        <f t="shared" si="0"/>
        <v>03/05  12點揀料單</v>
      </c>
      <c r="H5" s="17">
        <f>ABS(SUMIF(C:C,C5,F:F))</f>
        <v>1</v>
      </c>
      <c r="I5" t="str">
        <f t="shared" si="2"/>
        <v>1000010210</v>
      </c>
      <c r="J5" t="str">
        <f>SUBSTITUTE(IF(COUNTIF(I$2:I5,I5)&gt;1,"",1)," ","")</f>
        <v>1</v>
      </c>
    </row>
    <row r="6" spans="1:10" x14ac:dyDescent="0.2">
      <c r="A6" s="51" t="str">
        <f>IFERROR(VLOOKUP(B6,點上線資訊!A:R,18,0),"")</f>
        <v/>
      </c>
      <c r="B6" s="41">
        <f>'MB51'!A6</f>
        <v>6000029163</v>
      </c>
      <c r="C6" s="60" t="str">
        <f>IFERROR(VLOOKUP(B6,'MB51'!A:I,9,0),"")</f>
        <v>GI-1000010140</v>
      </c>
      <c r="D6" s="61">
        <f>IFERROR(VLOOKUP(B6,'MB51'!A:J,10,0),"")</f>
        <v>43895</v>
      </c>
      <c r="E6" s="62">
        <f>IFERROR(VLOOKUP(B6,'MB51'!A:K,11,0),"")</f>
        <v>0.37504629629629999</v>
      </c>
      <c r="F6" s="42">
        <f>IFERROR(VLOOKUP(B6,'MB51'!A:F,6,0),"")</f>
        <v>-20</v>
      </c>
      <c r="G6" s="17" t="str">
        <f t="shared" si="0"/>
        <v>03/05  09點揀料單</v>
      </c>
      <c r="H6" s="17">
        <f t="shared" si="1"/>
        <v>140</v>
      </c>
      <c r="I6" t="str">
        <f t="shared" si="2"/>
        <v>1000010140</v>
      </c>
      <c r="J6" t="str">
        <f>SUBSTITUTE(IF(COUNTIF(I$2:I6,I6)&gt;1,"",1)," ","")</f>
        <v>1</v>
      </c>
    </row>
    <row r="7" spans="1:10" x14ac:dyDescent="0.2">
      <c r="A7" s="51" t="str">
        <f>IFERROR(VLOOKUP(B7,點上線資訊!A:R,18,0),"")</f>
        <v/>
      </c>
      <c r="B7" s="41">
        <f>'MB51'!A7</f>
        <v>6000029129</v>
      </c>
      <c r="C7" s="60" t="str">
        <f>IFERROR(VLOOKUP(B7,'MB51'!A:I,9,0),"")</f>
        <v>GI-1000010140</v>
      </c>
      <c r="D7" s="61">
        <f>IFERROR(VLOOKUP(B7,'MB51'!A:J,10,0),"")</f>
        <v>43895</v>
      </c>
      <c r="E7" s="62">
        <f>IFERROR(VLOOKUP(B7,'MB51'!A:K,11,0),"")</f>
        <v>0.37503472222222001</v>
      </c>
      <c r="F7" s="42">
        <f>IFERROR(VLOOKUP(B7,'MB51'!A:F,6,0),"")</f>
        <v>-84</v>
      </c>
      <c r="G7" s="17" t="str">
        <f t="shared" si="0"/>
        <v>03/05  09點揀料單</v>
      </c>
      <c r="H7" s="17">
        <f t="shared" si="1"/>
        <v>140</v>
      </c>
      <c r="I7" t="str">
        <f t="shared" si="2"/>
        <v>1000010140</v>
      </c>
      <c r="J7" t="str">
        <f>SUBSTITUTE(IF(COUNTIF(I$2:I7,I7)&gt;1,"",1)," ","")</f>
        <v/>
      </c>
    </row>
    <row r="8" spans="1:10" x14ac:dyDescent="0.2">
      <c r="A8" s="51" t="str">
        <f>IFERROR(VLOOKUP(B8,點上線資訊!A:R,18,0),"")</f>
        <v/>
      </c>
      <c r="B8" s="41">
        <f>'MB51'!A8</f>
        <v>6000029130</v>
      </c>
      <c r="C8" s="60" t="str">
        <f>IFERROR(VLOOKUP(B8,'MB51'!A:I,9,0),"")</f>
        <v>GI-1000010140</v>
      </c>
      <c r="D8" s="61">
        <f>IFERROR(VLOOKUP(B8,'MB51'!A:J,10,0),"")</f>
        <v>43895</v>
      </c>
      <c r="E8" s="62">
        <f>IFERROR(VLOOKUP(B8,'MB51'!A:K,11,0),"")</f>
        <v>0.37503472222222001</v>
      </c>
      <c r="F8" s="42">
        <f>IFERROR(VLOOKUP(B8,'MB51'!A:F,6,0),"")</f>
        <v>-16</v>
      </c>
      <c r="G8" s="17" t="str">
        <f t="shared" si="0"/>
        <v>03/05  09點揀料單</v>
      </c>
      <c r="H8" s="17">
        <f t="shared" si="1"/>
        <v>140</v>
      </c>
      <c r="I8" t="str">
        <f t="shared" si="2"/>
        <v>1000010140</v>
      </c>
      <c r="J8" t="str">
        <f>SUBSTITUTE(IF(COUNTIF(I$2:I8,I8)&gt;1,"",1)," ","")</f>
        <v/>
      </c>
    </row>
    <row r="9" spans="1:10" x14ac:dyDescent="0.2">
      <c r="A9" s="51" t="str">
        <f>IFERROR(VLOOKUP(B9,點上線資訊!A:R,18,0),"")</f>
        <v/>
      </c>
      <c r="B9" s="41">
        <f>'MB51'!A9</f>
        <v>6000029131</v>
      </c>
      <c r="C9" s="60" t="str">
        <f>IFERROR(VLOOKUP(B9,'MB51'!A:I,9,0),"")</f>
        <v>GI-1000010140</v>
      </c>
      <c r="D9" s="61">
        <f>IFERROR(VLOOKUP(B9,'MB51'!A:J,10,0),"")</f>
        <v>43895</v>
      </c>
      <c r="E9" s="62">
        <f>IFERROR(VLOOKUP(B9,'MB51'!A:K,11,0),"")</f>
        <v>0.37504629629629999</v>
      </c>
      <c r="F9" s="42">
        <f>IFERROR(VLOOKUP(B9,'MB51'!A:F,6,0),"")</f>
        <v>-20</v>
      </c>
      <c r="G9" s="17" t="str">
        <f t="shared" si="0"/>
        <v>03/05  09點揀料單</v>
      </c>
      <c r="H9" s="17">
        <f t="shared" si="1"/>
        <v>140</v>
      </c>
      <c r="I9" t="str">
        <f t="shared" si="2"/>
        <v>1000010140</v>
      </c>
      <c r="J9" t="str">
        <f>SUBSTITUTE(IF(COUNTIF(I$2:I9,I9)&gt;1,"",1)," ","")</f>
        <v/>
      </c>
    </row>
    <row r="10" spans="1:10" x14ac:dyDescent="0.2">
      <c r="A10" s="51" t="str">
        <f>IFERROR(VLOOKUP(B10,點上線資訊!A:R,18,0),"")</f>
        <v/>
      </c>
      <c r="B10" s="41">
        <f>'MB51'!A10</f>
        <v>6000029323</v>
      </c>
      <c r="C10" s="60" t="str">
        <f>IFERROR(VLOOKUP(B10,'MB51'!A:I,9,0),"")</f>
        <v>GI-1000010202</v>
      </c>
      <c r="D10" s="61">
        <f>IFERROR(VLOOKUP(B10,'MB51'!A:J,10,0),"")</f>
        <v>43895</v>
      </c>
      <c r="E10" s="62">
        <f>IFERROR(VLOOKUP(B10,'MB51'!A:K,11,0),"")</f>
        <v>0.53016203703704001</v>
      </c>
      <c r="F10" s="42">
        <f>IFERROR(VLOOKUP(B10,'MB51'!A:F,6,0),"")</f>
        <v>-10</v>
      </c>
      <c r="G10" s="17" t="str">
        <f t="shared" si="0"/>
        <v>03/05  12點揀料單</v>
      </c>
      <c r="H10" s="17">
        <f t="shared" si="1"/>
        <v>10</v>
      </c>
      <c r="I10" t="str">
        <f t="shared" si="2"/>
        <v>1000010202</v>
      </c>
      <c r="J10" t="str">
        <f>SUBSTITUTE(IF(COUNTIF(I$2:I10,I10)&gt;1,"",1)," ","")</f>
        <v>1</v>
      </c>
    </row>
    <row r="11" spans="1:10" x14ac:dyDescent="0.2">
      <c r="A11" s="51" t="str">
        <f>IFERROR(VLOOKUP(B11,點上線資訊!A:R,18,0),"")</f>
        <v/>
      </c>
      <c r="B11" s="41">
        <f>'MB51'!A11</f>
        <v>6000029304</v>
      </c>
      <c r="C11" s="60" t="str">
        <f>IFERROR(VLOOKUP(B11,'MB51'!A:I,9,0),"")</f>
        <v>GI-1000010141</v>
      </c>
      <c r="D11" s="61">
        <f>IFERROR(VLOOKUP(B11,'MB51'!A:J,10,0),"")</f>
        <v>43895</v>
      </c>
      <c r="E11" s="62">
        <f>IFERROR(VLOOKUP(B11,'MB51'!A:K,11,0),"")</f>
        <v>0.37532407407406998</v>
      </c>
      <c r="F11" s="42">
        <f>IFERROR(VLOOKUP(B11,'MB51'!A:F,6,0),"")</f>
        <v>-25</v>
      </c>
      <c r="G11" s="17" t="str">
        <f t="shared" si="0"/>
        <v>03/05  09點揀料單</v>
      </c>
      <c r="H11" s="17">
        <f t="shared" si="1"/>
        <v>25</v>
      </c>
      <c r="I11" t="str">
        <f t="shared" si="2"/>
        <v>1000010141</v>
      </c>
      <c r="J11" t="str">
        <f>SUBSTITUTE(IF(COUNTIF(I$2:I11,I11)&gt;1,"",1)," ","")</f>
        <v>1</v>
      </c>
    </row>
    <row r="12" spans="1:10" x14ac:dyDescent="0.2">
      <c r="A12" s="51" t="str">
        <f>IFERROR(VLOOKUP(B12,點上線資訊!A:R,18,0),"")</f>
        <v/>
      </c>
      <c r="B12" s="41">
        <f>'MB51'!A12</f>
        <v>5000503419</v>
      </c>
      <c r="C12" s="60" t="str">
        <f>IFERROR(VLOOKUP(B12,'MB51'!A:I,9,0),"")</f>
        <v>GI-1000010265</v>
      </c>
      <c r="D12" s="61">
        <f>IFERROR(VLOOKUP(B12,'MB51'!A:J,10,0),"")</f>
        <v>43895</v>
      </c>
      <c r="E12" s="62">
        <f>IFERROR(VLOOKUP(B12,'MB51'!A:K,11,0),"")</f>
        <v>0.65412037037036996</v>
      </c>
      <c r="F12" s="42">
        <f>IFERROR(VLOOKUP(B12,'MB51'!A:F,6,0),"")</f>
        <v>-10</v>
      </c>
      <c r="G12" s="17" t="str">
        <f t="shared" si="0"/>
        <v>03/05  15點揀料單</v>
      </c>
      <c r="H12" s="17">
        <f t="shared" si="1"/>
        <v>30</v>
      </c>
      <c r="I12" t="str">
        <f t="shared" si="2"/>
        <v>1000010265</v>
      </c>
      <c r="J12" t="str">
        <f>SUBSTITUTE(IF(COUNTIF(I$2:I12,I12)&gt;1,"",1)," ","")</f>
        <v>1</v>
      </c>
    </row>
    <row r="13" spans="1:10" x14ac:dyDescent="0.2">
      <c r="A13" s="51" t="str">
        <f>IFERROR(VLOOKUP(B13,點上線資訊!A:R,18,0),"")</f>
        <v/>
      </c>
      <c r="B13" s="41">
        <f>'MB51'!A13</f>
        <v>5000503420</v>
      </c>
      <c r="C13" s="60" t="str">
        <f>IFERROR(VLOOKUP(B13,'MB51'!A:I,9,0),"")</f>
        <v>GI-1000010265</v>
      </c>
      <c r="D13" s="61">
        <f>IFERROR(VLOOKUP(B13,'MB51'!A:J,10,0),"")</f>
        <v>43895</v>
      </c>
      <c r="E13" s="62">
        <f>IFERROR(VLOOKUP(B13,'MB51'!A:K,11,0),"")</f>
        <v>0.65413194444444001</v>
      </c>
      <c r="F13" s="42">
        <f>IFERROR(VLOOKUP(B13,'MB51'!A:F,6,0),"")</f>
        <v>-10</v>
      </c>
      <c r="G13" s="17" t="str">
        <f t="shared" si="0"/>
        <v>03/05  15點揀料單</v>
      </c>
      <c r="H13" s="17">
        <f t="shared" si="1"/>
        <v>30</v>
      </c>
      <c r="I13" t="str">
        <f t="shared" si="2"/>
        <v>1000010265</v>
      </c>
      <c r="J13" t="str">
        <f>SUBSTITUTE(IF(COUNTIF(I$2:I13,I13)&gt;1,"",1)," ","")</f>
        <v/>
      </c>
    </row>
    <row r="14" spans="1:10" x14ac:dyDescent="0.2">
      <c r="A14" s="51" t="str">
        <f>IFERROR(VLOOKUP(B14,點上線資訊!A:R,18,0),"")</f>
        <v/>
      </c>
      <c r="B14" s="41">
        <f>'MB51'!A14</f>
        <v>5000503421</v>
      </c>
      <c r="C14" s="60" t="str">
        <f>IFERROR(VLOOKUP(B14,'MB51'!A:I,9,0),"")</f>
        <v>GI-1000010265</v>
      </c>
      <c r="D14" s="61">
        <f>IFERROR(VLOOKUP(B14,'MB51'!A:J,10,0),"")</f>
        <v>43895</v>
      </c>
      <c r="E14" s="62">
        <f>IFERROR(VLOOKUP(B14,'MB51'!A:K,11,0),"")</f>
        <v>0.65414351851852004</v>
      </c>
      <c r="F14" s="42">
        <f>IFERROR(VLOOKUP(B14,'MB51'!A:F,6,0),"")</f>
        <v>-10</v>
      </c>
      <c r="G14" s="17" t="str">
        <f t="shared" si="0"/>
        <v>03/05  15點揀料單</v>
      </c>
      <c r="H14" s="17">
        <f t="shared" si="1"/>
        <v>30</v>
      </c>
      <c r="I14" t="str">
        <f t="shared" si="2"/>
        <v>1000010265</v>
      </c>
      <c r="J14" t="str">
        <f>SUBSTITUTE(IF(COUNTIF(I$2:I14,I14)&gt;1,"",1)," ","")</f>
        <v/>
      </c>
    </row>
    <row r="15" spans="1:10" x14ac:dyDescent="0.2">
      <c r="A15" s="51" t="str">
        <f>IFERROR(VLOOKUP(B15,點上線資訊!A:R,18,0),"")</f>
        <v/>
      </c>
      <c r="B15" s="41">
        <f>'MB51'!A15</f>
        <v>6000029583</v>
      </c>
      <c r="C15" s="60" t="str">
        <f>IFERROR(VLOOKUP(B15,'MB51'!A:I,9,0),"")</f>
        <v>GI-1000010215</v>
      </c>
      <c r="D15" s="61">
        <f>IFERROR(VLOOKUP(B15,'MB51'!A:J,10,0),"")</f>
        <v>43895</v>
      </c>
      <c r="E15" s="62">
        <f>IFERROR(VLOOKUP(B15,'MB51'!A:K,11,0),"")</f>
        <v>0.53704861111111002</v>
      </c>
      <c r="F15" s="42">
        <f>IFERROR(VLOOKUP(B15,'MB51'!A:F,6,0),"")</f>
        <v>-4</v>
      </c>
      <c r="G15" s="17" t="str">
        <f t="shared" si="0"/>
        <v>03/05  12點揀料單</v>
      </c>
      <c r="H15" s="17">
        <f t="shared" si="1"/>
        <v>43</v>
      </c>
      <c r="I15" t="str">
        <f t="shared" si="2"/>
        <v>1000010215</v>
      </c>
      <c r="J15" t="str">
        <f>SUBSTITUTE(IF(COUNTIF(I$2:I15,I15)&gt;1,"",1)," ","")</f>
        <v>1</v>
      </c>
    </row>
    <row r="16" spans="1:10" x14ac:dyDescent="0.2">
      <c r="A16" s="51" t="str">
        <f>IFERROR(VLOOKUP(B16,點上線資訊!A:R,18,0),"")</f>
        <v/>
      </c>
      <c r="B16" s="41">
        <f>'MB51'!A16</f>
        <v>6000029582</v>
      </c>
      <c r="C16" s="60" t="str">
        <f>IFERROR(VLOOKUP(B16,'MB51'!A:I,9,0),"")</f>
        <v>GI-1000010215</v>
      </c>
      <c r="D16" s="61">
        <f>IFERROR(VLOOKUP(B16,'MB51'!A:J,10,0),"")</f>
        <v>43895</v>
      </c>
      <c r="E16" s="62">
        <f>IFERROR(VLOOKUP(B16,'MB51'!A:K,11,0),"")</f>
        <v>0.53704861111111002</v>
      </c>
      <c r="F16" s="42">
        <f>IFERROR(VLOOKUP(B16,'MB51'!A:F,6,0),"")</f>
        <v>-5</v>
      </c>
      <c r="G16" s="17" t="str">
        <f t="shared" si="0"/>
        <v>03/05  12點揀料單</v>
      </c>
      <c r="H16" s="17">
        <f t="shared" si="1"/>
        <v>43</v>
      </c>
      <c r="I16" t="str">
        <f t="shared" si="2"/>
        <v>1000010215</v>
      </c>
      <c r="J16" t="str">
        <f>SUBSTITUTE(IF(COUNTIF(I$2:I16,I16)&gt;1,"",1)," ","")</f>
        <v/>
      </c>
    </row>
    <row r="17" spans="1:10" x14ac:dyDescent="0.2">
      <c r="A17" s="51" t="str">
        <f>IFERROR(VLOOKUP(B17,點上線資訊!A:R,18,0),"")</f>
        <v/>
      </c>
      <c r="B17" s="41">
        <f>'MB51'!A17</f>
        <v>6000029581</v>
      </c>
      <c r="C17" s="60" t="str">
        <f>IFERROR(VLOOKUP(B17,'MB51'!A:I,9,0),"")</f>
        <v>GI-1000010215</v>
      </c>
      <c r="D17" s="61">
        <f>IFERROR(VLOOKUP(B17,'MB51'!A:J,10,0),"")</f>
        <v>43895</v>
      </c>
      <c r="E17" s="62">
        <f>IFERROR(VLOOKUP(B17,'MB51'!A:K,11,0),"")</f>
        <v>0.53703703703703998</v>
      </c>
      <c r="F17" s="42">
        <f>IFERROR(VLOOKUP(B17,'MB51'!A:F,6,0),"")</f>
        <v>-5</v>
      </c>
      <c r="G17" s="17" t="str">
        <f t="shared" si="0"/>
        <v>03/05  12點揀料單</v>
      </c>
      <c r="H17" s="17">
        <f t="shared" si="1"/>
        <v>43</v>
      </c>
      <c r="I17" t="str">
        <f t="shared" si="2"/>
        <v>1000010215</v>
      </c>
      <c r="J17" t="str">
        <f>SUBSTITUTE(IF(COUNTIF(I$2:I17,I17)&gt;1,"",1)," ","")</f>
        <v/>
      </c>
    </row>
    <row r="18" spans="1:10" x14ac:dyDescent="0.2">
      <c r="A18" s="51" t="str">
        <f>IFERROR(VLOOKUP(B18,點上線資訊!A:R,18,0),"")</f>
        <v/>
      </c>
      <c r="B18" s="41">
        <f>'MB51'!A18</f>
        <v>6000029580</v>
      </c>
      <c r="C18" s="60" t="str">
        <f>IFERROR(VLOOKUP(B18,'MB51'!A:I,9,0),"")</f>
        <v>GI-1000010215</v>
      </c>
      <c r="D18" s="61">
        <f>IFERROR(VLOOKUP(B18,'MB51'!A:J,10,0),"")</f>
        <v>43895</v>
      </c>
      <c r="E18" s="62">
        <f>IFERROR(VLOOKUP(B18,'MB51'!A:K,11,0),"")</f>
        <v>0.53703703703703998</v>
      </c>
      <c r="F18" s="42">
        <f>IFERROR(VLOOKUP(B18,'MB51'!A:F,6,0),"")</f>
        <v>-5</v>
      </c>
      <c r="G18" s="17" t="str">
        <f t="shared" si="0"/>
        <v>03/05  12點揀料單</v>
      </c>
      <c r="H18" s="17">
        <f t="shared" si="1"/>
        <v>43</v>
      </c>
      <c r="I18" t="str">
        <f t="shared" si="2"/>
        <v>1000010215</v>
      </c>
      <c r="J18" t="str">
        <f>SUBSTITUTE(IF(COUNTIF(I$2:I18,I18)&gt;1,"",1)," ","")</f>
        <v/>
      </c>
    </row>
    <row r="19" spans="1:10" x14ac:dyDescent="0.2">
      <c r="A19" s="51" t="str">
        <f>IFERROR(VLOOKUP(B19,點上線資訊!A:R,18,0),"")</f>
        <v/>
      </c>
      <c r="B19" s="41">
        <f>'MB51'!A19</f>
        <v>6000029577</v>
      </c>
      <c r="C19" s="60" t="str">
        <f>IFERROR(VLOOKUP(B19,'MB51'!A:I,9,0),"")</f>
        <v>GI-1000010215</v>
      </c>
      <c r="D19" s="61">
        <f>IFERROR(VLOOKUP(B19,'MB51'!A:J,10,0),"")</f>
        <v>43895</v>
      </c>
      <c r="E19" s="62">
        <f>IFERROR(VLOOKUP(B19,'MB51'!A:K,11,0),"")</f>
        <v>0.53702546296296005</v>
      </c>
      <c r="F19" s="42">
        <f>IFERROR(VLOOKUP(B19,'MB51'!A:F,6,0),"")</f>
        <v>-5</v>
      </c>
      <c r="G19" s="17" t="str">
        <f t="shared" si="0"/>
        <v>03/05  12點揀料單</v>
      </c>
      <c r="H19" s="17">
        <f t="shared" si="1"/>
        <v>43</v>
      </c>
      <c r="I19" t="str">
        <f t="shared" si="2"/>
        <v>1000010215</v>
      </c>
      <c r="J19" t="str">
        <f>SUBSTITUTE(IF(COUNTIF(I$2:I19,I19)&gt;1,"",1)," ","")</f>
        <v/>
      </c>
    </row>
    <row r="20" spans="1:10" x14ac:dyDescent="0.2">
      <c r="A20" s="51" t="str">
        <f>IFERROR(VLOOKUP(B20,點上線資訊!A:R,18,0),"")</f>
        <v/>
      </c>
      <c r="B20" s="41">
        <f>'MB51'!A20</f>
        <v>3000002112</v>
      </c>
      <c r="C20" s="60" t="str">
        <f>IFERROR(VLOOKUP(B20,'MB51'!A:I,9,0),"")</f>
        <v>GI-1000010215</v>
      </c>
      <c r="D20" s="61">
        <f>IFERROR(VLOOKUP(B20,'MB51'!A:J,10,0),"")</f>
        <v>43895</v>
      </c>
      <c r="E20" s="62">
        <f>IFERROR(VLOOKUP(B20,'MB51'!A:K,11,0),"")</f>
        <v>0.53701388888889001</v>
      </c>
      <c r="F20" s="42">
        <f>IFERROR(VLOOKUP(B20,'MB51'!A:F,6,0),"")</f>
        <v>-1</v>
      </c>
      <c r="G20" s="17" t="str">
        <f t="shared" si="0"/>
        <v>03/05  12點揀料單</v>
      </c>
      <c r="H20" s="17">
        <f t="shared" si="1"/>
        <v>43</v>
      </c>
      <c r="I20" t="str">
        <f t="shared" si="2"/>
        <v>1000010215</v>
      </c>
      <c r="J20" t="str">
        <f>SUBSTITUTE(IF(COUNTIF(I$2:I20,I20)&gt;1,"",1)," ","")</f>
        <v/>
      </c>
    </row>
    <row r="21" spans="1:10" x14ac:dyDescent="0.2">
      <c r="A21" s="51" t="str">
        <f>IFERROR(VLOOKUP(B21,點上線資訊!A:R,18,0),"")</f>
        <v/>
      </c>
      <c r="B21" s="41">
        <f>'MB51'!A21</f>
        <v>6000029514</v>
      </c>
      <c r="C21" s="60" t="str">
        <f>IFERROR(VLOOKUP(B21,'MB51'!A:I,9,0),"")</f>
        <v>GI-1000010230</v>
      </c>
      <c r="D21" s="61">
        <f>IFERROR(VLOOKUP(B21,'MB51'!A:J,10,0),"")</f>
        <v>43895</v>
      </c>
      <c r="E21" s="62">
        <f>IFERROR(VLOOKUP(B21,'MB51'!A:K,11,0),"")</f>
        <v>0.56037037037036996</v>
      </c>
      <c r="F21" s="42">
        <f>IFERROR(VLOOKUP(B21,'MB51'!A:F,6,0),"")</f>
        <v>-6</v>
      </c>
      <c r="G21" s="17" t="str">
        <f>TEXT(D21,"MM/DD")&amp;TEXT(E21,"  HH")&amp;"點揀料單"</f>
        <v>03/05  13點揀料單</v>
      </c>
      <c r="H21" s="17">
        <f t="shared" si="1"/>
        <v>6</v>
      </c>
      <c r="I21" t="str">
        <f t="shared" si="2"/>
        <v>1000010230</v>
      </c>
      <c r="J21" t="str">
        <f>SUBSTITUTE(IF(COUNTIF(I$2:I21,I21)&gt;1,"",1)," ","")</f>
        <v>1</v>
      </c>
    </row>
    <row r="22" spans="1:10" x14ac:dyDescent="0.2">
      <c r="A22" s="51" t="str">
        <f>IFERROR(VLOOKUP(B22,點上線資訊!A:R,18,0),"")</f>
        <v/>
      </c>
      <c r="B22" s="41">
        <f>'MB51'!A22</f>
        <v>5000498888</v>
      </c>
      <c r="C22" s="60" t="str">
        <f>IFERROR(VLOOKUP(B22,'MB51'!A:I,9,0),"")</f>
        <v>GI-1000010215</v>
      </c>
      <c r="D22" s="61">
        <f>IFERROR(VLOOKUP(B22,'MB51'!A:J,10,0),"")</f>
        <v>43895</v>
      </c>
      <c r="E22" s="62">
        <f>IFERROR(VLOOKUP(B22,'MB51'!A:K,11,0),"")</f>
        <v>0.53701388888889001</v>
      </c>
      <c r="F22" s="42">
        <f>IFERROR(VLOOKUP(B22,'MB51'!A:F,6,0),"")</f>
        <v>-10</v>
      </c>
      <c r="G22" s="17" t="str">
        <f t="shared" si="0"/>
        <v>03/05  12點揀料單</v>
      </c>
      <c r="H22" s="17">
        <f t="shared" si="1"/>
        <v>43</v>
      </c>
      <c r="I22" t="str">
        <f t="shared" si="2"/>
        <v>1000010215</v>
      </c>
      <c r="J22" t="str">
        <f>SUBSTITUTE(IF(COUNTIF(I$2:I22,I22)&gt;1,"",1)," ","")</f>
        <v/>
      </c>
    </row>
    <row r="23" spans="1:10" x14ac:dyDescent="0.2">
      <c r="A23" s="51" t="str">
        <f>IFERROR(VLOOKUP(B23,點上線資訊!A:R,18,0),"")</f>
        <v/>
      </c>
      <c r="B23" s="41">
        <f>'MB51'!A23</f>
        <v>6000029628</v>
      </c>
      <c r="C23" s="60" t="str">
        <f>IFERROR(VLOOKUP(B23,'MB51'!A:I,9,0),"")</f>
        <v>GI-1000010169</v>
      </c>
      <c r="D23" s="61">
        <f>IFERROR(VLOOKUP(B23,'MB51'!A:J,10,0),"")</f>
        <v>43895</v>
      </c>
      <c r="E23" s="62">
        <f>IFERROR(VLOOKUP(B23,'MB51'!A:K,11,0),"")</f>
        <v>0.45461805555556001</v>
      </c>
      <c r="F23" s="42">
        <f>IFERROR(VLOOKUP(B23,'MB51'!A:F,6,0),"")</f>
        <v>-1</v>
      </c>
      <c r="G23" s="17" t="str">
        <f t="shared" si="0"/>
        <v>03/05  10點揀料單</v>
      </c>
      <c r="H23" s="17">
        <f t="shared" si="1"/>
        <v>1</v>
      </c>
      <c r="I23" t="str">
        <f t="shared" si="2"/>
        <v>1000010169</v>
      </c>
      <c r="J23" t="str">
        <f>SUBSTITUTE(IF(COUNTIF(I$2:I23,I23)&gt;1,"",1)," ","")</f>
        <v>1</v>
      </c>
    </row>
    <row r="24" spans="1:10" x14ac:dyDescent="0.2">
      <c r="A24" s="51" t="str">
        <f>IFERROR(VLOOKUP(B24,點上線資訊!A:R,18,0),"")</f>
        <v/>
      </c>
      <c r="B24" s="41">
        <f>'MB51'!A24</f>
        <v>6000028476</v>
      </c>
      <c r="C24" s="60" t="str">
        <f>IFERROR(VLOOKUP(B24,'MB51'!A:I,9,0),"")</f>
        <v>GI-1000010142</v>
      </c>
      <c r="D24" s="61">
        <f>IFERROR(VLOOKUP(B24,'MB51'!A:J,10,0),"")</f>
        <v>43895</v>
      </c>
      <c r="E24" s="62">
        <f>IFERROR(VLOOKUP(B24,'MB51'!A:K,11,0),"")</f>
        <v>0.37550925925925999</v>
      </c>
      <c r="F24" s="42">
        <f>IFERROR(VLOOKUP(B24,'MB51'!A:F,6,0),"")</f>
        <v>-50</v>
      </c>
      <c r="G24" s="17" t="str">
        <f t="shared" si="0"/>
        <v>03/05  09點揀料單</v>
      </c>
      <c r="H24" s="17">
        <f t="shared" si="1"/>
        <v>200</v>
      </c>
      <c r="I24" t="str">
        <f t="shared" si="2"/>
        <v>1000010142</v>
      </c>
      <c r="J24" t="str">
        <f>SUBSTITUTE(IF(COUNTIF(I$2:I24,I24)&gt;1,"",1)," ","")</f>
        <v>1</v>
      </c>
    </row>
    <row r="25" spans="1:10" x14ac:dyDescent="0.2">
      <c r="A25" s="51" t="str">
        <f>IFERROR(VLOOKUP(B25,點上線資訊!A:R,18,0),"")</f>
        <v/>
      </c>
      <c r="B25" s="41">
        <f>'MB51'!A25</f>
        <v>6000028721</v>
      </c>
      <c r="C25" s="60" t="str">
        <f>IFERROR(VLOOKUP(B25,'MB51'!A:I,9,0),"")</f>
        <v>GI-1000010232</v>
      </c>
      <c r="D25" s="61">
        <f>IFERROR(VLOOKUP(B25,'MB51'!A:J,10,0),"")</f>
        <v>43895</v>
      </c>
      <c r="E25" s="62">
        <f>IFERROR(VLOOKUP(B25,'MB51'!A:K,11,0),"")</f>
        <v>0.56091435185185001</v>
      </c>
      <c r="F25" s="42">
        <f>IFERROR(VLOOKUP(B25,'MB51'!A:F,6,0),"")</f>
        <v>-1</v>
      </c>
      <c r="G25" s="17" t="str">
        <f t="shared" si="0"/>
        <v>03/05  13點揀料單</v>
      </c>
      <c r="H25" s="17">
        <f t="shared" si="1"/>
        <v>4</v>
      </c>
      <c r="I25" t="str">
        <f t="shared" si="2"/>
        <v>1000010232</v>
      </c>
      <c r="J25" t="str">
        <f>SUBSTITUTE(IF(COUNTIF(I$2:I25,I25)&gt;1,"",1)," ","")</f>
        <v>1</v>
      </c>
    </row>
    <row r="26" spans="1:10" x14ac:dyDescent="0.2">
      <c r="A26" s="51" t="str">
        <f>IFERROR(VLOOKUP(B26,點上線資訊!A:R,18,0),"")</f>
        <v/>
      </c>
      <c r="B26" s="41">
        <f>'MB51'!A26</f>
        <v>6000028687</v>
      </c>
      <c r="C26" s="60" t="str">
        <f>IFERROR(VLOOKUP(B26,'MB51'!A:I,9,0),"")</f>
        <v>GI-1000010232</v>
      </c>
      <c r="D26" s="61">
        <f>IFERROR(VLOOKUP(B26,'MB51'!A:J,10,0),"")</f>
        <v>43895</v>
      </c>
      <c r="E26" s="62">
        <f>IFERROR(VLOOKUP(B26,'MB51'!A:K,11,0),"")</f>
        <v>0.56089120370370005</v>
      </c>
      <c r="F26" s="42">
        <f>IFERROR(VLOOKUP(B26,'MB51'!A:F,6,0),"")</f>
        <v>-2</v>
      </c>
      <c r="G26" s="17" t="str">
        <f t="shared" si="0"/>
        <v>03/05  13點揀料單</v>
      </c>
      <c r="H26" s="17">
        <f t="shared" si="1"/>
        <v>4</v>
      </c>
      <c r="I26" t="str">
        <f t="shared" si="2"/>
        <v>1000010232</v>
      </c>
      <c r="J26" t="str">
        <f>SUBSTITUTE(IF(COUNTIF(I$2:I26,I26)&gt;1,"",1)," ","")</f>
        <v/>
      </c>
    </row>
    <row r="27" spans="1:10" x14ac:dyDescent="0.2">
      <c r="A27" s="51" t="str">
        <f>IFERROR(VLOOKUP(B27,點上線資訊!A:R,18,0),"")</f>
        <v/>
      </c>
      <c r="B27" s="41">
        <f>'MB51'!A27</f>
        <v>6000029561</v>
      </c>
      <c r="C27" s="60" t="str">
        <f>IFERROR(VLOOKUP(B27,'MB51'!A:I,9,0),"")</f>
        <v>GI-1000010163</v>
      </c>
      <c r="D27" s="61">
        <f>IFERROR(VLOOKUP(B27,'MB51'!A:J,10,0),"")</f>
        <v>43895</v>
      </c>
      <c r="E27" s="62">
        <f>IFERROR(VLOOKUP(B27,'MB51'!A:K,11,0),"")</f>
        <v>0.43916666666666998</v>
      </c>
      <c r="F27" s="42">
        <f>IFERROR(VLOOKUP(B27,'MB51'!A:F,6,0),"")</f>
        <v>-3</v>
      </c>
      <c r="G27" s="17" t="str">
        <f t="shared" si="0"/>
        <v>03/05  10點揀料單</v>
      </c>
      <c r="H27" s="17">
        <f t="shared" si="1"/>
        <v>3</v>
      </c>
      <c r="I27" t="str">
        <f t="shared" si="2"/>
        <v>1000010163</v>
      </c>
      <c r="J27" t="str">
        <f>SUBSTITUTE(IF(COUNTIF(I$2:I27,I27)&gt;1,"",1)," ","")</f>
        <v>1</v>
      </c>
    </row>
    <row r="28" spans="1:10" x14ac:dyDescent="0.2">
      <c r="A28" s="51" t="str">
        <f>IFERROR(VLOOKUP(B28,點上線資訊!A:R,18,0),"")</f>
        <v/>
      </c>
      <c r="B28" s="41">
        <f>'MB51'!A28</f>
        <v>6000028479</v>
      </c>
      <c r="C28" s="60" t="str">
        <f>IFERROR(VLOOKUP(B28,'MB51'!A:I,9,0),"")</f>
        <v>GI-1000010142</v>
      </c>
      <c r="D28" s="61">
        <f>IFERROR(VLOOKUP(B28,'MB51'!A:J,10,0),"")</f>
        <v>43895</v>
      </c>
      <c r="E28" s="62">
        <f>IFERROR(VLOOKUP(B28,'MB51'!A:K,11,0),"")</f>
        <v>0.37553240740741001</v>
      </c>
      <c r="F28" s="42">
        <f>IFERROR(VLOOKUP(B28,'MB51'!A:F,6,0),"")</f>
        <v>-50</v>
      </c>
      <c r="G28" s="17" t="str">
        <f t="shared" si="0"/>
        <v>03/05  09點揀料單</v>
      </c>
      <c r="H28" s="17">
        <f t="shared" si="1"/>
        <v>200</v>
      </c>
      <c r="I28" t="str">
        <f t="shared" si="2"/>
        <v>1000010142</v>
      </c>
      <c r="J28" t="str">
        <f>SUBSTITUTE(IF(COUNTIF(I$2:I28,I28)&gt;1,"",1)," ","")</f>
        <v/>
      </c>
    </row>
    <row r="29" spans="1:10" x14ac:dyDescent="0.2">
      <c r="A29" s="51" t="str">
        <f>IFERROR(VLOOKUP(B29,點上線資訊!A:R,18,0),"")</f>
        <v/>
      </c>
      <c r="B29" s="41">
        <f>'MB51'!A29</f>
        <v>6000028478</v>
      </c>
      <c r="C29" s="60" t="str">
        <f>IFERROR(VLOOKUP(B29,'MB51'!A:I,9,0),"")</f>
        <v>GI-1000010142</v>
      </c>
      <c r="D29" s="61">
        <f>IFERROR(VLOOKUP(B29,'MB51'!A:J,10,0),"")</f>
        <v>43895</v>
      </c>
      <c r="E29" s="62">
        <f>IFERROR(VLOOKUP(B29,'MB51'!A:K,11,0),"")</f>
        <v>0.37553240740741001</v>
      </c>
      <c r="F29" s="42">
        <f>IFERROR(VLOOKUP(B29,'MB51'!A:F,6,0),"")</f>
        <v>-50</v>
      </c>
      <c r="G29" s="17" t="str">
        <f t="shared" si="0"/>
        <v>03/05  09點揀料單</v>
      </c>
      <c r="H29" s="17">
        <f t="shared" si="1"/>
        <v>200</v>
      </c>
      <c r="I29" t="str">
        <f t="shared" si="2"/>
        <v>1000010142</v>
      </c>
      <c r="J29" t="str">
        <f>SUBSTITUTE(IF(COUNTIF(I$2:I29,I29)&gt;1,"",1)," ","")</f>
        <v/>
      </c>
    </row>
    <row r="30" spans="1:10" x14ac:dyDescent="0.2">
      <c r="A30" s="51" t="str">
        <f>IFERROR(VLOOKUP(B30,點上線資訊!A:R,18,0),"")</f>
        <v/>
      </c>
      <c r="B30" s="41">
        <f>'MB51'!A30</f>
        <v>6000028477</v>
      </c>
      <c r="C30" s="60" t="str">
        <f>IFERROR(VLOOKUP(B30,'MB51'!A:I,9,0),"")</f>
        <v>GI-1000010142</v>
      </c>
      <c r="D30" s="61">
        <f>IFERROR(VLOOKUP(B30,'MB51'!A:J,10,0),"")</f>
        <v>43895</v>
      </c>
      <c r="E30" s="62">
        <f>IFERROR(VLOOKUP(B30,'MB51'!A:K,11,0),"")</f>
        <v>0.37552083333332997</v>
      </c>
      <c r="F30" s="42">
        <f>IFERROR(VLOOKUP(B30,'MB51'!A:F,6,0),"")</f>
        <v>-50</v>
      </c>
      <c r="G30" s="17" t="str">
        <f t="shared" si="0"/>
        <v>03/05  09點揀料單</v>
      </c>
      <c r="H30" s="17">
        <f t="shared" si="1"/>
        <v>200</v>
      </c>
      <c r="I30" t="str">
        <f t="shared" si="2"/>
        <v>1000010142</v>
      </c>
      <c r="J30" t="str">
        <f>SUBSTITUTE(IF(COUNTIF(I$2:I30,I30)&gt;1,"",1)," ","")</f>
        <v/>
      </c>
    </row>
    <row r="31" spans="1:10" x14ac:dyDescent="0.2">
      <c r="A31" s="51" t="str">
        <f>IFERROR(VLOOKUP(B31,點上線資訊!A:R,18,0),"")</f>
        <v/>
      </c>
      <c r="B31" s="41">
        <f>'MB51'!A31</f>
        <v>6000029560</v>
      </c>
      <c r="C31" s="60" t="str">
        <f>IFERROR(VLOOKUP(B31,'MB51'!A:I,9,0),"")</f>
        <v>GI-1000010162</v>
      </c>
      <c r="D31" s="61">
        <f>IFERROR(VLOOKUP(B31,'MB51'!A:J,10,0),"")</f>
        <v>43895</v>
      </c>
      <c r="E31" s="62">
        <f>IFERROR(VLOOKUP(B31,'MB51'!A:K,11,0),"")</f>
        <v>0.43890046296295998</v>
      </c>
      <c r="F31" s="42">
        <f>IFERROR(VLOOKUP(B31,'MB51'!A:F,6,0),"")</f>
        <v>-1</v>
      </c>
      <c r="G31" s="17" t="str">
        <f t="shared" si="0"/>
        <v>03/05  10點揀料單</v>
      </c>
      <c r="H31" s="17">
        <f t="shared" si="1"/>
        <v>9</v>
      </c>
      <c r="I31" t="str">
        <f t="shared" si="2"/>
        <v>1000010162</v>
      </c>
      <c r="J31" t="str">
        <f>SUBSTITUTE(IF(COUNTIF(I$2:I31,I31)&gt;1,"",1)," ","")</f>
        <v>1</v>
      </c>
    </row>
    <row r="32" spans="1:10" x14ac:dyDescent="0.2">
      <c r="A32" s="51" t="str">
        <f>IFERROR(VLOOKUP(B32,點上線資訊!A:R,18,0),"")</f>
        <v/>
      </c>
      <c r="B32" s="41">
        <f>'MB51'!A32</f>
        <v>6000029399</v>
      </c>
      <c r="C32" s="60" t="str">
        <f>IFERROR(VLOOKUP(B32,'MB51'!A:I,9,0),"")</f>
        <v>GI-1000010162</v>
      </c>
      <c r="D32" s="61">
        <f>IFERROR(VLOOKUP(B32,'MB51'!A:J,10,0),"")</f>
        <v>43895</v>
      </c>
      <c r="E32" s="62">
        <f>IFERROR(VLOOKUP(B32,'MB51'!A:K,11,0),"")</f>
        <v>0.43887731481481002</v>
      </c>
      <c r="F32" s="42">
        <f>IFERROR(VLOOKUP(B32,'MB51'!A:F,6,0),"")</f>
        <v>-8</v>
      </c>
      <c r="G32" s="17" t="str">
        <f t="shared" si="0"/>
        <v>03/05  10點揀料單</v>
      </c>
      <c r="H32" s="17">
        <f t="shared" si="1"/>
        <v>9</v>
      </c>
      <c r="I32" t="str">
        <f t="shared" si="2"/>
        <v>1000010162</v>
      </c>
      <c r="J32" t="str">
        <f>SUBSTITUTE(IF(COUNTIF(I$2:I32,I32)&gt;1,"",1)," ","")</f>
        <v/>
      </c>
    </row>
    <row r="33" spans="1:10" x14ac:dyDescent="0.2">
      <c r="A33" s="51" t="str">
        <f>IFERROR(VLOOKUP(B33,點上線資訊!A:R,18,0),"")</f>
        <v/>
      </c>
      <c r="B33" s="41">
        <f>'MB51'!A33</f>
        <v>3000002111</v>
      </c>
      <c r="C33" s="60" t="str">
        <f>IFERROR(VLOOKUP(B33,'MB51'!A:I,9,0),"")</f>
        <v>GI-1000010232</v>
      </c>
      <c r="D33" s="61">
        <f>IFERROR(VLOOKUP(B33,'MB51'!A:J,10,0),"")</f>
        <v>43895</v>
      </c>
      <c r="E33" s="62">
        <f>IFERROR(VLOOKUP(B33,'MB51'!A:K,11,0),"")</f>
        <v>0.56084490740741</v>
      </c>
      <c r="F33" s="42">
        <f>IFERROR(VLOOKUP(B33,'MB51'!A:F,6,0),"")</f>
        <v>-1</v>
      </c>
      <c r="G33" s="17" t="str">
        <f t="shared" si="0"/>
        <v>03/05  13點揀料單</v>
      </c>
      <c r="H33" s="17">
        <f t="shared" si="1"/>
        <v>4</v>
      </c>
      <c r="I33" t="str">
        <f t="shared" si="2"/>
        <v>1000010232</v>
      </c>
      <c r="J33" t="str">
        <f>SUBSTITUTE(IF(COUNTIF(I$2:I33,I33)&gt;1,"",1)," ","")</f>
        <v/>
      </c>
    </row>
    <row r="34" spans="1:10" x14ac:dyDescent="0.2">
      <c r="A34" s="51" t="str">
        <f>IFERROR(VLOOKUP(B34,點上線資訊!A:R,18,0),"")</f>
        <v/>
      </c>
      <c r="B34" s="41">
        <f>'MB51'!A34</f>
        <v>6000029011</v>
      </c>
      <c r="C34" s="60" t="str">
        <f>IFERROR(VLOOKUP(B34,'MB51'!A:I,9,0),"")</f>
        <v>GI-1000010216</v>
      </c>
      <c r="D34" s="61">
        <f>IFERROR(VLOOKUP(B34,'MB51'!A:J,10,0),"")</f>
        <v>43895</v>
      </c>
      <c r="E34" s="62">
        <f>IFERROR(VLOOKUP(B34,'MB51'!A:K,11,0),"")</f>
        <v>0.53729166666667005</v>
      </c>
      <c r="F34" s="42">
        <f>IFERROR(VLOOKUP(B34,'MB51'!A:F,6,0),"")</f>
        <v>-4</v>
      </c>
      <c r="G34" s="17" t="str">
        <f t="shared" si="0"/>
        <v>03/05  12點揀料單</v>
      </c>
      <c r="H34" s="17">
        <f t="shared" si="1"/>
        <v>12</v>
      </c>
      <c r="I34" t="str">
        <f t="shared" si="2"/>
        <v>1000010216</v>
      </c>
      <c r="J34" t="str">
        <f>SUBSTITUTE(IF(COUNTIF(I$2:I34,I34)&gt;1,"",1)," ","")</f>
        <v>1</v>
      </c>
    </row>
    <row r="35" spans="1:10" x14ac:dyDescent="0.2">
      <c r="A35" s="51" t="str">
        <f>IFERROR(VLOOKUP(B35,點上線資訊!A:R,18,0),"")</f>
        <v/>
      </c>
      <c r="B35" s="41">
        <f>'MB51'!A35</f>
        <v>6000028991</v>
      </c>
      <c r="C35" s="60" t="str">
        <f>IFERROR(VLOOKUP(B35,'MB51'!A:I,9,0),"")</f>
        <v>GI-1000010215</v>
      </c>
      <c r="D35" s="61">
        <f>IFERROR(VLOOKUP(B35,'MB51'!A:J,10,0),"")</f>
        <v>43895</v>
      </c>
      <c r="E35" s="62">
        <f>IFERROR(VLOOKUP(B35,'MB51'!A:K,11,0),"")</f>
        <v>0.53702546296296005</v>
      </c>
      <c r="F35" s="42">
        <f>IFERROR(VLOOKUP(B35,'MB51'!A:F,6,0),"")</f>
        <v>-4</v>
      </c>
      <c r="G35" s="17" t="str">
        <f t="shared" si="0"/>
        <v>03/05  12點揀料單</v>
      </c>
      <c r="H35" s="17">
        <f t="shared" si="1"/>
        <v>43</v>
      </c>
      <c r="I35" t="str">
        <f t="shared" si="2"/>
        <v>1000010215</v>
      </c>
      <c r="J35" t="str">
        <f>SUBSTITUTE(IF(COUNTIF(I$2:I35,I35)&gt;1,"",1)," ","")</f>
        <v/>
      </c>
    </row>
    <row r="36" spans="1:10" x14ac:dyDescent="0.2">
      <c r="A36" s="51" t="str">
        <f>IFERROR(VLOOKUP(B36,點上線資訊!A:R,18,0),"")</f>
        <v/>
      </c>
      <c r="B36" s="41">
        <f>'MB51'!A36</f>
        <v>6000028963</v>
      </c>
      <c r="C36" s="60" t="str">
        <f>IFERROR(VLOOKUP(B36,'MB51'!A:I,9,0),"")</f>
        <v>GI-1000010215</v>
      </c>
      <c r="D36" s="61">
        <f>IFERROR(VLOOKUP(B36,'MB51'!A:J,10,0),"")</f>
        <v>43895</v>
      </c>
      <c r="E36" s="62">
        <f>IFERROR(VLOOKUP(B36,'MB51'!A:K,11,0),"")</f>
        <v>0.53702546296296005</v>
      </c>
      <c r="F36" s="42">
        <f>IFERROR(VLOOKUP(B36,'MB51'!A:F,6,0),"")</f>
        <v>-4</v>
      </c>
      <c r="G36" s="17" t="str">
        <f t="shared" si="0"/>
        <v>03/05  12點揀料單</v>
      </c>
      <c r="H36" s="17">
        <f t="shared" si="1"/>
        <v>43</v>
      </c>
      <c r="I36" t="str">
        <f t="shared" si="2"/>
        <v>1000010215</v>
      </c>
      <c r="J36" t="str">
        <f>SUBSTITUTE(IF(COUNTIF(I$2:I36,I36)&gt;1,"",1)," ","")</f>
        <v/>
      </c>
    </row>
    <row r="37" spans="1:10" x14ac:dyDescent="0.2">
      <c r="A37" s="51" t="str">
        <f>IFERROR(VLOOKUP(B37,點上線資訊!A:R,18,0),"")</f>
        <v/>
      </c>
      <c r="B37" s="41">
        <f>'MB51'!A37</f>
        <v>6000028954</v>
      </c>
      <c r="C37" s="60" t="str">
        <f>IFERROR(VLOOKUP(B37,'MB51'!A:I,9,0),"")</f>
        <v>GI-1000010216</v>
      </c>
      <c r="D37" s="61">
        <f>IFERROR(VLOOKUP(B37,'MB51'!A:J,10,0),"")</f>
        <v>43895</v>
      </c>
      <c r="E37" s="62">
        <f>IFERROR(VLOOKUP(B37,'MB51'!A:K,11,0),"")</f>
        <v>0.53728009259259002</v>
      </c>
      <c r="F37" s="42">
        <f>IFERROR(VLOOKUP(B37,'MB51'!A:F,6,0),"")</f>
        <v>-4</v>
      </c>
      <c r="G37" s="17" t="str">
        <f t="shared" si="0"/>
        <v>03/05  12點揀料單</v>
      </c>
      <c r="H37" s="17">
        <f t="shared" si="1"/>
        <v>12</v>
      </c>
      <c r="I37" t="str">
        <f t="shared" si="2"/>
        <v>1000010216</v>
      </c>
      <c r="J37" t="str">
        <f>SUBSTITUTE(IF(COUNTIF(I$2:I37,I37)&gt;1,"",1)," ","")</f>
        <v/>
      </c>
    </row>
    <row r="38" spans="1:10" x14ac:dyDescent="0.2">
      <c r="A38" s="51" t="str">
        <f>IFERROR(VLOOKUP(B38,點上線資訊!A:R,18,0),"")</f>
        <v/>
      </c>
      <c r="B38" s="41">
        <f>'MB51'!A38</f>
        <v>5000503871</v>
      </c>
      <c r="C38" s="60" t="str">
        <f>IFERROR(VLOOKUP(B38,'MB51'!A:I,9,0),"")</f>
        <v>GI-1000010263</v>
      </c>
      <c r="D38" s="61">
        <f>IFERROR(VLOOKUP(B38,'MB51'!A:J,10,0),"")</f>
        <v>43895</v>
      </c>
      <c r="E38" s="62">
        <f>IFERROR(VLOOKUP(B38,'MB51'!A:K,11,0),"")</f>
        <v>0.65252314814815005</v>
      </c>
      <c r="F38" s="42">
        <f>IFERROR(VLOOKUP(B38,'MB51'!A:F,6,0),"")</f>
        <v>-2</v>
      </c>
      <c r="G38" s="17" t="str">
        <f t="shared" si="0"/>
        <v>03/05  15點揀料單</v>
      </c>
      <c r="H38" s="17">
        <f t="shared" si="1"/>
        <v>9</v>
      </c>
      <c r="I38" t="str">
        <f t="shared" si="2"/>
        <v>1000010263</v>
      </c>
      <c r="J38" t="str">
        <f>SUBSTITUTE(IF(COUNTIF(I$2:I38,I38)&gt;1,"",1)," ","")</f>
        <v>1</v>
      </c>
    </row>
    <row r="39" spans="1:10" x14ac:dyDescent="0.2">
      <c r="A39" s="51" t="str">
        <f>IFERROR(VLOOKUP(B39,點上線資訊!A:R,18,0),"")</f>
        <v/>
      </c>
      <c r="B39" s="41">
        <f>'MB51'!A39</f>
        <v>5000507091</v>
      </c>
      <c r="C39" s="60" t="str">
        <f>IFERROR(VLOOKUP(B39,'MB51'!A:I,9,0),"")</f>
        <v>GI-1000010263</v>
      </c>
      <c r="D39" s="61">
        <f>IFERROR(VLOOKUP(B39,'MB51'!A:J,10,0),"")</f>
        <v>43895</v>
      </c>
      <c r="E39" s="62">
        <f>IFERROR(VLOOKUP(B39,'MB51'!A:K,11,0),"")</f>
        <v>0.65254629629630001</v>
      </c>
      <c r="F39" s="42">
        <f>IFERROR(VLOOKUP(B39,'MB51'!A:F,6,0),"")</f>
        <v>-2</v>
      </c>
      <c r="G39" s="17" t="str">
        <f t="shared" si="0"/>
        <v>03/05  15點揀料單</v>
      </c>
      <c r="H39" s="17">
        <f t="shared" si="1"/>
        <v>9</v>
      </c>
      <c r="I39" t="str">
        <f t="shared" si="2"/>
        <v>1000010263</v>
      </c>
      <c r="J39" t="str">
        <f>SUBSTITUTE(IF(COUNTIF(I$2:I39,I39)&gt;1,"",1)," ","")</f>
        <v/>
      </c>
    </row>
    <row r="40" spans="1:10" x14ac:dyDescent="0.2">
      <c r="A40" s="51" t="str">
        <f>IFERROR(VLOOKUP(B40,點上線資訊!A:R,18,0),"")</f>
        <v/>
      </c>
      <c r="B40" s="41">
        <f>'MB51'!A40</f>
        <v>5000503454</v>
      </c>
      <c r="C40" s="60" t="str">
        <f>IFERROR(VLOOKUP(B40,'MB51'!A:I,9,0),"")</f>
        <v>GI-1000010263</v>
      </c>
      <c r="D40" s="61">
        <f>IFERROR(VLOOKUP(B40,'MB51'!A:J,10,0),"")</f>
        <v>43895</v>
      </c>
      <c r="E40" s="62">
        <f>IFERROR(VLOOKUP(B40,'MB51'!A:K,11,0),"")</f>
        <v>0.65248842592593004</v>
      </c>
      <c r="F40" s="42">
        <f>IFERROR(VLOOKUP(B40,'MB51'!A:F,6,0),"")</f>
        <v>-5</v>
      </c>
      <c r="G40" s="17" t="str">
        <f t="shared" si="0"/>
        <v>03/05  15點揀料單</v>
      </c>
      <c r="H40" s="17">
        <f t="shared" si="1"/>
        <v>9</v>
      </c>
      <c r="I40" t="str">
        <f t="shared" si="2"/>
        <v>1000010263</v>
      </c>
      <c r="J40" t="str">
        <f>SUBSTITUTE(IF(COUNTIF(I$2:I40,I40)&gt;1,"",1)," ","")</f>
        <v/>
      </c>
    </row>
    <row r="41" spans="1:10" x14ac:dyDescent="0.2">
      <c r="A41" s="51" t="str">
        <f>IFERROR(VLOOKUP(B41,點上線資訊!A:R,18,0),"")</f>
        <v/>
      </c>
      <c r="B41" s="41">
        <f>'MB51'!A41</f>
        <v>6000028709</v>
      </c>
      <c r="C41" s="60" t="str">
        <f>IFERROR(VLOOKUP(B41,'MB51'!A:I,9,0),"")</f>
        <v>GI-1000010167</v>
      </c>
      <c r="D41" s="61">
        <f>IFERROR(VLOOKUP(B41,'MB51'!A:J,10,0),"")</f>
        <v>43895</v>
      </c>
      <c r="E41" s="62">
        <f>IFERROR(VLOOKUP(B41,'MB51'!A:K,11,0),"")</f>
        <v>0.45314814814815002</v>
      </c>
      <c r="F41" s="42">
        <f>IFERROR(VLOOKUP(B41,'MB51'!A:F,6,0),"")</f>
        <v>-4</v>
      </c>
      <c r="G41" s="17" t="str">
        <f t="shared" si="0"/>
        <v>03/05  10點揀料單</v>
      </c>
      <c r="H41" s="17">
        <f t="shared" si="1"/>
        <v>6</v>
      </c>
      <c r="I41" t="str">
        <f t="shared" si="2"/>
        <v>1000010167</v>
      </c>
      <c r="J41" t="str">
        <f>SUBSTITUTE(IF(COUNTIF(I$2:I41,I41)&gt;1,"",1)," ","")</f>
        <v>1</v>
      </c>
    </row>
    <row r="42" spans="1:10" x14ac:dyDescent="0.2">
      <c r="A42" s="51" t="str">
        <f>IFERROR(VLOOKUP(B42,點上線資訊!A:R,18,0),"")</f>
        <v/>
      </c>
      <c r="B42" s="41">
        <f>'MB51'!A42</f>
        <v>6000028703</v>
      </c>
      <c r="C42" s="60" t="str">
        <f>IFERROR(VLOOKUP(B42,'MB51'!A:I,9,0),"")</f>
        <v>GI-1000010170</v>
      </c>
      <c r="D42" s="61">
        <f>IFERROR(VLOOKUP(B42,'MB51'!A:J,10,0),"")</f>
        <v>43895</v>
      </c>
      <c r="E42" s="62">
        <f>IFERROR(VLOOKUP(B42,'MB51'!A:K,11,0),"")</f>
        <v>0.45494212962962999</v>
      </c>
      <c r="F42" s="42">
        <f>IFERROR(VLOOKUP(B42,'MB51'!A:F,6,0),"")</f>
        <v>-1</v>
      </c>
      <c r="G42" s="17" t="str">
        <f t="shared" si="0"/>
        <v>03/05  10點揀料單</v>
      </c>
      <c r="H42" s="17">
        <f t="shared" si="1"/>
        <v>1</v>
      </c>
      <c r="I42" t="str">
        <f t="shared" si="2"/>
        <v>1000010170</v>
      </c>
      <c r="J42" t="str">
        <f>SUBSTITUTE(IF(COUNTIF(I$2:I42,I42)&gt;1,"",1)," ","")</f>
        <v>1</v>
      </c>
    </row>
    <row r="43" spans="1:10" x14ac:dyDescent="0.2">
      <c r="A43" s="51" t="str">
        <f>IFERROR(VLOOKUP(B43,點上線資訊!A:R,18,0),"")</f>
        <v/>
      </c>
      <c r="B43" s="41">
        <f>'MB51'!A43</f>
        <v>6000029397</v>
      </c>
      <c r="C43" s="60" t="str">
        <f>IFERROR(VLOOKUP(B43,'MB51'!A:I,9,0),"")</f>
        <v>GI-1000010168</v>
      </c>
      <c r="D43" s="61">
        <f>IFERROR(VLOOKUP(B43,'MB51'!A:J,10,0),"")</f>
        <v>43895</v>
      </c>
      <c r="E43" s="62">
        <f>IFERROR(VLOOKUP(B43,'MB51'!A:K,11,0),"")</f>
        <v>0.45399305555556002</v>
      </c>
      <c r="F43" s="42">
        <f>IFERROR(VLOOKUP(B43,'MB51'!A:F,6,0),"")</f>
        <v>-4</v>
      </c>
      <c r="G43" s="17" t="str">
        <f t="shared" si="0"/>
        <v>03/05  10點揀料單</v>
      </c>
      <c r="H43" s="17">
        <f t="shared" si="1"/>
        <v>4</v>
      </c>
      <c r="I43" t="str">
        <f t="shared" si="2"/>
        <v>1000010168</v>
      </c>
      <c r="J43" t="str">
        <f>SUBSTITUTE(IF(COUNTIF(I$2:I43,I43)&gt;1,"",1)," ","")</f>
        <v>1</v>
      </c>
    </row>
    <row r="44" spans="1:10" x14ac:dyDescent="0.2">
      <c r="A44" s="51" t="str">
        <f>IFERROR(VLOOKUP(B44,點上線資訊!A:R,18,0),"")</f>
        <v/>
      </c>
      <c r="B44" s="41">
        <f>'MB51'!A44</f>
        <v>5000502351</v>
      </c>
      <c r="C44" s="60" t="str">
        <f>IFERROR(VLOOKUP(B44,'MB51'!A:I,9,0),"")</f>
        <v>GI-1000010228</v>
      </c>
      <c r="D44" s="61">
        <f>IFERROR(VLOOKUP(B44,'MB51'!A:J,10,0),"")</f>
        <v>43895</v>
      </c>
      <c r="E44" s="62">
        <f>IFERROR(VLOOKUP(B44,'MB51'!A:K,11,0),"")</f>
        <v>0.5594212962963</v>
      </c>
      <c r="F44" s="42">
        <f>IFERROR(VLOOKUP(B44,'MB51'!A:F,6,0),"")</f>
        <v>-3</v>
      </c>
      <c r="G44" s="17" t="str">
        <f t="shared" si="0"/>
        <v>03/05  13點揀料單</v>
      </c>
      <c r="H44" s="17">
        <f t="shared" si="1"/>
        <v>3</v>
      </c>
      <c r="I44" t="str">
        <f t="shared" si="2"/>
        <v>1000010228</v>
      </c>
      <c r="J44" t="str">
        <f>SUBSTITUTE(IF(COUNTIF(I$2:I44,I44)&gt;1,"",1)," ","")</f>
        <v>1</v>
      </c>
    </row>
    <row r="45" spans="1:10" x14ac:dyDescent="0.2">
      <c r="A45" s="51" t="str">
        <f>IFERROR(VLOOKUP(B45,點上線資訊!A:R,18,0),"")</f>
        <v/>
      </c>
      <c r="B45" s="41">
        <f>'MB51'!A45</f>
        <v>5000509820</v>
      </c>
      <c r="C45" s="60" t="str">
        <f>IFERROR(VLOOKUP(B45,'MB51'!A:I,9,0),"")</f>
        <v>GI-1000010261</v>
      </c>
      <c r="D45" s="61">
        <f>IFERROR(VLOOKUP(B45,'MB51'!A:J,10,0),"")</f>
        <v>43895</v>
      </c>
      <c r="E45" s="62">
        <f>IFERROR(VLOOKUP(B45,'MB51'!A:K,11,0),"")</f>
        <v>0.65155092592593</v>
      </c>
      <c r="F45" s="42">
        <f>IFERROR(VLOOKUP(B45,'MB51'!A:F,6,0),"")</f>
        <v>-1</v>
      </c>
      <c r="G45" s="17" t="str">
        <f t="shared" si="0"/>
        <v>03/05  15點揀料單</v>
      </c>
      <c r="H45" s="17">
        <f t="shared" si="1"/>
        <v>18</v>
      </c>
      <c r="I45" t="str">
        <f t="shared" si="2"/>
        <v>1000010261</v>
      </c>
      <c r="J45" t="str">
        <f>SUBSTITUTE(IF(COUNTIF(I$2:I45,I45)&gt;1,"",1)," ","")</f>
        <v>1</v>
      </c>
    </row>
    <row r="46" spans="1:10" x14ac:dyDescent="0.2">
      <c r="A46" s="51" t="str">
        <f>IFERROR(VLOOKUP(B46,點上線資訊!A:R,18,0),"")</f>
        <v/>
      </c>
      <c r="B46" s="41">
        <f>'MB51'!A46</f>
        <v>5000507053</v>
      </c>
      <c r="C46" s="60" t="str">
        <f>IFERROR(VLOOKUP(B46,'MB51'!A:I,9,0),"")</f>
        <v>GI-1000010261</v>
      </c>
      <c r="D46" s="61">
        <f>IFERROR(VLOOKUP(B46,'MB51'!A:J,10,0),"")</f>
        <v>43895</v>
      </c>
      <c r="E46" s="62">
        <f>IFERROR(VLOOKUP(B46,'MB51'!A:K,11,0),"")</f>
        <v>0.65152777777778004</v>
      </c>
      <c r="F46" s="42">
        <f>IFERROR(VLOOKUP(B46,'MB51'!A:F,6,0),"")</f>
        <v>-10</v>
      </c>
      <c r="G46" s="17" t="str">
        <f t="shared" si="0"/>
        <v>03/05  15點揀料單</v>
      </c>
      <c r="H46" s="17">
        <f t="shared" si="1"/>
        <v>18</v>
      </c>
      <c r="I46" t="str">
        <f t="shared" si="2"/>
        <v>1000010261</v>
      </c>
      <c r="J46" t="str">
        <f>SUBSTITUTE(IF(COUNTIF(I$2:I46,I46)&gt;1,"",1)," ","")</f>
        <v/>
      </c>
    </row>
    <row r="47" spans="1:10" x14ac:dyDescent="0.2">
      <c r="A47" s="51" t="str">
        <f>IFERROR(VLOOKUP(B47,點上線資訊!A:R,18,0),"")</f>
        <v/>
      </c>
      <c r="B47" s="41">
        <f>'MB51'!A47</f>
        <v>5000503828</v>
      </c>
      <c r="C47" s="60" t="str">
        <f>IFERROR(VLOOKUP(B47,'MB51'!A:I,9,0),"")</f>
        <v>GI-1000010261</v>
      </c>
      <c r="D47" s="61">
        <f>IFERROR(VLOOKUP(B47,'MB51'!A:J,10,0),"")</f>
        <v>43895</v>
      </c>
      <c r="E47" s="62">
        <f>IFERROR(VLOOKUP(B47,'MB51'!A:K,11,0),"")</f>
        <v>0.65144675925925999</v>
      </c>
      <c r="F47" s="42">
        <f>IFERROR(VLOOKUP(B47,'MB51'!A:F,6,0),"")</f>
        <v>-6</v>
      </c>
      <c r="G47" s="17" t="str">
        <f t="shared" si="0"/>
        <v>03/05  15點揀料單</v>
      </c>
      <c r="H47" s="17">
        <f t="shared" si="1"/>
        <v>18</v>
      </c>
      <c r="I47" t="str">
        <f t="shared" si="2"/>
        <v>1000010261</v>
      </c>
      <c r="J47" t="str">
        <f>SUBSTITUTE(IF(COUNTIF(I$2:I47,I47)&gt;1,"",1)," ","")</f>
        <v/>
      </c>
    </row>
    <row r="48" spans="1:10" x14ac:dyDescent="0.2">
      <c r="A48" s="51" t="str">
        <f>IFERROR(VLOOKUP(B48,點上線資訊!A:R,18,0),"")</f>
        <v/>
      </c>
      <c r="B48" s="41">
        <f>'MB51'!A48</f>
        <v>5000503469</v>
      </c>
      <c r="C48" s="60" t="str">
        <f>IFERROR(VLOOKUP(B48,'MB51'!A:I,9,0),"")</f>
        <v>GI-1000010261</v>
      </c>
      <c r="D48" s="61">
        <f>IFERROR(VLOOKUP(B48,'MB51'!A:J,10,0),"")</f>
        <v>43895</v>
      </c>
      <c r="E48" s="62">
        <f>IFERROR(VLOOKUP(B48,'MB51'!A:K,11,0),"")</f>
        <v>0.65140046296295995</v>
      </c>
      <c r="F48" s="42">
        <f>IFERROR(VLOOKUP(B48,'MB51'!A:F,6,0),"")</f>
        <v>-1</v>
      </c>
      <c r="G48" s="17" t="str">
        <f t="shared" si="0"/>
        <v>03/05  15點揀料單</v>
      </c>
      <c r="H48" s="17">
        <f t="shared" si="1"/>
        <v>18</v>
      </c>
      <c r="I48" t="str">
        <f t="shared" si="2"/>
        <v>1000010261</v>
      </c>
      <c r="J48" t="str">
        <f>SUBSTITUTE(IF(COUNTIF(I$2:I48,I48)&gt;1,"",1)," ","")</f>
        <v/>
      </c>
    </row>
    <row r="49" spans="1:10" x14ac:dyDescent="0.2">
      <c r="A49" s="51" t="str">
        <f>IFERROR(VLOOKUP(B49,點上線資訊!A:R,18,0),"")</f>
        <v/>
      </c>
      <c r="B49" s="41">
        <f>'MB51'!A49</f>
        <v>6000028706</v>
      </c>
      <c r="C49" s="60" t="str">
        <f>IFERROR(VLOOKUP(B49,'MB51'!A:I,9,0),"")</f>
        <v>GI-1000010167</v>
      </c>
      <c r="D49" s="61">
        <f>IFERROR(VLOOKUP(B49,'MB51'!A:J,10,0),"")</f>
        <v>43895</v>
      </c>
      <c r="E49" s="62">
        <f>IFERROR(VLOOKUP(B49,'MB51'!A:K,11,0),"")</f>
        <v>0.45313657407406999</v>
      </c>
      <c r="F49" s="42">
        <f>IFERROR(VLOOKUP(B49,'MB51'!A:F,6,0),"")</f>
        <v>-2</v>
      </c>
      <c r="G49" s="17" t="str">
        <f t="shared" si="0"/>
        <v>03/05  10點揀料單</v>
      </c>
      <c r="H49" s="17">
        <f t="shared" si="1"/>
        <v>6</v>
      </c>
      <c r="I49" t="str">
        <f t="shared" si="2"/>
        <v>1000010167</v>
      </c>
      <c r="J49" t="str">
        <f>SUBSTITUTE(IF(COUNTIF(I$2:I49,I49)&gt;1,"",1)," ","")</f>
        <v/>
      </c>
    </row>
    <row r="50" spans="1:10" x14ac:dyDescent="0.2">
      <c r="A50" s="51" t="str">
        <f>IFERROR(VLOOKUP(B50,點上線資訊!A:R,18,0),"")</f>
        <v/>
      </c>
      <c r="B50" s="41">
        <f>'MB51'!A50</f>
        <v>5000503486</v>
      </c>
      <c r="C50" s="60" t="str">
        <f>IFERROR(VLOOKUP(B50,'MB51'!A:I,9,0),"")</f>
        <v>GI-1000010171</v>
      </c>
      <c r="D50" s="61">
        <f>IFERROR(VLOOKUP(B50,'MB51'!A:J,10,0),"")</f>
        <v>43895</v>
      </c>
      <c r="E50" s="62">
        <f>IFERROR(VLOOKUP(B50,'MB51'!A:K,11,0),"")</f>
        <v>0.45534722222222002</v>
      </c>
      <c r="F50" s="42">
        <f>IFERROR(VLOOKUP(B50,'MB51'!A:F,6,0),"")</f>
        <v>-10</v>
      </c>
      <c r="G50" s="17" t="str">
        <f t="shared" si="0"/>
        <v>03/05  10點揀料單</v>
      </c>
      <c r="H50" s="17">
        <f t="shared" si="1"/>
        <v>10</v>
      </c>
      <c r="I50" t="str">
        <f t="shared" si="2"/>
        <v>1000010171</v>
      </c>
      <c r="J50" t="str">
        <f>SUBSTITUTE(IF(COUNTIF(I$2:I50,I50)&gt;1,"",1)," ","")</f>
        <v>1</v>
      </c>
    </row>
    <row r="51" spans="1:10" x14ac:dyDescent="0.2">
      <c r="A51" s="51" t="str">
        <f>IFERROR(VLOOKUP(B51,點上線資訊!A:R,18,0),"")</f>
        <v/>
      </c>
      <c r="B51" s="41">
        <f>'MB51'!A51</f>
        <v>5000499431</v>
      </c>
      <c r="C51" s="60" t="str">
        <f>IFERROR(VLOOKUP(B51,'MB51'!A:I,9,0),"")</f>
        <v>GI-1000010172</v>
      </c>
      <c r="D51" s="61">
        <f>IFERROR(VLOOKUP(B51,'MB51'!A:J,10,0),"")</f>
        <v>43895</v>
      </c>
      <c r="E51" s="62">
        <f>IFERROR(VLOOKUP(B51,'MB51'!A:K,11,0),"")</f>
        <v>0.45613425925925999</v>
      </c>
      <c r="F51" s="42">
        <f>IFERROR(VLOOKUP(B51,'MB51'!A:F,6,0),"")</f>
        <v>-2</v>
      </c>
      <c r="G51" s="17" t="str">
        <f t="shared" si="0"/>
        <v>03/05  10點揀料單</v>
      </c>
      <c r="H51" s="17">
        <f t="shared" si="1"/>
        <v>4</v>
      </c>
      <c r="I51" t="str">
        <f t="shared" si="2"/>
        <v>1000010172</v>
      </c>
      <c r="J51" t="str">
        <f>SUBSTITUTE(IF(COUNTIF(I$2:I51,I51)&gt;1,"",1)," ","")</f>
        <v>1</v>
      </c>
    </row>
    <row r="52" spans="1:10" x14ac:dyDescent="0.2">
      <c r="A52" s="51" t="str">
        <f>IFERROR(VLOOKUP(B52,點上線資訊!A:R,18,0),"")</f>
        <v/>
      </c>
      <c r="B52" s="41">
        <f>'MB51'!A52</f>
        <v>5000503489</v>
      </c>
      <c r="C52" s="60" t="str">
        <f>IFERROR(VLOOKUP(B52,'MB51'!A:I,9,0),"")</f>
        <v>GI-1000010172</v>
      </c>
      <c r="D52" s="61">
        <f>IFERROR(VLOOKUP(B52,'MB51'!A:J,10,0),"")</f>
        <v>43895</v>
      </c>
      <c r="E52" s="62">
        <f>IFERROR(VLOOKUP(B52,'MB51'!A:K,11,0),"")</f>
        <v>0.45615740740741001</v>
      </c>
      <c r="F52" s="42">
        <f>IFERROR(VLOOKUP(B52,'MB51'!A:F,6,0),"")</f>
        <v>-2</v>
      </c>
      <c r="G52" s="17" t="str">
        <f t="shared" si="0"/>
        <v>03/05  10點揀料單</v>
      </c>
      <c r="H52" s="17">
        <f t="shared" si="1"/>
        <v>4</v>
      </c>
      <c r="I52" t="str">
        <f t="shared" si="2"/>
        <v>1000010172</v>
      </c>
      <c r="J52" t="str">
        <f>SUBSTITUTE(IF(COUNTIF(I$2:I52,I52)&gt;1,"",1)," ","")</f>
        <v/>
      </c>
    </row>
    <row r="53" spans="1:10" x14ac:dyDescent="0.2">
      <c r="A53" s="51" t="str">
        <f>IFERROR(VLOOKUP(B53,點上線資訊!A:R,18,0),"")</f>
        <v/>
      </c>
      <c r="B53" s="41">
        <f>'MB51'!A53</f>
        <v>6000028987</v>
      </c>
      <c r="C53" s="60" t="str">
        <f>IFERROR(VLOOKUP(B53,'MB51'!A:I,9,0),"")</f>
        <v>GI-1000010216</v>
      </c>
      <c r="D53" s="61">
        <f>IFERROR(VLOOKUP(B53,'MB51'!A:J,10,0),"")</f>
        <v>43895</v>
      </c>
      <c r="E53" s="62">
        <f>IFERROR(VLOOKUP(B53,'MB51'!A:K,11,0),"")</f>
        <v>0.53729166666667005</v>
      </c>
      <c r="F53" s="42">
        <f>IFERROR(VLOOKUP(B53,'MB51'!A:F,6,0),"")</f>
        <v>-4</v>
      </c>
      <c r="G53" s="17" t="str">
        <f t="shared" si="0"/>
        <v>03/05  12點揀料單</v>
      </c>
      <c r="H53" s="17">
        <f t="shared" si="1"/>
        <v>12</v>
      </c>
      <c r="I53" t="str">
        <f>RIGHTB(C53,10)</f>
        <v>1000010216</v>
      </c>
      <c r="J53" t="str">
        <f>SUBSTITUTE(IF(COUNTIF(I$2:I53,I53)&gt;1,"",1)," ","")</f>
        <v/>
      </c>
    </row>
    <row r="54" spans="1:10" x14ac:dyDescent="0.2">
      <c r="A54" s="51" t="str">
        <f>IFERROR(VLOOKUP(B54,點上線資訊!A:R,18,0),"")</f>
        <v/>
      </c>
      <c r="B54" s="41">
        <f>'MB51'!A54</f>
        <v>0</v>
      </c>
      <c r="C54" s="60" t="str">
        <f>IFERROR(VLOOKUP(B54,'MB51'!A:I,9,0),"")</f>
        <v/>
      </c>
      <c r="D54" s="61" t="str">
        <f>IFERROR(VLOOKUP(B54,'MB51'!A:J,10,0),"")</f>
        <v/>
      </c>
      <c r="E54" s="62" t="str">
        <f>IFERROR(VLOOKUP(B54,'MB51'!A:K,11,0),"")</f>
        <v/>
      </c>
      <c r="F54" s="42" t="str">
        <f>IFERROR(VLOOKUP(B54,'MB51'!A:F,6,0),"")</f>
        <v/>
      </c>
      <c r="G54" s="17" t="str">
        <f t="shared" si="0"/>
        <v>點揀料單</v>
      </c>
      <c r="H54" s="17">
        <f t="shared" si="1"/>
        <v>0</v>
      </c>
      <c r="I54" t="str">
        <f>RIGHTB(C54,10)</f>
        <v/>
      </c>
      <c r="J54" t="str">
        <f>SUBSTITUTE(IF(COUNTIF(I$2:I54,I54)&gt;1,"",1)," ","")</f>
        <v>1</v>
      </c>
    </row>
    <row r="55" spans="1:10" x14ac:dyDescent="0.2">
      <c r="A55" s="51" t="str">
        <f>IFERROR(VLOOKUP(B55,點上線資訊!A:R,18,0),"")</f>
        <v/>
      </c>
      <c r="B55" s="41">
        <f>'MB51'!A55</f>
        <v>0</v>
      </c>
      <c r="C55" s="60" t="str">
        <f>IFERROR(VLOOKUP(B55,'MB51'!A:I,9,0),"")</f>
        <v/>
      </c>
      <c r="D55" s="61" t="str">
        <f>IFERROR(VLOOKUP(B55,'MB51'!A:J,10,0),"")</f>
        <v/>
      </c>
      <c r="E55" s="62" t="str">
        <f>IFERROR(VLOOKUP(B55,'MB51'!A:K,11,0),"")</f>
        <v/>
      </c>
      <c r="F55" s="42" t="str">
        <f>IFERROR(VLOOKUP(B55,'MB51'!A:F,6,0),"")</f>
        <v/>
      </c>
      <c r="G55" s="17" t="str">
        <f t="shared" si="0"/>
        <v>點揀料單</v>
      </c>
      <c r="H55" s="17">
        <f t="shared" si="1"/>
        <v>0</v>
      </c>
      <c r="I55" t="str">
        <f t="shared" si="2"/>
        <v/>
      </c>
      <c r="J55" t="str">
        <f>SUBSTITUTE(IF(COUNTIF(I$2:I55,I55)&gt;1,"",1)," ","")</f>
        <v/>
      </c>
    </row>
    <row r="56" spans="1:10" x14ac:dyDescent="0.2">
      <c r="A56" s="51" t="str">
        <f>IFERROR(VLOOKUP(B56,點上線資訊!A:R,18,0),"")</f>
        <v/>
      </c>
      <c r="B56" s="41">
        <f>'MB51'!A56</f>
        <v>0</v>
      </c>
      <c r="C56" s="60" t="str">
        <f>IFERROR(VLOOKUP(B56,'MB51'!A:I,9,0),"")</f>
        <v/>
      </c>
      <c r="D56" s="61" t="str">
        <f>IFERROR(VLOOKUP(B56,'MB51'!A:J,10,0),"")</f>
        <v/>
      </c>
      <c r="E56" s="62" t="str">
        <f>IFERROR(VLOOKUP(B56,'MB51'!A:K,11,0),"")</f>
        <v/>
      </c>
      <c r="F56" s="42" t="str">
        <f>IFERROR(VLOOKUP(B56,'MB51'!A:F,6,0),"")</f>
        <v/>
      </c>
      <c r="G56" s="17" t="str">
        <f t="shared" si="0"/>
        <v>點揀料單</v>
      </c>
      <c r="H56" s="17">
        <f t="shared" si="1"/>
        <v>0</v>
      </c>
      <c r="I56" t="str">
        <f t="shared" si="2"/>
        <v/>
      </c>
      <c r="J56" t="str">
        <f>SUBSTITUTE(IF(COUNTIF(I$2:I56,I56)&gt;1,"",1)," ","")</f>
        <v/>
      </c>
    </row>
    <row r="57" spans="1:10" x14ac:dyDescent="0.2">
      <c r="A57" s="51" t="str">
        <f>IFERROR(VLOOKUP(B57,點上線資訊!A:R,18,0),"")</f>
        <v/>
      </c>
      <c r="B57" s="41">
        <f>'MB51'!A57</f>
        <v>0</v>
      </c>
      <c r="C57" s="60" t="str">
        <f>IFERROR(VLOOKUP(B57,'MB51'!A:I,9,0),"")</f>
        <v/>
      </c>
      <c r="D57" s="61" t="str">
        <f>IFERROR(VLOOKUP(B57,'MB51'!A:J,10,0),"")</f>
        <v/>
      </c>
      <c r="E57" s="62" t="str">
        <f>IFERROR(VLOOKUP(B57,'MB51'!A:K,11,0),"")</f>
        <v/>
      </c>
      <c r="F57" s="42" t="str">
        <f>IFERROR(VLOOKUP(B57,'MB51'!A:F,6,0),"")</f>
        <v/>
      </c>
      <c r="G57" s="17" t="str">
        <f t="shared" si="0"/>
        <v>點揀料單</v>
      </c>
      <c r="H57" s="17">
        <f t="shared" si="1"/>
        <v>0</v>
      </c>
      <c r="I57" t="str">
        <f t="shared" si="2"/>
        <v/>
      </c>
      <c r="J57" t="str">
        <f>SUBSTITUTE(IF(COUNTIF(I$2:I57,I57)&gt;1,"",1)," ","")</f>
        <v/>
      </c>
    </row>
    <row r="58" spans="1:10" x14ac:dyDescent="0.2">
      <c r="A58" s="51" t="str">
        <f>IFERROR(VLOOKUP(B58,點上線資訊!A:R,18,0),"")</f>
        <v/>
      </c>
      <c r="B58" s="41">
        <f>'MB51'!A58</f>
        <v>0</v>
      </c>
      <c r="C58" s="60" t="str">
        <f>IFERROR(VLOOKUP(B58,'MB51'!A:I,9,0),"")</f>
        <v/>
      </c>
      <c r="D58" s="61" t="str">
        <f>IFERROR(VLOOKUP(B58,'MB51'!A:J,10,0),"")</f>
        <v/>
      </c>
      <c r="E58" s="62" t="str">
        <f>IFERROR(VLOOKUP(B58,'MB51'!A:K,11,0),"")</f>
        <v/>
      </c>
      <c r="F58" s="42" t="str">
        <f>IFERROR(VLOOKUP(B58,'MB51'!A:F,6,0),"")</f>
        <v/>
      </c>
      <c r="G58" s="17" t="str">
        <f t="shared" si="0"/>
        <v>點揀料單</v>
      </c>
      <c r="H58" s="17">
        <f t="shared" si="1"/>
        <v>0</v>
      </c>
      <c r="I58" t="str">
        <f t="shared" si="2"/>
        <v/>
      </c>
      <c r="J58" t="str">
        <f>SUBSTITUTE(IF(COUNTIF(I$2:I58,I58)&gt;1,"",1)," ","")</f>
        <v/>
      </c>
    </row>
    <row r="59" spans="1:10" x14ac:dyDescent="0.2">
      <c r="A59" s="51" t="str">
        <f>IFERROR(VLOOKUP(B59,點上線資訊!A:R,18,0),"")</f>
        <v/>
      </c>
      <c r="B59" s="41">
        <f>'MB51'!A59</f>
        <v>0</v>
      </c>
      <c r="C59" s="60" t="str">
        <f>IFERROR(VLOOKUP(B59,'MB51'!A:I,9,0),"")</f>
        <v/>
      </c>
      <c r="D59" s="61" t="str">
        <f>IFERROR(VLOOKUP(B59,'MB51'!A:J,10,0),"")</f>
        <v/>
      </c>
      <c r="E59" s="62" t="str">
        <f>IFERROR(VLOOKUP(B59,'MB51'!A:K,11,0),"")</f>
        <v/>
      </c>
      <c r="F59" s="42" t="str">
        <f>IFERROR(VLOOKUP(B59,'MB51'!A:F,6,0),"")</f>
        <v/>
      </c>
      <c r="G59" s="17" t="str">
        <f t="shared" si="0"/>
        <v>點揀料單</v>
      </c>
      <c r="H59" s="17">
        <f t="shared" si="1"/>
        <v>0</v>
      </c>
      <c r="I59" t="str">
        <f t="shared" si="2"/>
        <v/>
      </c>
      <c r="J59" t="str">
        <f>SUBSTITUTE(IF(COUNTIF(I$2:I59,I59)&gt;1,"",1)," ","")</f>
        <v/>
      </c>
    </row>
    <row r="60" spans="1:10" x14ac:dyDescent="0.2">
      <c r="A60" s="51" t="str">
        <f>IFERROR(VLOOKUP(B60,點上線資訊!A:R,18,0),"")</f>
        <v/>
      </c>
      <c r="B60" s="41">
        <f>'MB51'!A60</f>
        <v>0</v>
      </c>
      <c r="C60" s="60" t="str">
        <f>IFERROR(VLOOKUP(B60,'MB51'!A:I,9,0),"")</f>
        <v/>
      </c>
      <c r="D60" s="61" t="str">
        <f>IFERROR(VLOOKUP(B60,'MB51'!A:J,10,0),"")</f>
        <v/>
      </c>
      <c r="E60" s="62" t="str">
        <f>IFERROR(VLOOKUP(B60,'MB51'!A:K,11,0),"")</f>
        <v/>
      </c>
      <c r="F60" s="42" t="str">
        <f>IFERROR(VLOOKUP(B60,'MB51'!A:F,6,0),"")</f>
        <v/>
      </c>
      <c r="G60" s="17" t="str">
        <f t="shared" si="0"/>
        <v>點揀料單</v>
      </c>
      <c r="H60" s="17">
        <f t="shared" si="1"/>
        <v>0</v>
      </c>
      <c r="I60" t="str">
        <f t="shared" si="2"/>
        <v/>
      </c>
      <c r="J60" t="str">
        <f>SUBSTITUTE(IF(COUNTIF(I$2:I60,I60)&gt;1,"",1)," ","")</f>
        <v/>
      </c>
    </row>
    <row r="61" spans="1:10" x14ac:dyDescent="0.2">
      <c r="A61" s="51" t="str">
        <f>IFERROR(VLOOKUP(B61,點上線資訊!A:R,18,0),"")</f>
        <v/>
      </c>
      <c r="B61" s="41">
        <f>'MB51'!A61</f>
        <v>0</v>
      </c>
      <c r="C61" s="60" t="str">
        <f>IFERROR(VLOOKUP(B61,'MB51'!A:I,9,0),"")</f>
        <v/>
      </c>
      <c r="D61" s="61" t="str">
        <f>IFERROR(VLOOKUP(B61,'MB51'!A:J,10,0),"")</f>
        <v/>
      </c>
      <c r="E61" s="62" t="str">
        <f>IFERROR(VLOOKUP(B61,'MB51'!A:K,11,0),"")</f>
        <v/>
      </c>
      <c r="F61" s="42" t="str">
        <f>IFERROR(VLOOKUP(B61,'MB51'!A:F,6,0),"")</f>
        <v/>
      </c>
      <c r="G61" s="17" t="str">
        <f t="shared" si="0"/>
        <v>點揀料單</v>
      </c>
      <c r="H61" s="17">
        <f t="shared" si="1"/>
        <v>0</v>
      </c>
      <c r="I61" t="str">
        <f t="shared" si="2"/>
        <v/>
      </c>
      <c r="J61" t="str">
        <f>SUBSTITUTE(IF(COUNTIF(I$2:I61,I61)&gt;1,"",1)," ","")</f>
        <v/>
      </c>
    </row>
    <row r="62" spans="1:10" x14ac:dyDescent="0.2">
      <c r="A62" s="51" t="str">
        <f>IFERROR(VLOOKUP(B62,點上線資訊!A:R,18,0),"")</f>
        <v/>
      </c>
      <c r="B62" s="41">
        <f>'MB51'!A62</f>
        <v>0</v>
      </c>
      <c r="C62" s="60" t="str">
        <f>IFERROR(VLOOKUP(B62,'MB51'!A:I,9,0),"")</f>
        <v/>
      </c>
      <c r="D62" s="61" t="str">
        <f>IFERROR(VLOOKUP(B62,'MB51'!A:J,10,0),"")</f>
        <v/>
      </c>
      <c r="E62" s="62" t="str">
        <f>IFERROR(VLOOKUP(B62,'MB51'!A:K,11,0),"")</f>
        <v/>
      </c>
      <c r="F62" s="42" t="str">
        <f>IFERROR(VLOOKUP(B62,'MB51'!A:F,6,0),"")</f>
        <v/>
      </c>
      <c r="G62" s="17" t="str">
        <f t="shared" si="0"/>
        <v>點揀料單</v>
      </c>
      <c r="H62" s="17">
        <f t="shared" si="1"/>
        <v>0</v>
      </c>
      <c r="I62" t="str">
        <f t="shared" si="2"/>
        <v/>
      </c>
      <c r="J62" t="str">
        <f>SUBSTITUTE(IF(COUNTIF(I$2:I62,I62)&gt;1,"",1)," ","")</f>
        <v/>
      </c>
    </row>
    <row r="63" spans="1:10" x14ac:dyDescent="0.2">
      <c r="A63" s="51" t="str">
        <f>IFERROR(VLOOKUP(B63,點上線資訊!A:R,18,0),"")</f>
        <v/>
      </c>
      <c r="B63" s="41">
        <f>'MB51'!A63</f>
        <v>0</v>
      </c>
      <c r="C63" s="60" t="str">
        <f>IFERROR(VLOOKUP(B63,'MB51'!A:I,9,0),"")</f>
        <v/>
      </c>
      <c r="D63" s="61" t="str">
        <f>IFERROR(VLOOKUP(B63,'MB51'!A:J,10,0),"")</f>
        <v/>
      </c>
      <c r="E63" s="62" t="str">
        <f>IFERROR(VLOOKUP(B63,'MB51'!A:K,11,0),"")</f>
        <v/>
      </c>
      <c r="F63" s="42" t="str">
        <f>IFERROR(VLOOKUP(B63,'MB51'!A:F,6,0),"")</f>
        <v/>
      </c>
      <c r="G63" s="17" t="str">
        <f t="shared" si="0"/>
        <v>點揀料單</v>
      </c>
      <c r="H63" s="17">
        <f t="shared" si="1"/>
        <v>0</v>
      </c>
      <c r="I63" t="str">
        <f t="shared" si="2"/>
        <v/>
      </c>
      <c r="J63" t="str">
        <f>SUBSTITUTE(IF(COUNTIF(I$2:I63,I63)&gt;1,"",1)," ","")</f>
        <v/>
      </c>
    </row>
    <row r="64" spans="1:10" x14ac:dyDescent="0.2">
      <c r="A64" s="51" t="str">
        <f>IFERROR(VLOOKUP(B64,點上線資訊!A:R,18,0),"")</f>
        <v/>
      </c>
      <c r="B64" s="41">
        <f>'MB51'!A64</f>
        <v>0</v>
      </c>
      <c r="C64" s="60" t="str">
        <f>IFERROR(VLOOKUP(B64,'MB51'!A:I,9,0),"")</f>
        <v/>
      </c>
      <c r="D64" s="61" t="str">
        <f>IFERROR(VLOOKUP(B64,'MB51'!A:J,10,0),"")</f>
        <v/>
      </c>
      <c r="E64" s="62" t="str">
        <f>IFERROR(VLOOKUP(B64,'MB51'!A:K,11,0),"")</f>
        <v/>
      </c>
      <c r="F64" s="42" t="str">
        <f>IFERROR(VLOOKUP(B64,'MB51'!A:F,6,0),"")</f>
        <v/>
      </c>
      <c r="G64" s="17" t="str">
        <f t="shared" si="0"/>
        <v>點揀料單</v>
      </c>
      <c r="H64" s="17">
        <f t="shared" si="1"/>
        <v>0</v>
      </c>
      <c r="I64" t="str">
        <f t="shared" si="2"/>
        <v/>
      </c>
      <c r="J64" t="str">
        <f>SUBSTITUTE(IF(COUNTIF(I$2:I64,I64)&gt;1,"",1)," ","")</f>
        <v/>
      </c>
    </row>
    <row r="65" spans="1:10" x14ac:dyDescent="0.2">
      <c r="A65" s="51" t="str">
        <f>IFERROR(VLOOKUP(B65,點上線資訊!A:R,18,0),"")</f>
        <v/>
      </c>
      <c r="B65" s="41">
        <f>'MB51'!A65</f>
        <v>0</v>
      </c>
      <c r="C65" s="60" t="str">
        <f>IFERROR(VLOOKUP(B65,'MB51'!A:I,9,0),"")</f>
        <v/>
      </c>
      <c r="D65" s="61" t="str">
        <f>IFERROR(VLOOKUP(B65,'MB51'!A:J,10,0),"")</f>
        <v/>
      </c>
      <c r="E65" s="62" t="str">
        <f>IFERROR(VLOOKUP(B65,'MB51'!A:K,11,0),"")</f>
        <v/>
      </c>
      <c r="F65" s="42" t="str">
        <f>IFERROR(VLOOKUP(B65,'MB51'!A:F,6,0),"")</f>
        <v/>
      </c>
      <c r="G65" s="17" t="str">
        <f t="shared" si="0"/>
        <v>點揀料單</v>
      </c>
      <c r="H65" s="17">
        <f t="shared" si="1"/>
        <v>0</v>
      </c>
      <c r="I65" t="str">
        <f t="shared" si="2"/>
        <v/>
      </c>
      <c r="J65" t="str">
        <f>SUBSTITUTE(IF(COUNTIF(I$2:I65,I65)&gt;1,"",1)," ","")</f>
        <v/>
      </c>
    </row>
    <row r="66" spans="1:10" x14ac:dyDescent="0.2">
      <c r="A66" s="51" t="str">
        <f>IFERROR(VLOOKUP(B66,點上線資訊!A:R,18,0),"")</f>
        <v/>
      </c>
      <c r="B66" s="41">
        <f>'MB51'!A66</f>
        <v>0</v>
      </c>
      <c r="C66" s="60" t="str">
        <f>IFERROR(VLOOKUP(B66,'MB51'!A:I,9,0),"")</f>
        <v/>
      </c>
      <c r="D66" s="61" t="str">
        <f>IFERROR(VLOOKUP(B66,'MB51'!A:J,10,0),"")</f>
        <v/>
      </c>
      <c r="E66" s="62" t="str">
        <f>IFERROR(VLOOKUP(B66,'MB51'!A:K,11,0),"")</f>
        <v/>
      </c>
      <c r="F66" s="42" t="str">
        <f>IFERROR(VLOOKUP(B66,'MB51'!A:F,6,0),"")</f>
        <v/>
      </c>
      <c r="G66" s="17" t="str">
        <f t="shared" si="0"/>
        <v>點揀料單</v>
      </c>
      <c r="H66" s="17">
        <f t="shared" si="1"/>
        <v>0</v>
      </c>
      <c r="I66" t="str">
        <f t="shared" si="2"/>
        <v/>
      </c>
      <c r="J66" t="str">
        <f>SUBSTITUTE(IF(COUNTIF(I$2:I66,I66)&gt;1,"",1)," ","")</f>
        <v/>
      </c>
    </row>
    <row r="67" spans="1:10" x14ac:dyDescent="0.2">
      <c r="A67" s="51" t="str">
        <f>IFERROR(VLOOKUP(B67,點上線資訊!A:R,18,0),"")</f>
        <v/>
      </c>
      <c r="B67" s="41">
        <f>'MB51'!A67</f>
        <v>0</v>
      </c>
      <c r="C67" s="60" t="str">
        <f>IFERROR(VLOOKUP(B67,'MB51'!A:I,9,0),"")</f>
        <v/>
      </c>
      <c r="D67" s="61" t="str">
        <f>IFERROR(VLOOKUP(B67,'MB51'!A:J,10,0),"")</f>
        <v/>
      </c>
      <c r="E67" s="62" t="str">
        <f>IFERROR(VLOOKUP(B67,'MB51'!A:K,11,0),"")</f>
        <v/>
      </c>
      <c r="F67" s="42" t="str">
        <f>IFERROR(VLOOKUP(B67,'MB51'!A:F,6,0),"")</f>
        <v/>
      </c>
      <c r="G67" s="17" t="str">
        <f t="shared" ref="G67:G130" si="3">TEXT(D67,"MM/DD")&amp;TEXT(E67,"  HH")&amp;"點揀料單"</f>
        <v>點揀料單</v>
      </c>
      <c r="H67" s="17">
        <f t="shared" ref="H67:H130" si="4">ABS(SUMIF(C:C,C67,F:F))</f>
        <v>0</v>
      </c>
      <c r="I67" t="str">
        <f t="shared" ref="I67:I130" si="5">RIGHTB(C67,10)</f>
        <v/>
      </c>
      <c r="J67" t="str">
        <f>SUBSTITUTE(IF(COUNTIF(I$2:I67,I67)&gt;1,"",1)," ","")</f>
        <v/>
      </c>
    </row>
    <row r="68" spans="1:10" x14ac:dyDescent="0.2">
      <c r="A68" s="51" t="str">
        <f>IFERROR(VLOOKUP(B68,點上線資訊!A:R,18,0),"")</f>
        <v/>
      </c>
      <c r="B68" s="41">
        <f>'MB51'!A68</f>
        <v>0</v>
      </c>
      <c r="C68" s="60" t="str">
        <f>IFERROR(VLOOKUP(B68,'MB51'!A:I,9,0),"")</f>
        <v/>
      </c>
      <c r="D68" s="61" t="str">
        <f>IFERROR(VLOOKUP(B68,'MB51'!A:J,10,0),"")</f>
        <v/>
      </c>
      <c r="E68" s="62" t="str">
        <f>IFERROR(VLOOKUP(B68,'MB51'!A:K,11,0),"")</f>
        <v/>
      </c>
      <c r="F68" s="42" t="str">
        <f>IFERROR(VLOOKUP(B68,'MB51'!A:F,6,0),"")</f>
        <v/>
      </c>
      <c r="G68" s="17" t="str">
        <f t="shared" si="3"/>
        <v>點揀料單</v>
      </c>
      <c r="H68" s="17">
        <f t="shared" si="4"/>
        <v>0</v>
      </c>
      <c r="I68" t="str">
        <f t="shared" si="5"/>
        <v/>
      </c>
      <c r="J68" t="str">
        <f>SUBSTITUTE(IF(COUNTIF(I$2:I68,I68)&gt;1,"",1)," ","")</f>
        <v/>
      </c>
    </row>
    <row r="69" spans="1:10" x14ac:dyDescent="0.2">
      <c r="A69" s="51" t="str">
        <f>IFERROR(VLOOKUP(B69,點上線資訊!A:R,18,0),"")</f>
        <v/>
      </c>
      <c r="B69" s="41">
        <f>'MB51'!A69</f>
        <v>0</v>
      </c>
      <c r="C69" s="60" t="str">
        <f>IFERROR(VLOOKUP(B69,'MB51'!A:I,9,0),"")</f>
        <v/>
      </c>
      <c r="D69" s="61" t="str">
        <f>IFERROR(VLOOKUP(B69,'MB51'!A:J,10,0),"")</f>
        <v/>
      </c>
      <c r="E69" s="62" t="str">
        <f>IFERROR(VLOOKUP(B69,'MB51'!A:K,11,0),"")</f>
        <v/>
      </c>
      <c r="F69" s="42" t="str">
        <f>IFERROR(VLOOKUP(B69,'MB51'!A:F,6,0),"")</f>
        <v/>
      </c>
      <c r="G69" s="17" t="str">
        <f t="shared" si="3"/>
        <v>點揀料單</v>
      </c>
      <c r="H69" s="17">
        <f t="shared" si="4"/>
        <v>0</v>
      </c>
      <c r="I69" t="str">
        <f t="shared" si="5"/>
        <v/>
      </c>
      <c r="J69" t="str">
        <f>SUBSTITUTE(IF(COUNTIF(I$2:I69,I69)&gt;1,"",1)," ","")</f>
        <v/>
      </c>
    </row>
    <row r="70" spans="1:10" x14ac:dyDescent="0.2">
      <c r="A70" s="51" t="str">
        <f>IFERROR(VLOOKUP(B70,點上線資訊!A:R,18,0),"")</f>
        <v/>
      </c>
      <c r="B70" s="41">
        <f>'MB51'!A70</f>
        <v>0</v>
      </c>
      <c r="C70" s="60" t="str">
        <f>IFERROR(VLOOKUP(B70,'MB51'!A:I,9,0),"")</f>
        <v/>
      </c>
      <c r="D70" s="61" t="str">
        <f>IFERROR(VLOOKUP(B70,'MB51'!A:J,10,0),"")</f>
        <v/>
      </c>
      <c r="E70" s="62" t="str">
        <f>IFERROR(VLOOKUP(B70,'MB51'!A:K,11,0),"")</f>
        <v/>
      </c>
      <c r="F70" s="42" t="str">
        <f>IFERROR(VLOOKUP(B70,'MB51'!A:F,6,0),"")</f>
        <v/>
      </c>
      <c r="G70" s="17" t="str">
        <f t="shared" si="3"/>
        <v>點揀料單</v>
      </c>
      <c r="H70" s="17">
        <f t="shared" si="4"/>
        <v>0</v>
      </c>
      <c r="I70" t="str">
        <f t="shared" si="5"/>
        <v/>
      </c>
      <c r="J70" t="str">
        <f>SUBSTITUTE(IF(COUNTIF(I$2:I70,I70)&gt;1,"",1)," ","")</f>
        <v/>
      </c>
    </row>
    <row r="71" spans="1:10" x14ac:dyDescent="0.2">
      <c r="A71" s="51" t="str">
        <f>IFERROR(VLOOKUP(B71,點上線資訊!A:R,18,0),"")</f>
        <v/>
      </c>
      <c r="B71" s="41">
        <f>'MB51'!A71</f>
        <v>0</v>
      </c>
      <c r="C71" s="60" t="str">
        <f>IFERROR(VLOOKUP(B71,'MB51'!A:I,9,0),"")</f>
        <v/>
      </c>
      <c r="D71" s="61" t="str">
        <f>IFERROR(VLOOKUP(B71,'MB51'!A:J,10,0),"")</f>
        <v/>
      </c>
      <c r="E71" s="62" t="str">
        <f>IFERROR(VLOOKUP(B71,'MB51'!A:K,11,0),"")</f>
        <v/>
      </c>
      <c r="F71" s="42" t="str">
        <f>IFERROR(VLOOKUP(B71,'MB51'!A:F,6,0),"")</f>
        <v/>
      </c>
      <c r="G71" s="17" t="str">
        <f t="shared" si="3"/>
        <v>點揀料單</v>
      </c>
      <c r="H71" s="17">
        <f t="shared" si="4"/>
        <v>0</v>
      </c>
      <c r="I71" t="str">
        <f t="shared" si="5"/>
        <v/>
      </c>
      <c r="J71" t="str">
        <f>SUBSTITUTE(IF(COUNTIF(I$2:I71,I71)&gt;1,"",1)," ","")</f>
        <v/>
      </c>
    </row>
    <row r="72" spans="1:10" x14ac:dyDescent="0.2">
      <c r="A72" s="51" t="str">
        <f>IFERROR(VLOOKUP(B72,點上線資訊!A:R,18,0),"")</f>
        <v/>
      </c>
      <c r="B72" s="41">
        <f>'MB51'!A72</f>
        <v>0</v>
      </c>
      <c r="C72" s="60" t="str">
        <f>IFERROR(VLOOKUP(B72,'MB51'!A:I,9,0),"")</f>
        <v/>
      </c>
      <c r="D72" s="61" t="str">
        <f>IFERROR(VLOOKUP(B72,'MB51'!A:J,10,0),"")</f>
        <v/>
      </c>
      <c r="E72" s="62" t="str">
        <f>IFERROR(VLOOKUP(B72,'MB51'!A:K,11,0),"")</f>
        <v/>
      </c>
      <c r="F72" s="42" t="str">
        <f>IFERROR(VLOOKUP(B72,'MB51'!A:F,6,0),"")</f>
        <v/>
      </c>
      <c r="G72" s="17" t="str">
        <f t="shared" si="3"/>
        <v>點揀料單</v>
      </c>
      <c r="H72" s="17">
        <f t="shared" si="4"/>
        <v>0</v>
      </c>
      <c r="I72" t="str">
        <f t="shared" si="5"/>
        <v/>
      </c>
      <c r="J72" t="str">
        <f>SUBSTITUTE(IF(COUNTIF(I$2:I72,I72)&gt;1,"",1)," ","")</f>
        <v/>
      </c>
    </row>
    <row r="73" spans="1:10" x14ac:dyDescent="0.2">
      <c r="A73" s="51" t="str">
        <f>IFERROR(VLOOKUP(B73,點上線資訊!A:R,18,0),"")</f>
        <v/>
      </c>
      <c r="B73" s="41">
        <f>'MB51'!A73</f>
        <v>0</v>
      </c>
      <c r="C73" s="60" t="str">
        <f>IFERROR(VLOOKUP(B73,'MB51'!A:I,9,0),"")</f>
        <v/>
      </c>
      <c r="D73" s="61" t="str">
        <f>IFERROR(VLOOKUP(B73,'MB51'!A:J,10,0),"")</f>
        <v/>
      </c>
      <c r="E73" s="62" t="str">
        <f>IFERROR(VLOOKUP(B73,'MB51'!A:K,11,0),"")</f>
        <v/>
      </c>
      <c r="F73" s="42" t="str">
        <f>IFERROR(VLOOKUP(B73,'MB51'!A:F,6,0),"")</f>
        <v/>
      </c>
      <c r="G73" s="17" t="str">
        <f t="shared" si="3"/>
        <v>點揀料單</v>
      </c>
      <c r="H73" s="17">
        <f t="shared" si="4"/>
        <v>0</v>
      </c>
      <c r="I73" t="str">
        <f t="shared" si="5"/>
        <v/>
      </c>
      <c r="J73" t="str">
        <f>SUBSTITUTE(IF(COUNTIF(I$2:I73,I73)&gt;1,"",1)," ","")</f>
        <v/>
      </c>
    </row>
    <row r="74" spans="1:10" x14ac:dyDescent="0.2">
      <c r="A74" s="51" t="str">
        <f>IFERROR(VLOOKUP(B74,點上線資訊!A:R,18,0),"")</f>
        <v/>
      </c>
      <c r="B74" s="41">
        <f>'MB51'!A74</f>
        <v>0</v>
      </c>
      <c r="C74" s="60" t="str">
        <f>IFERROR(VLOOKUP(B74,'MB51'!A:I,9,0),"")</f>
        <v/>
      </c>
      <c r="D74" s="61" t="str">
        <f>IFERROR(VLOOKUP(B74,'MB51'!A:J,10,0),"")</f>
        <v/>
      </c>
      <c r="E74" s="62" t="str">
        <f>IFERROR(VLOOKUP(B74,'MB51'!A:K,11,0),"")</f>
        <v/>
      </c>
      <c r="F74" s="42" t="str">
        <f>IFERROR(VLOOKUP(B74,'MB51'!A:F,6,0),"")</f>
        <v/>
      </c>
      <c r="G74" s="17" t="str">
        <f t="shared" si="3"/>
        <v>點揀料單</v>
      </c>
      <c r="H74" s="17">
        <f t="shared" si="4"/>
        <v>0</v>
      </c>
      <c r="I74" t="str">
        <f t="shared" si="5"/>
        <v/>
      </c>
      <c r="J74" t="str">
        <f>SUBSTITUTE(IF(COUNTIF(I$2:I74,I74)&gt;1,"",1)," ","")</f>
        <v/>
      </c>
    </row>
    <row r="75" spans="1:10" x14ac:dyDescent="0.2">
      <c r="A75" s="51" t="str">
        <f>IFERROR(VLOOKUP(B75,點上線資訊!A:R,18,0),"")</f>
        <v/>
      </c>
      <c r="B75" s="41">
        <f>'MB51'!A75</f>
        <v>0</v>
      </c>
      <c r="C75" s="60" t="str">
        <f>IFERROR(VLOOKUP(B75,'MB51'!A:I,9,0),"")</f>
        <v/>
      </c>
      <c r="D75" s="61" t="str">
        <f>IFERROR(VLOOKUP(B75,'MB51'!A:J,10,0),"")</f>
        <v/>
      </c>
      <c r="E75" s="62" t="str">
        <f>IFERROR(VLOOKUP(B75,'MB51'!A:K,11,0),"")</f>
        <v/>
      </c>
      <c r="F75" s="42" t="str">
        <f>IFERROR(VLOOKUP(B75,'MB51'!A:F,6,0),"")</f>
        <v/>
      </c>
      <c r="G75" s="17" t="str">
        <f t="shared" si="3"/>
        <v>點揀料單</v>
      </c>
      <c r="H75" s="17">
        <f t="shared" si="4"/>
        <v>0</v>
      </c>
      <c r="I75" t="str">
        <f t="shared" si="5"/>
        <v/>
      </c>
      <c r="J75" t="str">
        <f>SUBSTITUTE(IF(COUNTIF(I$2:I75,I75)&gt;1,"",1)," ","")</f>
        <v/>
      </c>
    </row>
    <row r="76" spans="1:10" x14ac:dyDescent="0.2">
      <c r="A76" s="51" t="str">
        <f>IFERROR(VLOOKUP(B76,點上線資訊!A:R,18,0),"")</f>
        <v/>
      </c>
      <c r="B76" s="41">
        <f>'MB51'!A76</f>
        <v>0</v>
      </c>
      <c r="C76" s="60" t="str">
        <f>IFERROR(VLOOKUP(B76,'MB51'!A:I,9,0),"")</f>
        <v/>
      </c>
      <c r="D76" s="61" t="str">
        <f>IFERROR(VLOOKUP(B76,'MB51'!A:J,10,0),"")</f>
        <v/>
      </c>
      <c r="E76" s="62" t="str">
        <f>IFERROR(VLOOKUP(B76,'MB51'!A:K,11,0),"")</f>
        <v/>
      </c>
      <c r="F76" s="42" t="str">
        <f>IFERROR(VLOOKUP(B76,'MB51'!A:F,6,0),"")</f>
        <v/>
      </c>
      <c r="G76" s="17" t="str">
        <f t="shared" si="3"/>
        <v>點揀料單</v>
      </c>
      <c r="H76" s="17">
        <f t="shared" si="4"/>
        <v>0</v>
      </c>
      <c r="I76" t="str">
        <f t="shared" si="5"/>
        <v/>
      </c>
      <c r="J76" t="str">
        <f>SUBSTITUTE(IF(COUNTIF(I$2:I76,I76)&gt;1,"",1)," ","")</f>
        <v/>
      </c>
    </row>
    <row r="77" spans="1:10" x14ac:dyDescent="0.2">
      <c r="A77" s="51" t="str">
        <f>IFERROR(VLOOKUP(B77,點上線資訊!A:R,18,0),"")</f>
        <v/>
      </c>
      <c r="B77" s="41">
        <f>'MB51'!A77</f>
        <v>0</v>
      </c>
      <c r="C77" s="60" t="str">
        <f>IFERROR(VLOOKUP(B77,'MB51'!A:I,9,0),"")</f>
        <v/>
      </c>
      <c r="D77" s="61" t="str">
        <f>IFERROR(VLOOKUP(B77,'MB51'!A:J,10,0),"")</f>
        <v/>
      </c>
      <c r="E77" s="62" t="str">
        <f>IFERROR(VLOOKUP(B77,'MB51'!A:K,11,0),"")</f>
        <v/>
      </c>
      <c r="F77" s="42" t="str">
        <f>IFERROR(VLOOKUP(B77,'MB51'!A:F,6,0),"")</f>
        <v/>
      </c>
      <c r="G77" s="17" t="str">
        <f t="shared" si="3"/>
        <v>點揀料單</v>
      </c>
      <c r="H77" s="17">
        <f t="shared" si="4"/>
        <v>0</v>
      </c>
      <c r="I77" t="str">
        <f t="shared" si="5"/>
        <v/>
      </c>
      <c r="J77" t="str">
        <f>SUBSTITUTE(IF(COUNTIF(I$2:I77,I77)&gt;1,"",1)," ","")</f>
        <v/>
      </c>
    </row>
    <row r="78" spans="1:10" x14ac:dyDescent="0.2">
      <c r="A78" s="51" t="str">
        <f>IFERROR(VLOOKUP(B78,點上線資訊!A:R,18,0),"")</f>
        <v/>
      </c>
      <c r="B78" s="41">
        <f>'MB51'!A78</f>
        <v>0</v>
      </c>
      <c r="C78" s="60" t="str">
        <f>IFERROR(VLOOKUP(B78,'MB51'!A:I,9,0),"")</f>
        <v/>
      </c>
      <c r="D78" s="61" t="str">
        <f>IFERROR(VLOOKUP(B78,'MB51'!A:J,10,0),"")</f>
        <v/>
      </c>
      <c r="E78" s="62" t="str">
        <f>IFERROR(VLOOKUP(B78,'MB51'!A:K,11,0),"")</f>
        <v/>
      </c>
      <c r="F78" s="42" t="str">
        <f>IFERROR(VLOOKUP(B78,'MB51'!A:F,6,0),"")</f>
        <v/>
      </c>
      <c r="G78" s="17" t="str">
        <f t="shared" si="3"/>
        <v>點揀料單</v>
      </c>
      <c r="H78" s="17">
        <f t="shared" si="4"/>
        <v>0</v>
      </c>
      <c r="I78" t="str">
        <f t="shared" si="5"/>
        <v/>
      </c>
      <c r="J78" t="str">
        <f>SUBSTITUTE(IF(COUNTIF(I$2:I78,I78)&gt;1,"",1)," ","")</f>
        <v/>
      </c>
    </row>
    <row r="79" spans="1:10" x14ac:dyDescent="0.2">
      <c r="A79" s="51" t="str">
        <f>IFERROR(VLOOKUP(B79,點上線資訊!A:R,18,0),"")</f>
        <v/>
      </c>
      <c r="B79" s="41">
        <f>'MB51'!A79</f>
        <v>0</v>
      </c>
      <c r="C79" s="60" t="str">
        <f>IFERROR(VLOOKUP(B79,'MB51'!A:I,9,0),"")</f>
        <v/>
      </c>
      <c r="D79" s="61" t="str">
        <f>IFERROR(VLOOKUP(B79,'MB51'!A:J,10,0),"")</f>
        <v/>
      </c>
      <c r="E79" s="62" t="str">
        <f>IFERROR(VLOOKUP(B79,'MB51'!A:K,11,0),"")</f>
        <v/>
      </c>
      <c r="F79" s="42" t="str">
        <f>IFERROR(VLOOKUP(B79,'MB51'!A:F,6,0),"")</f>
        <v/>
      </c>
      <c r="G79" s="17" t="str">
        <f t="shared" si="3"/>
        <v>點揀料單</v>
      </c>
      <c r="H79" s="17">
        <f t="shared" si="4"/>
        <v>0</v>
      </c>
      <c r="I79" t="str">
        <f t="shared" si="5"/>
        <v/>
      </c>
      <c r="J79" t="str">
        <f>SUBSTITUTE(IF(COUNTIF(I$2:I79,I79)&gt;1,"",1)," ","")</f>
        <v/>
      </c>
    </row>
    <row r="80" spans="1:10" x14ac:dyDescent="0.2">
      <c r="A80" s="51" t="str">
        <f>IFERROR(VLOOKUP(B80,點上線資訊!A:R,18,0),"")</f>
        <v/>
      </c>
      <c r="B80" s="41">
        <f>'MB51'!A80</f>
        <v>0</v>
      </c>
      <c r="C80" s="60" t="str">
        <f>IFERROR(VLOOKUP(B80,'MB51'!A:I,9,0),"")</f>
        <v/>
      </c>
      <c r="D80" s="61" t="str">
        <f>IFERROR(VLOOKUP(B80,'MB51'!A:J,10,0),"")</f>
        <v/>
      </c>
      <c r="E80" s="62" t="str">
        <f>IFERROR(VLOOKUP(B80,'MB51'!A:K,11,0),"")</f>
        <v/>
      </c>
      <c r="F80" s="42" t="str">
        <f>IFERROR(VLOOKUP(B80,'MB51'!A:F,6,0),"")</f>
        <v/>
      </c>
      <c r="G80" s="17" t="str">
        <f t="shared" si="3"/>
        <v>點揀料單</v>
      </c>
      <c r="H80" s="17">
        <f t="shared" si="4"/>
        <v>0</v>
      </c>
      <c r="I80" t="str">
        <f t="shared" si="5"/>
        <v/>
      </c>
      <c r="J80" t="str">
        <f>SUBSTITUTE(IF(COUNTIF(I$2:I80,I80)&gt;1,"",1)," ","")</f>
        <v/>
      </c>
    </row>
    <row r="81" spans="1:10" x14ac:dyDescent="0.2">
      <c r="A81" s="51" t="str">
        <f>IFERROR(VLOOKUP(B81,點上線資訊!A:R,18,0),"")</f>
        <v/>
      </c>
      <c r="B81" s="41">
        <f>'MB51'!A81</f>
        <v>0</v>
      </c>
      <c r="C81" s="60" t="str">
        <f>IFERROR(VLOOKUP(B81,'MB51'!A:I,9,0),"")</f>
        <v/>
      </c>
      <c r="D81" s="61" t="str">
        <f>IFERROR(VLOOKUP(B81,'MB51'!A:J,10,0),"")</f>
        <v/>
      </c>
      <c r="E81" s="62" t="str">
        <f>IFERROR(VLOOKUP(B81,'MB51'!A:K,11,0),"")</f>
        <v/>
      </c>
      <c r="F81" s="42" t="str">
        <f>IFERROR(VLOOKUP(B81,'MB51'!A:F,6,0),"")</f>
        <v/>
      </c>
      <c r="G81" s="17" t="str">
        <f t="shared" si="3"/>
        <v>點揀料單</v>
      </c>
      <c r="H81" s="17">
        <f t="shared" si="4"/>
        <v>0</v>
      </c>
      <c r="I81" t="str">
        <f t="shared" si="5"/>
        <v/>
      </c>
      <c r="J81" t="str">
        <f>SUBSTITUTE(IF(COUNTIF(I$2:I81,I81)&gt;1,"",1)," ","")</f>
        <v/>
      </c>
    </row>
    <row r="82" spans="1:10" x14ac:dyDescent="0.2">
      <c r="A82" s="51" t="str">
        <f>IFERROR(VLOOKUP(B82,點上線資訊!A:R,18,0),"")</f>
        <v/>
      </c>
      <c r="B82" s="41">
        <f>'MB51'!A82</f>
        <v>0</v>
      </c>
      <c r="C82" s="60" t="str">
        <f>IFERROR(VLOOKUP(B82,'MB51'!A:I,9,0),"")</f>
        <v/>
      </c>
      <c r="D82" s="61" t="str">
        <f>IFERROR(VLOOKUP(B82,'MB51'!A:J,10,0),"")</f>
        <v/>
      </c>
      <c r="E82" s="62" t="str">
        <f>IFERROR(VLOOKUP(B82,'MB51'!A:K,11,0),"")</f>
        <v/>
      </c>
      <c r="F82" s="42" t="str">
        <f>IFERROR(VLOOKUP(B82,'MB51'!A:F,6,0),"")</f>
        <v/>
      </c>
      <c r="G82" s="17" t="str">
        <f t="shared" si="3"/>
        <v>點揀料單</v>
      </c>
      <c r="H82" s="17">
        <f t="shared" si="4"/>
        <v>0</v>
      </c>
      <c r="I82" t="str">
        <f t="shared" si="5"/>
        <v/>
      </c>
      <c r="J82" t="str">
        <f>SUBSTITUTE(IF(COUNTIF(I$2:I82,I82)&gt;1,"",1)," ","")</f>
        <v/>
      </c>
    </row>
    <row r="83" spans="1:10" x14ac:dyDescent="0.2">
      <c r="A83" s="51" t="str">
        <f>IFERROR(VLOOKUP(B83,點上線資訊!A:R,18,0),"")</f>
        <v/>
      </c>
      <c r="B83" s="41">
        <f>'MB51'!A83</f>
        <v>0</v>
      </c>
      <c r="C83" s="60" t="str">
        <f>IFERROR(VLOOKUP(B83,'MB51'!A:I,9,0),"")</f>
        <v/>
      </c>
      <c r="D83" s="61" t="str">
        <f>IFERROR(VLOOKUP(B83,'MB51'!A:J,10,0),"")</f>
        <v/>
      </c>
      <c r="E83" s="62" t="str">
        <f>IFERROR(VLOOKUP(B83,'MB51'!A:K,11,0),"")</f>
        <v/>
      </c>
      <c r="F83" s="42" t="str">
        <f>IFERROR(VLOOKUP(B83,'MB51'!A:F,6,0),"")</f>
        <v/>
      </c>
      <c r="G83" s="17" t="str">
        <f t="shared" si="3"/>
        <v>點揀料單</v>
      </c>
      <c r="H83" s="17">
        <f t="shared" si="4"/>
        <v>0</v>
      </c>
      <c r="I83" t="str">
        <f t="shared" si="5"/>
        <v/>
      </c>
      <c r="J83" t="str">
        <f>SUBSTITUTE(IF(COUNTIF(I$2:I83,I83)&gt;1,"",1)," ","")</f>
        <v/>
      </c>
    </row>
    <row r="84" spans="1:10" x14ac:dyDescent="0.2">
      <c r="A84" s="51" t="str">
        <f>IFERROR(VLOOKUP(B84,點上線資訊!A:R,18,0),"")</f>
        <v/>
      </c>
      <c r="B84" s="41">
        <f>'MB51'!A84</f>
        <v>0</v>
      </c>
      <c r="C84" s="60" t="str">
        <f>IFERROR(VLOOKUP(B84,'MB51'!A:I,9,0),"")</f>
        <v/>
      </c>
      <c r="D84" s="61" t="str">
        <f>IFERROR(VLOOKUP(B84,'MB51'!A:J,10,0),"")</f>
        <v/>
      </c>
      <c r="E84" s="62" t="str">
        <f>IFERROR(VLOOKUP(B84,'MB51'!A:K,11,0),"")</f>
        <v/>
      </c>
      <c r="F84" s="42" t="str">
        <f>IFERROR(VLOOKUP(B84,'MB51'!A:F,6,0),"")</f>
        <v/>
      </c>
      <c r="G84" s="17" t="str">
        <f t="shared" si="3"/>
        <v>點揀料單</v>
      </c>
      <c r="H84" s="17">
        <f t="shared" si="4"/>
        <v>0</v>
      </c>
      <c r="I84" t="str">
        <f t="shared" si="5"/>
        <v/>
      </c>
      <c r="J84" t="str">
        <f>SUBSTITUTE(IF(COUNTIF(I$2:I84,I84)&gt;1,"",1)," ","")</f>
        <v/>
      </c>
    </row>
    <row r="85" spans="1:10" x14ac:dyDescent="0.2">
      <c r="A85" s="51" t="str">
        <f>IFERROR(VLOOKUP(B85,點上線資訊!A:R,18,0),"")</f>
        <v/>
      </c>
      <c r="B85" s="41">
        <f>'MB51'!A85</f>
        <v>0</v>
      </c>
      <c r="C85" s="60" t="str">
        <f>IFERROR(VLOOKUP(B85,'MB51'!A:I,9,0),"")</f>
        <v/>
      </c>
      <c r="D85" s="61" t="str">
        <f>IFERROR(VLOOKUP(B85,'MB51'!A:J,10,0),"")</f>
        <v/>
      </c>
      <c r="E85" s="62" t="str">
        <f>IFERROR(VLOOKUP(B85,'MB51'!A:K,11,0),"")</f>
        <v/>
      </c>
      <c r="F85" s="42" t="str">
        <f>IFERROR(VLOOKUP(B85,'MB51'!A:F,6,0),"")</f>
        <v/>
      </c>
      <c r="G85" s="17" t="str">
        <f t="shared" si="3"/>
        <v>點揀料單</v>
      </c>
      <c r="H85" s="17">
        <f t="shared" si="4"/>
        <v>0</v>
      </c>
      <c r="I85" t="str">
        <f t="shared" si="5"/>
        <v/>
      </c>
      <c r="J85" t="str">
        <f>SUBSTITUTE(IF(COUNTIF(I$2:I85,I85)&gt;1,"",1)," ","")</f>
        <v/>
      </c>
    </row>
    <row r="86" spans="1:10" x14ac:dyDescent="0.2">
      <c r="A86" s="51" t="str">
        <f>IFERROR(VLOOKUP(B86,點上線資訊!A:R,18,0),"")</f>
        <v/>
      </c>
      <c r="B86" s="41">
        <f>'MB51'!A86</f>
        <v>0</v>
      </c>
      <c r="C86" s="60" t="str">
        <f>IFERROR(VLOOKUP(B86,'MB51'!A:I,9,0),"")</f>
        <v/>
      </c>
      <c r="D86" s="61" t="str">
        <f>IFERROR(VLOOKUP(B86,'MB51'!A:J,10,0),"")</f>
        <v/>
      </c>
      <c r="E86" s="62" t="str">
        <f>IFERROR(VLOOKUP(B86,'MB51'!A:K,11,0),"")</f>
        <v/>
      </c>
      <c r="F86" s="42" t="str">
        <f>IFERROR(VLOOKUP(B86,'MB51'!A:F,6,0),"")</f>
        <v/>
      </c>
      <c r="G86" s="17" t="str">
        <f t="shared" si="3"/>
        <v>點揀料單</v>
      </c>
      <c r="H86" s="17">
        <f t="shared" si="4"/>
        <v>0</v>
      </c>
      <c r="I86" t="str">
        <f t="shared" si="5"/>
        <v/>
      </c>
      <c r="J86" t="str">
        <f>SUBSTITUTE(IF(COUNTIF(I$2:I86,I86)&gt;1,"",1)," ","")</f>
        <v/>
      </c>
    </row>
    <row r="87" spans="1:10" x14ac:dyDescent="0.2">
      <c r="A87" s="51" t="str">
        <f>IFERROR(VLOOKUP(B87,點上線資訊!A:R,18,0),"")</f>
        <v/>
      </c>
      <c r="B87" s="41">
        <f>'MB51'!A87</f>
        <v>0</v>
      </c>
      <c r="C87" s="60" t="str">
        <f>IFERROR(VLOOKUP(B87,'MB51'!A:I,9,0),"")</f>
        <v/>
      </c>
      <c r="D87" s="61" t="str">
        <f>IFERROR(VLOOKUP(B87,'MB51'!A:J,10,0),"")</f>
        <v/>
      </c>
      <c r="E87" s="62" t="str">
        <f>IFERROR(VLOOKUP(B87,'MB51'!A:K,11,0),"")</f>
        <v/>
      </c>
      <c r="F87" s="42" t="str">
        <f>IFERROR(VLOOKUP(B87,'MB51'!A:F,6,0),"")</f>
        <v/>
      </c>
      <c r="G87" s="17" t="str">
        <f t="shared" si="3"/>
        <v>點揀料單</v>
      </c>
      <c r="H87" s="17">
        <f t="shared" si="4"/>
        <v>0</v>
      </c>
      <c r="I87" t="str">
        <f t="shared" si="5"/>
        <v/>
      </c>
      <c r="J87" t="str">
        <f>SUBSTITUTE(IF(COUNTIF(I$2:I87,I87)&gt;1,"",1)," ","")</f>
        <v/>
      </c>
    </row>
    <row r="88" spans="1:10" x14ac:dyDescent="0.2">
      <c r="A88" s="51" t="str">
        <f>IFERROR(VLOOKUP(B88,點上線資訊!A:R,18,0),"")</f>
        <v/>
      </c>
      <c r="B88" s="41">
        <f>'MB51'!A88</f>
        <v>0</v>
      </c>
      <c r="C88" s="60" t="str">
        <f>IFERROR(VLOOKUP(B88,'MB51'!A:I,9,0),"")</f>
        <v/>
      </c>
      <c r="D88" s="61" t="str">
        <f>IFERROR(VLOOKUP(B88,'MB51'!A:J,10,0),"")</f>
        <v/>
      </c>
      <c r="E88" s="62" t="str">
        <f>IFERROR(VLOOKUP(B88,'MB51'!A:K,11,0),"")</f>
        <v/>
      </c>
      <c r="F88" s="42" t="str">
        <f>IFERROR(VLOOKUP(B88,'MB51'!A:F,6,0),"")</f>
        <v/>
      </c>
      <c r="G88" s="17" t="str">
        <f t="shared" si="3"/>
        <v>點揀料單</v>
      </c>
      <c r="H88" s="17">
        <f t="shared" si="4"/>
        <v>0</v>
      </c>
      <c r="I88" t="str">
        <f t="shared" si="5"/>
        <v/>
      </c>
      <c r="J88" t="str">
        <f>SUBSTITUTE(IF(COUNTIF(I$2:I88,I88)&gt;1,"",1)," ","")</f>
        <v/>
      </c>
    </row>
    <row r="89" spans="1:10" x14ac:dyDescent="0.2">
      <c r="A89" s="51" t="str">
        <f>IFERROR(VLOOKUP(B89,點上線資訊!A:R,18,0),"")</f>
        <v/>
      </c>
      <c r="B89" s="41">
        <f>'MB51'!A89</f>
        <v>0</v>
      </c>
      <c r="C89" s="60" t="str">
        <f>IFERROR(VLOOKUP(B89,'MB51'!A:I,9,0),"")</f>
        <v/>
      </c>
      <c r="D89" s="61" t="str">
        <f>IFERROR(VLOOKUP(B89,'MB51'!A:J,10,0),"")</f>
        <v/>
      </c>
      <c r="E89" s="62" t="str">
        <f>IFERROR(VLOOKUP(B89,'MB51'!A:K,11,0),"")</f>
        <v/>
      </c>
      <c r="F89" s="42" t="str">
        <f>IFERROR(VLOOKUP(B89,'MB51'!A:F,6,0),"")</f>
        <v/>
      </c>
      <c r="G89" s="17" t="str">
        <f t="shared" si="3"/>
        <v>點揀料單</v>
      </c>
      <c r="H89" s="17">
        <f t="shared" si="4"/>
        <v>0</v>
      </c>
      <c r="I89" t="str">
        <f t="shared" si="5"/>
        <v/>
      </c>
      <c r="J89" t="str">
        <f>SUBSTITUTE(IF(COUNTIF(I$2:I89,I89)&gt;1,"",1)," ","")</f>
        <v/>
      </c>
    </row>
    <row r="90" spans="1:10" x14ac:dyDescent="0.2">
      <c r="A90" s="51" t="str">
        <f>IFERROR(VLOOKUP(B90,點上線資訊!A:R,18,0),"")</f>
        <v/>
      </c>
      <c r="B90" s="41">
        <f>'MB51'!A90</f>
        <v>0</v>
      </c>
      <c r="C90" s="60" t="str">
        <f>IFERROR(VLOOKUP(B90,'MB51'!A:I,9,0),"")</f>
        <v/>
      </c>
      <c r="D90" s="61" t="str">
        <f>IFERROR(VLOOKUP(B90,'MB51'!A:J,10,0),"")</f>
        <v/>
      </c>
      <c r="E90" s="62" t="str">
        <f>IFERROR(VLOOKUP(B90,'MB51'!A:K,11,0),"")</f>
        <v/>
      </c>
      <c r="F90" s="42" t="str">
        <f>IFERROR(VLOOKUP(B90,'MB51'!A:F,6,0),"")</f>
        <v/>
      </c>
      <c r="G90" s="17" t="str">
        <f t="shared" si="3"/>
        <v>點揀料單</v>
      </c>
      <c r="H90" s="17">
        <f t="shared" si="4"/>
        <v>0</v>
      </c>
      <c r="I90" t="str">
        <f t="shared" si="5"/>
        <v/>
      </c>
      <c r="J90" t="str">
        <f>SUBSTITUTE(IF(COUNTIF(I$2:I90,I90)&gt;1,"",1)," ","")</f>
        <v/>
      </c>
    </row>
    <row r="91" spans="1:10" x14ac:dyDescent="0.2">
      <c r="A91" s="51" t="str">
        <f>IFERROR(VLOOKUP(B91,點上線資訊!A:R,18,0),"")</f>
        <v/>
      </c>
      <c r="B91" s="41">
        <f>'MB51'!A91</f>
        <v>0</v>
      </c>
      <c r="C91" s="60" t="str">
        <f>IFERROR(VLOOKUP(B91,'MB51'!A:I,9,0),"")</f>
        <v/>
      </c>
      <c r="D91" s="61" t="str">
        <f>IFERROR(VLOOKUP(B91,'MB51'!A:J,10,0),"")</f>
        <v/>
      </c>
      <c r="E91" s="62" t="str">
        <f>IFERROR(VLOOKUP(B91,'MB51'!A:K,11,0),"")</f>
        <v/>
      </c>
      <c r="F91" s="42" t="str">
        <f>IFERROR(VLOOKUP(B91,'MB51'!A:F,6,0),"")</f>
        <v/>
      </c>
      <c r="G91" s="17" t="str">
        <f t="shared" si="3"/>
        <v>點揀料單</v>
      </c>
      <c r="H91" s="17">
        <f t="shared" si="4"/>
        <v>0</v>
      </c>
      <c r="I91" t="str">
        <f t="shared" si="5"/>
        <v/>
      </c>
      <c r="J91" t="str">
        <f>SUBSTITUTE(IF(COUNTIF(I$2:I91,I91)&gt;1,"",1)," ","")</f>
        <v/>
      </c>
    </row>
    <row r="92" spans="1:10" x14ac:dyDescent="0.2">
      <c r="A92" s="51" t="str">
        <f>IFERROR(VLOOKUP(B92,點上線資訊!A:R,18,0),"")</f>
        <v/>
      </c>
      <c r="B92" s="41">
        <f>'MB51'!A92</f>
        <v>0</v>
      </c>
      <c r="C92" s="60" t="str">
        <f>IFERROR(VLOOKUP(B92,'MB51'!A:I,9,0),"")</f>
        <v/>
      </c>
      <c r="D92" s="61" t="str">
        <f>IFERROR(VLOOKUP(B92,'MB51'!A:J,10,0),"")</f>
        <v/>
      </c>
      <c r="E92" s="62" t="str">
        <f>IFERROR(VLOOKUP(B92,'MB51'!A:K,11,0),"")</f>
        <v/>
      </c>
      <c r="F92" s="42" t="str">
        <f>IFERROR(VLOOKUP(B92,'MB51'!A:F,6,0),"")</f>
        <v/>
      </c>
      <c r="G92" s="17" t="str">
        <f t="shared" si="3"/>
        <v>點揀料單</v>
      </c>
      <c r="H92" s="17">
        <f t="shared" si="4"/>
        <v>0</v>
      </c>
      <c r="I92" t="str">
        <f t="shared" si="5"/>
        <v/>
      </c>
      <c r="J92" t="str">
        <f>SUBSTITUTE(IF(COUNTIF(I$2:I92,I92)&gt;1,"",1)," ","")</f>
        <v/>
      </c>
    </row>
    <row r="93" spans="1:10" x14ac:dyDescent="0.2">
      <c r="A93" s="51" t="str">
        <f>IFERROR(VLOOKUP(B93,點上線資訊!A:R,18,0),"")</f>
        <v/>
      </c>
      <c r="B93" s="41">
        <f>'MB51'!A93</f>
        <v>0</v>
      </c>
      <c r="C93" s="60" t="str">
        <f>IFERROR(VLOOKUP(B93,'MB51'!A:I,9,0),"")</f>
        <v/>
      </c>
      <c r="D93" s="61" t="str">
        <f>IFERROR(VLOOKUP(B93,'MB51'!A:J,10,0),"")</f>
        <v/>
      </c>
      <c r="E93" s="62" t="str">
        <f>IFERROR(VLOOKUP(B93,'MB51'!A:K,11,0),"")</f>
        <v/>
      </c>
      <c r="F93" s="42" t="str">
        <f>IFERROR(VLOOKUP(B93,'MB51'!A:F,6,0),"")</f>
        <v/>
      </c>
      <c r="G93" s="17" t="str">
        <f t="shared" si="3"/>
        <v>點揀料單</v>
      </c>
      <c r="H93" s="17">
        <f t="shared" si="4"/>
        <v>0</v>
      </c>
      <c r="I93" t="str">
        <f t="shared" si="5"/>
        <v/>
      </c>
      <c r="J93" t="str">
        <f>SUBSTITUTE(IF(COUNTIF(I$2:I93,I93)&gt;1,"",1)," ","")</f>
        <v/>
      </c>
    </row>
    <row r="94" spans="1:10" x14ac:dyDescent="0.2">
      <c r="A94" s="51" t="str">
        <f>IFERROR(VLOOKUP(B94,點上線資訊!A:R,18,0),"")</f>
        <v/>
      </c>
      <c r="B94" s="41">
        <f>'MB51'!A94</f>
        <v>0</v>
      </c>
      <c r="C94" s="60" t="str">
        <f>IFERROR(VLOOKUP(B94,'MB51'!A:I,9,0),"")</f>
        <v/>
      </c>
      <c r="D94" s="61" t="str">
        <f>IFERROR(VLOOKUP(B94,'MB51'!A:J,10,0),"")</f>
        <v/>
      </c>
      <c r="E94" s="62" t="str">
        <f>IFERROR(VLOOKUP(B94,'MB51'!A:K,11,0),"")</f>
        <v/>
      </c>
      <c r="F94" s="42" t="str">
        <f>IFERROR(VLOOKUP(B94,'MB51'!A:F,6,0),"")</f>
        <v/>
      </c>
      <c r="G94" s="17" t="str">
        <f t="shared" si="3"/>
        <v>點揀料單</v>
      </c>
      <c r="H94" s="17">
        <f t="shared" si="4"/>
        <v>0</v>
      </c>
      <c r="I94" t="str">
        <f t="shared" si="5"/>
        <v/>
      </c>
      <c r="J94" t="str">
        <f>SUBSTITUTE(IF(COUNTIF(I$2:I94,I94)&gt;1,"",1)," ","")</f>
        <v/>
      </c>
    </row>
    <row r="95" spans="1:10" x14ac:dyDescent="0.2">
      <c r="A95" s="51" t="str">
        <f>IFERROR(VLOOKUP(B95,點上線資訊!A:R,18,0),"")</f>
        <v/>
      </c>
      <c r="B95" s="41">
        <f>'MB51'!A95</f>
        <v>0</v>
      </c>
      <c r="C95" s="60" t="str">
        <f>IFERROR(VLOOKUP(B95,'MB51'!A:I,9,0),"")</f>
        <v/>
      </c>
      <c r="D95" s="61" t="str">
        <f>IFERROR(VLOOKUP(B95,'MB51'!A:J,10,0),"")</f>
        <v/>
      </c>
      <c r="E95" s="62" t="str">
        <f>IFERROR(VLOOKUP(B95,'MB51'!A:K,11,0),"")</f>
        <v/>
      </c>
      <c r="F95" s="42" t="str">
        <f>IFERROR(VLOOKUP(B95,'MB51'!A:F,6,0),"")</f>
        <v/>
      </c>
      <c r="G95" s="17" t="str">
        <f t="shared" si="3"/>
        <v>點揀料單</v>
      </c>
      <c r="H95" s="17">
        <f t="shared" si="4"/>
        <v>0</v>
      </c>
      <c r="I95" t="str">
        <f t="shared" si="5"/>
        <v/>
      </c>
      <c r="J95" t="str">
        <f>SUBSTITUTE(IF(COUNTIF(I$2:I95,I95)&gt;1,"",1)," ","")</f>
        <v/>
      </c>
    </row>
    <row r="96" spans="1:10" x14ac:dyDescent="0.2">
      <c r="A96" s="51" t="str">
        <f>IFERROR(VLOOKUP(B96,點上線資訊!A:R,18,0),"")</f>
        <v/>
      </c>
      <c r="B96" s="41">
        <f>'MB51'!A96</f>
        <v>0</v>
      </c>
      <c r="C96" s="60" t="str">
        <f>IFERROR(VLOOKUP(B96,'MB51'!A:I,9,0),"")</f>
        <v/>
      </c>
      <c r="D96" s="61" t="str">
        <f>IFERROR(VLOOKUP(B96,'MB51'!A:J,10,0),"")</f>
        <v/>
      </c>
      <c r="E96" s="62" t="str">
        <f>IFERROR(VLOOKUP(B96,'MB51'!A:K,11,0),"")</f>
        <v/>
      </c>
      <c r="F96" s="42" t="str">
        <f>IFERROR(VLOOKUP(B96,'MB51'!A:F,6,0),"")</f>
        <v/>
      </c>
      <c r="G96" s="17" t="str">
        <f t="shared" si="3"/>
        <v>點揀料單</v>
      </c>
      <c r="H96" s="17">
        <f t="shared" si="4"/>
        <v>0</v>
      </c>
      <c r="I96" t="str">
        <f t="shared" si="5"/>
        <v/>
      </c>
      <c r="J96" t="str">
        <f>SUBSTITUTE(IF(COUNTIF(I$2:I96,I96)&gt;1,"",1)," ","")</f>
        <v/>
      </c>
    </row>
    <row r="97" spans="1:10" x14ac:dyDescent="0.2">
      <c r="A97" s="51" t="str">
        <f>IFERROR(VLOOKUP(B97,點上線資訊!A:R,18,0),"")</f>
        <v/>
      </c>
      <c r="B97" s="41">
        <f>'MB51'!A97</f>
        <v>0</v>
      </c>
      <c r="C97" s="60" t="str">
        <f>IFERROR(VLOOKUP(B97,'MB51'!A:I,9,0),"")</f>
        <v/>
      </c>
      <c r="D97" s="61" t="str">
        <f>IFERROR(VLOOKUP(B97,'MB51'!A:J,10,0),"")</f>
        <v/>
      </c>
      <c r="E97" s="62" t="str">
        <f>IFERROR(VLOOKUP(B97,'MB51'!A:K,11,0),"")</f>
        <v/>
      </c>
      <c r="F97" s="42" t="str">
        <f>IFERROR(VLOOKUP(B97,'MB51'!A:F,6,0),"")</f>
        <v/>
      </c>
      <c r="G97" s="17" t="str">
        <f t="shared" si="3"/>
        <v>點揀料單</v>
      </c>
      <c r="H97" s="17">
        <f t="shared" si="4"/>
        <v>0</v>
      </c>
      <c r="I97" t="str">
        <f t="shared" si="5"/>
        <v/>
      </c>
      <c r="J97" t="str">
        <f>SUBSTITUTE(IF(COUNTIF(I$2:I97,I97)&gt;1,"",1)," ","")</f>
        <v/>
      </c>
    </row>
    <row r="98" spans="1:10" x14ac:dyDescent="0.2">
      <c r="A98" s="51" t="str">
        <f>IFERROR(VLOOKUP(B98,點上線資訊!A:R,18,0),"")</f>
        <v/>
      </c>
      <c r="B98" s="41">
        <f>'MB51'!A98</f>
        <v>0</v>
      </c>
      <c r="C98" s="60" t="str">
        <f>IFERROR(VLOOKUP(B98,'MB51'!A:I,9,0),"")</f>
        <v/>
      </c>
      <c r="D98" s="61" t="str">
        <f>IFERROR(VLOOKUP(B98,'MB51'!A:J,10,0),"")</f>
        <v/>
      </c>
      <c r="E98" s="62" t="str">
        <f>IFERROR(VLOOKUP(B98,'MB51'!A:K,11,0),"")</f>
        <v/>
      </c>
      <c r="F98" s="42" t="str">
        <f>IFERROR(VLOOKUP(B98,'MB51'!A:F,6,0),"")</f>
        <v/>
      </c>
      <c r="G98" s="17" t="str">
        <f t="shared" si="3"/>
        <v>點揀料單</v>
      </c>
      <c r="H98" s="17">
        <f t="shared" si="4"/>
        <v>0</v>
      </c>
      <c r="I98" t="str">
        <f t="shared" si="5"/>
        <v/>
      </c>
      <c r="J98" t="str">
        <f>SUBSTITUTE(IF(COUNTIF(I$2:I98,I98)&gt;1,"",1)," ","")</f>
        <v/>
      </c>
    </row>
    <row r="99" spans="1:10" x14ac:dyDescent="0.2">
      <c r="A99" s="51" t="str">
        <f>IFERROR(VLOOKUP(B99,點上線資訊!A:R,18,0),"")</f>
        <v/>
      </c>
      <c r="B99" s="41">
        <f>'MB51'!A99</f>
        <v>0</v>
      </c>
      <c r="C99" s="60" t="str">
        <f>IFERROR(VLOOKUP(B99,'MB51'!A:I,9,0),"")</f>
        <v/>
      </c>
      <c r="D99" s="61" t="str">
        <f>IFERROR(VLOOKUP(B99,'MB51'!A:J,10,0),"")</f>
        <v/>
      </c>
      <c r="E99" s="62" t="str">
        <f>IFERROR(VLOOKUP(B99,'MB51'!A:K,11,0),"")</f>
        <v/>
      </c>
      <c r="F99" s="42" t="str">
        <f>IFERROR(VLOOKUP(B99,'MB51'!A:F,6,0),"")</f>
        <v/>
      </c>
      <c r="G99" s="17" t="str">
        <f t="shared" si="3"/>
        <v>點揀料單</v>
      </c>
      <c r="H99" s="17">
        <f t="shared" si="4"/>
        <v>0</v>
      </c>
      <c r="I99" t="str">
        <f t="shared" si="5"/>
        <v/>
      </c>
      <c r="J99" t="str">
        <f>SUBSTITUTE(IF(COUNTIF(I$2:I99,I99)&gt;1,"",1)," ","")</f>
        <v/>
      </c>
    </row>
    <row r="100" spans="1:10" x14ac:dyDescent="0.2">
      <c r="A100" s="51" t="str">
        <f>IFERROR(VLOOKUP(B100,點上線資訊!A:R,18,0),"")</f>
        <v/>
      </c>
      <c r="B100" s="41">
        <f>'MB51'!A100</f>
        <v>0</v>
      </c>
      <c r="C100" s="60" t="str">
        <f>IFERROR(VLOOKUP(B100,'MB51'!A:I,9,0),"")</f>
        <v/>
      </c>
      <c r="D100" s="61" t="str">
        <f>IFERROR(VLOOKUP(B100,'MB51'!A:J,10,0),"")</f>
        <v/>
      </c>
      <c r="E100" s="62" t="str">
        <f>IFERROR(VLOOKUP(B100,'MB51'!A:K,11,0),"")</f>
        <v/>
      </c>
      <c r="F100" s="42" t="str">
        <f>IFERROR(VLOOKUP(B100,'MB51'!A:F,6,0),"")</f>
        <v/>
      </c>
      <c r="G100" s="17" t="str">
        <f t="shared" si="3"/>
        <v>點揀料單</v>
      </c>
      <c r="H100" s="17">
        <f t="shared" si="4"/>
        <v>0</v>
      </c>
      <c r="I100" t="str">
        <f t="shared" si="5"/>
        <v/>
      </c>
      <c r="J100" t="str">
        <f>SUBSTITUTE(IF(COUNTIF(I$2:I100,I100)&gt;1,"",1)," ","")</f>
        <v/>
      </c>
    </row>
    <row r="101" spans="1:10" x14ac:dyDescent="0.2">
      <c r="A101" s="51" t="str">
        <f>IFERROR(VLOOKUP(B101,點上線資訊!A:R,18,0),"")</f>
        <v/>
      </c>
      <c r="B101" s="41">
        <f>'MB51'!A101</f>
        <v>0</v>
      </c>
      <c r="C101" s="60" t="str">
        <f>IFERROR(VLOOKUP(B101,'MB51'!A:I,9,0),"")</f>
        <v/>
      </c>
      <c r="D101" s="61" t="str">
        <f>IFERROR(VLOOKUP(B101,'MB51'!A:J,10,0),"")</f>
        <v/>
      </c>
      <c r="E101" s="62" t="str">
        <f>IFERROR(VLOOKUP(B101,'MB51'!A:K,11,0),"")</f>
        <v/>
      </c>
      <c r="F101" s="42" t="str">
        <f>IFERROR(VLOOKUP(B101,'MB51'!A:F,6,0),"")</f>
        <v/>
      </c>
      <c r="G101" s="17" t="str">
        <f t="shared" si="3"/>
        <v>點揀料單</v>
      </c>
      <c r="H101" s="17">
        <f t="shared" si="4"/>
        <v>0</v>
      </c>
      <c r="I101" t="str">
        <f t="shared" si="5"/>
        <v/>
      </c>
      <c r="J101" t="str">
        <f>SUBSTITUTE(IF(COUNTIF(I$2:I101,I101)&gt;1,"",1)," ","")</f>
        <v/>
      </c>
    </row>
    <row r="102" spans="1:10" x14ac:dyDescent="0.2">
      <c r="A102" s="51" t="str">
        <f>IFERROR(VLOOKUP(B102,點上線資訊!A:R,18,0),"")</f>
        <v/>
      </c>
      <c r="B102" s="41">
        <f>'MB51'!A102</f>
        <v>0</v>
      </c>
      <c r="C102" s="60" t="str">
        <f>IFERROR(VLOOKUP(B102,'MB51'!A:I,9,0),"")</f>
        <v/>
      </c>
      <c r="D102" s="61" t="str">
        <f>IFERROR(VLOOKUP(B102,'MB51'!A:J,10,0),"")</f>
        <v/>
      </c>
      <c r="E102" s="62" t="str">
        <f>IFERROR(VLOOKUP(B102,'MB51'!A:K,11,0),"")</f>
        <v/>
      </c>
      <c r="F102" s="42" t="str">
        <f>IFERROR(VLOOKUP(B102,'MB51'!A:F,6,0),"")</f>
        <v/>
      </c>
      <c r="G102" s="17" t="str">
        <f t="shared" si="3"/>
        <v>點揀料單</v>
      </c>
      <c r="H102" s="17">
        <f t="shared" si="4"/>
        <v>0</v>
      </c>
      <c r="I102" t="str">
        <f t="shared" si="5"/>
        <v/>
      </c>
      <c r="J102" t="str">
        <f>SUBSTITUTE(IF(COUNTIF(I$2:I102,I102)&gt;1,"",1)," ","")</f>
        <v/>
      </c>
    </row>
    <row r="103" spans="1:10" x14ac:dyDescent="0.2">
      <c r="A103" s="51" t="str">
        <f>IFERROR(VLOOKUP(B103,點上線資訊!A:R,18,0),"")</f>
        <v/>
      </c>
      <c r="B103" s="41">
        <f>'MB51'!A103</f>
        <v>0</v>
      </c>
      <c r="C103" s="60" t="str">
        <f>IFERROR(VLOOKUP(B103,'MB51'!A:I,9,0),"")</f>
        <v/>
      </c>
      <c r="D103" s="61" t="str">
        <f>IFERROR(VLOOKUP(B103,'MB51'!A:J,10,0),"")</f>
        <v/>
      </c>
      <c r="E103" s="62" t="str">
        <f>IFERROR(VLOOKUP(B103,'MB51'!A:K,11,0),"")</f>
        <v/>
      </c>
      <c r="F103" s="42" t="str">
        <f>IFERROR(VLOOKUP(B103,'MB51'!A:F,6,0),"")</f>
        <v/>
      </c>
      <c r="G103" s="17" t="str">
        <f t="shared" si="3"/>
        <v>點揀料單</v>
      </c>
      <c r="H103" s="17">
        <f t="shared" si="4"/>
        <v>0</v>
      </c>
      <c r="I103" t="str">
        <f t="shared" si="5"/>
        <v/>
      </c>
      <c r="J103" t="str">
        <f>SUBSTITUTE(IF(COUNTIF(I$2:I103,I103)&gt;1,"",1)," ","")</f>
        <v/>
      </c>
    </row>
    <row r="104" spans="1:10" x14ac:dyDescent="0.2">
      <c r="A104" s="51" t="str">
        <f>IFERROR(VLOOKUP(B104,點上線資訊!A:R,18,0),"")</f>
        <v/>
      </c>
      <c r="B104" s="41">
        <f>'MB51'!A104</f>
        <v>0</v>
      </c>
      <c r="C104" s="60" t="str">
        <f>IFERROR(VLOOKUP(B104,'MB51'!A:I,9,0),"")</f>
        <v/>
      </c>
      <c r="D104" s="61" t="str">
        <f>IFERROR(VLOOKUP(B104,'MB51'!A:J,10,0),"")</f>
        <v/>
      </c>
      <c r="E104" s="62" t="str">
        <f>IFERROR(VLOOKUP(B104,'MB51'!A:K,11,0),"")</f>
        <v/>
      </c>
      <c r="F104" s="42" t="str">
        <f>IFERROR(VLOOKUP(B104,'MB51'!A:F,6,0),"")</f>
        <v/>
      </c>
      <c r="G104" s="17" t="str">
        <f t="shared" si="3"/>
        <v>點揀料單</v>
      </c>
      <c r="H104" s="17">
        <f t="shared" si="4"/>
        <v>0</v>
      </c>
      <c r="I104" t="str">
        <f t="shared" si="5"/>
        <v/>
      </c>
      <c r="J104" t="str">
        <f>SUBSTITUTE(IF(COUNTIF(I$2:I104,I104)&gt;1,"",1)," ","")</f>
        <v/>
      </c>
    </row>
    <row r="105" spans="1:10" x14ac:dyDescent="0.2">
      <c r="A105" s="51" t="str">
        <f>IFERROR(VLOOKUP(B105,點上線資訊!A:R,18,0),"")</f>
        <v/>
      </c>
      <c r="B105" s="41">
        <f>'MB51'!A105</f>
        <v>0</v>
      </c>
      <c r="C105" s="60" t="str">
        <f>IFERROR(VLOOKUP(B105,'MB51'!A:I,9,0),"")</f>
        <v/>
      </c>
      <c r="D105" s="61" t="str">
        <f>IFERROR(VLOOKUP(B105,'MB51'!A:J,10,0),"")</f>
        <v/>
      </c>
      <c r="E105" s="62" t="str">
        <f>IFERROR(VLOOKUP(B105,'MB51'!A:K,11,0),"")</f>
        <v/>
      </c>
      <c r="F105" s="42" t="str">
        <f>IFERROR(VLOOKUP(B105,'MB51'!A:F,6,0),"")</f>
        <v/>
      </c>
      <c r="G105" s="17" t="str">
        <f t="shared" si="3"/>
        <v>點揀料單</v>
      </c>
      <c r="H105" s="17">
        <f t="shared" si="4"/>
        <v>0</v>
      </c>
      <c r="I105" t="str">
        <f t="shared" si="5"/>
        <v/>
      </c>
      <c r="J105" t="str">
        <f>SUBSTITUTE(IF(COUNTIF(I$2:I105,I105)&gt;1,"",1)," ","")</f>
        <v/>
      </c>
    </row>
    <row r="106" spans="1:10" x14ac:dyDescent="0.2">
      <c r="A106" s="51" t="str">
        <f>IFERROR(VLOOKUP(B106,點上線資訊!A:R,18,0),"")</f>
        <v/>
      </c>
      <c r="B106" s="41">
        <f>'MB51'!A106</f>
        <v>0</v>
      </c>
      <c r="C106" s="60" t="str">
        <f>IFERROR(VLOOKUP(B106,'MB51'!A:I,9,0),"")</f>
        <v/>
      </c>
      <c r="D106" s="61" t="str">
        <f>IFERROR(VLOOKUP(B106,'MB51'!A:J,10,0),"")</f>
        <v/>
      </c>
      <c r="E106" s="62" t="str">
        <f>IFERROR(VLOOKUP(B106,'MB51'!A:K,11,0),"")</f>
        <v/>
      </c>
      <c r="F106" s="42" t="str">
        <f>IFERROR(VLOOKUP(B106,'MB51'!A:F,6,0),"")</f>
        <v/>
      </c>
      <c r="G106" s="17" t="str">
        <f t="shared" si="3"/>
        <v>點揀料單</v>
      </c>
      <c r="H106" s="17">
        <f t="shared" si="4"/>
        <v>0</v>
      </c>
      <c r="I106" t="str">
        <f t="shared" si="5"/>
        <v/>
      </c>
      <c r="J106" t="str">
        <f>SUBSTITUTE(IF(COUNTIF(I$2:I106,I106)&gt;1,"",1)," ","")</f>
        <v/>
      </c>
    </row>
    <row r="107" spans="1:10" x14ac:dyDescent="0.2">
      <c r="A107" s="51" t="str">
        <f>IFERROR(VLOOKUP(B107,點上線資訊!A:R,18,0),"")</f>
        <v/>
      </c>
      <c r="B107" s="41">
        <f>'MB51'!A107</f>
        <v>0</v>
      </c>
      <c r="C107" s="60" t="str">
        <f>IFERROR(VLOOKUP(B107,'MB51'!A:I,9,0),"")</f>
        <v/>
      </c>
      <c r="D107" s="61" t="str">
        <f>IFERROR(VLOOKUP(B107,'MB51'!A:J,10,0),"")</f>
        <v/>
      </c>
      <c r="E107" s="62" t="str">
        <f>IFERROR(VLOOKUP(B107,'MB51'!A:K,11,0),"")</f>
        <v/>
      </c>
      <c r="F107" s="42" t="str">
        <f>IFERROR(VLOOKUP(B107,'MB51'!A:F,6,0),"")</f>
        <v/>
      </c>
      <c r="G107" s="17" t="str">
        <f t="shared" si="3"/>
        <v>點揀料單</v>
      </c>
      <c r="H107" s="17">
        <f t="shared" si="4"/>
        <v>0</v>
      </c>
      <c r="I107" t="str">
        <f t="shared" si="5"/>
        <v/>
      </c>
      <c r="J107" t="str">
        <f>SUBSTITUTE(IF(COUNTIF(I$2:I107,I107)&gt;1,"",1)," ","")</f>
        <v/>
      </c>
    </row>
    <row r="108" spans="1:10" x14ac:dyDescent="0.2">
      <c r="A108" s="51" t="str">
        <f>IFERROR(VLOOKUP(B108,點上線資訊!A:R,18,0),"")</f>
        <v/>
      </c>
      <c r="B108" s="41">
        <f>'MB51'!A108</f>
        <v>0</v>
      </c>
      <c r="C108" s="60" t="str">
        <f>IFERROR(VLOOKUP(B108,'MB51'!A:I,9,0),"")</f>
        <v/>
      </c>
      <c r="D108" s="61" t="str">
        <f>IFERROR(VLOOKUP(B108,'MB51'!A:J,10,0),"")</f>
        <v/>
      </c>
      <c r="E108" s="62" t="str">
        <f>IFERROR(VLOOKUP(B108,'MB51'!A:K,11,0),"")</f>
        <v/>
      </c>
      <c r="F108" s="42" t="str">
        <f>IFERROR(VLOOKUP(B108,'MB51'!A:F,6,0),"")</f>
        <v/>
      </c>
      <c r="G108" s="17" t="str">
        <f t="shared" si="3"/>
        <v>點揀料單</v>
      </c>
      <c r="H108" s="17">
        <f t="shared" si="4"/>
        <v>0</v>
      </c>
      <c r="I108" t="str">
        <f t="shared" si="5"/>
        <v/>
      </c>
      <c r="J108" t="str">
        <f>SUBSTITUTE(IF(COUNTIF(I$2:I108,I108)&gt;1,"",1)," ","")</f>
        <v/>
      </c>
    </row>
    <row r="109" spans="1:10" x14ac:dyDescent="0.2">
      <c r="A109" s="51" t="str">
        <f>IFERROR(VLOOKUP(B109,點上線資訊!A:R,18,0),"")</f>
        <v/>
      </c>
      <c r="B109" s="41">
        <f>'MB51'!A109</f>
        <v>0</v>
      </c>
      <c r="C109" s="60" t="str">
        <f>IFERROR(VLOOKUP(B109,'MB51'!A:I,9,0),"")</f>
        <v/>
      </c>
      <c r="D109" s="61" t="str">
        <f>IFERROR(VLOOKUP(B109,'MB51'!A:J,10,0),"")</f>
        <v/>
      </c>
      <c r="E109" s="62" t="str">
        <f>IFERROR(VLOOKUP(B109,'MB51'!A:K,11,0),"")</f>
        <v/>
      </c>
      <c r="F109" s="42" t="str">
        <f>IFERROR(VLOOKUP(B109,'MB51'!A:F,6,0),"")</f>
        <v/>
      </c>
      <c r="G109" s="17" t="str">
        <f t="shared" si="3"/>
        <v>點揀料單</v>
      </c>
      <c r="H109" s="17">
        <f t="shared" si="4"/>
        <v>0</v>
      </c>
      <c r="I109" t="str">
        <f t="shared" si="5"/>
        <v/>
      </c>
      <c r="J109" t="str">
        <f>SUBSTITUTE(IF(COUNTIF(I$2:I109,I109)&gt;1,"",1)," ","")</f>
        <v/>
      </c>
    </row>
    <row r="110" spans="1:10" x14ac:dyDescent="0.2">
      <c r="A110" s="51" t="str">
        <f>IFERROR(VLOOKUP(B110,點上線資訊!A:R,18,0),"")</f>
        <v/>
      </c>
      <c r="B110" s="41">
        <f>'MB51'!A110</f>
        <v>0</v>
      </c>
      <c r="C110" s="60" t="str">
        <f>IFERROR(VLOOKUP(B110,'MB51'!A:I,9,0),"")</f>
        <v/>
      </c>
      <c r="D110" s="61" t="str">
        <f>IFERROR(VLOOKUP(B110,'MB51'!A:J,10,0),"")</f>
        <v/>
      </c>
      <c r="E110" s="62" t="str">
        <f>IFERROR(VLOOKUP(B110,'MB51'!A:K,11,0),"")</f>
        <v/>
      </c>
      <c r="F110" s="42" t="str">
        <f>IFERROR(VLOOKUP(B110,'MB51'!A:F,6,0),"")</f>
        <v/>
      </c>
      <c r="G110" s="17" t="str">
        <f t="shared" si="3"/>
        <v>點揀料單</v>
      </c>
      <c r="H110" s="17">
        <f t="shared" si="4"/>
        <v>0</v>
      </c>
      <c r="I110" t="str">
        <f t="shared" si="5"/>
        <v/>
      </c>
      <c r="J110" t="str">
        <f>SUBSTITUTE(IF(COUNTIF(I$2:I110,I110)&gt;1,"",1)," ","")</f>
        <v/>
      </c>
    </row>
    <row r="111" spans="1:10" x14ac:dyDescent="0.2">
      <c r="A111" s="51" t="str">
        <f>IFERROR(VLOOKUP(B111,點上線資訊!A:R,18,0),"")</f>
        <v/>
      </c>
      <c r="B111" s="41">
        <f>'MB51'!A111</f>
        <v>0</v>
      </c>
      <c r="C111" s="60" t="str">
        <f>IFERROR(VLOOKUP(B111,'MB51'!A:I,9,0),"")</f>
        <v/>
      </c>
      <c r="D111" s="61" t="str">
        <f>IFERROR(VLOOKUP(B111,'MB51'!A:J,10,0),"")</f>
        <v/>
      </c>
      <c r="E111" s="62" t="str">
        <f>IFERROR(VLOOKUP(B111,'MB51'!A:K,11,0),"")</f>
        <v/>
      </c>
      <c r="F111" s="42" t="str">
        <f>IFERROR(VLOOKUP(B111,'MB51'!A:F,6,0),"")</f>
        <v/>
      </c>
      <c r="G111" s="17" t="str">
        <f t="shared" si="3"/>
        <v>點揀料單</v>
      </c>
      <c r="H111" s="17">
        <f t="shared" si="4"/>
        <v>0</v>
      </c>
      <c r="I111" t="str">
        <f t="shared" si="5"/>
        <v/>
      </c>
      <c r="J111" t="str">
        <f>SUBSTITUTE(IF(COUNTIF(I$2:I111,I111)&gt;1,"",1)," ","")</f>
        <v/>
      </c>
    </row>
    <row r="112" spans="1:10" x14ac:dyDescent="0.2">
      <c r="A112" s="51" t="str">
        <f>IFERROR(VLOOKUP(B112,點上線資訊!A:R,18,0),"")</f>
        <v/>
      </c>
      <c r="B112" s="41">
        <f>'MB51'!A112</f>
        <v>0</v>
      </c>
      <c r="C112" s="60" t="str">
        <f>IFERROR(VLOOKUP(B112,'MB51'!A:I,9,0),"")</f>
        <v/>
      </c>
      <c r="D112" s="61" t="str">
        <f>IFERROR(VLOOKUP(B112,'MB51'!A:J,10,0),"")</f>
        <v/>
      </c>
      <c r="E112" s="62" t="str">
        <f>IFERROR(VLOOKUP(B112,'MB51'!A:K,11,0),"")</f>
        <v/>
      </c>
      <c r="F112" s="42" t="str">
        <f>IFERROR(VLOOKUP(B112,'MB51'!A:F,6,0),"")</f>
        <v/>
      </c>
      <c r="G112" s="17" t="str">
        <f t="shared" si="3"/>
        <v>點揀料單</v>
      </c>
      <c r="H112" s="17">
        <f t="shared" si="4"/>
        <v>0</v>
      </c>
      <c r="I112" t="str">
        <f t="shared" si="5"/>
        <v/>
      </c>
      <c r="J112" t="str">
        <f>SUBSTITUTE(IF(COUNTIF(I$2:I112,I112)&gt;1,"",1)," ","")</f>
        <v/>
      </c>
    </row>
    <row r="113" spans="1:10" x14ac:dyDescent="0.2">
      <c r="A113" s="51" t="str">
        <f>IFERROR(VLOOKUP(B113,點上線資訊!A:R,18,0),"")</f>
        <v/>
      </c>
      <c r="B113" s="41">
        <f>'MB51'!A113</f>
        <v>0</v>
      </c>
      <c r="C113" s="60" t="str">
        <f>IFERROR(VLOOKUP(B113,'MB51'!A:I,9,0),"")</f>
        <v/>
      </c>
      <c r="D113" s="61" t="str">
        <f>IFERROR(VLOOKUP(B113,'MB51'!A:J,10,0),"")</f>
        <v/>
      </c>
      <c r="E113" s="62" t="str">
        <f>IFERROR(VLOOKUP(B113,'MB51'!A:K,11,0),"")</f>
        <v/>
      </c>
      <c r="F113" s="42" t="str">
        <f>IFERROR(VLOOKUP(B113,'MB51'!A:F,6,0),"")</f>
        <v/>
      </c>
      <c r="G113" s="17" t="str">
        <f t="shared" si="3"/>
        <v>點揀料單</v>
      </c>
      <c r="H113" s="17">
        <f t="shared" si="4"/>
        <v>0</v>
      </c>
      <c r="I113" t="str">
        <f t="shared" si="5"/>
        <v/>
      </c>
      <c r="J113" t="str">
        <f>SUBSTITUTE(IF(COUNTIF(I$2:I113,I113)&gt;1,"",1)," ","")</f>
        <v/>
      </c>
    </row>
    <row r="114" spans="1:10" x14ac:dyDescent="0.2">
      <c r="A114" s="51" t="str">
        <f>IFERROR(VLOOKUP(B114,點上線資訊!A:R,18,0),"")</f>
        <v/>
      </c>
      <c r="B114" s="41">
        <f>'MB51'!A114</f>
        <v>0</v>
      </c>
      <c r="C114" s="60" t="str">
        <f>IFERROR(VLOOKUP(B114,'MB51'!A:I,9,0),"")</f>
        <v/>
      </c>
      <c r="D114" s="61" t="str">
        <f>IFERROR(VLOOKUP(B114,'MB51'!A:J,10,0),"")</f>
        <v/>
      </c>
      <c r="E114" s="62" t="str">
        <f>IFERROR(VLOOKUP(B114,'MB51'!A:K,11,0),"")</f>
        <v/>
      </c>
      <c r="F114" s="42" t="str">
        <f>IFERROR(VLOOKUP(B114,'MB51'!A:F,6,0),"")</f>
        <v/>
      </c>
      <c r="G114" s="17" t="str">
        <f t="shared" si="3"/>
        <v>點揀料單</v>
      </c>
      <c r="H114" s="17">
        <f t="shared" si="4"/>
        <v>0</v>
      </c>
      <c r="I114" t="str">
        <f t="shared" si="5"/>
        <v/>
      </c>
      <c r="J114" t="str">
        <f>SUBSTITUTE(IF(COUNTIF(I$2:I114,I114)&gt;1,"",1)," ","")</f>
        <v/>
      </c>
    </row>
    <row r="115" spans="1:10" x14ac:dyDescent="0.2">
      <c r="A115" s="51" t="str">
        <f>IFERROR(VLOOKUP(B115,點上線資訊!A:R,18,0),"")</f>
        <v/>
      </c>
      <c r="B115" s="41">
        <f>'MB51'!A115</f>
        <v>0</v>
      </c>
      <c r="C115" s="60" t="str">
        <f>IFERROR(VLOOKUP(B115,'MB51'!A:I,9,0),"")</f>
        <v/>
      </c>
      <c r="D115" s="61" t="str">
        <f>IFERROR(VLOOKUP(B115,'MB51'!A:J,10,0),"")</f>
        <v/>
      </c>
      <c r="E115" s="62" t="str">
        <f>IFERROR(VLOOKUP(B115,'MB51'!A:K,11,0),"")</f>
        <v/>
      </c>
      <c r="F115" s="42" t="str">
        <f>IFERROR(VLOOKUP(B115,'MB51'!A:F,6,0),"")</f>
        <v/>
      </c>
      <c r="G115" s="17" t="str">
        <f t="shared" si="3"/>
        <v>點揀料單</v>
      </c>
      <c r="H115" s="17">
        <f t="shared" si="4"/>
        <v>0</v>
      </c>
      <c r="I115" t="str">
        <f t="shared" si="5"/>
        <v/>
      </c>
      <c r="J115" t="str">
        <f>SUBSTITUTE(IF(COUNTIF(I$2:I115,I115)&gt;1,"",1)," ","")</f>
        <v/>
      </c>
    </row>
    <row r="116" spans="1:10" x14ac:dyDescent="0.2">
      <c r="A116" s="51" t="str">
        <f>IFERROR(VLOOKUP(B116,點上線資訊!A:R,18,0),"")</f>
        <v/>
      </c>
      <c r="B116" s="41">
        <f>'MB51'!A116</f>
        <v>0</v>
      </c>
      <c r="C116" s="60" t="str">
        <f>IFERROR(VLOOKUP(B116,'MB51'!A:I,9,0),"")</f>
        <v/>
      </c>
      <c r="D116" s="61" t="str">
        <f>IFERROR(VLOOKUP(B116,'MB51'!A:J,10,0),"")</f>
        <v/>
      </c>
      <c r="E116" s="62" t="str">
        <f>IFERROR(VLOOKUP(B116,'MB51'!A:K,11,0),"")</f>
        <v/>
      </c>
      <c r="F116" s="42" t="str">
        <f>IFERROR(VLOOKUP(B116,'MB51'!A:F,6,0),"")</f>
        <v/>
      </c>
      <c r="G116" s="17" t="str">
        <f t="shared" si="3"/>
        <v>點揀料單</v>
      </c>
      <c r="H116" s="17">
        <f t="shared" si="4"/>
        <v>0</v>
      </c>
      <c r="I116" t="str">
        <f t="shared" si="5"/>
        <v/>
      </c>
      <c r="J116" t="str">
        <f>SUBSTITUTE(IF(COUNTIF(I$2:I116,I116)&gt;1,"",1)," ","")</f>
        <v/>
      </c>
    </row>
    <row r="117" spans="1:10" x14ac:dyDescent="0.2">
      <c r="A117" s="51" t="str">
        <f>IFERROR(VLOOKUP(B117,點上線資訊!A:R,18,0),"")</f>
        <v/>
      </c>
      <c r="B117" s="41">
        <f>'MB51'!A117</f>
        <v>0</v>
      </c>
      <c r="C117" s="60" t="str">
        <f>IFERROR(VLOOKUP(B117,'MB51'!A:I,9,0),"")</f>
        <v/>
      </c>
      <c r="D117" s="61" t="str">
        <f>IFERROR(VLOOKUP(B117,'MB51'!A:J,10,0),"")</f>
        <v/>
      </c>
      <c r="E117" s="62" t="str">
        <f>IFERROR(VLOOKUP(B117,'MB51'!A:K,11,0),"")</f>
        <v/>
      </c>
      <c r="F117" s="42" t="str">
        <f>IFERROR(VLOOKUP(B117,'MB51'!A:F,6,0),"")</f>
        <v/>
      </c>
      <c r="G117" s="17" t="str">
        <f t="shared" si="3"/>
        <v>點揀料單</v>
      </c>
      <c r="H117" s="17">
        <f t="shared" si="4"/>
        <v>0</v>
      </c>
      <c r="I117" t="str">
        <f t="shared" si="5"/>
        <v/>
      </c>
      <c r="J117" t="str">
        <f>SUBSTITUTE(IF(COUNTIF(I$2:I117,I117)&gt;1,"",1)," ","")</f>
        <v/>
      </c>
    </row>
    <row r="118" spans="1:10" x14ac:dyDescent="0.2">
      <c r="A118" s="51" t="str">
        <f>IFERROR(VLOOKUP(B118,點上線資訊!A:R,18,0),"")</f>
        <v/>
      </c>
      <c r="B118" s="41">
        <f>'MB51'!A118</f>
        <v>0</v>
      </c>
      <c r="C118" s="60" t="str">
        <f>IFERROR(VLOOKUP(B118,'MB51'!A:I,9,0),"")</f>
        <v/>
      </c>
      <c r="D118" s="61" t="str">
        <f>IFERROR(VLOOKUP(B118,'MB51'!A:J,10,0),"")</f>
        <v/>
      </c>
      <c r="E118" s="62" t="str">
        <f>IFERROR(VLOOKUP(B118,'MB51'!A:K,11,0),"")</f>
        <v/>
      </c>
      <c r="F118" s="42" t="str">
        <f>IFERROR(VLOOKUP(B118,'MB51'!A:F,6,0),"")</f>
        <v/>
      </c>
      <c r="G118" s="17" t="str">
        <f t="shared" si="3"/>
        <v>點揀料單</v>
      </c>
      <c r="H118" s="17">
        <f t="shared" si="4"/>
        <v>0</v>
      </c>
      <c r="I118" t="str">
        <f t="shared" si="5"/>
        <v/>
      </c>
      <c r="J118" t="str">
        <f>SUBSTITUTE(IF(COUNTIF(I$2:I118,I118)&gt;1,"",1)," ","")</f>
        <v/>
      </c>
    </row>
    <row r="119" spans="1:10" x14ac:dyDescent="0.2">
      <c r="A119" s="51" t="str">
        <f>IFERROR(VLOOKUP(B119,點上線資訊!A:R,18,0),"")</f>
        <v/>
      </c>
      <c r="B119" s="41">
        <f>'MB51'!A119</f>
        <v>0</v>
      </c>
      <c r="C119" s="60" t="str">
        <f>IFERROR(VLOOKUP(B119,'MB51'!A:I,9,0),"")</f>
        <v/>
      </c>
      <c r="D119" s="61" t="str">
        <f>IFERROR(VLOOKUP(B119,'MB51'!A:J,10,0),"")</f>
        <v/>
      </c>
      <c r="E119" s="62" t="str">
        <f>IFERROR(VLOOKUP(B119,'MB51'!A:K,11,0),"")</f>
        <v/>
      </c>
      <c r="F119" s="42" t="str">
        <f>IFERROR(VLOOKUP(B119,'MB51'!A:F,6,0),"")</f>
        <v/>
      </c>
      <c r="G119" s="17" t="str">
        <f t="shared" si="3"/>
        <v>點揀料單</v>
      </c>
      <c r="H119" s="17">
        <f t="shared" si="4"/>
        <v>0</v>
      </c>
      <c r="I119" t="str">
        <f t="shared" si="5"/>
        <v/>
      </c>
      <c r="J119" t="str">
        <f>SUBSTITUTE(IF(COUNTIF(I$2:I119,I119)&gt;1,"",1)," ","")</f>
        <v/>
      </c>
    </row>
    <row r="120" spans="1:10" x14ac:dyDescent="0.2">
      <c r="A120" s="51" t="str">
        <f>IFERROR(VLOOKUP(B120,點上線資訊!A:R,18,0),"")</f>
        <v/>
      </c>
      <c r="B120" s="41">
        <f>'MB51'!A120</f>
        <v>0</v>
      </c>
      <c r="C120" s="60" t="str">
        <f>IFERROR(VLOOKUP(B120,'MB51'!A:I,9,0),"")</f>
        <v/>
      </c>
      <c r="D120" s="61" t="str">
        <f>IFERROR(VLOOKUP(B120,'MB51'!A:J,10,0),"")</f>
        <v/>
      </c>
      <c r="E120" s="62" t="str">
        <f>IFERROR(VLOOKUP(B120,'MB51'!A:K,11,0),"")</f>
        <v/>
      </c>
      <c r="F120" s="42" t="str">
        <f>IFERROR(VLOOKUP(B120,'MB51'!A:F,6,0),"")</f>
        <v/>
      </c>
      <c r="G120" s="17" t="str">
        <f t="shared" si="3"/>
        <v>點揀料單</v>
      </c>
      <c r="H120" s="17">
        <f t="shared" si="4"/>
        <v>0</v>
      </c>
      <c r="I120" t="str">
        <f t="shared" si="5"/>
        <v/>
      </c>
      <c r="J120" t="str">
        <f>SUBSTITUTE(IF(COUNTIF(I$2:I120,I120)&gt;1,"",1)," ","")</f>
        <v/>
      </c>
    </row>
    <row r="121" spans="1:10" x14ac:dyDescent="0.2">
      <c r="A121" s="51" t="str">
        <f>IFERROR(VLOOKUP(B121,點上線資訊!A:R,18,0),"")</f>
        <v/>
      </c>
      <c r="B121" s="41">
        <f>'MB51'!A121</f>
        <v>0</v>
      </c>
      <c r="C121" s="60" t="str">
        <f>IFERROR(VLOOKUP(B121,'MB51'!A:I,9,0),"")</f>
        <v/>
      </c>
      <c r="D121" s="61" t="str">
        <f>IFERROR(VLOOKUP(B121,'MB51'!A:J,10,0),"")</f>
        <v/>
      </c>
      <c r="E121" s="62" t="str">
        <f>IFERROR(VLOOKUP(B121,'MB51'!A:K,11,0),"")</f>
        <v/>
      </c>
      <c r="F121" s="42" t="str">
        <f>IFERROR(VLOOKUP(B121,'MB51'!A:F,6,0),"")</f>
        <v/>
      </c>
      <c r="G121" s="17" t="str">
        <f t="shared" si="3"/>
        <v>點揀料單</v>
      </c>
      <c r="H121" s="17">
        <f t="shared" si="4"/>
        <v>0</v>
      </c>
      <c r="I121" t="str">
        <f t="shared" si="5"/>
        <v/>
      </c>
      <c r="J121" t="str">
        <f>SUBSTITUTE(IF(COUNTIF(I$2:I121,I121)&gt;1,"",1)," ","")</f>
        <v/>
      </c>
    </row>
    <row r="122" spans="1:10" x14ac:dyDescent="0.2">
      <c r="A122" s="51" t="str">
        <f>IFERROR(VLOOKUP(B122,點上線資訊!A:R,18,0),"")</f>
        <v/>
      </c>
      <c r="B122" s="41">
        <f>'MB51'!A122</f>
        <v>0</v>
      </c>
      <c r="C122" s="60" t="str">
        <f>IFERROR(VLOOKUP(B122,'MB51'!A:I,9,0),"")</f>
        <v/>
      </c>
      <c r="D122" s="61" t="str">
        <f>IFERROR(VLOOKUP(B122,'MB51'!A:J,10,0),"")</f>
        <v/>
      </c>
      <c r="E122" s="62" t="str">
        <f>IFERROR(VLOOKUP(B122,'MB51'!A:K,11,0),"")</f>
        <v/>
      </c>
      <c r="F122" s="42" t="str">
        <f>IFERROR(VLOOKUP(B122,'MB51'!A:F,6,0),"")</f>
        <v/>
      </c>
      <c r="G122" s="17" t="str">
        <f t="shared" si="3"/>
        <v>點揀料單</v>
      </c>
      <c r="H122" s="17">
        <f t="shared" si="4"/>
        <v>0</v>
      </c>
      <c r="I122" t="str">
        <f t="shared" si="5"/>
        <v/>
      </c>
      <c r="J122" t="str">
        <f>SUBSTITUTE(IF(COUNTIF(I$2:I122,I122)&gt;1,"",1)," ","")</f>
        <v/>
      </c>
    </row>
    <row r="123" spans="1:10" x14ac:dyDescent="0.2">
      <c r="A123" s="51" t="str">
        <f>IFERROR(VLOOKUP(B123,點上線資訊!A:R,18,0),"")</f>
        <v/>
      </c>
      <c r="B123" s="41">
        <f>'MB51'!A123</f>
        <v>0</v>
      </c>
      <c r="C123" s="60" t="str">
        <f>IFERROR(VLOOKUP(B123,'MB51'!A:I,9,0),"")</f>
        <v/>
      </c>
      <c r="D123" s="61" t="str">
        <f>IFERROR(VLOOKUP(B123,'MB51'!A:J,10,0),"")</f>
        <v/>
      </c>
      <c r="E123" s="62" t="str">
        <f>IFERROR(VLOOKUP(B123,'MB51'!A:K,11,0),"")</f>
        <v/>
      </c>
      <c r="F123" s="42" t="str">
        <f>IFERROR(VLOOKUP(B123,'MB51'!A:F,6,0),"")</f>
        <v/>
      </c>
      <c r="G123" s="17" t="str">
        <f t="shared" si="3"/>
        <v>點揀料單</v>
      </c>
      <c r="H123" s="17">
        <f t="shared" si="4"/>
        <v>0</v>
      </c>
      <c r="I123" t="str">
        <f t="shared" si="5"/>
        <v/>
      </c>
      <c r="J123" t="str">
        <f>SUBSTITUTE(IF(COUNTIF(I$2:I123,I123)&gt;1,"",1)," ","")</f>
        <v/>
      </c>
    </row>
    <row r="124" spans="1:10" x14ac:dyDescent="0.2">
      <c r="A124" s="51" t="str">
        <f>IFERROR(VLOOKUP(B124,點上線資訊!A:R,18,0),"")</f>
        <v/>
      </c>
      <c r="B124" s="41">
        <f>'MB51'!A124</f>
        <v>0</v>
      </c>
      <c r="C124" s="60" t="str">
        <f>IFERROR(VLOOKUP(B124,'MB51'!A:I,9,0),"")</f>
        <v/>
      </c>
      <c r="D124" s="61" t="str">
        <f>IFERROR(VLOOKUP(B124,'MB51'!A:J,10,0),"")</f>
        <v/>
      </c>
      <c r="E124" s="62" t="str">
        <f>IFERROR(VLOOKUP(B124,'MB51'!A:K,11,0),"")</f>
        <v/>
      </c>
      <c r="F124" s="42" t="str">
        <f>IFERROR(VLOOKUP(B124,'MB51'!A:F,6,0),"")</f>
        <v/>
      </c>
      <c r="G124" s="17" t="str">
        <f t="shared" si="3"/>
        <v>點揀料單</v>
      </c>
      <c r="H124" s="17">
        <f t="shared" si="4"/>
        <v>0</v>
      </c>
      <c r="I124" t="str">
        <f t="shared" si="5"/>
        <v/>
      </c>
      <c r="J124" t="str">
        <f>SUBSTITUTE(IF(COUNTIF(I$2:I124,I124)&gt;1,"",1)," ","")</f>
        <v/>
      </c>
    </row>
    <row r="125" spans="1:10" x14ac:dyDescent="0.2">
      <c r="A125" s="51" t="str">
        <f>IFERROR(VLOOKUP(B125,點上線資訊!A:R,18,0),"")</f>
        <v/>
      </c>
      <c r="B125" s="41">
        <f>'MB51'!A125</f>
        <v>0</v>
      </c>
      <c r="C125" s="60" t="str">
        <f>IFERROR(VLOOKUP(B125,'MB51'!A:I,9,0),"")</f>
        <v/>
      </c>
      <c r="D125" s="61" t="str">
        <f>IFERROR(VLOOKUP(B125,'MB51'!A:J,10,0),"")</f>
        <v/>
      </c>
      <c r="E125" s="62" t="str">
        <f>IFERROR(VLOOKUP(B125,'MB51'!A:K,11,0),"")</f>
        <v/>
      </c>
      <c r="F125" s="42" t="str">
        <f>IFERROR(VLOOKUP(B125,'MB51'!A:F,6,0),"")</f>
        <v/>
      </c>
      <c r="G125" s="17" t="str">
        <f t="shared" si="3"/>
        <v>點揀料單</v>
      </c>
      <c r="H125" s="17">
        <f t="shared" si="4"/>
        <v>0</v>
      </c>
      <c r="I125" t="str">
        <f t="shared" si="5"/>
        <v/>
      </c>
      <c r="J125" t="str">
        <f>SUBSTITUTE(IF(COUNTIF(I$2:I125,I125)&gt;1,"",1)," ","")</f>
        <v/>
      </c>
    </row>
    <row r="126" spans="1:10" x14ac:dyDescent="0.2">
      <c r="A126" s="51" t="str">
        <f>IFERROR(VLOOKUP(B126,點上線資訊!A:R,18,0),"")</f>
        <v/>
      </c>
      <c r="B126" s="41">
        <f>'MB51'!A126</f>
        <v>0</v>
      </c>
      <c r="C126" s="60" t="str">
        <f>IFERROR(VLOOKUP(B126,'MB51'!A:I,9,0),"")</f>
        <v/>
      </c>
      <c r="D126" s="61" t="str">
        <f>IFERROR(VLOOKUP(B126,'MB51'!A:J,10,0),"")</f>
        <v/>
      </c>
      <c r="E126" s="62" t="str">
        <f>IFERROR(VLOOKUP(B126,'MB51'!A:K,11,0),"")</f>
        <v/>
      </c>
      <c r="F126" s="42" t="str">
        <f>IFERROR(VLOOKUP(B126,'MB51'!A:F,6,0),"")</f>
        <v/>
      </c>
      <c r="G126" s="17" t="str">
        <f t="shared" si="3"/>
        <v>點揀料單</v>
      </c>
      <c r="H126" s="17">
        <f t="shared" si="4"/>
        <v>0</v>
      </c>
      <c r="I126" t="str">
        <f t="shared" si="5"/>
        <v/>
      </c>
      <c r="J126" t="str">
        <f>SUBSTITUTE(IF(COUNTIF(I$2:I126,I126)&gt;1,"",1)," ","")</f>
        <v/>
      </c>
    </row>
    <row r="127" spans="1:10" x14ac:dyDescent="0.2">
      <c r="A127" s="51" t="str">
        <f>IFERROR(VLOOKUP(B127,點上線資訊!A:R,18,0),"")</f>
        <v/>
      </c>
      <c r="B127" s="41">
        <f>'MB51'!A127</f>
        <v>0</v>
      </c>
      <c r="C127" s="60" t="str">
        <f>IFERROR(VLOOKUP(B127,'MB51'!A:I,9,0),"")</f>
        <v/>
      </c>
      <c r="D127" s="61" t="str">
        <f>IFERROR(VLOOKUP(B127,'MB51'!A:J,10,0),"")</f>
        <v/>
      </c>
      <c r="E127" s="62" t="str">
        <f>IFERROR(VLOOKUP(B127,'MB51'!A:K,11,0),"")</f>
        <v/>
      </c>
      <c r="F127" s="42" t="str">
        <f>IFERROR(VLOOKUP(B127,'MB51'!A:F,6,0),"")</f>
        <v/>
      </c>
      <c r="G127" s="17" t="str">
        <f t="shared" si="3"/>
        <v>點揀料單</v>
      </c>
      <c r="H127" s="17">
        <f t="shared" si="4"/>
        <v>0</v>
      </c>
      <c r="I127" t="str">
        <f t="shared" si="5"/>
        <v/>
      </c>
      <c r="J127" t="str">
        <f>SUBSTITUTE(IF(COUNTIF(I$2:I127,I127)&gt;1,"",1)," ","")</f>
        <v/>
      </c>
    </row>
    <row r="128" spans="1:10" x14ac:dyDescent="0.2">
      <c r="A128" s="51" t="str">
        <f>IFERROR(VLOOKUP(B128,點上線資訊!A:R,18,0),"")</f>
        <v/>
      </c>
      <c r="B128" s="41">
        <f>'MB51'!A128</f>
        <v>0</v>
      </c>
      <c r="C128" s="60" t="str">
        <f>IFERROR(VLOOKUP(B128,'MB51'!A:I,9,0),"")</f>
        <v/>
      </c>
      <c r="D128" s="61" t="str">
        <f>IFERROR(VLOOKUP(B128,'MB51'!A:J,10,0),"")</f>
        <v/>
      </c>
      <c r="E128" s="62" t="str">
        <f>IFERROR(VLOOKUP(B128,'MB51'!A:K,11,0),"")</f>
        <v/>
      </c>
      <c r="F128" s="42" t="str">
        <f>IFERROR(VLOOKUP(B128,'MB51'!A:F,6,0),"")</f>
        <v/>
      </c>
      <c r="G128" s="17" t="str">
        <f t="shared" si="3"/>
        <v>點揀料單</v>
      </c>
      <c r="H128" s="17">
        <f t="shared" si="4"/>
        <v>0</v>
      </c>
      <c r="I128" t="str">
        <f t="shared" si="5"/>
        <v/>
      </c>
      <c r="J128" t="str">
        <f>SUBSTITUTE(IF(COUNTIF(I$2:I128,I128)&gt;1,"",1)," ","")</f>
        <v/>
      </c>
    </row>
    <row r="129" spans="1:10" x14ac:dyDescent="0.2">
      <c r="A129" s="51" t="str">
        <f>IFERROR(VLOOKUP(B129,點上線資訊!A:R,18,0),"")</f>
        <v/>
      </c>
      <c r="B129" s="41">
        <f>'MB51'!A129</f>
        <v>0</v>
      </c>
      <c r="C129" s="60" t="str">
        <f>IFERROR(VLOOKUP(B129,'MB51'!A:I,9,0),"")</f>
        <v/>
      </c>
      <c r="D129" s="61" t="str">
        <f>IFERROR(VLOOKUP(B129,'MB51'!A:J,10,0),"")</f>
        <v/>
      </c>
      <c r="E129" s="62" t="str">
        <f>IFERROR(VLOOKUP(B129,'MB51'!A:K,11,0),"")</f>
        <v/>
      </c>
      <c r="F129" s="42" t="str">
        <f>IFERROR(VLOOKUP(B129,'MB51'!A:F,6,0),"")</f>
        <v/>
      </c>
      <c r="G129" s="17" t="str">
        <f t="shared" si="3"/>
        <v>點揀料單</v>
      </c>
      <c r="H129" s="17">
        <f t="shared" si="4"/>
        <v>0</v>
      </c>
      <c r="I129" t="str">
        <f t="shared" si="5"/>
        <v/>
      </c>
      <c r="J129" t="str">
        <f>SUBSTITUTE(IF(COUNTIF(I$2:I129,I129)&gt;1,"",1)," ","")</f>
        <v/>
      </c>
    </row>
    <row r="130" spans="1:10" x14ac:dyDescent="0.2">
      <c r="A130" s="51" t="str">
        <f>IFERROR(VLOOKUP(B130,點上線資訊!A:R,18,0),"")</f>
        <v/>
      </c>
      <c r="B130" s="41">
        <f>'MB51'!A130</f>
        <v>0</v>
      </c>
      <c r="C130" s="60" t="str">
        <f>IFERROR(VLOOKUP(B130,'MB51'!A:I,9,0),"")</f>
        <v/>
      </c>
      <c r="D130" s="61" t="str">
        <f>IFERROR(VLOOKUP(B130,'MB51'!A:J,10,0),"")</f>
        <v/>
      </c>
      <c r="E130" s="62" t="str">
        <f>IFERROR(VLOOKUP(B130,'MB51'!A:K,11,0),"")</f>
        <v/>
      </c>
      <c r="F130" s="42" t="str">
        <f>IFERROR(VLOOKUP(B130,'MB51'!A:F,6,0),"")</f>
        <v/>
      </c>
      <c r="G130" s="17" t="str">
        <f t="shared" si="3"/>
        <v>點揀料單</v>
      </c>
      <c r="H130" s="17">
        <f t="shared" si="4"/>
        <v>0</v>
      </c>
      <c r="I130" t="str">
        <f t="shared" si="5"/>
        <v/>
      </c>
      <c r="J130" t="str">
        <f>SUBSTITUTE(IF(COUNTIF(I$2:I130,I130)&gt;1,"",1)," ","")</f>
        <v/>
      </c>
    </row>
    <row r="131" spans="1:10" x14ac:dyDescent="0.2">
      <c r="A131" s="51" t="str">
        <f>IFERROR(VLOOKUP(B131,點上線資訊!A:R,18,0),"")</f>
        <v/>
      </c>
      <c r="B131" s="41">
        <f>'MB51'!A131</f>
        <v>0</v>
      </c>
      <c r="C131" s="60" t="str">
        <f>IFERROR(VLOOKUP(B131,'MB51'!A:I,9,0),"")</f>
        <v/>
      </c>
      <c r="D131" s="61" t="str">
        <f>IFERROR(VLOOKUP(B131,'MB51'!A:J,10,0),"")</f>
        <v/>
      </c>
      <c r="E131" s="62" t="str">
        <f>IFERROR(VLOOKUP(B131,'MB51'!A:K,11,0),"")</f>
        <v/>
      </c>
      <c r="F131" s="42" t="str">
        <f>IFERROR(VLOOKUP(B131,'MB51'!A:F,6,0),"")</f>
        <v/>
      </c>
      <c r="G131" s="17" t="str">
        <f t="shared" ref="G131:G194" si="6">TEXT(D131,"MM/DD")&amp;TEXT(E131,"  HH")&amp;"點揀料單"</f>
        <v>點揀料單</v>
      </c>
      <c r="H131" s="17">
        <f t="shared" ref="H131:H194" si="7">ABS(SUMIF(C:C,C131,F:F))</f>
        <v>0</v>
      </c>
      <c r="I131" t="str">
        <f t="shared" ref="I131:I194" si="8">RIGHTB(C131,10)</f>
        <v/>
      </c>
      <c r="J131" t="str">
        <f>SUBSTITUTE(IF(COUNTIF(I$2:I131,I131)&gt;1,"",1)," ","")</f>
        <v/>
      </c>
    </row>
    <row r="132" spans="1:10" x14ac:dyDescent="0.2">
      <c r="A132" s="51" t="str">
        <f>IFERROR(VLOOKUP(B132,點上線資訊!A:R,18,0),"")</f>
        <v/>
      </c>
      <c r="B132" s="41">
        <f>'MB51'!A132</f>
        <v>0</v>
      </c>
      <c r="C132" s="60" t="str">
        <f>IFERROR(VLOOKUP(B132,'MB51'!A:I,9,0),"")</f>
        <v/>
      </c>
      <c r="D132" s="61" t="str">
        <f>IFERROR(VLOOKUP(B132,'MB51'!A:J,10,0),"")</f>
        <v/>
      </c>
      <c r="E132" s="62" t="str">
        <f>IFERROR(VLOOKUP(B132,'MB51'!A:K,11,0),"")</f>
        <v/>
      </c>
      <c r="F132" s="42" t="str">
        <f>IFERROR(VLOOKUP(B132,'MB51'!A:F,6,0),"")</f>
        <v/>
      </c>
      <c r="G132" s="17" t="str">
        <f t="shared" si="6"/>
        <v>點揀料單</v>
      </c>
      <c r="H132" s="17">
        <f t="shared" si="7"/>
        <v>0</v>
      </c>
      <c r="I132" t="str">
        <f t="shared" si="8"/>
        <v/>
      </c>
      <c r="J132" t="str">
        <f>SUBSTITUTE(IF(COUNTIF(I$2:I132,I132)&gt;1,"",1)," ","")</f>
        <v/>
      </c>
    </row>
    <row r="133" spans="1:10" x14ac:dyDescent="0.2">
      <c r="A133" s="51" t="str">
        <f>IFERROR(VLOOKUP(B133,點上線資訊!A:R,18,0),"")</f>
        <v/>
      </c>
      <c r="B133" s="41">
        <f>'MB51'!A133</f>
        <v>0</v>
      </c>
      <c r="C133" s="60" t="str">
        <f>IFERROR(VLOOKUP(B133,'MB51'!A:I,9,0),"")</f>
        <v/>
      </c>
      <c r="D133" s="61" t="str">
        <f>IFERROR(VLOOKUP(B133,'MB51'!A:J,10,0),"")</f>
        <v/>
      </c>
      <c r="E133" s="62" t="str">
        <f>IFERROR(VLOOKUP(B133,'MB51'!A:K,11,0),"")</f>
        <v/>
      </c>
      <c r="F133" s="42" t="str">
        <f>IFERROR(VLOOKUP(B133,'MB51'!A:F,6,0),"")</f>
        <v/>
      </c>
      <c r="G133" s="17" t="str">
        <f t="shared" si="6"/>
        <v>點揀料單</v>
      </c>
      <c r="H133" s="17">
        <f t="shared" si="7"/>
        <v>0</v>
      </c>
      <c r="I133" t="str">
        <f t="shared" si="8"/>
        <v/>
      </c>
      <c r="J133" t="str">
        <f>SUBSTITUTE(IF(COUNTIF(I$2:I133,I133)&gt;1,"",1)," ","")</f>
        <v/>
      </c>
    </row>
    <row r="134" spans="1:10" x14ac:dyDescent="0.2">
      <c r="A134" s="51" t="str">
        <f>IFERROR(VLOOKUP(B134,點上線資訊!A:R,18,0),"")</f>
        <v/>
      </c>
      <c r="B134" s="41">
        <f>'MB51'!A134</f>
        <v>0</v>
      </c>
      <c r="C134" s="60" t="str">
        <f>IFERROR(VLOOKUP(B134,'MB51'!A:I,9,0),"")</f>
        <v/>
      </c>
      <c r="D134" s="61" t="str">
        <f>IFERROR(VLOOKUP(B134,'MB51'!A:J,10,0),"")</f>
        <v/>
      </c>
      <c r="E134" s="62" t="str">
        <f>IFERROR(VLOOKUP(B134,'MB51'!A:K,11,0),"")</f>
        <v/>
      </c>
      <c r="F134" s="42" t="str">
        <f>IFERROR(VLOOKUP(B134,'MB51'!A:F,6,0),"")</f>
        <v/>
      </c>
      <c r="G134" s="17" t="str">
        <f t="shared" si="6"/>
        <v>點揀料單</v>
      </c>
      <c r="H134" s="17">
        <f t="shared" si="7"/>
        <v>0</v>
      </c>
      <c r="I134" t="str">
        <f t="shared" si="8"/>
        <v/>
      </c>
      <c r="J134" t="str">
        <f>SUBSTITUTE(IF(COUNTIF(I$2:I134,I134)&gt;1,"",1)," ","")</f>
        <v/>
      </c>
    </row>
    <row r="135" spans="1:10" x14ac:dyDescent="0.2">
      <c r="A135" s="51" t="str">
        <f>IFERROR(VLOOKUP(B135,點上線資訊!A:R,18,0),"")</f>
        <v/>
      </c>
      <c r="B135" s="41">
        <f>'MB51'!A135</f>
        <v>0</v>
      </c>
      <c r="C135" s="60" t="str">
        <f>IFERROR(VLOOKUP(B135,'MB51'!A:I,9,0),"")</f>
        <v/>
      </c>
      <c r="D135" s="61" t="str">
        <f>IFERROR(VLOOKUP(B135,'MB51'!A:J,10,0),"")</f>
        <v/>
      </c>
      <c r="E135" s="62" t="str">
        <f>IFERROR(VLOOKUP(B135,'MB51'!A:K,11,0),"")</f>
        <v/>
      </c>
      <c r="F135" s="42" t="str">
        <f>IFERROR(VLOOKUP(B135,'MB51'!A:F,6,0),"")</f>
        <v/>
      </c>
      <c r="G135" s="17" t="str">
        <f t="shared" si="6"/>
        <v>點揀料單</v>
      </c>
      <c r="H135" s="17">
        <f t="shared" si="7"/>
        <v>0</v>
      </c>
      <c r="I135" t="str">
        <f t="shared" si="8"/>
        <v/>
      </c>
      <c r="J135" t="str">
        <f>SUBSTITUTE(IF(COUNTIF(I$2:I135,I135)&gt;1,"",1)," ","")</f>
        <v/>
      </c>
    </row>
    <row r="136" spans="1:10" x14ac:dyDescent="0.2">
      <c r="A136" s="51" t="str">
        <f>IFERROR(VLOOKUP(B136,點上線資訊!A:R,18,0),"")</f>
        <v/>
      </c>
      <c r="B136" s="41">
        <f>'MB51'!A136</f>
        <v>0</v>
      </c>
      <c r="C136" s="60" t="str">
        <f>IFERROR(VLOOKUP(B136,'MB51'!A:I,9,0),"")</f>
        <v/>
      </c>
      <c r="D136" s="61" t="str">
        <f>IFERROR(VLOOKUP(B136,'MB51'!A:J,10,0),"")</f>
        <v/>
      </c>
      <c r="E136" s="62" t="str">
        <f>IFERROR(VLOOKUP(B136,'MB51'!A:K,11,0),"")</f>
        <v/>
      </c>
      <c r="F136" s="42" t="str">
        <f>IFERROR(VLOOKUP(B136,'MB51'!A:F,6,0),"")</f>
        <v/>
      </c>
      <c r="G136" s="17" t="str">
        <f t="shared" si="6"/>
        <v>點揀料單</v>
      </c>
      <c r="H136" s="17">
        <f t="shared" si="7"/>
        <v>0</v>
      </c>
      <c r="I136" t="str">
        <f t="shared" si="8"/>
        <v/>
      </c>
      <c r="J136" t="str">
        <f>SUBSTITUTE(IF(COUNTIF(I$2:I136,I136)&gt;1,"",1)," ","")</f>
        <v/>
      </c>
    </row>
    <row r="137" spans="1:10" x14ac:dyDescent="0.2">
      <c r="A137" s="51" t="str">
        <f>IFERROR(VLOOKUP(B137,點上線資訊!A:R,18,0),"")</f>
        <v/>
      </c>
      <c r="B137" s="41">
        <f>'MB51'!A137</f>
        <v>0</v>
      </c>
      <c r="C137" s="60" t="str">
        <f>IFERROR(VLOOKUP(B137,'MB51'!A:I,9,0),"")</f>
        <v/>
      </c>
      <c r="D137" s="61" t="str">
        <f>IFERROR(VLOOKUP(B137,'MB51'!A:J,10,0),"")</f>
        <v/>
      </c>
      <c r="E137" s="62" t="str">
        <f>IFERROR(VLOOKUP(B137,'MB51'!A:K,11,0),"")</f>
        <v/>
      </c>
      <c r="F137" s="42" t="str">
        <f>IFERROR(VLOOKUP(B137,'MB51'!A:F,6,0),"")</f>
        <v/>
      </c>
      <c r="G137" s="17" t="str">
        <f t="shared" si="6"/>
        <v>點揀料單</v>
      </c>
      <c r="H137" s="17">
        <f t="shared" si="7"/>
        <v>0</v>
      </c>
      <c r="I137" t="str">
        <f t="shared" si="8"/>
        <v/>
      </c>
      <c r="J137" t="str">
        <f>SUBSTITUTE(IF(COUNTIF(I$2:I137,I137)&gt;1,"",1)," ","")</f>
        <v/>
      </c>
    </row>
    <row r="138" spans="1:10" x14ac:dyDescent="0.2">
      <c r="A138" s="51" t="str">
        <f>IFERROR(VLOOKUP(B138,點上線資訊!A:R,18,0),"")</f>
        <v/>
      </c>
      <c r="B138" s="41">
        <f>'MB51'!A138</f>
        <v>0</v>
      </c>
      <c r="C138" s="60" t="str">
        <f>IFERROR(VLOOKUP(B138,'MB51'!A:I,9,0),"")</f>
        <v/>
      </c>
      <c r="D138" s="61" t="str">
        <f>IFERROR(VLOOKUP(B138,'MB51'!A:J,10,0),"")</f>
        <v/>
      </c>
      <c r="E138" s="62" t="str">
        <f>IFERROR(VLOOKUP(B138,'MB51'!A:K,11,0),"")</f>
        <v/>
      </c>
      <c r="F138" s="42" t="str">
        <f>IFERROR(VLOOKUP(B138,'MB51'!A:F,6,0),"")</f>
        <v/>
      </c>
      <c r="G138" s="17" t="str">
        <f t="shared" si="6"/>
        <v>點揀料單</v>
      </c>
      <c r="H138" s="17">
        <f t="shared" si="7"/>
        <v>0</v>
      </c>
      <c r="I138" t="str">
        <f t="shared" si="8"/>
        <v/>
      </c>
      <c r="J138" t="str">
        <f>SUBSTITUTE(IF(COUNTIF(I$2:I138,I138)&gt;1,"",1)," ","")</f>
        <v/>
      </c>
    </row>
    <row r="139" spans="1:10" x14ac:dyDescent="0.2">
      <c r="A139" s="51" t="str">
        <f>IFERROR(VLOOKUP(B139,點上線資訊!A:R,18,0),"")</f>
        <v/>
      </c>
      <c r="B139" s="41">
        <f>'MB51'!A139</f>
        <v>0</v>
      </c>
      <c r="C139" s="60" t="str">
        <f>IFERROR(VLOOKUP(B139,'MB51'!A:I,9,0),"")</f>
        <v/>
      </c>
      <c r="D139" s="61" t="str">
        <f>IFERROR(VLOOKUP(B139,'MB51'!A:J,10,0),"")</f>
        <v/>
      </c>
      <c r="E139" s="62" t="str">
        <f>IFERROR(VLOOKUP(B139,'MB51'!A:K,11,0),"")</f>
        <v/>
      </c>
      <c r="F139" s="42" t="str">
        <f>IFERROR(VLOOKUP(B139,'MB51'!A:F,6,0),"")</f>
        <v/>
      </c>
      <c r="G139" s="17" t="str">
        <f t="shared" si="6"/>
        <v>點揀料單</v>
      </c>
      <c r="H139" s="17">
        <f t="shared" si="7"/>
        <v>0</v>
      </c>
      <c r="I139" t="str">
        <f t="shared" si="8"/>
        <v/>
      </c>
      <c r="J139" t="str">
        <f>SUBSTITUTE(IF(COUNTIF(I$2:I139,I139)&gt;1,"",1)," ","")</f>
        <v/>
      </c>
    </row>
    <row r="140" spans="1:10" x14ac:dyDescent="0.2">
      <c r="A140" s="51" t="str">
        <f>IFERROR(VLOOKUP(B140,點上線資訊!A:R,18,0),"")</f>
        <v/>
      </c>
      <c r="B140" s="41">
        <f>'MB51'!A140</f>
        <v>0</v>
      </c>
      <c r="C140" s="60" t="str">
        <f>IFERROR(VLOOKUP(B140,'MB51'!A:I,9,0),"")</f>
        <v/>
      </c>
      <c r="D140" s="61" t="str">
        <f>IFERROR(VLOOKUP(B140,'MB51'!A:J,10,0),"")</f>
        <v/>
      </c>
      <c r="E140" s="62" t="str">
        <f>IFERROR(VLOOKUP(B140,'MB51'!A:K,11,0),"")</f>
        <v/>
      </c>
      <c r="F140" s="42" t="str">
        <f>IFERROR(VLOOKUP(B140,'MB51'!A:F,6,0),"")</f>
        <v/>
      </c>
      <c r="G140" s="17" t="str">
        <f t="shared" si="6"/>
        <v>點揀料單</v>
      </c>
      <c r="H140" s="17">
        <f t="shared" si="7"/>
        <v>0</v>
      </c>
      <c r="I140" t="str">
        <f t="shared" si="8"/>
        <v/>
      </c>
      <c r="J140" t="str">
        <f>SUBSTITUTE(IF(COUNTIF(I$2:I140,I140)&gt;1,"",1)," ","")</f>
        <v/>
      </c>
    </row>
    <row r="141" spans="1:10" x14ac:dyDescent="0.2">
      <c r="A141" s="51" t="str">
        <f>IFERROR(VLOOKUP(B141,點上線資訊!A:R,18,0),"")</f>
        <v/>
      </c>
      <c r="B141" s="41">
        <f>'MB51'!A141</f>
        <v>0</v>
      </c>
      <c r="C141" s="60" t="str">
        <f>IFERROR(VLOOKUP(B141,'MB51'!A:I,9,0),"")</f>
        <v/>
      </c>
      <c r="D141" s="61" t="str">
        <f>IFERROR(VLOOKUP(B141,'MB51'!A:J,10,0),"")</f>
        <v/>
      </c>
      <c r="E141" s="62" t="str">
        <f>IFERROR(VLOOKUP(B141,'MB51'!A:K,11,0),"")</f>
        <v/>
      </c>
      <c r="F141" s="42" t="str">
        <f>IFERROR(VLOOKUP(B141,'MB51'!A:F,6,0),"")</f>
        <v/>
      </c>
      <c r="G141" s="17" t="str">
        <f t="shared" si="6"/>
        <v>點揀料單</v>
      </c>
      <c r="H141" s="17">
        <f t="shared" si="7"/>
        <v>0</v>
      </c>
      <c r="I141" t="str">
        <f t="shared" si="8"/>
        <v/>
      </c>
      <c r="J141" t="str">
        <f>SUBSTITUTE(IF(COUNTIF(I$2:I141,I141)&gt;1,"",1)," ","")</f>
        <v/>
      </c>
    </row>
    <row r="142" spans="1:10" x14ac:dyDescent="0.2">
      <c r="A142" s="51" t="str">
        <f>IFERROR(VLOOKUP(B142,點上線資訊!A:R,18,0),"")</f>
        <v/>
      </c>
      <c r="B142" s="41">
        <f>'MB51'!A142</f>
        <v>0</v>
      </c>
      <c r="C142" s="60" t="str">
        <f>IFERROR(VLOOKUP(B142,'MB51'!A:I,9,0),"")</f>
        <v/>
      </c>
      <c r="D142" s="61" t="str">
        <f>IFERROR(VLOOKUP(B142,'MB51'!A:J,10,0),"")</f>
        <v/>
      </c>
      <c r="E142" s="62" t="str">
        <f>IFERROR(VLOOKUP(B142,'MB51'!A:K,11,0),"")</f>
        <v/>
      </c>
      <c r="F142" s="42" t="str">
        <f>IFERROR(VLOOKUP(B142,'MB51'!A:F,6,0),"")</f>
        <v/>
      </c>
      <c r="G142" s="17" t="str">
        <f t="shared" si="6"/>
        <v>點揀料單</v>
      </c>
      <c r="H142" s="17">
        <f t="shared" si="7"/>
        <v>0</v>
      </c>
      <c r="I142" t="str">
        <f t="shared" si="8"/>
        <v/>
      </c>
      <c r="J142" t="str">
        <f>SUBSTITUTE(IF(COUNTIF(I$2:I142,I142)&gt;1,"",1)," ","")</f>
        <v/>
      </c>
    </row>
    <row r="143" spans="1:10" x14ac:dyDescent="0.2">
      <c r="A143" s="51" t="str">
        <f>IFERROR(VLOOKUP(B143,點上線資訊!A:R,18,0),"")</f>
        <v/>
      </c>
      <c r="B143" s="41">
        <f>'MB51'!A143</f>
        <v>0</v>
      </c>
      <c r="C143" s="60" t="str">
        <f>IFERROR(VLOOKUP(B143,'MB51'!A:I,9,0),"")</f>
        <v/>
      </c>
      <c r="D143" s="61" t="str">
        <f>IFERROR(VLOOKUP(B143,'MB51'!A:J,10,0),"")</f>
        <v/>
      </c>
      <c r="E143" s="62" t="str">
        <f>IFERROR(VLOOKUP(B143,'MB51'!A:K,11,0),"")</f>
        <v/>
      </c>
      <c r="F143" s="42" t="str">
        <f>IFERROR(VLOOKUP(B143,'MB51'!A:F,6,0),"")</f>
        <v/>
      </c>
      <c r="G143" s="17" t="str">
        <f t="shared" si="6"/>
        <v>點揀料單</v>
      </c>
      <c r="H143" s="17">
        <f t="shared" si="7"/>
        <v>0</v>
      </c>
      <c r="I143" t="str">
        <f t="shared" si="8"/>
        <v/>
      </c>
      <c r="J143" t="str">
        <f>SUBSTITUTE(IF(COUNTIF(I$2:I143,I143)&gt;1,"",1)," ","")</f>
        <v/>
      </c>
    </row>
    <row r="144" spans="1:10" x14ac:dyDescent="0.2">
      <c r="A144" s="51" t="str">
        <f>IFERROR(VLOOKUP(B144,點上線資訊!A:R,18,0),"")</f>
        <v/>
      </c>
      <c r="B144" s="41">
        <f>'MB51'!A144</f>
        <v>0</v>
      </c>
      <c r="C144" s="60" t="str">
        <f>IFERROR(VLOOKUP(B144,'MB51'!A:I,9,0),"")</f>
        <v/>
      </c>
      <c r="D144" s="61" t="str">
        <f>IFERROR(VLOOKUP(B144,'MB51'!A:J,10,0),"")</f>
        <v/>
      </c>
      <c r="E144" s="62" t="str">
        <f>IFERROR(VLOOKUP(B144,'MB51'!A:K,11,0),"")</f>
        <v/>
      </c>
      <c r="F144" s="42" t="str">
        <f>IFERROR(VLOOKUP(B144,'MB51'!A:F,6,0),"")</f>
        <v/>
      </c>
      <c r="G144" s="17" t="str">
        <f t="shared" si="6"/>
        <v>點揀料單</v>
      </c>
      <c r="H144" s="17">
        <f t="shared" si="7"/>
        <v>0</v>
      </c>
      <c r="I144" t="str">
        <f t="shared" si="8"/>
        <v/>
      </c>
      <c r="J144" t="str">
        <f>SUBSTITUTE(IF(COUNTIF(I$2:I144,I144)&gt;1,"",1)," ","")</f>
        <v/>
      </c>
    </row>
    <row r="145" spans="1:10" x14ac:dyDescent="0.2">
      <c r="A145" s="51" t="str">
        <f>IFERROR(VLOOKUP(B145,點上線資訊!A:R,18,0),"")</f>
        <v/>
      </c>
      <c r="B145" s="41">
        <f>'MB51'!A145</f>
        <v>0</v>
      </c>
      <c r="C145" s="60" t="str">
        <f>IFERROR(VLOOKUP(B145,'MB51'!A:I,9,0),"")</f>
        <v/>
      </c>
      <c r="D145" s="61" t="str">
        <f>IFERROR(VLOOKUP(B145,'MB51'!A:J,10,0),"")</f>
        <v/>
      </c>
      <c r="E145" s="62" t="str">
        <f>IFERROR(VLOOKUP(B145,'MB51'!A:K,11,0),"")</f>
        <v/>
      </c>
      <c r="F145" s="42" t="str">
        <f>IFERROR(VLOOKUP(B145,'MB51'!A:F,6,0),"")</f>
        <v/>
      </c>
      <c r="G145" s="17" t="str">
        <f t="shared" si="6"/>
        <v>點揀料單</v>
      </c>
      <c r="H145" s="17">
        <f t="shared" si="7"/>
        <v>0</v>
      </c>
      <c r="I145" t="str">
        <f t="shared" si="8"/>
        <v/>
      </c>
      <c r="J145" t="str">
        <f>SUBSTITUTE(IF(COUNTIF(I$2:I145,I145)&gt;1,"",1)," ","")</f>
        <v/>
      </c>
    </row>
    <row r="146" spans="1:10" x14ac:dyDescent="0.2">
      <c r="A146" s="51" t="str">
        <f>IFERROR(VLOOKUP(B146,點上線資訊!A:R,18,0),"")</f>
        <v/>
      </c>
      <c r="B146" s="41">
        <f>'MB51'!A146</f>
        <v>0</v>
      </c>
      <c r="C146" s="60" t="str">
        <f>IFERROR(VLOOKUP(B146,'MB51'!A:I,9,0),"")</f>
        <v/>
      </c>
      <c r="D146" s="61" t="str">
        <f>IFERROR(VLOOKUP(B146,'MB51'!A:J,10,0),"")</f>
        <v/>
      </c>
      <c r="E146" s="62" t="str">
        <f>IFERROR(VLOOKUP(B146,'MB51'!A:K,11,0),"")</f>
        <v/>
      </c>
      <c r="F146" s="42" t="str">
        <f>IFERROR(VLOOKUP(B146,'MB51'!A:F,6,0),"")</f>
        <v/>
      </c>
      <c r="G146" s="17" t="str">
        <f t="shared" si="6"/>
        <v>點揀料單</v>
      </c>
      <c r="H146" s="17">
        <f t="shared" si="7"/>
        <v>0</v>
      </c>
      <c r="I146" t="str">
        <f t="shared" si="8"/>
        <v/>
      </c>
      <c r="J146" t="str">
        <f>SUBSTITUTE(IF(COUNTIF(I$2:I146,I146)&gt;1,"",1)," ","")</f>
        <v/>
      </c>
    </row>
    <row r="147" spans="1:10" x14ac:dyDescent="0.2">
      <c r="A147" s="51" t="str">
        <f>IFERROR(VLOOKUP(B147,點上線資訊!A:R,18,0),"")</f>
        <v/>
      </c>
      <c r="B147" s="41">
        <f>'MB51'!A147</f>
        <v>0</v>
      </c>
      <c r="C147" s="60" t="str">
        <f>IFERROR(VLOOKUP(B147,'MB51'!A:I,9,0),"")</f>
        <v/>
      </c>
      <c r="D147" s="61" t="str">
        <f>IFERROR(VLOOKUP(B147,'MB51'!A:J,10,0),"")</f>
        <v/>
      </c>
      <c r="E147" s="62" t="str">
        <f>IFERROR(VLOOKUP(B147,'MB51'!A:K,11,0),"")</f>
        <v/>
      </c>
      <c r="F147" s="42" t="str">
        <f>IFERROR(VLOOKUP(B147,'MB51'!A:F,6,0),"")</f>
        <v/>
      </c>
      <c r="G147" s="17" t="str">
        <f t="shared" si="6"/>
        <v>點揀料單</v>
      </c>
      <c r="H147" s="17">
        <f t="shared" si="7"/>
        <v>0</v>
      </c>
      <c r="I147" t="str">
        <f t="shared" si="8"/>
        <v/>
      </c>
      <c r="J147" t="str">
        <f>SUBSTITUTE(IF(COUNTIF(I$2:I147,I147)&gt;1,"",1)," ","")</f>
        <v/>
      </c>
    </row>
    <row r="148" spans="1:10" x14ac:dyDescent="0.2">
      <c r="A148" s="51" t="str">
        <f>IFERROR(VLOOKUP(B148,點上線資訊!A:R,18,0),"")</f>
        <v/>
      </c>
      <c r="B148" s="41">
        <f>'MB51'!A148</f>
        <v>0</v>
      </c>
      <c r="C148" s="60" t="str">
        <f>IFERROR(VLOOKUP(B148,'MB51'!A:I,9,0),"")</f>
        <v/>
      </c>
      <c r="D148" s="61" t="str">
        <f>IFERROR(VLOOKUP(B148,'MB51'!A:J,10,0),"")</f>
        <v/>
      </c>
      <c r="E148" s="62" t="str">
        <f>IFERROR(VLOOKUP(B148,'MB51'!A:K,11,0),"")</f>
        <v/>
      </c>
      <c r="F148" s="42" t="str">
        <f>IFERROR(VLOOKUP(B148,'MB51'!A:F,6,0),"")</f>
        <v/>
      </c>
      <c r="G148" s="17" t="str">
        <f t="shared" si="6"/>
        <v>點揀料單</v>
      </c>
      <c r="H148" s="17">
        <f t="shared" si="7"/>
        <v>0</v>
      </c>
      <c r="I148" t="str">
        <f t="shared" si="8"/>
        <v/>
      </c>
      <c r="J148" t="str">
        <f>SUBSTITUTE(IF(COUNTIF(I$2:I148,I148)&gt;1,"",1)," ","")</f>
        <v/>
      </c>
    </row>
    <row r="149" spans="1:10" x14ac:dyDescent="0.2">
      <c r="A149" s="51" t="str">
        <f>IFERROR(VLOOKUP(B149,點上線資訊!A:R,18,0),"")</f>
        <v/>
      </c>
      <c r="B149" s="41">
        <f>'MB51'!A149</f>
        <v>0</v>
      </c>
      <c r="C149" s="60" t="str">
        <f>IFERROR(VLOOKUP(B149,'MB51'!A:I,9,0),"")</f>
        <v/>
      </c>
      <c r="D149" s="61" t="str">
        <f>IFERROR(VLOOKUP(B149,'MB51'!A:J,10,0),"")</f>
        <v/>
      </c>
      <c r="E149" s="62" t="str">
        <f>IFERROR(VLOOKUP(B149,'MB51'!A:K,11,0),"")</f>
        <v/>
      </c>
      <c r="F149" s="42" t="str">
        <f>IFERROR(VLOOKUP(B149,'MB51'!A:F,6,0),"")</f>
        <v/>
      </c>
      <c r="G149" s="17" t="str">
        <f t="shared" si="6"/>
        <v>點揀料單</v>
      </c>
      <c r="H149" s="17">
        <f t="shared" si="7"/>
        <v>0</v>
      </c>
      <c r="I149" t="str">
        <f t="shared" si="8"/>
        <v/>
      </c>
      <c r="J149" t="str">
        <f>SUBSTITUTE(IF(COUNTIF(I$2:I149,I149)&gt;1,"",1)," ","")</f>
        <v/>
      </c>
    </row>
    <row r="150" spans="1:10" x14ac:dyDescent="0.2">
      <c r="A150" s="51" t="str">
        <f>IFERROR(VLOOKUP(B150,點上線資訊!A:R,18,0),"")</f>
        <v/>
      </c>
      <c r="B150" s="41">
        <f>'MB51'!A150</f>
        <v>0</v>
      </c>
      <c r="C150" s="60" t="str">
        <f>IFERROR(VLOOKUP(B150,'MB51'!A:I,9,0),"")</f>
        <v/>
      </c>
      <c r="D150" s="61" t="str">
        <f>IFERROR(VLOOKUP(B150,'MB51'!A:J,10,0),"")</f>
        <v/>
      </c>
      <c r="E150" s="62" t="str">
        <f>IFERROR(VLOOKUP(B150,'MB51'!A:K,11,0),"")</f>
        <v/>
      </c>
      <c r="F150" s="42" t="str">
        <f>IFERROR(VLOOKUP(B150,'MB51'!A:F,6,0),"")</f>
        <v/>
      </c>
      <c r="G150" s="17" t="str">
        <f t="shared" si="6"/>
        <v>點揀料單</v>
      </c>
      <c r="H150" s="17">
        <f t="shared" si="7"/>
        <v>0</v>
      </c>
      <c r="I150" t="str">
        <f t="shared" si="8"/>
        <v/>
      </c>
      <c r="J150" t="str">
        <f>SUBSTITUTE(IF(COUNTIF(I$2:I150,I150)&gt;1,"",1)," ","")</f>
        <v/>
      </c>
    </row>
    <row r="151" spans="1:10" x14ac:dyDescent="0.2">
      <c r="A151" s="51" t="str">
        <f>IFERROR(VLOOKUP(B151,點上線資訊!A:R,18,0),"")</f>
        <v/>
      </c>
      <c r="B151" s="41">
        <f>'MB51'!A151</f>
        <v>0</v>
      </c>
      <c r="C151" s="60" t="str">
        <f>IFERROR(VLOOKUP(B151,'MB51'!A:I,9,0),"")</f>
        <v/>
      </c>
      <c r="D151" s="61" t="str">
        <f>IFERROR(VLOOKUP(B151,'MB51'!A:J,10,0),"")</f>
        <v/>
      </c>
      <c r="E151" s="62" t="str">
        <f>IFERROR(VLOOKUP(B151,'MB51'!A:K,11,0),"")</f>
        <v/>
      </c>
      <c r="F151" s="42" t="str">
        <f>IFERROR(VLOOKUP(B151,'MB51'!A:F,6,0),"")</f>
        <v/>
      </c>
      <c r="G151" s="17" t="str">
        <f t="shared" si="6"/>
        <v>點揀料單</v>
      </c>
      <c r="H151" s="17">
        <f t="shared" si="7"/>
        <v>0</v>
      </c>
      <c r="I151" t="str">
        <f t="shared" si="8"/>
        <v/>
      </c>
      <c r="J151" t="str">
        <f>SUBSTITUTE(IF(COUNTIF(I$2:I151,I151)&gt;1,"",1)," ","")</f>
        <v/>
      </c>
    </row>
    <row r="152" spans="1:10" x14ac:dyDescent="0.2">
      <c r="A152" s="51" t="str">
        <f>IFERROR(VLOOKUP(B152,點上線資訊!A:R,18,0),"")</f>
        <v/>
      </c>
      <c r="B152" s="41">
        <f>'MB51'!A152</f>
        <v>0</v>
      </c>
      <c r="C152" s="60" t="str">
        <f>IFERROR(VLOOKUP(B152,'MB51'!A:I,9,0),"")</f>
        <v/>
      </c>
      <c r="D152" s="61" t="str">
        <f>IFERROR(VLOOKUP(B152,'MB51'!A:J,10,0),"")</f>
        <v/>
      </c>
      <c r="E152" s="62" t="str">
        <f>IFERROR(VLOOKUP(B152,'MB51'!A:K,11,0),"")</f>
        <v/>
      </c>
      <c r="F152" s="42" t="str">
        <f>IFERROR(VLOOKUP(B152,'MB51'!A:F,6,0),"")</f>
        <v/>
      </c>
      <c r="G152" s="17" t="str">
        <f t="shared" si="6"/>
        <v>點揀料單</v>
      </c>
      <c r="H152" s="17">
        <f t="shared" si="7"/>
        <v>0</v>
      </c>
      <c r="I152" t="str">
        <f t="shared" si="8"/>
        <v/>
      </c>
      <c r="J152" t="str">
        <f>SUBSTITUTE(IF(COUNTIF(I$2:I152,I152)&gt;1,"",1)," ","")</f>
        <v/>
      </c>
    </row>
    <row r="153" spans="1:10" x14ac:dyDescent="0.2">
      <c r="A153" s="51" t="str">
        <f>IFERROR(VLOOKUP(B153,點上線資訊!A:R,18,0),"")</f>
        <v/>
      </c>
      <c r="B153" s="41">
        <f>'MB51'!A153</f>
        <v>0</v>
      </c>
      <c r="C153" s="60" t="str">
        <f>IFERROR(VLOOKUP(B153,'MB51'!A:I,9,0),"")</f>
        <v/>
      </c>
      <c r="D153" s="61" t="str">
        <f>IFERROR(VLOOKUP(B153,'MB51'!A:J,10,0),"")</f>
        <v/>
      </c>
      <c r="E153" s="62" t="str">
        <f>IFERROR(VLOOKUP(B153,'MB51'!A:K,11,0),"")</f>
        <v/>
      </c>
      <c r="F153" s="42" t="str">
        <f>IFERROR(VLOOKUP(B153,'MB51'!A:F,6,0),"")</f>
        <v/>
      </c>
      <c r="G153" s="17" t="str">
        <f t="shared" si="6"/>
        <v>點揀料單</v>
      </c>
      <c r="H153" s="17">
        <f t="shared" si="7"/>
        <v>0</v>
      </c>
      <c r="I153" t="str">
        <f t="shared" si="8"/>
        <v/>
      </c>
      <c r="J153" t="str">
        <f>SUBSTITUTE(IF(COUNTIF(I$2:I153,I153)&gt;1,"",1)," ","")</f>
        <v/>
      </c>
    </row>
    <row r="154" spans="1:10" x14ac:dyDescent="0.2">
      <c r="A154" s="51" t="str">
        <f>IFERROR(VLOOKUP(B154,點上線資訊!A:R,18,0),"")</f>
        <v/>
      </c>
      <c r="B154" s="41">
        <f>'MB51'!A154</f>
        <v>0</v>
      </c>
      <c r="C154" s="60" t="str">
        <f>IFERROR(VLOOKUP(B154,'MB51'!A:I,9,0),"")</f>
        <v/>
      </c>
      <c r="D154" s="61" t="str">
        <f>IFERROR(VLOOKUP(B154,'MB51'!A:J,10,0),"")</f>
        <v/>
      </c>
      <c r="E154" s="62" t="str">
        <f>IFERROR(VLOOKUP(B154,'MB51'!A:K,11,0),"")</f>
        <v/>
      </c>
      <c r="F154" s="42" t="str">
        <f>IFERROR(VLOOKUP(B154,'MB51'!A:F,6,0),"")</f>
        <v/>
      </c>
      <c r="G154" s="17" t="str">
        <f t="shared" si="6"/>
        <v>點揀料單</v>
      </c>
      <c r="H154" s="17">
        <f t="shared" si="7"/>
        <v>0</v>
      </c>
      <c r="I154" t="str">
        <f t="shared" si="8"/>
        <v/>
      </c>
      <c r="J154" t="str">
        <f>SUBSTITUTE(IF(COUNTIF(I$2:I154,I154)&gt;1,"",1)," ","")</f>
        <v/>
      </c>
    </row>
    <row r="155" spans="1:10" x14ac:dyDescent="0.2">
      <c r="A155" s="51" t="str">
        <f>IFERROR(VLOOKUP(B155,點上線資訊!A:R,18,0),"")</f>
        <v/>
      </c>
      <c r="B155" s="41">
        <f>'MB51'!A155</f>
        <v>0</v>
      </c>
      <c r="C155" s="60" t="str">
        <f>IFERROR(VLOOKUP(B155,'MB51'!A:I,9,0),"")</f>
        <v/>
      </c>
      <c r="D155" s="61" t="str">
        <f>IFERROR(VLOOKUP(B155,'MB51'!A:J,10,0),"")</f>
        <v/>
      </c>
      <c r="E155" s="62" t="str">
        <f>IFERROR(VLOOKUP(B155,'MB51'!A:K,11,0),"")</f>
        <v/>
      </c>
      <c r="F155" s="42" t="str">
        <f>IFERROR(VLOOKUP(B155,'MB51'!A:F,6,0),"")</f>
        <v/>
      </c>
      <c r="G155" s="17" t="str">
        <f t="shared" si="6"/>
        <v>點揀料單</v>
      </c>
      <c r="H155" s="17">
        <f t="shared" si="7"/>
        <v>0</v>
      </c>
      <c r="I155" t="str">
        <f t="shared" si="8"/>
        <v/>
      </c>
      <c r="J155" t="str">
        <f>SUBSTITUTE(IF(COUNTIF(I$2:I155,I155)&gt;1,"",1)," ","")</f>
        <v/>
      </c>
    </row>
    <row r="156" spans="1:10" x14ac:dyDescent="0.2">
      <c r="A156" s="51" t="str">
        <f>IFERROR(VLOOKUP(B156,點上線資訊!A:R,18,0),"")</f>
        <v/>
      </c>
      <c r="B156" s="41">
        <f>'MB51'!A156</f>
        <v>0</v>
      </c>
      <c r="C156" s="60" t="str">
        <f>IFERROR(VLOOKUP(B156,'MB51'!A:I,9,0),"")</f>
        <v/>
      </c>
      <c r="D156" s="61" t="str">
        <f>IFERROR(VLOOKUP(B156,'MB51'!A:J,10,0),"")</f>
        <v/>
      </c>
      <c r="E156" s="62" t="str">
        <f>IFERROR(VLOOKUP(B156,'MB51'!A:K,11,0),"")</f>
        <v/>
      </c>
      <c r="F156" s="42" t="str">
        <f>IFERROR(VLOOKUP(B156,'MB51'!A:F,6,0),"")</f>
        <v/>
      </c>
      <c r="G156" s="17" t="str">
        <f t="shared" si="6"/>
        <v>點揀料單</v>
      </c>
      <c r="H156" s="17">
        <f t="shared" si="7"/>
        <v>0</v>
      </c>
      <c r="I156" t="str">
        <f t="shared" si="8"/>
        <v/>
      </c>
      <c r="J156" t="str">
        <f>SUBSTITUTE(IF(COUNTIF(I$2:I156,I156)&gt;1,"",1)," ","")</f>
        <v/>
      </c>
    </row>
    <row r="157" spans="1:10" x14ac:dyDescent="0.2">
      <c r="A157" s="51" t="str">
        <f>IFERROR(VLOOKUP(B157,點上線資訊!A:R,18,0),"")</f>
        <v/>
      </c>
      <c r="B157" s="41">
        <f>'MB51'!A157</f>
        <v>0</v>
      </c>
      <c r="C157" s="60" t="str">
        <f>IFERROR(VLOOKUP(B157,'MB51'!A:I,9,0),"")</f>
        <v/>
      </c>
      <c r="D157" s="61" t="str">
        <f>IFERROR(VLOOKUP(B157,'MB51'!A:J,10,0),"")</f>
        <v/>
      </c>
      <c r="E157" s="62" t="str">
        <f>IFERROR(VLOOKUP(B157,'MB51'!A:K,11,0),"")</f>
        <v/>
      </c>
      <c r="F157" s="42" t="str">
        <f>IFERROR(VLOOKUP(B157,'MB51'!A:F,6,0),"")</f>
        <v/>
      </c>
      <c r="G157" s="17" t="str">
        <f t="shared" si="6"/>
        <v>點揀料單</v>
      </c>
      <c r="H157" s="17">
        <f t="shared" si="7"/>
        <v>0</v>
      </c>
      <c r="I157" t="str">
        <f t="shared" si="8"/>
        <v/>
      </c>
      <c r="J157" t="str">
        <f>SUBSTITUTE(IF(COUNTIF(I$2:I157,I157)&gt;1,"",1)," ","")</f>
        <v/>
      </c>
    </row>
    <row r="158" spans="1:10" x14ac:dyDescent="0.2">
      <c r="A158" s="51" t="str">
        <f>IFERROR(VLOOKUP(B158,點上線資訊!A:R,18,0),"")</f>
        <v/>
      </c>
      <c r="B158" s="41">
        <f>'MB51'!A158</f>
        <v>0</v>
      </c>
      <c r="C158" s="60" t="str">
        <f>IFERROR(VLOOKUP(B158,'MB51'!A:I,9,0),"")</f>
        <v/>
      </c>
      <c r="D158" s="61" t="str">
        <f>IFERROR(VLOOKUP(B158,'MB51'!A:J,10,0),"")</f>
        <v/>
      </c>
      <c r="E158" s="62" t="str">
        <f>IFERROR(VLOOKUP(B158,'MB51'!A:K,11,0),"")</f>
        <v/>
      </c>
      <c r="F158" s="42" t="str">
        <f>IFERROR(VLOOKUP(B158,'MB51'!A:F,6,0),"")</f>
        <v/>
      </c>
      <c r="G158" s="17" t="str">
        <f t="shared" si="6"/>
        <v>點揀料單</v>
      </c>
      <c r="H158" s="17">
        <f t="shared" si="7"/>
        <v>0</v>
      </c>
      <c r="I158" t="str">
        <f t="shared" si="8"/>
        <v/>
      </c>
      <c r="J158" t="str">
        <f>SUBSTITUTE(IF(COUNTIF(I$2:I158,I158)&gt;1,"",1)," ","")</f>
        <v/>
      </c>
    </row>
    <row r="159" spans="1:10" x14ac:dyDescent="0.2">
      <c r="A159" s="51" t="str">
        <f>IFERROR(VLOOKUP(B159,點上線資訊!A:R,18,0),"")</f>
        <v/>
      </c>
      <c r="B159" s="41">
        <f>'MB51'!A159</f>
        <v>0</v>
      </c>
      <c r="C159" s="60" t="str">
        <f>IFERROR(VLOOKUP(B159,'MB51'!A:I,9,0),"")</f>
        <v/>
      </c>
      <c r="D159" s="61" t="str">
        <f>IFERROR(VLOOKUP(B159,'MB51'!A:J,10,0),"")</f>
        <v/>
      </c>
      <c r="E159" s="62" t="str">
        <f>IFERROR(VLOOKUP(B159,'MB51'!A:K,11,0),"")</f>
        <v/>
      </c>
      <c r="F159" s="42" t="str">
        <f>IFERROR(VLOOKUP(B159,'MB51'!A:F,6,0),"")</f>
        <v/>
      </c>
      <c r="G159" s="17" t="str">
        <f t="shared" si="6"/>
        <v>點揀料單</v>
      </c>
      <c r="H159" s="17">
        <f t="shared" si="7"/>
        <v>0</v>
      </c>
      <c r="I159" t="str">
        <f t="shared" si="8"/>
        <v/>
      </c>
      <c r="J159" t="str">
        <f>SUBSTITUTE(IF(COUNTIF(I$2:I159,I159)&gt;1,"",1)," ","")</f>
        <v/>
      </c>
    </row>
    <row r="160" spans="1:10" x14ac:dyDescent="0.2">
      <c r="A160" s="51" t="str">
        <f>IFERROR(VLOOKUP(B160,點上線資訊!A:R,18,0),"")</f>
        <v/>
      </c>
      <c r="B160" s="41">
        <f>'MB51'!A160</f>
        <v>0</v>
      </c>
      <c r="C160" s="60" t="str">
        <f>IFERROR(VLOOKUP(B160,'MB51'!A:I,9,0),"")</f>
        <v/>
      </c>
      <c r="D160" s="61" t="str">
        <f>IFERROR(VLOOKUP(B160,'MB51'!A:J,10,0),"")</f>
        <v/>
      </c>
      <c r="E160" s="62" t="str">
        <f>IFERROR(VLOOKUP(B160,'MB51'!A:K,11,0),"")</f>
        <v/>
      </c>
      <c r="F160" s="42" t="str">
        <f>IFERROR(VLOOKUP(B160,'MB51'!A:F,6,0),"")</f>
        <v/>
      </c>
      <c r="G160" s="17" t="str">
        <f t="shared" si="6"/>
        <v>點揀料單</v>
      </c>
      <c r="H160" s="17">
        <f t="shared" si="7"/>
        <v>0</v>
      </c>
      <c r="I160" t="str">
        <f t="shared" si="8"/>
        <v/>
      </c>
      <c r="J160" t="str">
        <f>SUBSTITUTE(IF(COUNTIF(I$2:I160,I160)&gt;1,"",1)," ","")</f>
        <v/>
      </c>
    </row>
    <row r="161" spans="1:10" x14ac:dyDescent="0.2">
      <c r="A161" s="51" t="str">
        <f>IFERROR(VLOOKUP(B161,點上線資訊!A:R,18,0),"")</f>
        <v/>
      </c>
      <c r="B161" s="41">
        <f>'MB51'!A161</f>
        <v>0</v>
      </c>
      <c r="C161" s="60" t="str">
        <f>IFERROR(VLOOKUP(B161,'MB51'!A:I,9,0),"")</f>
        <v/>
      </c>
      <c r="D161" s="61" t="str">
        <f>IFERROR(VLOOKUP(B161,'MB51'!A:J,10,0),"")</f>
        <v/>
      </c>
      <c r="E161" s="62" t="str">
        <f>IFERROR(VLOOKUP(B161,'MB51'!A:K,11,0),"")</f>
        <v/>
      </c>
      <c r="F161" s="42" t="str">
        <f>IFERROR(VLOOKUP(B161,'MB51'!A:F,6,0),"")</f>
        <v/>
      </c>
      <c r="G161" s="17" t="str">
        <f t="shared" si="6"/>
        <v>點揀料單</v>
      </c>
      <c r="H161" s="17">
        <f t="shared" si="7"/>
        <v>0</v>
      </c>
      <c r="I161" t="str">
        <f t="shared" si="8"/>
        <v/>
      </c>
      <c r="J161" t="str">
        <f>SUBSTITUTE(IF(COUNTIF(I$2:I161,I161)&gt;1,"",1)," ","")</f>
        <v/>
      </c>
    </row>
    <row r="162" spans="1:10" x14ac:dyDescent="0.2">
      <c r="A162" s="51" t="str">
        <f>IFERROR(VLOOKUP(B162,點上線資訊!A:R,18,0),"")</f>
        <v/>
      </c>
      <c r="B162" s="41">
        <f>'MB51'!A162</f>
        <v>0</v>
      </c>
      <c r="C162" s="60" t="str">
        <f>IFERROR(VLOOKUP(B162,'MB51'!A:I,9,0),"")</f>
        <v/>
      </c>
      <c r="D162" s="61" t="str">
        <f>IFERROR(VLOOKUP(B162,'MB51'!A:J,10,0),"")</f>
        <v/>
      </c>
      <c r="E162" s="62" t="str">
        <f>IFERROR(VLOOKUP(B162,'MB51'!A:K,11,0),"")</f>
        <v/>
      </c>
      <c r="F162" s="42" t="str">
        <f>IFERROR(VLOOKUP(B162,'MB51'!A:F,6,0),"")</f>
        <v/>
      </c>
      <c r="G162" s="17" t="str">
        <f t="shared" si="6"/>
        <v>點揀料單</v>
      </c>
      <c r="H162" s="17">
        <f t="shared" si="7"/>
        <v>0</v>
      </c>
      <c r="I162" t="str">
        <f t="shared" si="8"/>
        <v/>
      </c>
      <c r="J162" t="str">
        <f>SUBSTITUTE(IF(COUNTIF(I$2:I162,I162)&gt;1,"",1)," ","")</f>
        <v/>
      </c>
    </row>
    <row r="163" spans="1:10" x14ac:dyDescent="0.2">
      <c r="A163" s="51" t="str">
        <f>IFERROR(VLOOKUP(B163,點上線資訊!A:R,18,0),"")</f>
        <v/>
      </c>
      <c r="B163" s="41">
        <f>'MB51'!A163</f>
        <v>0</v>
      </c>
      <c r="C163" s="60" t="str">
        <f>IFERROR(VLOOKUP(B163,'MB51'!A:I,9,0),"")</f>
        <v/>
      </c>
      <c r="D163" s="61" t="str">
        <f>IFERROR(VLOOKUP(B163,'MB51'!A:J,10,0),"")</f>
        <v/>
      </c>
      <c r="E163" s="62" t="str">
        <f>IFERROR(VLOOKUP(B163,'MB51'!A:K,11,0),"")</f>
        <v/>
      </c>
      <c r="F163" s="42" t="str">
        <f>IFERROR(VLOOKUP(B163,'MB51'!A:F,6,0),"")</f>
        <v/>
      </c>
      <c r="G163" s="17" t="str">
        <f t="shared" si="6"/>
        <v>點揀料單</v>
      </c>
      <c r="H163" s="17">
        <f t="shared" si="7"/>
        <v>0</v>
      </c>
      <c r="I163" t="str">
        <f t="shared" si="8"/>
        <v/>
      </c>
      <c r="J163" t="str">
        <f>SUBSTITUTE(IF(COUNTIF(I$2:I163,I163)&gt;1,"",1)," ","")</f>
        <v/>
      </c>
    </row>
    <row r="164" spans="1:10" x14ac:dyDescent="0.2">
      <c r="A164" s="51" t="str">
        <f>IFERROR(VLOOKUP(B164,點上線資訊!A:R,18,0),"")</f>
        <v/>
      </c>
      <c r="B164" s="41">
        <f>'MB51'!A164</f>
        <v>0</v>
      </c>
      <c r="C164" s="60" t="str">
        <f>IFERROR(VLOOKUP(B164,'MB51'!A:I,9,0),"")</f>
        <v/>
      </c>
      <c r="D164" s="61" t="str">
        <f>IFERROR(VLOOKUP(B164,'MB51'!A:J,10,0),"")</f>
        <v/>
      </c>
      <c r="E164" s="62" t="str">
        <f>IFERROR(VLOOKUP(B164,'MB51'!A:K,11,0),"")</f>
        <v/>
      </c>
      <c r="F164" s="42" t="str">
        <f>IFERROR(VLOOKUP(B164,'MB51'!A:F,6,0),"")</f>
        <v/>
      </c>
      <c r="G164" s="17" t="str">
        <f t="shared" si="6"/>
        <v>點揀料單</v>
      </c>
      <c r="H164" s="17">
        <f t="shared" si="7"/>
        <v>0</v>
      </c>
      <c r="I164" t="str">
        <f t="shared" si="8"/>
        <v/>
      </c>
      <c r="J164" t="str">
        <f>SUBSTITUTE(IF(COUNTIF(I$2:I164,I164)&gt;1,"",1)," ","")</f>
        <v/>
      </c>
    </row>
    <row r="165" spans="1:10" x14ac:dyDescent="0.2">
      <c r="A165" s="51" t="str">
        <f>IFERROR(VLOOKUP(B165,點上線資訊!A:R,18,0),"")</f>
        <v/>
      </c>
      <c r="B165" s="41">
        <f>'MB51'!A165</f>
        <v>0</v>
      </c>
      <c r="C165" s="60" t="str">
        <f>IFERROR(VLOOKUP(B165,'MB51'!A:I,9,0),"")</f>
        <v/>
      </c>
      <c r="D165" s="61" t="str">
        <f>IFERROR(VLOOKUP(B165,'MB51'!A:J,10,0),"")</f>
        <v/>
      </c>
      <c r="E165" s="62" t="str">
        <f>IFERROR(VLOOKUP(B165,'MB51'!A:K,11,0),"")</f>
        <v/>
      </c>
      <c r="F165" s="42" t="str">
        <f>IFERROR(VLOOKUP(B165,'MB51'!A:F,6,0),"")</f>
        <v/>
      </c>
      <c r="G165" s="17" t="str">
        <f t="shared" si="6"/>
        <v>點揀料單</v>
      </c>
      <c r="H165" s="17">
        <f t="shared" si="7"/>
        <v>0</v>
      </c>
      <c r="I165" t="str">
        <f t="shared" si="8"/>
        <v/>
      </c>
      <c r="J165" t="str">
        <f>SUBSTITUTE(IF(COUNTIF(I$2:I165,I165)&gt;1,"",1)," ","")</f>
        <v/>
      </c>
    </row>
    <row r="166" spans="1:10" x14ac:dyDescent="0.2">
      <c r="A166" s="51" t="str">
        <f>IFERROR(VLOOKUP(B166,點上線資訊!A:R,18,0),"")</f>
        <v/>
      </c>
      <c r="B166" s="41">
        <f>'MB51'!A166</f>
        <v>0</v>
      </c>
      <c r="C166" s="60" t="str">
        <f>IFERROR(VLOOKUP(B166,'MB51'!A:I,9,0),"")</f>
        <v/>
      </c>
      <c r="D166" s="61" t="str">
        <f>IFERROR(VLOOKUP(B166,'MB51'!A:J,10,0),"")</f>
        <v/>
      </c>
      <c r="E166" s="62" t="str">
        <f>IFERROR(VLOOKUP(B166,'MB51'!A:K,11,0),"")</f>
        <v/>
      </c>
      <c r="F166" s="42" t="str">
        <f>IFERROR(VLOOKUP(B166,'MB51'!A:F,6,0),"")</f>
        <v/>
      </c>
      <c r="G166" s="17" t="str">
        <f t="shared" si="6"/>
        <v>點揀料單</v>
      </c>
      <c r="H166" s="17">
        <f t="shared" si="7"/>
        <v>0</v>
      </c>
      <c r="I166" t="str">
        <f t="shared" si="8"/>
        <v/>
      </c>
      <c r="J166" t="str">
        <f>SUBSTITUTE(IF(COUNTIF(I$2:I166,I166)&gt;1,"",1)," ","")</f>
        <v/>
      </c>
    </row>
    <row r="167" spans="1:10" x14ac:dyDescent="0.2">
      <c r="A167" s="51" t="str">
        <f>IFERROR(VLOOKUP(B167,點上線資訊!A:R,18,0),"")</f>
        <v/>
      </c>
      <c r="B167" s="41">
        <f>'MB51'!A167</f>
        <v>0</v>
      </c>
      <c r="C167" s="60" t="str">
        <f>IFERROR(VLOOKUP(B167,'MB51'!A:I,9,0),"")</f>
        <v/>
      </c>
      <c r="D167" s="61" t="str">
        <f>IFERROR(VLOOKUP(B167,'MB51'!A:J,10,0),"")</f>
        <v/>
      </c>
      <c r="E167" s="62" t="str">
        <f>IFERROR(VLOOKUP(B167,'MB51'!A:K,11,0),"")</f>
        <v/>
      </c>
      <c r="F167" s="42" t="str">
        <f>IFERROR(VLOOKUP(B167,'MB51'!A:F,6,0),"")</f>
        <v/>
      </c>
      <c r="G167" s="17" t="str">
        <f t="shared" si="6"/>
        <v>點揀料單</v>
      </c>
      <c r="H167" s="17">
        <f t="shared" si="7"/>
        <v>0</v>
      </c>
      <c r="I167" t="str">
        <f t="shared" si="8"/>
        <v/>
      </c>
      <c r="J167" t="str">
        <f>SUBSTITUTE(IF(COUNTIF(I$2:I167,I167)&gt;1,"",1)," ","")</f>
        <v/>
      </c>
    </row>
    <row r="168" spans="1:10" x14ac:dyDescent="0.2">
      <c r="A168" s="51" t="str">
        <f>IFERROR(VLOOKUP(B168,點上線資訊!A:R,18,0),"")</f>
        <v/>
      </c>
      <c r="B168" s="41">
        <f>'MB51'!A168</f>
        <v>0</v>
      </c>
      <c r="C168" s="60" t="str">
        <f>IFERROR(VLOOKUP(B168,'MB51'!A:I,9,0),"")</f>
        <v/>
      </c>
      <c r="D168" s="61" t="str">
        <f>IFERROR(VLOOKUP(B168,'MB51'!A:J,10,0),"")</f>
        <v/>
      </c>
      <c r="E168" s="62" t="str">
        <f>IFERROR(VLOOKUP(B168,'MB51'!A:K,11,0),"")</f>
        <v/>
      </c>
      <c r="F168" s="42" t="str">
        <f>IFERROR(VLOOKUP(B168,'MB51'!A:F,6,0),"")</f>
        <v/>
      </c>
      <c r="G168" s="17" t="str">
        <f t="shared" si="6"/>
        <v>點揀料單</v>
      </c>
      <c r="H168" s="17">
        <f t="shared" si="7"/>
        <v>0</v>
      </c>
      <c r="I168" t="str">
        <f t="shared" si="8"/>
        <v/>
      </c>
      <c r="J168" t="str">
        <f>SUBSTITUTE(IF(COUNTIF(I$2:I168,I168)&gt;1,"",1)," ","")</f>
        <v/>
      </c>
    </row>
    <row r="169" spans="1:10" x14ac:dyDescent="0.2">
      <c r="A169" s="51" t="str">
        <f>IFERROR(VLOOKUP(B169,點上線資訊!A:R,18,0),"")</f>
        <v/>
      </c>
      <c r="B169" s="41">
        <f>'MB51'!A169</f>
        <v>0</v>
      </c>
      <c r="C169" s="60" t="str">
        <f>IFERROR(VLOOKUP(B169,'MB51'!A:I,9,0),"")</f>
        <v/>
      </c>
      <c r="D169" s="61" t="str">
        <f>IFERROR(VLOOKUP(B169,'MB51'!A:J,10,0),"")</f>
        <v/>
      </c>
      <c r="E169" s="62" t="str">
        <f>IFERROR(VLOOKUP(B169,'MB51'!A:K,11,0),"")</f>
        <v/>
      </c>
      <c r="F169" s="42" t="str">
        <f>IFERROR(VLOOKUP(B169,'MB51'!A:F,6,0),"")</f>
        <v/>
      </c>
      <c r="G169" s="17" t="str">
        <f t="shared" si="6"/>
        <v>點揀料單</v>
      </c>
      <c r="H169" s="17">
        <f t="shared" si="7"/>
        <v>0</v>
      </c>
      <c r="I169" t="str">
        <f t="shared" si="8"/>
        <v/>
      </c>
      <c r="J169" t="str">
        <f>SUBSTITUTE(IF(COUNTIF(I$2:I169,I169)&gt;1,"",1)," ","")</f>
        <v/>
      </c>
    </row>
    <row r="170" spans="1:10" x14ac:dyDescent="0.2">
      <c r="A170" s="51" t="str">
        <f>IFERROR(VLOOKUP(B170,點上線資訊!A:R,18,0),"")</f>
        <v/>
      </c>
      <c r="B170" s="41">
        <f>'MB51'!A170</f>
        <v>0</v>
      </c>
      <c r="C170" s="60" t="str">
        <f>IFERROR(VLOOKUP(B170,'MB51'!A:I,9,0),"")</f>
        <v/>
      </c>
      <c r="D170" s="61" t="str">
        <f>IFERROR(VLOOKUP(B170,'MB51'!A:J,10,0),"")</f>
        <v/>
      </c>
      <c r="E170" s="62" t="str">
        <f>IFERROR(VLOOKUP(B170,'MB51'!A:K,11,0),"")</f>
        <v/>
      </c>
      <c r="F170" s="42" t="str">
        <f>IFERROR(VLOOKUP(B170,'MB51'!A:F,6,0),"")</f>
        <v/>
      </c>
      <c r="G170" s="17" t="str">
        <f t="shared" si="6"/>
        <v>點揀料單</v>
      </c>
      <c r="H170" s="17">
        <f t="shared" si="7"/>
        <v>0</v>
      </c>
      <c r="I170" t="str">
        <f t="shared" si="8"/>
        <v/>
      </c>
      <c r="J170" t="str">
        <f>SUBSTITUTE(IF(COUNTIF(I$2:I170,I170)&gt;1,"",1)," ","")</f>
        <v/>
      </c>
    </row>
    <row r="171" spans="1:10" x14ac:dyDescent="0.2">
      <c r="A171" s="51" t="str">
        <f>IFERROR(VLOOKUP(B171,點上線資訊!A:R,18,0),"")</f>
        <v/>
      </c>
      <c r="B171" s="41">
        <f>'MB51'!A171</f>
        <v>0</v>
      </c>
      <c r="C171" s="60" t="str">
        <f>IFERROR(VLOOKUP(B171,'MB51'!A:I,9,0),"")</f>
        <v/>
      </c>
      <c r="D171" s="61" t="str">
        <f>IFERROR(VLOOKUP(B171,'MB51'!A:J,10,0),"")</f>
        <v/>
      </c>
      <c r="E171" s="62" t="str">
        <f>IFERROR(VLOOKUP(B171,'MB51'!A:K,11,0),"")</f>
        <v/>
      </c>
      <c r="F171" s="42" t="str">
        <f>IFERROR(VLOOKUP(B171,'MB51'!A:F,6,0),"")</f>
        <v/>
      </c>
      <c r="G171" s="17" t="str">
        <f t="shared" si="6"/>
        <v>點揀料單</v>
      </c>
      <c r="H171" s="17">
        <f t="shared" si="7"/>
        <v>0</v>
      </c>
      <c r="I171" t="str">
        <f t="shared" si="8"/>
        <v/>
      </c>
      <c r="J171" t="str">
        <f>SUBSTITUTE(IF(COUNTIF(I$2:I171,I171)&gt;1,"",1)," ","")</f>
        <v/>
      </c>
    </row>
    <row r="172" spans="1:10" x14ac:dyDescent="0.2">
      <c r="A172" s="51" t="str">
        <f>IFERROR(VLOOKUP(B172,點上線資訊!A:R,18,0),"")</f>
        <v/>
      </c>
      <c r="B172" s="41">
        <f>'MB51'!A172</f>
        <v>0</v>
      </c>
      <c r="C172" s="60" t="str">
        <f>IFERROR(VLOOKUP(B172,'MB51'!A:I,9,0),"")</f>
        <v/>
      </c>
      <c r="D172" s="61" t="str">
        <f>IFERROR(VLOOKUP(B172,'MB51'!A:J,10,0),"")</f>
        <v/>
      </c>
      <c r="E172" s="62" t="str">
        <f>IFERROR(VLOOKUP(B172,'MB51'!A:K,11,0),"")</f>
        <v/>
      </c>
      <c r="F172" s="42" t="str">
        <f>IFERROR(VLOOKUP(B172,'MB51'!A:F,6,0),"")</f>
        <v/>
      </c>
      <c r="G172" s="17" t="str">
        <f t="shared" si="6"/>
        <v>點揀料單</v>
      </c>
      <c r="H172" s="17">
        <f t="shared" si="7"/>
        <v>0</v>
      </c>
      <c r="I172" t="str">
        <f t="shared" si="8"/>
        <v/>
      </c>
      <c r="J172" t="str">
        <f>SUBSTITUTE(IF(COUNTIF(I$2:I172,I172)&gt;1,"",1)," ","")</f>
        <v/>
      </c>
    </row>
    <row r="173" spans="1:10" x14ac:dyDescent="0.2">
      <c r="A173" s="51" t="str">
        <f>IFERROR(VLOOKUP(B173,點上線資訊!A:R,18,0),"")</f>
        <v/>
      </c>
      <c r="B173" s="41">
        <f>'MB51'!A173</f>
        <v>0</v>
      </c>
      <c r="C173" s="60" t="str">
        <f>IFERROR(VLOOKUP(B173,'MB51'!A:I,9,0),"")</f>
        <v/>
      </c>
      <c r="D173" s="61" t="str">
        <f>IFERROR(VLOOKUP(B173,'MB51'!A:J,10,0),"")</f>
        <v/>
      </c>
      <c r="E173" s="62" t="str">
        <f>IFERROR(VLOOKUP(B173,'MB51'!A:K,11,0),"")</f>
        <v/>
      </c>
      <c r="F173" s="42" t="str">
        <f>IFERROR(VLOOKUP(B173,'MB51'!A:F,6,0),"")</f>
        <v/>
      </c>
      <c r="G173" s="17" t="str">
        <f t="shared" si="6"/>
        <v>點揀料單</v>
      </c>
      <c r="H173" s="17">
        <f t="shared" si="7"/>
        <v>0</v>
      </c>
      <c r="I173" t="str">
        <f t="shared" si="8"/>
        <v/>
      </c>
      <c r="J173" t="str">
        <f>SUBSTITUTE(IF(COUNTIF(I$2:I173,I173)&gt;1,"",1)," ","")</f>
        <v/>
      </c>
    </row>
    <row r="174" spans="1:10" x14ac:dyDescent="0.2">
      <c r="A174" s="51" t="str">
        <f>IFERROR(VLOOKUP(B174,點上線資訊!A:R,18,0),"")</f>
        <v/>
      </c>
      <c r="B174" s="41">
        <f>'MB51'!A174</f>
        <v>0</v>
      </c>
      <c r="C174" s="60" t="str">
        <f>IFERROR(VLOOKUP(B174,'MB51'!A:I,9,0),"")</f>
        <v/>
      </c>
      <c r="D174" s="61" t="str">
        <f>IFERROR(VLOOKUP(B174,'MB51'!A:J,10,0),"")</f>
        <v/>
      </c>
      <c r="E174" s="62" t="str">
        <f>IFERROR(VLOOKUP(B174,'MB51'!A:K,11,0),"")</f>
        <v/>
      </c>
      <c r="F174" s="42" t="str">
        <f>IFERROR(VLOOKUP(B174,'MB51'!A:F,6,0),"")</f>
        <v/>
      </c>
      <c r="G174" s="17" t="str">
        <f t="shared" si="6"/>
        <v>點揀料單</v>
      </c>
      <c r="H174" s="17">
        <f t="shared" si="7"/>
        <v>0</v>
      </c>
      <c r="I174" t="str">
        <f t="shared" si="8"/>
        <v/>
      </c>
      <c r="J174" t="str">
        <f>SUBSTITUTE(IF(COUNTIF(I$2:I174,I174)&gt;1,"",1)," ","")</f>
        <v/>
      </c>
    </row>
    <row r="175" spans="1:10" x14ac:dyDescent="0.2">
      <c r="A175" s="51" t="str">
        <f>IFERROR(VLOOKUP(B175,點上線資訊!A:R,18,0),"")</f>
        <v/>
      </c>
      <c r="B175" s="41">
        <f>'MB51'!A175</f>
        <v>0</v>
      </c>
      <c r="C175" s="60" t="str">
        <f>IFERROR(VLOOKUP(B175,'MB51'!A:I,9,0),"")</f>
        <v/>
      </c>
      <c r="D175" s="61" t="str">
        <f>IFERROR(VLOOKUP(B175,'MB51'!A:J,10,0),"")</f>
        <v/>
      </c>
      <c r="E175" s="62" t="str">
        <f>IFERROR(VLOOKUP(B175,'MB51'!A:K,11,0),"")</f>
        <v/>
      </c>
      <c r="F175" s="42" t="str">
        <f>IFERROR(VLOOKUP(B175,'MB51'!A:F,6,0),"")</f>
        <v/>
      </c>
      <c r="G175" s="17" t="str">
        <f t="shared" si="6"/>
        <v>點揀料單</v>
      </c>
      <c r="H175" s="17">
        <f t="shared" si="7"/>
        <v>0</v>
      </c>
      <c r="I175" t="str">
        <f t="shared" si="8"/>
        <v/>
      </c>
      <c r="J175" t="str">
        <f>SUBSTITUTE(IF(COUNTIF(I$2:I175,I175)&gt;1,"",1)," ","")</f>
        <v/>
      </c>
    </row>
    <row r="176" spans="1:10" x14ac:dyDescent="0.2">
      <c r="A176" s="51" t="str">
        <f>IFERROR(VLOOKUP(B176,點上線資訊!A:R,18,0),"")</f>
        <v/>
      </c>
      <c r="B176" s="41">
        <f>'MB51'!A176</f>
        <v>0</v>
      </c>
      <c r="C176" s="60" t="str">
        <f>IFERROR(VLOOKUP(B176,'MB51'!A:I,9,0),"")</f>
        <v/>
      </c>
      <c r="D176" s="61" t="str">
        <f>IFERROR(VLOOKUP(B176,'MB51'!A:J,10,0),"")</f>
        <v/>
      </c>
      <c r="E176" s="62" t="str">
        <f>IFERROR(VLOOKUP(B176,'MB51'!A:K,11,0),"")</f>
        <v/>
      </c>
      <c r="F176" s="42" t="str">
        <f>IFERROR(VLOOKUP(B176,'MB51'!A:F,6,0),"")</f>
        <v/>
      </c>
      <c r="G176" s="17" t="str">
        <f t="shared" si="6"/>
        <v>點揀料單</v>
      </c>
      <c r="H176" s="17">
        <f t="shared" si="7"/>
        <v>0</v>
      </c>
      <c r="I176" t="str">
        <f t="shared" si="8"/>
        <v/>
      </c>
      <c r="J176" t="str">
        <f>SUBSTITUTE(IF(COUNTIF(I$2:I176,I176)&gt;1,"",1)," ","")</f>
        <v/>
      </c>
    </row>
    <row r="177" spans="1:10" x14ac:dyDescent="0.2">
      <c r="A177" s="51" t="str">
        <f>IFERROR(VLOOKUP(B177,點上線資訊!A:R,18,0),"")</f>
        <v/>
      </c>
      <c r="B177" s="41">
        <f>'MB51'!A177</f>
        <v>0</v>
      </c>
      <c r="C177" s="60" t="str">
        <f>IFERROR(VLOOKUP(B177,'MB51'!A:I,9,0),"")</f>
        <v/>
      </c>
      <c r="D177" s="61" t="str">
        <f>IFERROR(VLOOKUP(B177,'MB51'!A:J,10,0),"")</f>
        <v/>
      </c>
      <c r="E177" s="62" t="str">
        <f>IFERROR(VLOOKUP(B177,'MB51'!A:K,11,0),"")</f>
        <v/>
      </c>
      <c r="F177" s="42" t="str">
        <f>IFERROR(VLOOKUP(B177,'MB51'!A:F,6,0),"")</f>
        <v/>
      </c>
      <c r="G177" s="17" t="str">
        <f t="shared" si="6"/>
        <v>點揀料單</v>
      </c>
      <c r="H177" s="17">
        <f t="shared" si="7"/>
        <v>0</v>
      </c>
      <c r="I177" t="str">
        <f t="shared" si="8"/>
        <v/>
      </c>
      <c r="J177" t="str">
        <f>SUBSTITUTE(IF(COUNTIF(I$2:I177,I177)&gt;1,"",1)," ","")</f>
        <v/>
      </c>
    </row>
    <row r="178" spans="1:10" x14ac:dyDescent="0.2">
      <c r="A178" s="51" t="str">
        <f>IFERROR(VLOOKUP(B178,點上線資訊!A:R,18,0),"")</f>
        <v/>
      </c>
      <c r="B178" s="41">
        <f>'MB51'!A178</f>
        <v>0</v>
      </c>
      <c r="C178" s="60" t="str">
        <f>IFERROR(VLOOKUP(B178,'MB51'!A:I,9,0),"")</f>
        <v/>
      </c>
      <c r="D178" s="61" t="str">
        <f>IFERROR(VLOOKUP(B178,'MB51'!A:J,10,0),"")</f>
        <v/>
      </c>
      <c r="E178" s="62" t="str">
        <f>IFERROR(VLOOKUP(B178,'MB51'!A:K,11,0),"")</f>
        <v/>
      </c>
      <c r="F178" s="42" t="str">
        <f>IFERROR(VLOOKUP(B178,'MB51'!A:F,6,0),"")</f>
        <v/>
      </c>
      <c r="G178" s="17" t="str">
        <f t="shared" si="6"/>
        <v>點揀料單</v>
      </c>
      <c r="H178" s="17">
        <f t="shared" si="7"/>
        <v>0</v>
      </c>
      <c r="I178" t="str">
        <f t="shared" si="8"/>
        <v/>
      </c>
      <c r="J178" t="str">
        <f>SUBSTITUTE(IF(COUNTIF(I$2:I178,I178)&gt;1,"",1)," ","")</f>
        <v/>
      </c>
    </row>
    <row r="179" spans="1:10" x14ac:dyDescent="0.2">
      <c r="A179" s="51" t="str">
        <f>IFERROR(VLOOKUP(B179,點上線資訊!A:R,18,0),"")</f>
        <v/>
      </c>
      <c r="B179" s="41">
        <f>'MB51'!A179</f>
        <v>0</v>
      </c>
      <c r="C179" s="60" t="str">
        <f>IFERROR(VLOOKUP(B179,'MB51'!A:I,9,0),"")</f>
        <v/>
      </c>
      <c r="D179" s="61" t="str">
        <f>IFERROR(VLOOKUP(B179,'MB51'!A:J,10,0),"")</f>
        <v/>
      </c>
      <c r="E179" s="62" t="str">
        <f>IFERROR(VLOOKUP(B179,'MB51'!A:K,11,0),"")</f>
        <v/>
      </c>
      <c r="F179" s="42" t="str">
        <f>IFERROR(VLOOKUP(B179,'MB51'!A:F,6,0),"")</f>
        <v/>
      </c>
      <c r="G179" s="17" t="str">
        <f t="shared" si="6"/>
        <v>點揀料單</v>
      </c>
      <c r="H179" s="17">
        <f t="shared" si="7"/>
        <v>0</v>
      </c>
      <c r="I179" t="str">
        <f t="shared" si="8"/>
        <v/>
      </c>
      <c r="J179" t="str">
        <f>SUBSTITUTE(IF(COUNTIF(I$2:I179,I179)&gt;1,"",1)," ","")</f>
        <v/>
      </c>
    </row>
    <row r="180" spans="1:10" x14ac:dyDescent="0.2">
      <c r="A180" s="51" t="str">
        <f>IFERROR(VLOOKUP(B180,點上線資訊!A:R,18,0),"")</f>
        <v/>
      </c>
      <c r="B180" s="41">
        <f>'MB51'!A180</f>
        <v>0</v>
      </c>
      <c r="C180" s="60" t="str">
        <f>IFERROR(VLOOKUP(B180,'MB51'!A:I,9,0),"")</f>
        <v/>
      </c>
      <c r="D180" s="61" t="str">
        <f>IFERROR(VLOOKUP(B180,'MB51'!A:J,10,0),"")</f>
        <v/>
      </c>
      <c r="E180" s="62" t="str">
        <f>IFERROR(VLOOKUP(B180,'MB51'!A:K,11,0),"")</f>
        <v/>
      </c>
      <c r="F180" s="42" t="str">
        <f>IFERROR(VLOOKUP(B180,'MB51'!A:F,6,0),"")</f>
        <v/>
      </c>
      <c r="G180" s="17" t="str">
        <f t="shared" si="6"/>
        <v>點揀料單</v>
      </c>
      <c r="H180" s="17">
        <f t="shared" si="7"/>
        <v>0</v>
      </c>
      <c r="I180" t="str">
        <f t="shared" si="8"/>
        <v/>
      </c>
      <c r="J180" t="str">
        <f>SUBSTITUTE(IF(COUNTIF(I$2:I180,I180)&gt;1,"",1)," ","")</f>
        <v/>
      </c>
    </row>
    <row r="181" spans="1:10" x14ac:dyDescent="0.2">
      <c r="A181" s="51" t="str">
        <f>IFERROR(VLOOKUP(B181,點上線資訊!A:R,18,0),"")</f>
        <v/>
      </c>
      <c r="B181" s="41">
        <f>'MB51'!A181</f>
        <v>0</v>
      </c>
      <c r="C181" s="60" t="str">
        <f>IFERROR(VLOOKUP(B181,'MB51'!A:I,9,0),"")</f>
        <v/>
      </c>
      <c r="D181" s="61" t="str">
        <f>IFERROR(VLOOKUP(B181,'MB51'!A:J,10,0),"")</f>
        <v/>
      </c>
      <c r="E181" s="62" t="str">
        <f>IFERROR(VLOOKUP(B181,'MB51'!A:K,11,0),"")</f>
        <v/>
      </c>
      <c r="F181" s="42" t="str">
        <f>IFERROR(VLOOKUP(B181,'MB51'!A:F,6,0),"")</f>
        <v/>
      </c>
      <c r="G181" s="17" t="str">
        <f t="shared" si="6"/>
        <v>點揀料單</v>
      </c>
      <c r="H181" s="17">
        <f t="shared" si="7"/>
        <v>0</v>
      </c>
      <c r="I181" t="str">
        <f t="shared" si="8"/>
        <v/>
      </c>
      <c r="J181" t="str">
        <f>SUBSTITUTE(IF(COUNTIF(I$2:I181,I181)&gt;1,"",1)," ","")</f>
        <v/>
      </c>
    </row>
    <row r="182" spans="1:10" x14ac:dyDescent="0.2">
      <c r="A182" s="51" t="str">
        <f>IFERROR(VLOOKUP(B182,點上線資訊!A:R,18,0),"")</f>
        <v/>
      </c>
      <c r="B182" s="41">
        <f>'MB51'!A182</f>
        <v>0</v>
      </c>
      <c r="C182" s="60" t="str">
        <f>IFERROR(VLOOKUP(B182,'MB51'!A:I,9,0),"")</f>
        <v/>
      </c>
      <c r="D182" s="61" t="str">
        <f>IFERROR(VLOOKUP(B182,'MB51'!A:J,10,0),"")</f>
        <v/>
      </c>
      <c r="E182" s="62" t="str">
        <f>IFERROR(VLOOKUP(B182,'MB51'!A:K,11,0),"")</f>
        <v/>
      </c>
      <c r="F182" s="42" t="str">
        <f>IFERROR(VLOOKUP(B182,'MB51'!A:F,6,0),"")</f>
        <v/>
      </c>
      <c r="G182" s="17" t="str">
        <f t="shared" si="6"/>
        <v>點揀料單</v>
      </c>
      <c r="H182" s="17">
        <f t="shared" si="7"/>
        <v>0</v>
      </c>
      <c r="I182" t="str">
        <f t="shared" si="8"/>
        <v/>
      </c>
      <c r="J182" t="str">
        <f>SUBSTITUTE(IF(COUNTIF(I$2:I182,I182)&gt;1,"",1)," ","")</f>
        <v/>
      </c>
    </row>
    <row r="183" spans="1:10" x14ac:dyDescent="0.2">
      <c r="A183" s="51" t="str">
        <f>IFERROR(VLOOKUP(B183,點上線資訊!A:R,18,0),"")</f>
        <v/>
      </c>
      <c r="B183" s="41">
        <f>'MB51'!A183</f>
        <v>0</v>
      </c>
      <c r="C183" s="60" t="str">
        <f>IFERROR(VLOOKUP(B183,'MB51'!A:I,9,0),"")</f>
        <v/>
      </c>
      <c r="D183" s="61" t="str">
        <f>IFERROR(VLOOKUP(B183,'MB51'!A:J,10,0),"")</f>
        <v/>
      </c>
      <c r="E183" s="62" t="str">
        <f>IFERROR(VLOOKUP(B183,'MB51'!A:K,11,0),"")</f>
        <v/>
      </c>
      <c r="F183" s="42" t="str">
        <f>IFERROR(VLOOKUP(B183,'MB51'!A:F,6,0),"")</f>
        <v/>
      </c>
      <c r="G183" s="17" t="str">
        <f t="shared" si="6"/>
        <v>點揀料單</v>
      </c>
      <c r="H183" s="17">
        <f t="shared" si="7"/>
        <v>0</v>
      </c>
      <c r="I183" t="str">
        <f t="shared" si="8"/>
        <v/>
      </c>
      <c r="J183" t="str">
        <f>SUBSTITUTE(IF(COUNTIF(I$2:I183,I183)&gt;1,"",1)," ","")</f>
        <v/>
      </c>
    </row>
    <row r="184" spans="1:10" x14ac:dyDescent="0.2">
      <c r="A184" s="51" t="str">
        <f>IFERROR(VLOOKUP(B184,點上線資訊!A:R,18,0),"")</f>
        <v/>
      </c>
      <c r="B184" s="41">
        <f>'MB51'!A184</f>
        <v>0</v>
      </c>
      <c r="C184" s="60" t="str">
        <f>IFERROR(VLOOKUP(B184,'MB51'!A:I,9,0),"")</f>
        <v/>
      </c>
      <c r="D184" s="61" t="str">
        <f>IFERROR(VLOOKUP(B184,'MB51'!A:J,10,0),"")</f>
        <v/>
      </c>
      <c r="E184" s="62" t="str">
        <f>IFERROR(VLOOKUP(B184,'MB51'!A:K,11,0),"")</f>
        <v/>
      </c>
      <c r="F184" s="42" t="str">
        <f>IFERROR(VLOOKUP(B184,'MB51'!A:F,6,0),"")</f>
        <v/>
      </c>
      <c r="G184" s="17" t="str">
        <f t="shared" si="6"/>
        <v>點揀料單</v>
      </c>
      <c r="H184" s="17">
        <f t="shared" si="7"/>
        <v>0</v>
      </c>
      <c r="I184" t="str">
        <f t="shared" si="8"/>
        <v/>
      </c>
      <c r="J184" t="str">
        <f>SUBSTITUTE(IF(COUNTIF(I$2:I184,I184)&gt;1,"",1)," ","")</f>
        <v/>
      </c>
    </row>
    <row r="185" spans="1:10" x14ac:dyDescent="0.2">
      <c r="A185" s="51" t="str">
        <f>IFERROR(VLOOKUP(B185,點上線資訊!A:R,18,0),"")</f>
        <v/>
      </c>
      <c r="B185" s="41">
        <f>'MB51'!A185</f>
        <v>0</v>
      </c>
      <c r="C185" s="60" t="str">
        <f>IFERROR(VLOOKUP(B185,'MB51'!A:I,9,0),"")</f>
        <v/>
      </c>
      <c r="D185" s="61" t="str">
        <f>IFERROR(VLOOKUP(B185,'MB51'!A:J,10,0),"")</f>
        <v/>
      </c>
      <c r="E185" s="62" t="str">
        <f>IFERROR(VLOOKUP(B185,'MB51'!A:K,11,0),"")</f>
        <v/>
      </c>
      <c r="F185" s="42" t="str">
        <f>IFERROR(VLOOKUP(B185,'MB51'!A:F,6,0),"")</f>
        <v/>
      </c>
      <c r="G185" s="17" t="str">
        <f t="shared" si="6"/>
        <v>點揀料單</v>
      </c>
      <c r="H185" s="17">
        <f t="shared" si="7"/>
        <v>0</v>
      </c>
      <c r="I185" t="str">
        <f t="shared" si="8"/>
        <v/>
      </c>
      <c r="J185" t="str">
        <f>SUBSTITUTE(IF(COUNTIF(I$2:I185,I185)&gt;1,"",1)," ","")</f>
        <v/>
      </c>
    </row>
    <row r="186" spans="1:10" x14ac:dyDescent="0.2">
      <c r="A186" s="51" t="str">
        <f>IFERROR(VLOOKUP(B186,點上線資訊!A:R,18,0),"")</f>
        <v/>
      </c>
      <c r="B186" s="41">
        <f>'MB51'!A186</f>
        <v>0</v>
      </c>
      <c r="C186" s="60" t="str">
        <f>IFERROR(VLOOKUP(B186,'MB51'!A:I,9,0),"")</f>
        <v/>
      </c>
      <c r="D186" s="61" t="str">
        <f>IFERROR(VLOOKUP(B186,'MB51'!A:J,10,0),"")</f>
        <v/>
      </c>
      <c r="E186" s="62" t="str">
        <f>IFERROR(VLOOKUP(B186,'MB51'!A:K,11,0),"")</f>
        <v/>
      </c>
      <c r="F186" s="42" t="str">
        <f>IFERROR(VLOOKUP(B186,'MB51'!A:F,6,0),"")</f>
        <v/>
      </c>
      <c r="G186" s="17" t="str">
        <f t="shared" si="6"/>
        <v>點揀料單</v>
      </c>
      <c r="H186" s="17">
        <f t="shared" si="7"/>
        <v>0</v>
      </c>
      <c r="I186" t="str">
        <f t="shared" si="8"/>
        <v/>
      </c>
      <c r="J186" t="str">
        <f>SUBSTITUTE(IF(COUNTIF(I$2:I186,I186)&gt;1,"",1)," ","")</f>
        <v/>
      </c>
    </row>
    <row r="187" spans="1:10" x14ac:dyDescent="0.2">
      <c r="A187" s="51" t="str">
        <f>IFERROR(VLOOKUP(B187,點上線資訊!A:R,18,0),"")</f>
        <v/>
      </c>
      <c r="B187" s="41">
        <f>'MB51'!A187</f>
        <v>0</v>
      </c>
      <c r="C187" s="60" t="str">
        <f>IFERROR(VLOOKUP(B187,'MB51'!A:I,9,0),"")</f>
        <v/>
      </c>
      <c r="D187" s="61" t="str">
        <f>IFERROR(VLOOKUP(B187,'MB51'!A:J,10,0),"")</f>
        <v/>
      </c>
      <c r="E187" s="62" t="str">
        <f>IFERROR(VLOOKUP(B187,'MB51'!A:K,11,0),"")</f>
        <v/>
      </c>
      <c r="F187" s="42" t="str">
        <f>IFERROR(VLOOKUP(B187,'MB51'!A:F,6,0),"")</f>
        <v/>
      </c>
      <c r="G187" s="17" t="str">
        <f t="shared" si="6"/>
        <v>點揀料單</v>
      </c>
      <c r="H187" s="17">
        <f t="shared" si="7"/>
        <v>0</v>
      </c>
      <c r="I187" t="str">
        <f t="shared" si="8"/>
        <v/>
      </c>
      <c r="J187" t="str">
        <f>SUBSTITUTE(IF(COUNTIF(I$2:I187,I187)&gt;1,"",1)," ","")</f>
        <v/>
      </c>
    </row>
    <row r="188" spans="1:10" x14ac:dyDescent="0.2">
      <c r="A188" s="51" t="str">
        <f>IFERROR(VLOOKUP(B188,點上線資訊!A:R,18,0),"")</f>
        <v/>
      </c>
      <c r="B188" s="41">
        <f>'MB51'!A188</f>
        <v>0</v>
      </c>
      <c r="C188" s="60" t="str">
        <f>IFERROR(VLOOKUP(B188,'MB51'!A:I,9,0),"")</f>
        <v/>
      </c>
      <c r="D188" s="61" t="str">
        <f>IFERROR(VLOOKUP(B188,'MB51'!A:J,10,0),"")</f>
        <v/>
      </c>
      <c r="E188" s="62" t="str">
        <f>IFERROR(VLOOKUP(B188,'MB51'!A:K,11,0),"")</f>
        <v/>
      </c>
      <c r="F188" s="42" t="str">
        <f>IFERROR(VLOOKUP(B188,'MB51'!A:F,6,0),"")</f>
        <v/>
      </c>
      <c r="G188" s="17" t="str">
        <f t="shared" si="6"/>
        <v>點揀料單</v>
      </c>
      <c r="H188" s="17">
        <f t="shared" si="7"/>
        <v>0</v>
      </c>
      <c r="I188" t="str">
        <f t="shared" si="8"/>
        <v/>
      </c>
      <c r="J188" t="str">
        <f>SUBSTITUTE(IF(COUNTIF(I$2:I188,I188)&gt;1,"",1)," ","")</f>
        <v/>
      </c>
    </row>
    <row r="189" spans="1:10" x14ac:dyDescent="0.2">
      <c r="A189" s="51" t="str">
        <f>IFERROR(VLOOKUP(B189,點上線資訊!A:R,18,0),"")</f>
        <v/>
      </c>
      <c r="B189" s="41">
        <f>'MB51'!A189</f>
        <v>0</v>
      </c>
      <c r="C189" s="60" t="str">
        <f>IFERROR(VLOOKUP(B189,'MB51'!A:I,9,0),"")</f>
        <v/>
      </c>
      <c r="D189" s="61" t="str">
        <f>IFERROR(VLOOKUP(B189,'MB51'!A:J,10,0),"")</f>
        <v/>
      </c>
      <c r="E189" s="62" t="str">
        <f>IFERROR(VLOOKUP(B189,'MB51'!A:K,11,0),"")</f>
        <v/>
      </c>
      <c r="F189" s="42" t="str">
        <f>IFERROR(VLOOKUP(B189,'MB51'!A:F,6,0),"")</f>
        <v/>
      </c>
      <c r="G189" s="17" t="str">
        <f t="shared" si="6"/>
        <v>點揀料單</v>
      </c>
      <c r="H189" s="17">
        <f t="shared" si="7"/>
        <v>0</v>
      </c>
      <c r="I189" t="str">
        <f t="shared" si="8"/>
        <v/>
      </c>
      <c r="J189" t="str">
        <f>SUBSTITUTE(IF(COUNTIF(I$2:I189,I189)&gt;1,"",1)," ","")</f>
        <v/>
      </c>
    </row>
    <row r="190" spans="1:10" x14ac:dyDescent="0.2">
      <c r="A190" s="51" t="str">
        <f>IFERROR(VLOOKUP(B190,點上線資訊!A:R,18,0),"")</f>
        <v/>
      </c>
      <c r="B190" s="41">
        <f>'MB51'!A190</f>
        <v>0</v>
      </c>
      <c r="C190" s="60" t="str">
        <f>IFERROR(VLOOKUP(B190,'MB51'!A:I,9,0),"")</f>
        <v/>
      </c>
      <c r="D190" s="61" t="str">
        <f>IFERROR(VLOOKUP(B190,'MB51'!A:J,10,0),"")</f>
        <v/>
      </c>
      <c r="E190" s="62" t="str">
        <f>IFERROR(VLOOKUP(B190,'MB51'!A:K,11,0),"")</f>
        <v/>
      </c>
      <c r="F190" s="42" t="str">
        <f>IFERROR(VLOOKUP(B190,'MB51'!A:F,6,0),"")</f>
        <v/>
      </c>
      <c r="G190" s="17" t="str">
        <f t="shared" si="6"/>
        <v>點揀料單</v>
      </c>
      <c r="H190" s="17">
        <f t="shared" si="7"/>
        <v>0</v>
      </c>
      <c r="I190" t="str">
        <f t="shared" si="8"/>
        <v/>
      </c>
      <c r="J190" t="str">
        <f>SUBSTITUTE(IF(COUNTIF(I$2:I190,I190)&gt;1,"",1)," ","")</f>
        <v/>
      </c>
    </row>
    <row r="191" spans="1:10" x14ac:dyDescent="0.2">
      <c r="A191" s="51" t="str">
        <f>IFERROR(VLOOKUP(B191,點上線資訊!A:R,18,0),"")</f>
        <v/>
      </c>
      <c r="B191" s="41">
        <f>'MB51'!A191</f>
        <v>0</v>
      </c>
      <c r="C191" s="60" t="str">
        <f>IFERROR(VLOOKUP(B191,'MB51'!A:I,9,0),"")</f>
        <v/>
      </c>
      <c r="D191" s="61" t="str">
        <f>IFERROR(VLOOKUP(B191,'MB51'!A:J,10,0),"")</f>
        <v/>
      </c>
      <c r="E191" s="62" t="str">
        <f>IFERROR(VLOOKUP(B191,'MB51'!A:K,11,0),"")</f>
        <v/>
      </c>
      <c r="F191" s="42" t="str">
        <f>IFERROR(VLOOKUP(B191,'MB51'!A:F,6,0),"")</f>
        <v/>
      </c>
      <c r="G191" s="17" t="str">
        <f t="shared" si="6"/>
        <v>點揀料單</v>
      </c>
      <c r="H191" s="17">
        <f t="shared" si="7"/>
        <v>0</v>
      </c>
      <c r="I191" t="str">
        <f t="shared" si="8"/>
        <v/>
      </c>
      <c r="J191" t="str">
        <f>SUBSTITUTE(IF(COUNTIF(I$2:I191,I191)&gt;1,"",1)," ","")</f>
        <v/>
      </c>
    </row>
    <row r="192" spans="1:10" x14ac:dyDescent="0.2">
      <c r="A192" s="51" t="str">
        <f>IFERROR(VLOOKUP(B192,點上線資訊!A:R,18,0),"")</f>
        <v/>
      </c>
      <c r="B192" s="41">
        <f>'MB51'!A192</f>
        <v>0</v>
      </c>
      <c r="C192" s="60" t="str">
        <f>IFERROR(VLOOKUP(B192,'MB51'!A:I,9,0),"")</f>
        <v/>
      </c>
      <c r="D192" s="61" t="str">
        <f>IFERROR(VLOOKUP(B192,'MB51'!A:J,10,0),"")</f>
        <v/>
      </c>
      <c r="E192" s="62" t="str">
        <f>IFERROR(VLOOKUP(B192,'MB51'!A:K,11,0),"")</f>
        <v/>
      </c>
      <c r="F192" s="42" t="str">
        <f>IFERROR(VLOOKUP(B192,'MB51'!A:F,6,0),"")</f>
        <v/>
      </c>
      <c r="G192" s="17" t="str">
        <f t="shared" si="6"/>
        <v>點揀料單</v>
      </c>
      <c r="H192" s="17">
        <f t="shared" si="7"/>
        <v>0</v>
      </c>
      <c r="I192" t="str">
        <f t="shared" si="8"/>
        <v/>
      </c>
      <c r="J192" t="str">
        <f>SUBSTITUTE(IF(COUNTIF(I$2:I192,I192)&gt;1,"",1)," ","")</f>
        <v/>
      </c>
    </row>
    <row r="193" spans="1:10" x14ac:dyDescent="0.2">
      <c r="A193" s="51" t="str">
        <f>IFERROR(VLOOKUP(B193,點上線資訊!A:R,18,0),"")</f>
        <v/>
      </c>
      <c r="B193" s="41">
        <f>'MB51'!A193</f>
        <v>0</v>
      </c>
      <c r="C193" s="60" t="str">
        <f>IFERROR(VLOOKUP(B193,'MB51'!A:I,9,0),"")</f>
        <v/>
      </c>
      <c r="D193" s="61" t="str">
        <f>IFERROR(VLOOKUP(B193,'MB51'!A:J,10,0),"")</f>
        <v/>
      </c>
      <c r="E193" s="62" t="str">
        <f>IFERROR(VLOOKUP(B193,'MB51'!A:K,11,0),"")</f>
        <v/>
      </c>
      <c r="F193" s="42" t="str">
        <f>IFERROR(VLOOKUP(B193,'MB51'!A:F,6,0),"")</f>
        <v/>
      </c>
      <c r="G193" s="17" t="str">
        <f t="shared" si="6"/>
        <v>點揀料單</v>
      </c>
      <c r="H193" s="17">
        <f t="shared" si="7"/>
        <v>0</v>
      </c>
      <c r="I193" t="str">
        <f t="shared" si="8"/>
        <v/>
      </c>
      <c r="J193" t="str">
        <f>SUBSTITUTE(IF(COUNTIF(I$2:I193,I193)&gt;1,"",1)," ","")</f>
        <v/>
      </c>
    </row>
    <row r="194" spans="1:10" x14ac:dyDescent="0.2">
      <c r="A194" s="51" t="str">
        <f>IFERROR(VLOOKUP(B194,點上線資訊!A:R,18,0),"")</f>
        <v/>
      </c>
      <c r="B194" s="41">
        <f>'MB51'!A194</f>
        <v>0</v>
      </c>
      <c r="C194" s="60" t="str">
        <f>IFERROR(VLOOKUP(B194,'MB51'!A:I,9,0),"")</f>
        <v/>
      </c>
      <c r="D194" s="61" t="str">
        <f>IFERROR(VLOOKUP(B194,'MB51'!A:J,10,0),"")</f>
        <v/>
      </c>
      <c r="E194" s="62" t="str">
        <f>IFERROR(VLOOKUP(B194,'MB51'!A:K,11,0),"")</f>
        <v/>
      </c>
      <c r="F194" s="42" t="str">
        <f>IFERROR(VLOOKUP(B194,'MB51'!A:F,6,0),"")</f>
        <v/>
      </c>
      <c r="G194" s="17" t="str">
        <f t="shared" si="6"/>
        <v>點揀料單</v>
      </c>
      <c r="H194" s="17">
        <f t="shared" si="7"/>
        <v>0</v>
      </c>
      <c r="I194" t="str">
        <f t="shared" si="8"/>
        <v/>
      </c>
      <c r="J194" t="str">
        <f>SUBSTITUTE(IF(COUNTIF(I$2:I194,I194)&gt;1,"",1)," ","")</f>
        <v/>
      </c>
    </row>
    <row r="195" spans="1:10" x14ac:dyDescent="0.2">
      <c r="A195" s="51" t="str">
        <f>IFERROR(VLOOKUP(B195,點上線資訊!A:R,18,0),"")</f>
        <v/>
      </c>
      <c r="B195" s="41">
        <f>'MB51'!A195</f>
        <v>0</v>
      </c>
      <c r="C195" s="60" t="str">
        <f>IFERROR(VLOOKUP(B195,'MB51'!A:I,9,0),"")</f>
        <v/>
      </c>
      <c r="D195" s="61" t="str">
        <f>IFERROR(VLOOKUP(B195,'MB51'!A:J,10,0),"")</f>
        <v/>
      </c>
      <c r="E195" s="62" t="str">
        <f>IFERROR(VLOOKUP(B195,'MB51'!A:K,11,0),"")</f>
        <v/>
      </c>
      <c r="F195" s="42" t="str">
        <f>IFERROR(VLOOKUP(B195,'MB51'!A:F,6,0),"")</f>
        <v/>
      </c>
      <c r="G195" s="17" t="str">
        <f t="shared" ref="G195:G258" si="9">TEXT(D195,"MM/DD")&amp;TEXT(E195,"  HH")&amp;"點揀料單"</f>
        <v>點揀料單</v>
      </c>
      <c r="H195" s="17">
        <f t="shared" ref="H195:H258" si="10">ABS(SUMIF(C:C,C195,F:F))</f>
        <v>0</v>
      </c>
      <c r="I195" t="str">
        <f t="shared" ref="I195:I258" si="11">RIGHTB(C195,10)</f>
        <v/>
      </c>
      <c r="J195" t="str">
        <f>SUBSTITUTE(IF(COUNTIF(I$2:I195,I195)&gt;1,"",1)," ","")</f>
        <v/>
      </c>
    </row>
    <row r="196" spans="1:10" x14ac:dyDescent="0.2">
      <c r="A196" s="51" t="str">
        <f>IFERROR(VLOOKUP(B196,點上線資訊!A:R,18,0),"")</f>
        <v/>
      </c>
      <c r="B196" s="41">
        <f>'MB51'!A196</f>
        <v>0</v>
      </c>
      <c r="C196" s="60" t="str">
        <f>IFERROR(VLOOKUP(B196,'MB51'!A:I,9,0),"")</f>
        <v/>
      </c>
      <c r="D196" s="61" t="str">
        <f>IFERROR(VLOOKUP(B196,'MB51'!A:J,10,0),"")</f>
        <v/>
      </c>
      <c r="E196" s="62" t="str">
        <f>IFERROR(VLOOKUP(B196,'MB51'!A:K,11,0),"")</f>
        <v/>
      </c>
      <c r="F196" s="42" t="str">
        <f>IFERROR(VLOOKUP(B196,'MB51'!A:F,6,0),"")</f>
        <v/>
      </c>
      <c r="G196" s="17" t="str">
        <f t="shared" si="9"/>
        <v>點揀料單</v>
      </c>
      <c r="H196" s="17">
        <f t="shared" si="10"/>
        <v>0</v>
      </c>
      <c r="I196" t="str">
        <f t="shared" si="11"/>
        <v/>
      </c>
      <c r="J196" t="str">
        <f>SUBSTITUTE(IF(COUNTIF(I$2:I196,I196)&gt;1,"",1)," ","")</f>
        <v/>
      </c>
    </row>
    <row r="197" spans="1:10" x14ac:dyDescent="0.2">
      <c r="A197" s="51" t="str">
        <f>IFERROR(VLOOKUP(B197,點上線資訊!A:R,18,0),"")</f>
        <v/>
      </c>
      <c r="B197" s="41">
        <f>'MB51'!A197</f>
        <v>0</v>
      </c>
      <c r="C197" s="60" t="str">
        <f>IFERROR(VLOOKUP(B197,'MB51'!A:I,9,0),"")</f>
        <v/>
      </c>
      <c r="D197" s="61" t="str">
        <f>IFERROR(VLOOKUP(B197,'MB51'!A:J,10,0),"")</f>
        <v/>
      </c>
      <c r="E197" s="62" t="str">
        <f>IFERROR(VLOOKUP(B197,'MB51'!A:K,11,0),"")</f>
        <v/>
      </c>
      <c r="F197" s="42" t="str">
        <f>IFERROR(VLOOKUP(B197,'MB51'!A:F,6,0),"")</f>
        <v/>
      </c>
      <c r="G197" s="17" t="str">
        <f t="shared" si="9"/>
        <v>點揀料單</v>
      </c>
      <c r="H197" s="17">
        <f t="shared" si="10"/>
        <v>0</v>
      </c>
      <c r="I197" t="str">
        <f t="shared" si="11"/>
        <v/>
      </c>
      <c r="J197" t="str">
        <f>SUBSTITUTE(IF(COUNTIF(I$2:I197,I197)&gt;1,"",1)," ","")</f>
        <v/>
      </c>
    </row>
    <row r="198" spans="1:10" x14ac:dyDescent="0.2">
      <c r="A198" s="51" t="str">
        <f>IFERROR(VLOOKUP(B198,點上線資訊!A:R,18,0),"")</f>
        <v/>
      </c>
      <c r="B198" s="41">
        <f>'MB51'!A198</f>
        <v>0</v>
      </c>
      <c r="C198" s="60" t="str">
        <f>IFERROR(VLOOKUP(B198,'MB51'!A:I,9,0),"")</f>
        <v/>
      </c>
      <c r="D198" s="61" t="str">
        <f>IFERROR(VLOOKUP(B198,'MB51'!A:J,10,0),"")</f>
        <v/>
      </c>
      <c r="E198" s="62" t="str">
        <f>IFERROR(VLOOKUP(B198,'MB51'!A:K,11,0),"")</f>
        <v/>
      </c>
      <c r="F198" s="42" t="str">
        <f>IFERROR(VLOOKUP(B198,'MB51'!A:F,6,0),"")</f>
        <v/>
      </c>
      <c r="G198" s="17" t="str">
        <f t="shared" si="9"/>
        <v>點揀料單</v>
      </c>
      <c r="H198" s="17">
        <f t="shared" si="10"/>
        <v>0</v>
      </c>
      <c r="I198" t="str">
        <f t="shared" si="11"/>
        <v/>
      </c>
      <c r="J198" t="str">
        <f>SUBSTITUTE(IF(COUNTIF(I$2:I198,I198)&gt;1,"",1)," ","")</f>
        <v/>
      </c>
    </row>
    <row r="199" spans="1:10" x14ac:dyDescent="0.2">
      <c r="A199" s="51" t="str">
        <f>IFERROR(VLOOKUP(B199,點上線資訊!A:R,18,0),"")</f>
        <v/>
      </c>
      <c r="B199" s="41">
        <f>'MB51'!A199</f>
        <v>0</v>
      </c>
      <c r="C199" s="60" t="str">
        <f>IFERROR(VLOOKUP(B199,'MB51'!A:I,9,0),"")</f>
        <v/>
      </c>
      <c r="D199" s="61" t="str">
        <f>IFERROR(VLOOKUP(B199,'MB51'!A:J,10,0),"")</f>
        <v/>
      </c>
      <c r="E199" s="62" t="str">
        <f>IFERROR(VLOOKUP(B199,'MB51'!A:K,11,0),"")</f>
        <v/>
      </c>
      <c r="F199" s="42" t="str">
        <f>IFERROR(VLOOKUP(B199,'MB51'!A:F,6,0),"")</f>
        <v/>
      </c>
      <c r="G199" s="17" t="str">
        <f t="shared" si="9"/>
        <v>點揀料單</v>
      </c>
      <c r="H199" s="17">
        <f t="shared" si="10"/>
        <v>0</v>
      </c>
      <c r="I199" t="str">
        <f t="shared" si="11"/>
        <v/>
      </c>
      <c r="J199" t="str">
        <f>SUBSTITUTE(IF(COUNTIF(I$2:I199,I199)&gt;1,"",1)," ","")</f>
        <v/>
      </c>
    </row>
    <row r="200" spans="1:10" x14ac:dyDescent="0.2">
      <c r="A200" s="51" t="str">
        <f>IFERROR(VLOOKUP(B200,點上線資訊!A:R,18,0),"")</f>
        <v/>
      </c>
      <c r="B200" s="41">
        <f>'MB51'!A200</f>
        <v>0</v>
      </c>
      <c r="C200" s="60" t="str">
        <f>IFERROR(VLOOKUP(B200,'MB51'!A:I,9,0),"")</f>
        <v/>
      </c>
      <c r="D200" s="61" t="str">
        <f>IFERROR(VLOOKUP(B200,'MB51'!A:J,10,0),"")</f>
        <v/>
      </c>
      <c r="E200" s="62" t="str">
        <f>IFERROR(VLOOKUP(B200,'MB51'!A:K,11,0),"")</f>
        <v/>
      </c>
      <c r="F200" s="42" t="str">
        <f>IFERROR(VLOOKUP(B200,'MB51'!A:F,6,0),"")</f>
        <v/>
      </c>
      <c r="G200" s="17" t="str">
        <f t="shared" si="9"/>
        <v>點揀料單</v>
      </c>
      <c r="H200" s="17">
        <f t="shared" si="10"/>
        <v>0</v>
      </c>
      <c r="I200" t="str">
        <f t="shared" si="11"/>
        <v/>
      </c>
      <c r="J200" t="str">
        <f>SUBSTITUTE(IF(COUNTIF(I$2:I200,I200)&gt;1,"",1)," ","")</f>
        <v/>
      </c>
    </row>
    <row r="201" spans="1:10" x14ac:dyDescent="0.2">
      <c r="A201" s="51" t="str">
        <f>IFERROR(VLOOKUP(B201,點上線資訊!A:R,18,0),"")</f>
        <v/>
      </c>
      <c r="B201" s="41">
        <f>'MB51'!A201</f>
        <v>0</v>
      </c>
      <c r="C201" s="60" t="str">
        <f>IFERROR(VLOOKUP(B201,'MB51'!A:I,9,0),"")</f>
        <v/>
      </c>
      <c r="D201" s="61" t="str">
        <f>IFERROR(VLOOKUP(B201,'MB51'!A:J,10,0),"")</f>
        <v/>
      </c>
      <c r="E201" s="62" t="str">
        <f>IFERROR(VLOOKUP(B201,'MB51'!A:K,11,0),"")</f>
        <v/>
      </c>
      <c r="F201" s="42" t="str">
        <f>IFERROR(VLOOKUP(B201,'MB51'!A:F,6,0),"")</f>
        <v/>
      </c>
      <c r="G201" s="17" t="str">
        <f t="shared" si="9"/>
        <v>點揀料單</v>
      </c>
      <c r="H201" s="17">
        <f t="shared" si="10"/>
        <v>0</v>
      </c>
      <c r="I201" t="str">
        <f t="shared" si="11"/>
        <v/>
      </c>
      <c r="J201" t="str">
        <f>SUBSTITUTE(IF(COUNTIF(I$2:I201,I201)&gt;1,"",1)," ","")</f>
        <v/>
      </c>
    </row>
    <row r="202" spans="1:10" x14ac:dyDescent="0.2">
      <c r="A202" s="51" t="str">
        <f>IFERROR(VLOOKUP(B202,點上線資訊!A:R,18,0),"")</f>
        <v/>
      </c>
      <c r="B202" s="41">
        <f>'MB51'!A202</f>
        <v>0</v>
      </c>
      <c r="C202" s="60" t="str">
        <f>IFERROR(VLOOKUP(B202,'MB51'!A:I,9,0),"")</f>
        <v/>
      </c>
      <c r="D202" s="61" t="str">
        <f>IFERROR(VLOOKUP(B202,'MB51'!A:J,10,0),"")</f>
        <v/>
      </c>
      <c r="E202" s="62" t="str">
        <f>IFERROR(VLOOKUP(B202,'MB51'!A:K,11,0),"")</f>
        <v/>
      </c>
      <c r="F202" s="42" t="str">
        <f>IFERROR(VLOOKUP(B202,'MB51'!A:F,6,0),"")</f>
        <v/>
      </c>
      <c r="G202" s="17" t="str">
        <f t="shared" si="9"/>
        <v>點揀料單</v>
      </c>
      <c r="H202" s="17">
        <f t="shared" si="10"/>
        <v>0</v>
      </c>
      <c r="I202" t="str">
        <f t="shared" si="11"/>
        <v/>
      </c>
      <c r="J202" t="str">
        <f>SUBSTITUTE(IF(COUNTIF(I$2:I202,I202)&gt;1,"",1)," ","")</f>
        <v/>
      </c>
    </row>
    <row r="203" spans="1:10" x14ac:dyDescent="0.2">
      <c r="A203" s="51" t="str">
        <f>IFERROR(VLOOKUP(B203,點上線資訊!A:R,18,0),"")</f>
        <v/>
      </c>
      <c r="B203" s="41">
        <f>'MB51'!A203</f>
        <v>0</v>
      </c>
      <c r="C203" s="60" t="str">
        <f>IFERROR(VLOOKUP(B203,'MB51'!A:I,9,0),"")</f>
        <v/>
      </c>
      <c r="D203" s="61" t="str">
        <f>IFERROR(VLOOKUP(B203,'MB51'!A:J,10,0),"")</f>
        <v/>
      </c>
      <c r="E203" s="62" t="str">
        <f>IFERROR(VLOOKUP(B203,'MB51'!A:K,11,0),"")</f>
        <v/>
      </c>
      <c r="F203" s="42" t="str">
        <f>IFERROR(VLOOKUP(B203,'MB51'!A:F,6,0),"")</f>
        <v/>
      </c>
      <c r="G203" s="17" t="str">
        <f t="shared" si="9"/>
        <v>點揀料單</v>
      </c>
      <c r="H203" s="17">
        <f t="shared" si="10"/>
        <v>0</v>
      </c>
      <c r="I203" t="str">
        <f t="shared" si="11"/>
        <v/>
      </c>
      <c r="J203" t="str">
        <f>SUBSTITUTE(IF(COUNTIF(I$2:I203,I203)&gt;1,"",1)," ","")</f>
        <v/>
      </c>
    </row>
    <row r="204" spans="1:10" x14ac:dyDescent="0.2">
      <c r="A204" s="51" t="str">
        <f>IFERROR(VLOOKUP(B204,點上線資訊!A:R,18,0),"")</f>
        <v/>
      </c>
      <c r="B204" s="41">
        <f>'MB51'!A204</f>
        <v>0</v>
      </c>
      <c r="C204" s="60" t="str">
        <f>IFERROR(VLOOKUP(B204,'MB51'!A:I,9,0),"")</f>
        <v/>
      </c>
      <c r="D204" s="61" t="str">
        <f>IFERROR(VLOOKUP(B204,'MB51'!A:J,10,0),"")</f>
        <v/>
      </c>
      <c r="E204" s="62" t="str">
        <f>IFERROR(VLOOKUP(B204,'MB51'!A:K,11,0),"")</f>
        <v/>
      </c>
      <c r="F204" s="42" t="str">
        <f>IFERROR(VLOOKUP(B204,'MB51'!A:F,6,0),"")</f>
        <v/>
      </c>
      <c r="G204" s="17" t="str">
        <f t="shared" si="9"/>
        <v>點揀料單</v>
      </c>
      <c r="H204" s="17">
        <f t="shared" si="10"/>
        <v>0</v>
      </c>
      <c r="I204" t="str">
        <f t="shared" si="11"/>
        <v/>
      </c>
      <c r="J204" t="str">
        <f>SUBSTITUTE(IF(COUNTIF(I$2:I204,I204)&gt;1,"",1)," ","")</f>
        <v/>
      </c>
    </row>
    <row r="205" spans="1:10" x14ac:dyDescent="0.2">
      <c r="A205" s="51" t="str">
        <f>IFERROR(VLOOKUP(B205,點上線資訊!A:R,18,0),"")</f>
        <v/>
      </c>
      <c r="B205" s="41">
        <f>'MB51'!A205</f>
        <v>0</v>
      </c>
      <c r="C205" s="60" t="str">
        <f>IFERROR(VLOOKUP(B205,'MB51'!A:I,9,0),"")</f>
        <v/>
      </c>
      <c r="D205" s="61" t="str">
        <f>IFERROR(VLOOKUP(B205,'MB51'!A:J,10,0),"")</f>
        <v/>
      </c>
      <c r="E205" s="62" t="str">
        <f>IFERROR(VLOOKUP(B205,'MB51'!A:K,11,0),"")</f>
        <v/>
      </c>
      <c r="F205" s="42" t="str">
        <f>IFERROR(VLOOKUP(B205,'MB51'!A:F,6,0),"")</f>
        <v/>
      </c>
      <c r="G205" s="17" t="str">
        <f t="shared" si="9"/>
        <v>點揀料單</v>
      </c>
      <c r="H205" s="17">
        <f t="shared" si="10"/>
        <v>0</v>
      </c>
      <c r="I205" t="str">
        <f t="shared" si="11"/>
        <v/>
      </c>
      <c r="J205" t="str">
        <f>SUBSTITUTE(IF(COUNTIF(I$2:I205,I205)&gt;1,"",1)," ","")</f>
        <v/>
      </c>
    </row>
    <row r="206" spans="1:10" x14ac:dyDescent="0.2">
      <c r="A206" s="51" t="str">
        <f>IFERROR(VLOOKUP(B206,點上線資訊!A:R,18,0),"")</f>
        <v/>
      </c>
      <c r="B206" s="41">
        <f>'MB51'!A206</f>
        <v>0</v>
      </c>
      <c r="C206" s="60" t="str">
        <f>IFERROR(VLOOKUP(B206,'MB51'!A:I,9,0),"")</f>
        <v/>
      </c>
      <c r="D206" s="61" t="str">
        <f>IFERROR(VLOOKUP(B206,'MB51'!A:J,10,0),"")</f>
        <v/>
      </c>
      <c r="E206" s="62" t="str">
        <f>IFERROR(VLOOKUP(B206,'MB51'!A:K,11,0),"")</f>
        <v/>
      </c>
      <c r="F206" s="42" t="str">
        <f>IFERROR(VLOOKUP(B206,'MB51'!A:F,6,0),"")</f>
        <v/>
      </c>
      <c r="G206" s="17" t="str">
        <f t="shared" si="9"/>
        <v>點揀料單</v>
      </c>
      <c r="H206" s="17">
        <f t="shared" si="10"/>
        <v>0</v>
      </c>
      <c r="I206" t="str">
        <f t="shared" si="11"/>
        <v/>
      </c>
      <c r="J206" t="str">
        <f>SUBSTITUTE(IF(COUNTIF(I$2:I206,I206)&gt;1,"",1)," ","")</f>
        <v/>
      </c>
    </row>
    <row r="207" spans="1:10" x14ac:dyDescent="0.2">
      <c r="A207" s="51" t="str">
        <f>IFERROR(VLOOKUP(B207,點上線資訊!A:R,18,0),"")</f>
        <v/>
      </c>
      <c r="B207" s="41">
        <f>'MB51'!A207</f>
        <v>0</v>
      </c>
      <c r="C207" s="60" t="str">
        <f>IFERROR(VLOOKUP(B207,'MB51'!A:I,9,0),"")</f>
        <v/>
      </c>
      <c r="D207" s="61" t="str">
        <f>IFERROR(VLOOKUP(B207,'MB51'!A:J,10,0),"")</f>
        <v/>
      </c>
      <c r="E207" s="62" t="str">
        <f>IFERROR(VLOOKUP(B207,'MB51'!A:K,11,0),"")</f>
        <v/>
      </c>
      <c r="F207" s="42" t="str">
        <f>IFERROR(VLOOKUP(B207,'MB51'!A:F,6,0),"")</f>
        <v/>
      </c>
      <c r="G207" s="17" t="str">
        <f t="shared" si="9"/>
        <v>點揀料單</v>
      </c>
      <c r="H207" s="17">
        <f t="shared" si="10"/>
        <v>0</v>
      </c>
      <c r="I207" t="str">
        <f t="shared" si="11"/>
        <v/>
      </c>
      <c r="J207" t="str">
        <f>SUBSTITUTE(IF(COUNTIF(I$2:I207,I207)&gt;1,"",1)," ","")</f>
        <v/>
      </c>
    </row>
    <row r="208" spans="1:10" x14ac:dyDescent="0.2">
      <c r="A208" s="51" t="str">
        <f>IFERROR(VLOOKUP(B208,點上線資訊!A:R,18,0),"")</f>
        <v/>
      </c>
      <c r="B208" s="41">
        <f>'MB51'!A208</f>
        <v>0</v>
      </c>
      <c r="C208" s="60" t="str">
        <f>IFERROR(VLOOKUP(B208,'MB51'!A:I,9,0),"")</f>
        <v/>
      </c>
      <c r="D208" s="61" t="str">
        <f>IFERROR(VLOOKUP(B208,'MB51'!A:J,10,0),"")</f>
        <v/>
      </c>
      <c r="E208" s="62" t="str">
        <f>IFERROR(VLOOKUP(B208,'MB51'!A:K,11,0),"")</f>
        <v/>
      </c>
      <c r="F208" s="42" t="str">
        <f>IFERROR(VLOOKUP(B208,'MB51'!A:F,6,0),"")</f>
        <v/>
      </c>
      <c r="G208" s="17" t="str">
        <f t="shared" si="9"/>
        <v>點揀料單</v>
      </c>
      <c r="H208" s="17">
        <f t="shared" si="10"/>
        <v>0</v>
      </c>
      <c r="I208" t="str">
        <f t="shared" si="11"/>
        <v/>
      </c>
      <c r="J208" t="str">
        <f>SUBSTITUTE(IF(COUNTIF(I$2:I208,I208)&gt;1,"",1)," ","")</f>
        <v/>
      </c>
    </row>
    <row r="209" spans="1:10" x14ac:dyDescent="0.2">
      <c r="A209" s="51" t="str">
        <f>IFERROR(VLOOKUP(B209,點上線資訊!A:R,18,0),"")</f>
        <v/>
      </c>
      <c r="B209" s="41">
        <f>'MB51'!A209</f>
        <v>0</v>
      </c>
      <c r="C209" s="60" t="str">
        <f>IFERROR(VLOOKUP(B209,'MB51'!A:I,9,0),"")</f>
        <v/>
      </c>
      <c r="D209" s="61" t="str">
        <f>IFERROR(VLOOKUP(B209,'MB51'!A:J,10,0),"")</f>
        <v/>
      </c>
      <c r="E209" s="62" t="str">
        <f>IFERROR(VLOOKUP(B209,'MB51'!A:K,11,0),"")</f>
        <v/>
      </c>
      <c r="F209" s="42" t="str">
        <f>IFERROR(VLOOKUP(B209,'MB51'!A:F,6,0),"")</f>
        <v/>
      </c>
      <c r="G209" s="17" t="str">
        <f t="shared" si="9"/>
        <v>點揀料單</v>
      </c>
      <c r="H209" s="17">
        <f t="shared" si="10"/>
        <v>0</v>
      </c>
      <c r="I209" t="str">
        <f t="shared" si="11"/>
        <v/>
      </c>
      <c r="J209" t="str">
        <f>SUBSTITUTE(IF(COUNTIF(I$2:I209,I209)&gt;1,"",1)," ","")</f>
        <v/>
      </c>
    </row>
    <row r="210" spans="1:10" x14ac:dyDescent="0.2">
      <c r="A210" s="51" t="str">
        <f>IFERROR(VLOOKUP(B210,點上線資訊!A:R,18,0),"")</f>
        <v/>
      </c>
      <c r="B210" s="41">
        <f>'MB51'!A210</f>
        <v>0</v>
      </c>
      <c r="C210" s="60" t="str">
        <f>IFERROR(VLOOKUP(B210,'MB51'!A:I,9,0),"")</f>
        <v/>
      </c>
      <c r="D210" s="61" t="str">
        <f>IFERROR(VLOOKUP(B210,'MB51'!A:J,10,0),"")</f>
        <v/>
      </c>
      <c r="E210" s="62" t="str">
        <f>IFERROR(VLOOKUP(B210,'MB51'!A:K,11,0),"")</f>
        <v/>
      </c>
      <c r="F210" s="42" t="str">
        <f>IFERROR(VLOOKUP(B210,'MB51'!A:F,6,0),"")</f>
        <v/>
      </c>
      <c r="G210" s="17" t="str">
        <f t="shared" si="9"/>
        <v>點揀料單</v>
      </c>
      <c r="H210" s="17">
        <f t="shared" si="10"/>
        <v>0</v>
      </c>
      <c r="I210" t="str">
        <f t="shared" si="11"/>
        <v/>
      </c>
      <c r="J210" t="str">
        <f>SUBSTITUTE(IF(COUNTIF(I$2:I210,I210)&gt;1,"",1)," ","")</f>
        <v/>
      </c>
    </row>
    <row r="211" spans="1:10" x14ac:dyDescent="0.2">
      <c r="A211" s="51" t="str">
        <f>IFERROR(VLOOKUP(B211,點上線資訊!A:R,18,0),"")</f>
        <v/>
      </c>
      <c r="B211" s="41">
        <f>'MB51'!A211</f>
        <v>0</v>
      </c>
      <c r="C211" s="60" t="str">
        <f>IFERROR(VLOOKUP(B211,'MB51'!A:I,9,0),"")</f>
        <v/>
      </c>
      <c r="D211" s="61" t="str">
        <f>IFERROR(VLOOKUP(B211,'MB51'!A:J,10,0),"")</f>
        <v/>
      </c>
      <c r="E211" s="62" t="str">
        <f>IFERROR(VLOOKUP(B211,'MB51'!A:K,11,0),"")</f>
        <v/>
      </c>
      <c r="F211" s="42" t="str">
        <f>IFERROR(VLOOKUP(B211,'MB51'!A:F,6,0),"")</f>
        <v/>
      </c>
      <c r="G211" s="17" t="str">
        <f t="shared" si="9"/>
        <v>點揀料單</v>
      </c>
      <c r="H211" s="17">
        <f t="shared" si="10"/>
        <v>0</v>
      </c>
      <c r="I211" t="str">
        <f t="shared" si="11"/>
        <v/>
      </c>
      <c r="J211" t="str">
        <f>SUBSTITUTE(IF(COUNTIF(I$2:I211,I211)&gt;1,"",1)," ","")</f>
        <v/>
      </c>
    </row>
    <row r="212" spans="1:10" x14ac:dyDescent="0.2">
      <c r="A212" s="51" t="str">
        <f>IFERROR(VLOOKUP(B212,點上線資訊!A:R,18,0),"")</f>
        <v/>
      </c>
      <c r="B212" s="41">
        <f>'MB51'!A212</f>
        <v>0</v>
      </c>
      <c r="C212" s="60" t="str">
        <f>IFERROR(VLOOKUP(B212,'MB51'!A:I,9,0),"")</f>
        <v/>
      </c>
      <c r="D212" s="61" t="str">
        <f>IFERROR(VLOOKUP(B212,'MB51'!A:J,10,0),"")</f>
        <v/>
      </c>
      <c r="E212" s="62" t="str">
        <f>IFERROR(VLOOKUP(B212,'MB51'!A:K,11,0),"")</f>
        <v/>
      </c>
      <c r="F212" s="42" t="str">
        <f>IFERROR(VLOOKUP(B212,'MB51'!A:F,6,0),"")</f>
        <v/>
      </c>
      <c r="G212" s="17" t="str">
        <f t="shared" si="9"/>
        <v>點揀料單</v>
      </c>
      <c r="H212" s="17">
        <f t="shared" si="10"/>
        <v>0</v>
      </c>
      <c r="I212" t="str">
        <f t="shared" si="11"/>
        <v/>
      </c>
      <c r="J212" t="str">
        <f>SUBSTITUTE(IF(COUNTIF(I$2:I212,I212)&gt;1,"",1)," ","")</f>
        <v/>
      </c>
    </row>
    <row r="213" spans="1:10" x14ac:dyDescent="0.2">
      <c r="A213" s="51" t="str">
        <f>IFERROR(VLOOKUP(B213,點上線資訊!A:R,18,0),"")</f>
        <v/>
      </c>
      <c r="B213" s="41">
        <f>'MB51'!A213</f>
        <v>0</v>
      </c>
      <c r="C213" s="60" t="str">
        <f>IFERROR(VLOOKUP(B213,'MB51'!A:I,9,0),"")</f>
        <v/>
      </c>
      <c r="D213" s="61" t="str">
        <f>IFERROR(VLOOKUP(B213,'MB51'!A:J,10,0),"")</f>
        <v/>
      </c>
      <c r="E213" s="62" t="str">
        <f>IFERROR(VLOOKUP(B213,'MB51'!A:K,11,0),"")</f>
        <v/>
      </c>
      <c r="F213" s="42" t="str">
        <f>IFERROR(VLOOKUP(B213,'MB51'!A:F,6,0),"")</f>
        <v/>
      </c>
      <c r="G213" s="17" t="str">
        <f t="shared" si="9"/>
        <v>點揀料單</v>
      </c>
      <c r="H213" s="17">
        <f t="shared" si="10"/>
        <v>0</v>
      </c>
      <c r="I213" t="str">
        <f t="shared" si="11"/>
        <v/>
      </c>
      <c r="J213" t="str">
        <f>SUBSTITUTE(IF(COUNTIF(I$2:I213,I213)&gt;1,"",1)," ","")</f>
        <v/>
      </c>
    </row>
    <row r="214" spans="1:10" x14ac:dyDescent="0.2">
      <c r="A214" s="51" t="str">
        <f>IFERROR(VLOOKUP(B214,點上線資訊!A:R,18,0),"")</f>
        <v/>
      </c>
      <c r="B214" s="41">
        <f>'MB51'!A214</f>
        <v>0</v>
      </c>
      <c r="C214" s="60" t="str">
        <f>IFERROR(VLOOKUP(B214,'MB51'!A:I,9,0),"")</f>
        <v/>
      </c>
      <c r="D214" s="61" t="str">
        <f>IFERROR(VLOOKUP(B214,'MB51'!A:J,10,0),"")</f>
        <v/>
      </c>
      <c r="E214" s="62" t="str">
        <f>IFERROR(VLOOKUP(B214,'MB51'!A:K,11,0),"")</f>
        <v/>
      </c>
      <c r="F214" s="42" t="str">
        <f>IFERROR(VLOOKUP(B214,'MB51'!A:F,6,0),"")</f>
        <v/>
      </c>
      <c r="G214" s="17" t="str">
        <f t="shared" si="9"/>
        <v>點揀料單</v>
      </c>
      <c r="H214" s="17">
        <f t="shared" si="10"/>
        <v>0</v>
      </c>
      <c r="I214" t="str">
        <f t="shared" si="11"/>
        <v/>
      </c>
      <c r="J214" t="str">
        <f>SUBSTITUTE(IF(COUNTIF(I$2:I214,I214)&gt;1,"",1)," ","")</f>
        <v/>
      </c>
    </row>
    <row r="215" spans="1:10" x14ac:dyDescent="0.2">
      <c r="A215" s="51" t="str">
        <f>IFERROR(VLOOKUP(B215,點上線資訊!A:R,18,0),"")</f>
        <v/>
      </c>
      <c r="B215" s="41">
        <f>'MB51'!A215</f>
        <v>0</v>
      </c>
      <c r="C215" s="60" t="str">
        <f>IFERROR(VLOOKUP(B215,'MB51'!A:I,9,0),"")</f>
        <v/>
      </c>
      <c r="D215" s="61" t="str">
        <f>IFERROR(VLOOKUP(B215,'MB51'!A:J,10,0),"")</f>
        <v/>
      </c>
      <c r="E215" s="62" t="str">
        <f>IFERROR(VLOOKUP(B215,'MB51'!A:K,11,0),"")</f>
        <v/>
      </c>
      <c r="F215" s="42" t="str">
        <f>IFERROR(VLOOKUP(B215,'MB51'!A:F,6,0),"")</f>
        <v/>
      </c>
      <c r="G215" s="17" t="str">
        <f t="shared" si="9"/>
        <v>點揀料單</v>
      </c>
      <c r="H215" s="17">
        <f t="shared" si="10"/>
        <v>0</v>
      </c>
      <c r="I215" t="str">
        <f t="shared" si="11"/>
        <v/>
      </c>
      <c r="J215" t="str">
        <f>SUBSTITUTE(IF(COUNTIF(I$2:I215,I215)&gt;1,"",1)," ","")</f>
        <v/>
      </c>
    </row>
    <row r="216" spans="1:10" x14ac:dyDescent="0.2">
      <c r="A216" s="51" t="str">
        <f>IFERROR(VLOOKUP(B216,點上線資訊!A:R,18,0),"")</f>
        <v/>
      </c>
      <c r="B216" s="41">
        <f>'MB51'!A216</f>
        <v>0</v>
      </c>
      <c r="C216" s="60" t="str">
        <f>IFERROR(VLOOKUP(B216,'MB51'!A:I,9,0),"")</f>
        <v/>
      </c>
      <c r="D216" s="61" t="str">
        <f>IFERROR(VLOOKUP(B216,'MB51'!A:J,10,0),"")</f>
        <v/>
      </c>
      <c r="E216" s="62" t="str">
        <f>IFERROR(VLOOKUP(B216,'MB51'!A:K,11,0),"")</f>
        <v/>
      </c>
      <c r="F216" s="42" t="str">
        <f>IFERROR(VLOOKUP(B216,'MB51'!A:F,6,0),"")</f>
        <v/>
      </c>
      <c r="G216" s="17" t="str">
        <f t="shared" si="9"/>
        <v>點揀料單</v>
      </c>
      <c r="H216" s="17">
        <f t="shared" si="10"/>
        <v>0</v>
      </c>
      <c r="I216" t="str">
        <f t="shared" si="11"/>
        <v/>
      </c>
      <c r="J216" t="str">
        <f>SUBSTITUTE(IF(COUNTIF(I$2:I216,I216)&gt;1,"",1)," ","")</f>
        <v/>
      </c>
    </row>
    <row r="217" spans="1:10" x14ac:dyDescent="0.2">
      <c r="A217" s="51" t="str">
        <f>IFERROR(VLOOKUP(B217,點上線資訊!A:R,18,0),"")</f>
        <v/>
      </c>
      <c r="B217" s="41">
        <f>'MB51'!A217</f>
        <v>0</v>
      </c>
      <c r="C217" s="60" t="str">
        <f>IFERROR(VLOOKUP(B217,'MB51'!A:I,9,0),"")</f>
        <v/>
      </c>
      <c r="D217" s="61" t="str">
        <f>IFERROR(VLOOKUP(B217,'MB51'!A:J,10,0),"")</f>
        <v/>
      </c>
      <c r="E217" s="62" t="str">
        <f>IFERROR(VLOOKUP(B217,'MB51'!A:K,11,0),"")</f>
        <v/>
      </c>
      <c r="F217" s="42" t="str">
        <f>IFERROR(VLOOKUP(B217,'MB51'!A:F,6,0),"")</f>
        <v/>
      </c>
      <c r="G217" s="17" t="str">
        <f t="shared" si="9"/>
        <v>點揀料單</v>
      </c>
      <c r="H217" s="17">
        <f t="shared" si="10"/>
        <v>0</v>
      </c>
      <c r="I217" t="str">
        <f t="shared" si="11"/>
        <v/>
      </c>
      <c r="J217" t="str">
        <f>SUBSTITUTE(IF(COUNTIF(I$2:I217,I217)&gt;1,"",1)," ","")</f>
        <v/>
      </c>
    </row>
    <row r="218" spans="1:10" x14ac:dyDescent="0.2">
      <c r="A218" s="51" t="str">
        <f>IFERROR(VLOOKUP(B218,點上線資訊!A:R,18,0),"")</f>
        <v/>
      </c>
      <c r="B218" s="41">
        <f>'MB51'!A218</f>
        <v>0</v>
      </c>
      <c r="C218" s="60" t="str">
        <f>IFERROR(VLOOKUP(B218,'MB51'!A:I,9,0),"")</f>
        <v/>
      </c>
      <c r="D218" s="61" t="str">
        <f>IFERROR(VLOOKUP(B218,'MB51'!A:J,10,0),"")</f>
        <v/>
      </c>
      <c r="E218" s="62" t="str">
        <f>IFERROR(VLOOKUP(B218,'MB51'!A:K,11,0),"")</f>
        <v/>
      </c>
      <c r="F218" s="42" t="str">
        <f>IFERROR(VLOOKUP(B218,'MB51'!A:F,6,0),"")</f>
        <v/>
      </c>
      <c r="G218" s="17" t="str">
        <f t="shared" si="9"/>
        <v>點揀料單</v>
      </c>
      <c r="H218" s="17">
        <f t="shared" si="10"/>
        <v>0</v>
      </c>
      <c r="I218" t="str">
        <f t="shared" si="11"/>
        <v/>
      </c>
      <c r="J218" t="str">
        <f>SUBSTITUTE(IF(COUNTIF(I$2:I218,I218)&gt;1,"",1)," ","")</f>
        <v/>
      </c>
    </row>
    <row r="219" spans="1:10" x14ac:dyDescent="0.2">
      <c r="A219" s="51" t="str">
        <f>IFERROR(VLOOKUP(B219,點上線資訊!A:R,18,0),"")</f>
        <v/>
      </c>
      <c r="B219" s="41">
        <f>'MB51'!A219</f>
        <v>0</v>
      </c>
      <c r="C219" s="60" t="str">
        <f>IFERROR(VLOOKUP(B219,'MB51'!A:I,9,0),"")</f>
        <v/>
      </c>
      <c r="D219" s="61" t="str">
        <f>IFERROR(VLOOKUP(B219,'MB51'!A:J,10,0),"")</f>
        <v/>
      </c>
      <c r="E219" s="62" t="str">
        <f>IFERROR(VLOOKUP(B219,'MB51'!A:K,11,0),"")</f>
        <v/>
      </c>
      <c r="F219" s="42" t="str">
        <f>IFERROR(VLOOKUP(B219,'MB51'!A:F,6,0),"")</f>
        <v/>
      </c>
      <c r="G219" s="17" t="str">
        <f t="shared" si="9"/>
        <v>點揀料單</v>
      </c>
      <c r="H219" s="17">
        <f t="shared" si="10"/>
        <v>0</v>
      </c>
      <c r="I219" t="str">
        <f t="shared" si="11"/>
        <v/>
      </c>
      <c r="J219" t="str">
        <f>SUBSTITUTE(IF(COUNTIF(I$2:I219,I219)&gt;1,"",1)," ","")</f>
        <v/>
      </c>
    </row>
    <row r="220" spans="1:10" x14ac:dyDescent="0.2">
      <c r="A220" s="51" t="str">
        <f>IFERROR(VLOOKUP(B220,點上線資訊!A:R,18,0),"")</f>
        <v/>
      </c>
      <c r="B220" s="41">
        <f>'MB51'!A220</f>
        <v>0</v>
      </c>
      <c r="C220" s="60" t="str">
        <f>IFERROR(VLOOKUP(B220,'MB51'!A:I,9,0),"")</f>
        <v/>
      </c>
      <c r="D220" s="61" t="str">
        <f>IFERROR(VLOOKUP(B220,'MB51'!A:J,10,0),"")</f>
        <v/>
      </c>
      <c r="E220" s="62" t="str">
        <f>IFERROR(VLOOKUP(B220,'MB51'!A:K,11,0),"")</f>
        <v/>
      </c>
      <c r="F220" s="42" t="str">
        <f>IFERROR(VLOOKUP(B220,'MB51'!A:F,6,0),"")</f>
        <v/>
      </c>
      <c r="G220" s="17" t="str">
        <f t="shared" si="9"/>
        <v>點揀料單</v>
      </c>
      <c r="H220" s="17">
        <f t="shared" si="10"/>
        <v>0</v>
      </c>
      <c r="I220" t="str">
        <f t="shared" si="11"/>
        <v/>
      </c>
      <c r="J220" t="str">
        <f>SUBSTITUTE(IF(COUNTIF(I$2:I220,I220)&gt;1,"",1)," ","")</f>
        <v/>
      </c>
    </row>
    <row r="221" spans="1:10" x14ac:dyDescent="0.2">
      <c r="A221" s="51" t="str">
        <f>IFERROR(VLOOKUP(B221,點上線資訊!A:R,18,0),"")</f>
        <v/>
      </c>
      <c r="B221" s="41">
        <f>'MB51'!A221</f>
        <v>0</v>
      </c>
      <c r="C221" s="60" t="str">
        <f>IFERROR(VLOOKUP(B221,'MB51'!A:I,9,0),"")</f>
        <v/>
      </c>
      <c r="D221" s="61" t="str">
        <f>IFERROR(VLOOKUP(B221,'MB51'!A:J,10,0),"")</f>
        <v/>
      </c>
      <c r="E221" s="62" t="str">
        <f>IFERROR(VLOOKUP(B221,'MB51'!A:K,11,0),"")</f>
        <v/>
      </c>
      <c r="F221" s="42" t="str">
        <f>IFERROR(VLOOKUP(B221,'MB51'!A:F,6,0),"")</f>
        <v/>
      </c>
      <c r="G221" s="17" t="str">
        <f t="shared" si="9"/>
        <v>點揀料單</v>
      </c>
      <c r="H221" s="17">
        <f t="shared" si="10"/>
        <v>0</v>
      </c>
      <c r="I221" t="str">
        <f t="shared" si="11"/>
        <v/>
      </c>
      <c r="J221" t="str">
        <f>SUBSTITUTE(IF(COUNTIF(I$2:I221,I221)&gt;1,"",1)," ","")</f>
        <v/>
      </c>
    </row>
    <row r="222" spans="1:10" x14ac:dyDescent="0.2">
      <c r="A222" s="51" t="str">
        <f>IFERROR(VLOOKUP(B222,點上線資訊!A:R,18,0),"")</f>
        <v/>
      </c>
      <c r="B222" s="41">
        <f>'MB51'!A222</f>
        <v>0</v>
      </c>
      <c r="C222" s="60" t="str">
        <f>IFERROR(VLOOKUP(B222,'MB51'!A:I,9,0),"")</f>
        <v/>
      </c>
      <c r="D222" s="61" t="str">
        <f>IFERROR(VLOOKUP(B222,'MB51'!A:J,10,0),"")</f>
        <v/>
      </c>
      <c r="E222" s="62" t="str">
        <f>IFERROR(VLOOKUP(B222,'MB51'!A:K,11,0),"")</f>
        <v/>
      </c>
      <c r="F222" s="42" t="str">
        <f>IFERROR(VLOOKUP(B222,'MB51'!A:F,6,0),"")</f>
        <v/>
      </c>
      <c r="G222" s="17" t="str">
        <f t="shared" si="9"/>
        <v>點揀料單</v>
      </c>
      <c r="H222" s="17">
        <f t="shared" si="10"/>
        <v>0</v>
      </c>
      <c r="I222" t="str">
        <f t="shared" si="11"/>
        <v/>
      </c>
      <c r="J222" t="str">
        <f>SUBSTITUTE(IF(COUNTIF(I$2:I222,I222)&gt;1,"",1)," ","")</f>
        <v/>
      </c>
    </row>
    <row r="223" spans="1:10" x14ac:dyDescent="0.2">
      <c r="A223" s="51" t="str">
        <f>IFERROR(VLOOKUP(B223,點上線資訊!A:R,18,0),"")</f>
        <v/>
      </c>
      <c r="B223" s="41">
        <f>'MB51'!A223</f>
        <v>0</v>
      </c>
      <c r="C223" s="60" t="str">
        <f>IFERROR(VLOOKUP(B223,'MB51'!A:I,9,0),"")</f>
        <v/>
      </c>
      <c r="D223" s="61" t="str">
        <f>IFERROR(VLOOKUP(B223,'MB51'!A:J,10,0),"")</f>
        <v/>
      </c>
      <c r="E223" s="62" t="str">
        <f>IFERROR(VLOOKUP(B223,'MB51'!A:K,11,0),"")</f>
        <v/>
      </c>
      <c r="F223" s="42" t="str">
        <f>IFERROR(VLOOKUP(B223,'MB51'!A:F,6,0),"")</f>
        <v/>
      </c>
      <c r="G223" s="17" t="str">
        <f t="shared" si="9"/>
        <v>點揀料單</v>
      </c>
      <c r="H223" s="17">
        <f t="shared" si="10"/>
        <v>0</v>
      </c>
      <c r="I223" t="str">
        <f t="shared" si="11"/>
        <v/>
      </c>
      <c r="J223" t="str">
        <f>SUBSTITUTE(IF(COUNTIF(I$2:I223,I223)&gt;1,"",1)," ","")</f>
        <v/>
      </c>
    </row>
    <row r="224" spans="1:10" x14ac:dyDescent="0.2">
      <c r="A224" s="51" t="str">
        <f>IFERROR(VLOOKUP(B224,點上線資訊!A:R,18,0),"")</f>
        <v/>
      </c>
      <c r="B224" s="41">
        <f>'MB51'!A224</f>
        <v>0</v>
      </c>
      <c r="C224" s="60" t="str">
        <f>IFERROR(VLOOKUP(B224,'MB51'!A:I,9,0),"")</f>
        <v/>
      </c>
      <c r="D224" s="61" t="str">
        <f>IFERROR(VLOOKUP(B224,'MB51'!A:J,10,0),"")</f>
        <v/>
      </c>
      <c r="E224" s="62" t="str">
        <f>IFERROR(VLOOKUP(B224,'MB51'!A:K,11,0),"")</f>
        <v/>
      </c>
      <c r="F224" s="42" t="str">
        <f>IFERROR(VLOOKUP(B224,'MB51'!A:F,6,0),"")</f>
        <v/>
      </c>
      <c r="G224" s="17" t="str">
        <f t="shared" si="9"/>
        <v>點揀料單</v>
      </c>
      <c r="H224" s="17">
        <f t="shared" si="10"/>
        <v>0</v>
      </c>
      <c r="I224" t="str">
        <f t="shared" si="11"/>
        <v/>
      </c>
      <c r="J224" t="str">
        <f>SUBSTITUTE(IF(COUNTIF(I$2:I224,I224)&gt;1,"",1)," ","")</f>
        <v/>
      </c>
    </row>
    <row r="225" spans="1:10" x14ac:dyDescent="0.2">
      <c r="A225" s="51" t="str">
        <f>IFERROR(VLOOKUP(B225,點上線資訊!A:R,18,0),"")</f>
        <v/>
      </c>
      <c r="B225" s="41">
        <f>'MB51'!A225</f>
        <v>0</v>
      </c>
      <c r="C225" s="60" t="str">
        <f>IFERROR(VLOOKUP(B225,'MB51'!A:I,9,0),"")</f>
        <v/>
      </c>
      <c r="D225" s="61" t="str">
        <f>IFERROR(VLOOKUP(B225,'MB51'!A:J,10,0),"")</f>
        <v/>
      </c>
      <c r="E225" s="62" t="str">
        <f>IFERROR(VLOOKUP(B225,'MB51'!A:K,11,0),"")</f>
        <v/>
      </c>
      <c r="F225" s="42" t="str">
        <f>IFERROR(VLOOKUP(B225,'MB51'!A:F,6,0),"")</f>
        <v/>
      </c>
      <c r="G225" s="17" t="str">
        <f t="shared" si="9"/>
        <v>點揀料單</v>
      </c>
      <c r="H225" s="17">
        <f t="shared" si="10"/>
        <v>0</v>
      </c>
      <c r="I225" t="str">
        <f t="shared" si="11"/>
        <v/>
      </c>
      <c r="J225" t="str">
        <f>SUBSTITUTE(IF(COUNTIF(I$2:I225,I225)&gt;1,"",1)," ","")</f>
        <v/>
      </c>
    </row>
    <row r="226" spans="1:10" x14ac:dyDescent="0.2">
      <c r="A226" s="51" t="str">
        <f>IFERROR(VLOOKUP(B226,點上線資訊!A:R,18,0),"")</f>
        <v/>
      </c>
      <c r="B226" s="41">
        <f>'MB51'!A226</f>
        <v>0</v>
      </c>
      <c r="C226" s="60" t="str">
        <f>IFERROR(VLOOKUP(B226,'MB51'!A:I,9,0),"")</f>
        <v/>
      </c>
      <c r="D226" s="61" t="str">
        <f>IFERROR(VLOOKUP(B226,'MB51'!A:J,10,0),"")</f>
        <v/>
      </c>
      <c r="E226" s="62" t="str">
        <f>IFERROR(VLOOKUP(B226,'MB51'!A:K,11,0),"")</f>
        <v/>
      </c>
      <c r="F226" s="42" t="str">
        <f>IFERROR(VLOOKUP(B226,'MB51'!A:F,6,0),"")</f>
        <v/>
      </c>
      <c r="G226" s="17" t="str">
        <f t="shared" si="9"/>
        <v>點揀料單</v>
      </c>
      <c r="H226" s="17">
        <f t="shared" si="10"/>
        <v>0</v>
      </c>
      <c r="I226" t="str">
        <f t="shared" si="11"/>
        <v/>
      </c>
      <c r="J226" t="str">
        <f>SUBSTITUTE(IF(COUNTIF(I$2:I226,I226)&gt;1,"",1)," ","")</f>
        <v/>
      </c>
    </row>
    <row r="227" spans="1:10" x14ac:dyDescent="0.2">
      <c r="A227" s="51" t="str">
        <f>IFERROR(VLOOKUP(B227,點上線資訊!A:R,18,0),"")</f>
        <v/>
      </c>
      <c r="B227" s="41">
        <f>'MB51'!A227</f>
        <v>0</v>
      </c>
      <c r="C227" s="60" t="str">
        <f>IFERROR(VLOOKUP(B227,'MB51'!A:I,9,0),"")</f>
        <v/>
      </c>
      <c r="D227" s="61" t="str">
        <f>IFERROR(VLOOKUP(B227,'MB51'!A:J,10,0),"")</f>
        <v/>
      </c>
      <c r="E227" s="62" t="str">
        <f>IFERROR(VLOOKUP(B227,'MB51'!A:K,11,0),"")</f>
        <v/>
      </c>
      <c r="F227" s="42" t="str">
        <f>IFERROR(VLOOKUP(B227,'MB51'!A:F,6,0),"")</f>
        <v/>
      </c>
      <c r="G227" s="17" t="str">
        <f t="shared" si="9"/>
        <v>點揀料單</v>
      </c>
      <c r="H227" s="17">
        <f t="shared" si="10"/>
        <v>0</v>
      </c>
      <c r="I227" t="str">
        <f t="shared" si="11"/>
        <v/>
      </c>
      <c r="J227" t="str">
        <f>SUBSTITUTE(IF(COUNTIF(I$2:I227,I227)&gt;1,"",1)," ","")</f>
        <v/>
      </c>
    </row>
    <row r="228" spans="1:10" x14ac:dyDescent="0.2">
      <c r="A228" s="51" t="str">
        <f>IFERROR(VLOOKUP(B228,點上線資訊!A:R,18,0),"")</f>
        <v/>
      </c>
      <c r="B228" s="41">
        <f>'MB51'!A228</f>
        <v>0</v>
      </c>
      <c r="C228" s="60" t="str">
        <f>IFERROR(VLOOKUP(B228,'MB51'!A:I,9,0),"")</f>
        <v/>
      </c>
      <c r="D228" s="61" t="str">
        <f>IFERROR(VLOOKUP(B228,'MB51'!A:J,10,0),"")</f>
        <v/>
      </c>
      <c r="E228" s="62" t="str">
        <f>IFERROR(VLOOKUP(B228,'MB51'!A:K,11,0),"")</f>
        <v/>
      </c>
      <c r="F228" s="42" t="str">
        <f>IFERROR(VLOOKUP(B228,'MB51'!A:F,6,0),"")</f>
        <v/>
      </c>
      <c r="G228" s="17" t="str">
        <f t="shared" si="9"/>
        <v>點揀料單</v>
      </c>
      <c r="H228" s="17">
        <f t="shared" si="10"/>
        <v>0</v>
      </c>
      <c r="I228" t="str">
        <f t="shared" si="11"/>
        <v/>
      </c>
      <c r="J228" t="str">
        <f>SUBSTITUTE(IF(COUNTIF(I$2:I228,I228)&gt;1,"",1)," ","")</f>
        <v/>
      </c>
    </row>
    <row r="229" spans="1:10" x14ac:dyDescent="0.2">
      <c r="A229" s="51" t="str">
        <f>IFERROR(VLOOKUP(B229,點上線資訊!A:R,18,0),"")</f>
        <v/>
      </c>
      <c r="B229" s="41">
        <f>'MB51'!A229</f>
        <v>0</v>
      </c>
      <c r="C229" s="60" t="str">
        <f>IFERROR(VLOOKUP(B229,'MB51'!A:I,9,0),"")</f>
        <v/>
      </c>
      <c r="D229" s="61" t="str">
        <f>IFERROR(VLOOKUP(B229,'MB51'!A:J,10,0),"")</f>
        <v/>
      </c>
      <c r="E229" s="62" t="str">
        <f>IFERROR(VLOOKUP(B229,'MB51'!A:K,11,0),"")</f>
        <v/>
      </c>
      <c r="F229" s="42" t="str">
        <f>IFERROR(VLOOKUP(B229,'MB51'!A:F,6,0),"")</f>
        <v/>
      </c>
      <c r="G229" s="17" t="str">
        <f t="shared" si="9"/>
        <v>點揀料單</v>
      </c>
      <c r="H229" s="17">
        <f t="shared" si="10"/>
        <v>0</v>
      </c>
      <c r="I229" t="str">
        <f t="shared" si="11"/>
        <v/>
      </c>
      <c r="J229" t="str">
        <f>SUBSTITUTE(IF(COUNTIF(I$2:I229,I229)&gt;1,"",1)," ","")</f>
        <v/>
      </c>
    </row>
    <row r="230" spans="1:10" x14ac:dyDescent="0.2">
      <c r="A230" s="51" t="str">
        <f>IFERROR(VLOOKUP(B230,點上線資訊!A:R,18,0),"")</f>
        <v/>
      </c>
      <c r="B230" s="41">
        <f>'MB51'!A230</f>
        <v>0</v>
      </c>
      <c r="C230" s="60" t="str">
        <f>IFERROR(VLOOKUP(B230,'MB51'!A:I,9,0),"")</f>
        <v/>
      </c>
      <c r="D230" s="61" t="str">
        <f>IFERROR(VLOOKUP(B230,'MB51'!A:J,10,0),"")</f>
        <v/>
      </c>
      <c r="E230" s="62" t="str">
        <f>IFERROR(VLOOKUP(B230,'MB51'!A:K,11,0),"")</f>
        <v/>
      </c>
      <c r="F230" s="42" t="str">
        <f>IFERROR(VLOOKUP(B230,'MB51'!A:F,6,0),"")</f>
        <v/>
      </c>
      <c r="G230" s="17" t="str">
        <f t="shared" si="9"/>
        <v>點揀料單</v>
      </c>
      <c r="H230" s="17">
        <f t="shared" si="10"/>
        <v>0</v>
      </c>
      <c r="I230" t="str">
        <f t="shared" si="11"/>
        <v/>
      </c>
      <c r="J230" t="str">
        <f>SUBSTITUTE(IF(COUNTIF(I$2:I230,I230)&gt;1,"",1)," ","")</f>
        <v/>
      </c>
    </row>
    <row r="231" spans="1:10" x14ac:dyDescent="0.2">
      <c r="A231" s="51" t="str">
        <f>IFERROR(VLOOKUP(B231,點上線資訊!A:R,18,0),"")</f>
        <v/>
      </c>
      <c r="B231" s="41">
        <f>'MB51'!A231</f>
        <v>0</v>
      </c>
      <c r="C231" s="60" t="str">
        <f>IFERROR(VLOOKUP(B231,'MB51'!A:I,9,0),"")</f>
        <v/>
      </c>
      <c r="D231" s="61" t="str">
        <f>IFERROR(VLOOKUP(B231,'MB51'!A:J,10,0),"")</f>
        <v/>
      </c>
      <c r="E231" s="62" t="str">
        <f>IFERROR(VLOOKUP(B231,'MB51'!A:K,11,0),"")</f>
        <v/>
      </c>
      <c r="F231" s="42" t="str">
        <f>IFERROR(VLOOKUP(B231,'MB51'!A:F,6,0),"")</f>
        <v/>
      </c>
      <c r="G231" s="17" t="str">
        <f t="shared" si="9"/>
        <v>點揀料單</v>
      </c>
      <c r="H231" s="17">
        <f t="shared" si="10"/>
        <v>0</v>
      </c>
      <c r="I231" t="str">
        <f t="shared" si="11"/>
        <v/>
      </c>
      <c r="J231" t="str">
        <f>SUBSTITUTE(IF(COUNTIF(I$2:I231,I231)&gt;1,"",1)," ","")</f>
        <v/>
      </c>
    </row>
    <row r="232" spans="1:10" x14ac:dyDescent="0.2">
      <c r="A232" s="51" t="str">
        <f>IFERROR(VLOOKUP(B232,點上線資訊!A:R,18,0),"")</f>
        <v/>
      </c>
      <c r="B232" s="41">
        <f>'MB51'!A232</f>
        <v>0</v>
      </c>
      <c r="C232" s="60" t="str">
        <f>IFERROR(VLOOKUP(B232,'MB51'!A:I,9,0),"")</f>
        <v/>
      </c>
      <c r="D232" s="61" t="str">
        <f>IFERROR(VLOOKUP(B232,'MB51'!A:J,10,0),"")</f>
        <v/>
      </c>
      <c r="E232" s="62" t="str">
        <f>IFERROR(VLOOKUP(B232,'MB51'!A:K,11,0),"")</f>
        <v/>
      </c>
      <c r="F232" s="42" t="str">
        <f>IFERROR(VLOOKUP(B232,'MB51'!A:F,6,0),"")</f>
        <v/>
      </c>
      <c r="G232" s="17" t="str">
        <f t="shared" si="9"/>
        <v>點揀料單</v>
      </c>
      <c r="H232" s="17">
        <f t="shared" si="10"/>
        <v>0</v>
      </c>
      <c r="I232" t="str">
        <f t="shared" si="11"/>
        <v/>
      </c>
      <c r="J232" t="str">
        <f>SUBSTITUTE(IF(COUNTIF(I$2:I232,I232)&gt;1,"",1)," ","")</f>
        <v/>
      </c>
    </row>
    <row r="233" spans="1:10" x14ac:dyDescent="0.2">
      <c r="A233" s="51" t="str">
        <f>IFERROR(VLOOKUP(B233,點上線資訊!A:R,18,0),"")</f>
        <v/>
      </c>
      <c r="B233" s="41">
        <f>'MB51'!A233</f>
        <v>0</v>
      </c>
      <c r="C233" s="60" t="str">
        <f>IFERROR(VLOOKUP(B233,'MB51'!A:I,9,0),"")</f>
        <v/>
      </c>
      <c r="D233" s="61" t="str">
        <f>IFERROR(VLOOKUP(B233,'MB51'!A:J,10,0),"")</f>
        <v/>
      </c>
      <c r="E233" s="62" t="str">
        <f>IFERROR(VLOOKUP(B233,'MB51'!A:K,11,0),"")</f>
        <v/>
      </c>
      <c r="F233" s="42" t="str">
        <f>IFERROR(VLOOKUP(B233,'MB51'!A:F,6,0),"")</f>
        <v/>
      </c>
      <c r="G233" s="17" t="str">
        <f t="shared" si="9"/>
        <v>點揀料單</v>
      </c>
      <c r="H233" s="17">
        <f t="shared" si="10"/>
        <v>0</v>
      </c>
      <c r="I233" t="str">
        <f t="shared" si="11"/>
        <v/>
      </c>
      <c r="J233" t="str">
        <f>SUBSTITUTE(IF(COUNTIF(I$2:I233,I233)&gt;1,"",1)," ","")</f>
        <v/>
      </c>
    </row>
    <row r="234" spans="1:10" x14ac:dyDescent="0.2">
      <c r="A234" s="51" t="str">
        <f>IFERROR(VLOOKUP(B234,點上線資訊!A:R,18,0),"")</f>
        <v/>
      </c>
      <c r="B234" s="41">
        <f>'MB51'!A234</f>
        <v>0</v>
      </c>
      <c r="C234" s="60" t="str">
        <f>IFERROR(VLOOKUP(B234,'MB51'!A:I,9,0),"")</f>
        <v/>
      </c>
      <c r="D234" s="61" t="str">
        <f>IFERROR(VLOOKUP(B234,'MB51'!A:J,10,0),"")</f>
        <v/>
      </c>
      <c r="E234" s="62" t="str">
        <f>IFERROR(VLOOKUP(B234,'MB51'!A:K,11,0),"")</f>
        <v/>
      </c>
      <c r="F234" s="42" t="str">
        <f>IFERROR(VLOOKUP(B234,'MB51'!A:F,6,0),"")</f>
        <v/>
      </c>
      <c r="G234" s="17" t="str">
        <f t="shared" si="9"/>
        <v>點揀料單</v>
      </c>
      <c r="H234" s="17">
        <f t="shared" si="10"/>
        <v>0</v>
      </c>
      <c r="I234" t="str">
        <f t="shared" si="11"/>
        <v/>
      </c>
      <c r="J234" t="str">
        <f>SUBSTITUTE(IF(COUNTIF(I$2:I234,I234)&gt;1,"",1)," ","")</f>
        <v/>
      </c>
    </row>
    <row r="235" spans="1:10" x14ac:dyDescent="0.2">
      <c r="A235" s="51" t="str">
        <f>IFERROR(VLOOKUP(B235,點上線資訊!A:R,18,0),"")</f>
        <v/>
      </c>
      <c r="B235" s="41">
        <f>'MB51'!A235</f>
        <v>0</v>
      </c>
      <c r="C235" s="60" t="str">
        <f>IFERROR(VLOOKUP(B235,'MB51'!A:I,9,0),"")</f>
        <v/>
      </c>
      <c r="D235" s="61" t="str">
        <f>IFERROR(VLOOKUP(B235,'MB51'!A:J,10,0),"")</f>
        <v/>
      </c>
      <c r="E235" s="62" t="str">
        <f>IFERROR(VLOOKUP(B235,'MB51'!A:K,11,0),"")</f>
        <v/>
      </c>
      <c r="F235" s="42" t="str">
        <f>IFERROR(VLOOKUP(B235,'MB51'!A:F,6,0),"")</f>
        <v/>
      </c>
      <c r="G235" s="17" t="str">
        <f t="shared" si="9"/>
        <v>點揀料單</v>
      </c>
      <c r="H235" s="17">
        <f t="shared" si="10"/>
        <v>0</v>
      </c>
      <c r="I235" t="str">
        <f t="shared" si="11"/>
        <v/>
      </c>
      <c r="J235" t="str">
        <f>SUBSTITUTE(IF(COUNTIF(I$2:I235,I235)&gt;1,"",1)," ","")</f>
        <v/>
      </c>
    </row>
    <row r="236" spans="1:10" x14ac:dyDescent="0.2">
      <c r="A236" s="51" t="str">
        <f>IFERROR(VLOOKUP(B236,點上線資訊!A:R,18,0),"")</f>
        <v/>
      </c>
      <c r="B236" s="41">
        <f>'MB51'!A236</f>
        <v>0</v>
      </c>
      <c r="C236" s="60" t="str">
        <f>IFERROR(VLOOKUP(B236,'MB51'!A:I,9,0),"")</f>
        <v/>
      </c>
      <c r="D236" s="61" t="str">
        <f>IFERROR(VLOOKUP(B236,'MB51'!A:J,10,0),"")</f>
        <v/>
      </c>
      <c r="E236" s="62" t="str">
        <f>IFERROR(VLOOKUP(B236,'MB51'!A:K,11,0),"")</f>
        <v/>
      </c>
      <c r="F236" s="42" t="str">
        <f>IFERROR(VLOOKUP(B236,'MB51'!A:F,6,0),"")</f>
        <v/>
      </c>
      <c r="G236" s="17" t="str">
        <f t="shared" si="9"/>
        <v>點揀料單</v>
      </c>
      <c r="H236" s="17">
        <f t="shared" si="10"/>
        <v>0</v>
      </c>
      <c r="I236" t="str">
        <f t="shared" si="11"/>
        <v/>
      </c>
      <c r="J236" t="str">
        <f>SUBSTITUTE(IF(COUNTIF(I$2:I236,I236)&gt;1,"",1)," ","")</f>
        <v/>
      </c>
    </row>
    <row r="237" spans="1:10" x14ac:dyDescent="0.2">
      <c r="A237" s="51" t="str">
        <f>IFERROR(VLOOKUP(B237,點上線資訊!A:R,18,0),"")</f>
        <v/>
      </c>
      <c r="B237" s="41">
        <f>'MB51'!A237</f>
        <v>0</v>
      </c>
      <c r="C237" s="60" t="str">
        <f>IFERROR(VLOOKUP(B237,'MB51'!A:I,9,0),"")</f>
        <v/>
      </c>
      <c r="D237" s="61" t="str">
        <f>IFERROR(VLOOKUP(B237,'MB51'!A:J,10,0),"")</f>
        <v/>
      </c>
      <c r="E237" s="62" t="str">
        <f>IFERROR(VLOOKUP(B237,'MB51'!A:K,11,0),"")</f>
        <v/>
      </c>
      <c r="F237" s="42" t="str">
        <f>IFERROR(VLOOKUP(B237,'MB51'!A:F,6,0),"")</f>
        <v/>
      </c>
      <c r="G237" s="17" t="str">
        <f t="shared" si="9"/>
        <v>點揀料單</v>
      </c>
      <c r="H237" s="17">
        <f t="shared" si="10"/>
        <v>0</v>
      </c>
      <c r="I237" t="str">
        <f t="shared" si="11"/>
        <v/>
      </c>
      <c r="J237" t="str">
        <f>SUBSTITUTE(IF(COUNTIF(I$2:I237,I237)&gt;1,"",1)," ","")</f>
        <v/>
      </c>
    </row>
    <row r="238" spans="1:10" x14ac:dyDescent="0.2">
      <c r="A238" s="51" t="str">
        <f>IFERROR(VLOOKUP(B238,點上線資訊!A:R,18,0),"")</f>
        <v/>
      </c>
      <c r="B238" s="41">
        <f>'MB51'!A238</f>
        <v>0</v>
      </c>
      <c r="C238" s="60" t="str">
        <f>IFERROR(VLOOKUP(B238,'MB51'!A:I,9,0),"")</f>
        <v/>
      </c>
      <c r="D238" s="61" t="str">
        <f>IFERROR(VLOOKUP(B238,'MB51'!A:J,10,0),"")</f>
        <v/>
      </c>
      <c r="E238" s="62" t="str">
        <f>IFERROR(VLOOKUP(B238,'MB51'!A:K,11,0),"")</f>
        <v/>
      </c>
      <c r="F238" s="42" t="str">
        <f>IFERROR(VLOOKUP(B238,'MB51'!A:F,6,0),"")</f>
        <v/>
      </c>
      <c r="G238" s="17" t="str">
        <f t="shared" si="9"/>
        <v>點揀料單</v>
      </c>
      <c r="H238" s="17">
        <f t="shared" si="10"/>
        <v>0</v>
      </c>
      <c r="I238" t="str">
        <f t="shared" si="11"/>
        <v/>
      </c>
      <c r="J238" t="str">
        <f>SUBSTITUTE(IF(COUNTIF(I$2:I238,I238)&gt;1,"",1)," ","")</f>
        <v/>
      </c>
    </row>
    <row r="239" spans="1:10" x14ac:dyDescent="0.2">
      <c r="A239" s="51" t="str">
        <f>IFERROR(VLOOKUP(B239,點上線資訊!A:R,18,0),"")</f>
        <v/>
      </c>
      <c r="B239" s="41">
        <f>'MB51'!A239</f>
        <v>0</v>
      </c>
      <c r="C239" s="60" t="str">
        <f>IFERROR(VLOOKUP(B239,'MB51'!A:I,9,0),"")</f>
        <v/>
      </c>
      <c r="D239" s="61" t="str">
        <f>IFERROR(VLOOKUP(B239,'MB51'!A:J,10,0),"")</f>
        <v/>
      </c>
      <c r="E239" s="62" t="str">
        <f>IFERROR(VLOOKUP(B239,'MB51'!A:K,11,0),"")</f>
        <v/>
      </c>
      <c r="F239" s="42" t="str">
        <f>IFERROR(VLOOKUP(B239,'MB51'!A:F,6,0),"")</f>
        <v/>
      </c>
      <c r="G239" s="17" t="str">
        <f t="shared" si="9"/>
        <v>點揀料單</v>
      </c>
      <c r="H239" s="17">
        <f t="shared" si="10"/>
        <v>0</v>
      </c>
      <c r="I239" t="str">
        <f t="shared" si="11"/>
        <v/>
      </c>
      <c r="J239" t="str">
        <f>SUBSTITUTE(IF(COUNTIF(I$2:I239,I239)&gt;1,"",1)," ","")</f>
        <v/>
      </c>
    </row>
    <row r="240" spans="1:10" x14ac:dyDescent="0.2">
      <c r="A240" s="51" t="str">
        <f>IFERROR(VLOOKUP(B240,點上線資訊!A:R,18,0),"")</f>
        <v/>
      </c>
      <c r="B240" s="41">
        <f>'MB51'!A240</f>
        <v>0</v>
      </c>
      <c r="C240" s="60" t="str">
        <f>IFERROR(VLOOKUP(B240,'MB51'!A:I,9,0),"")</f>
        <v/>
      </c>
      <c r="D240" s="61" t="str">
        <f>IFERROR(VLOOKUP(B240,'MB51'!A:J,10,0),"")</f>
        <v/>
      </c>
      <c r="E240" s="62" t="str">
        <f>IFERROR(VLOOKUP(B240,'MB51'!A:K,11,0),"")</f>
        <v/>
      </c>
      <c r="F240" s="42" t="str">
        <f>IFERROR(VLOOKUP(B240,'MB51'!A:F,6,0),"")</f>
        <v/>
      </c>
      <c r="G240" s="17" t="str">
        <f t="shared" si="9"/>
        <v>點揀料單</v>
      </c>
      <c r="H240" s="17">
        <f t="shared" si="10"/>
        <v>0</v>
      </c>
      <c r="I240" t="str">
        <f t="shared" si="11"/>
        <v/>
      </c>
      <c r="J240" t="str">
        <f>SUBSTITUTE(IF(COUNTIF(I$2:I240,I240)&gt;1,"",1)," ","")</f>
        <v/>
      </c>
    </row>
    <row r="241" spans="1:10" x14ac:dyDescent="0.2">
      <c r="A241" s="51" t="str">
        <f>IFERROR(VLOOKUP(B241,點上線資訊!A:R,18,0),"")</f>
        <v/>
      </c>
      <c r="B241" s="41">
        <f>'MB51'!A241</f>
        <v>0</v>
      </c>
      <c r="C241" s="60" t="str">
        <f>IFERROR(VLOOKUP(B241,'MB51'!A:I,9,0),"")</f>
        <v/>
      </c>
      <c r="D241" s="61" t="str">
        <f>IFERROR(VLOOKUP(B241,'MB51'!A:J,10,0),"")</f>
        <v/>
      </c>
      <c r="E241" s="62" t="str">
        <f>IFERROR(VLOOKUP(B241,'MB51'!A:K,11,0),"")</f>
        <v/>
      </c>
      <c r="F241" s="42" t="str">
        <f>IFERROR(VLOOKUP(B241,'MB51'!A:F,6,0),"")</f>
        <v/>
      </c>
      <c r="G241" s="17" t="str">
        <f t="shared" si="9"/>
        <v>點揀料單</v>
      </c>
      <c r="H241" s="17">
        <f t="shared" si="10"/>
        <v>0</v>
      </c>
      <c r="I241" t="str">
        <f t="shared" si="11"/>
        <v/>
      </c>
      <c r="J241" t="str">
        <f>SUBSTITUTE(IF(COUNTIF(I$2:I241,I241)&gt;1,"",1)," ","")</f>
        <v/>
      </c>
    </row>
    <row r="242" spans="1:10" x14ac:dyDescent="0.2">
      <c r="A242" s="51" t="str">
        <f>IFERROR(VLOOKUP(B242,點上線資訊!A:R,18,0),"")</f>
        <v/>
      </c>
      <c r="B242" s="41">
        <f>'MB51'!A242</f>
        <v>0</v>
      </c>
      <c r="C242" s="60" t="str">
        <f>IFERROR(VLOOKUP(B242,'MB51'!A:I,9,0),"")</f>
        <v/>
      </c>
      <c r="D242" s="61" t="str">
        <f>IFERROR(VLOOKUP(B242,'MB51'!A:J,10,0),"")</f>
        <v/>
      </c>
      <c r="E242" s="62" t="str">
        <f>IFERROR(VLOOKUP(B242,'MB51'!A:K,11,0),"")</f>
        <v/>
      </c>
      <c r="F242" s="42" t="str">
        <f>IFERROR(VLOOKUP(B242,'MB51'!A:F,6,0),"")</f>
        <v/>
      </c>
      <c r="G242" s="17" t="str">
        <f t="shared" si="9"/>
        <v>點揀料單</v>
      </c>
      <c r="H242" s="17">
        <f t="shared" si="10"/>
        <v>0</v>
      </c>
      <c r="I242" t="str">
        <f t="shared" si="11"/>
        <v/>
      </c>
      <c r="J242" t="str">
        <f>SUBSTITUTE(IF(COUNTIF(I$2:I242,I242)&gt;1,"",1)," ","")</f>
        <v/>
      </c>
    </row>
    <row r="243" spans="1:10" x14ac:dyDescent="0.2">
      <c r="A243" s="51" t="str">
        <f>IFERROR(VLOOKUP(B243,點上線資訊!A:R,18,0),"")</f>
        <v/>
      </c>
      <c r="B243" s="41">
        <f>'MB51'!A243</f>
        <v>0</v>
      </c>
      <c r="C243" s="60" t="str">
        <f>IFERROR(VLOOKUP(B243,'MB51'!A:I,9,0),"")</f>
        <v/>
      </c>
      <c r="D243" s="61" t="str">
        <f>IFERROR(VLOOKUP(B243,'MB51'!A:J,10,0),"")</f>
        <v/>
      </c>
      <c r="E243" s="62" t="str">
        <f>IFERROR(VLOOKUP(B243,'MB51'!A:K,11,0),"")</f>
        <v/>
      </c>
      <c r="F243" s="42" t="str">
        <f>IFERROR(VLOOKUP(B243,'MB51'!A:F,6,0),"")</f>
        <v/>
      </c>
      <c r="G243" s="17" t="str">
        <f t="shared" si="9"/>
        <v>點揀料單</v>
      </c>
      <c r="H243" s="17">
        <f t="shared" si="10"/>
        <v>0</v>
      </c>
      <c r="I243" t="str">
        <f t="shared" si="11"/>
        <v/>
      </c>
      <c r="J243" t="str">
        <f>SUBSTITUTE(IF(COUNTIF(I$2:I243,I243)&gt;1,"",1)," ","")</f>
        <v/>
      </c>
    </row>
    <row r="244" spans="1:10" x14ac:dyDescent="0.2">
      <c r="A244" s="51" t="str">
        <f>IFERROR(VLOOKUP(B244,點上線資訊!A:R,18,0),"")</f>
        <v/>
      </c>
      <c r="B244" s="41">
        <f>'MB51'!A244</f>
        <v>0</v>
      </c>
      <c r="C244" s="60" t="str">
        <f>IFERROR(VLOOKUP(B244,'MB51'!A:I,9,0),"")</f>
        <v/>
      </c>
      <c r="D244" s="61" t="str">
        <f>IFERROR(VLOOKUP(B244,'MB51'!A:J,10,0),"")</f>
        <v/>
      </c>
      <c r="E244" s="62" t="str">
        <f>IFERROR(VLOOKUP(B244,'MB51'!A:K,11,0),"")</f>
        <v/>
      </c>
      <c r="F244" s="42" t="str">
        <f>IFERROR(VLOOKUP(B244,'MB51'!A:F,6,0),"")</f>
        <v/>
      </c>
      <c r="G244" s="17" t="str">
        <f t="shared" si="9"/>
        <v>點揀料單</v>
      </c>
      <c r="H244" s="17">
        <f t="shared" si="10"/>
        <v>0</v>
      </c>
      <c r="I244" t="str">
        <f t="shared" si="11"/>
        <v/>
      </c>
      <c r="J244" t="str">
        <f>SUBSTITUTE(IF(COUNTIF(I$2:I244,I244)&gt;1,"",1)," ","")</f>
        <v/>
      </c>
    </row>
    <row r="245" spans="1:10" x14ac:dyDescent="0.2">
      <c r="A245" s="51" t="str">
        <f>IFERROR(VLOOKUP(B245,點上線資訊!A:R,18,0),"")</f>
        <v/>
      </c>
      <c r="B245" s="41">
        <f>'MB51'!A245</f>
        <v>0</v>
      </c>
      <c r="C245" s="60" t="str">
        <f>IFERROR(VLOOKUP(B245,'MB51'!A:I,9,0),"")</f>
        <v/>
      </c>
      <c r="D245" s="61" t="str">
        <f>IFERROR(VLOOKUP(B245,'MB51'!A:J,10,0),"")</f>
        <v/>
      </c>
      <c r="E245" s="62" t="str">
        <f>IFERROR(VLOOKUP(B245,'MB51'!A:K,11,0),"")</f>
        <v/>
      </c>
      <c r="F245" s="42" t="str">
        <f>IFERROR(VLOOKUP(B245,'MB51'!A:F,6,0),"")</f>
        <v/>
      </c>
      <c r="G245" s="17" t="str">
        <f t="shared" si="9"/>
        <v>點揀料單</v>
      </c>
      <c r="H245" s="17">
        <f t="shared" si="10"/>
        <v>0</v>
      </c>
      <c r="I245" t="str">
        <f t="shared" si="11"/>
        <v/>
      </c>
      <c r="J245" t="str">
        <f>SUBSTITUTE(IF(COUNTIF(I$2:I245,I245)&gt;1,"",1)," ","")</f>
        <v/>
      </c>
    </row>
    <row r="246" spans="1:10" x14ac:dyDescent="0.2">
      <c r="A246" s="51" t="str">
        <f>IFERROR(VLOOKUP(B246,點上線資訊!A:R,18,0),"")</f>
        <v/>
      </c>
      <c r="B246" s="41">
        <f>'MB51'!A246</f>
        <v>0</v>
      </c>
      <c r="C246" s="60" t="str">
        <f>IFERROR(VLOOKUP(B246,'MB51'!A:I,9,0),"")</f>
        <v/>
      </c>
      <c r="D246" s="61" t="str">
        <f>IFERROR(VLOOKUP(B246,'MB51'!A:J,10,0),"")</f>
        <v/>
      </c>
      <c r="E246" s="62" t="str">
        <f>IFERROR(VLOOKUP(B246,'MB51'!A:K,11,0),"")</f>
        <v/>
      </c>
      <c r="F246" s="42" t="str">
        <f>IFERROR(VLOOKUP(B246,'MB51'!A:F,6,0),"")</f>
        <v/>
      </c>
      <c r="G246" s="17" t="str">
        <f t="shared" si="9"/>
        <v>點揀料單</v>
      </c>
      <c r="H246" s="17">
        <f t="shared" si="10"/>
        <v>0</v>
      </c>
      <c r="I246" t="str">
        <f t="shared" si="11"/>
        <v/>
      </c>
      <c r="J246" t="str">
        <f>SUBSTITUTE(IF(COUNTIF(I$2:I246,I246)&gt;1,"",1)," ","")</f>
        <v/>
      </c>
    </row>
    <row r="247" spans="1:10" x14ac:dyDescent="0.2">
      <c r="A247" s="51" t="str">
        <f>IFERROR(VLOOKUP(B247,點上線資訊!A:R,18,0),"")</f>
        <v/>
      </c>
      <c r="B247" s="41">
        <f>'MB51'!A247</f>
        <v>0</v>
      </c>
      <c r="C247" s="60" t="str">
        <f>IFERROR(VLOOKUP(B247,'MB51'!A:I,9,0),"")</f>
        <v/>
      </c>
      <c r="D247" s="61" t="str">
        <f>IFERROR(VLOOKUP(B247,'MB51'!A:J,10,0),"")</f>
        <v/>
      </c>
      <c r="E247" s="62" t="str">
        <f>IFERROR(VLOOKUP(B247,'MB51'!A:K,11,0),"")</f>
        <v/>
      </c>
      <c r="F247" s="42" t="str">
        <f>IFERROR(VLOOKUP(B247,'MB51'!A:F,6,0),"")</f>
        <v/>
      </c>
      <c r="G247" s="17" t="str">
        <f t="shared" si="9"/>
        <v>點揀料單</v>
      </c>
      <c r="H247" s="17">
        <f t="shared" si="10"/>
        <v>0</v>
      </c>
      <c r="I247" t="str">
        <f t="shared" si="11"/>
        <v/>
      </c>
      <c r="J247" t="str">
        <f>SUBSTITUTE(IF(COUNTIF(I$2:I247,I247)&gt;1,"",1)," ","")</f>
        <v/>
      </c>
    </row>
    <row r="248" spans="1:10" x14ac:dyDescent="0.2">
      <c r="A248" s="51" t="str">
        <f>IFERROR(VLOOKUP(B248,點上線資訊!A:R,18,0),"")</f>
        <v/>
      </c>
      <c r="B248" s="41">
        <f>'MB51'!A248</f>
        <v>0</v>
      </c>
      <c r="C248" s="60" t="str">
        <f>IFERROR(VLOOKUP(B248,'MB51'!A:I,9,0),"")</f>
        <v/>
      </c>
      <c r="D248" s="61" t="str">
        <f>IFERROR(VLOOKUP(B248,'MB51'!A:J,10,0),"")</f>
        <v/>
      </c>
      <c r="E248" s="62" t="str">
        <f>IFERROR(VLOOKUP(B248,'MB51'!A:K,11,0),"")</f>
        <v/>
      </c>
      <c r="F248" s="42" t="str">
        <f>IFERROR(VLOOKUP(B248,'MB51'!A:F,6,0),"")</f>
        <v/>
      </c>
      <c r="G248" s="17" t="str">
        <f t="shared" si="9"/>
        <v>點揀料單</v>
      </c>
      <c r="H248" s="17">
        <f t="shared" si="10"/>
        <v>0</v>
      </c>
      <c r="I248" t="str">
        <f t="shared" si="11"/>
        <v/>
      </c>
      <c r="J248" t="str">
        <f>SUBSTITUTE(IF(COUNTIF(I$2:I248,I248)&gt;1,"",1)," ","")</f>
        <v/>
      </c>
    </row>
    <row r="249" spans="1:10" x14ac:dyDescent="0.2">
      <c r="A249" s="51" t="str">
        <f>IFERROR(VLOOKUP(B249,點上線資訊!A:R,18,0),"")</f>
        <v/>
      </c>
      <c r="B249" s="41">
        <f>'MB51'!A249</f>
        <v>0</v>
      </c>
      <c r="C249" s="60" t="str">
        <f>IFERROR(VLOOKUP(B249,'MB51'!A:I,9,0),"")</f>
        <v/>
      </c>
      <c r="D249" s="61" t="str">
        <f>IFERROR(VLOOKUP(B249,'MB51'!A:J,10,0),"")</f>
        <v/>
      </c>
      <c r="E249" s="62" t="str">
        <f>IFERROR(VLOOKUP(B249,'MB51'!A:K,11,0),"")</f>
        <v/>
      </c>
      <c r="F249" s="42" t="str">
        <f>IFERROR(VLOOKUP(B249,'MB51'!A:F,6,0),"")</f>
        <v/>
      </c>
      <c r="G249" s="17" t="str">
        <f t="shared" si="9"/>
        <v>點揀料單</v>
      </c>
      <c r="H249" s="17">
        <f t="shared" si="10"/>
        <v>0</v>
      </c>
      <c r="I249" t="str">
        <f t="shared" si="11"/>
        <v/>
      </c>
      <c r="J249" t="str">
        <f>SUBSTITUTE(IF(COUNTIF(I$2:I249,I249)&gt;1,"",1)," ","")</f>
        <v/>
      </c>
    </row>
    <row r="250" spans="1:10" x14ac:dyDescent="0.2">
      <c r="A250" s="51" t="str">
        <f>IFERROR(VLOOKUP(B250,點上線資訊!A:R,18,0),"")</f>
        <v/>
      </c>
      <c r="B250" s="41">
        <f>'MB51'!A250</f>
        <v>0</v>
      </c>
      <c r="C250" s="60" t="str">
        <f>IFERROR(VLOOKUP(B250,'MB51'!A:I,9,0),"")</f>
        <v/>
      </c>
      <c r="D250" s="61" t="str">
        <f>IFERROR(VLOOKUP(B250,'MB51'!A:J,10,0),"")</f>
        <v/>
      </c>
      <c r="E250" s="62" t="str">
        <f>IFERROR(VLOOKUP(B250,'MB51'!A:K,11,0),"")</f>
        <v/>
      </c>
      <c r="F250" s="42" t="str">
        <f>IFERROR(VLOOKUP(B250,'MB51'!A:F,6,0),"")</f>
        <v/>
      </c>
      <c r="G250" s="17" t="str">
        <f t="shared" si="9"/>
        <v>點揀料單</v>
      </c>
      <c r="H250" s="17">
        <f t="shared" si="10"/>
        <v>0</v>
      </c>
      <c r="I250" t="str">
        <f t="shared" si="11"/>
        <v/>
      </c>
      <c r="J250" t="str">
        <f>SUBSTITUTE(IF(COUNTIF(I$2:I250,I250)&gt;1,"",1)," ","")</f>
        <v/>
      </c>
    </row>
    <row r="251" spans="1:10" x14ac:dyDescent="0.2">
      <c r="A251" s="51" t="str">
        <f>IFERROR(VLOOKUP(B251,點上線資訊!A:R,18,0),"")</f>
        <v/>
      </c>
      <c r="B251" s="41">
        <f>'MB51'!A251</f>
        <v>0</v>
      </c>
      <c r="C251" s="60" t="str">
        <f>IFERROR(VLOOKUP(B251,'MB51'!A:I,9,0),"")</f>
        <v/>
      </c>
      <c r="D251" s="61" t="str">
        <f>IFERROR(VLOOKUP(B251,'MB51'!A:J,10,0),"")</f>
        <v/>
      </c>
      <c r="E251" s="62" t="str">
        <f>IFERROR(VLOOKUP(B251,'MB51'!A:K,11,0),"")</f>
        <v/>
      </c>
      <c r="F251" s="42" t="str">
        <f>IFERROR(VLOOKUP(B251,'MB51'!A:F,6,0),"")</f>
        <v/>
      </c>
      <c r="G251" s="17" t="str">
        <f t="shared" si="9"/>
        <v>點揀料單</v>
      </c>
      <c r="H251" s="17">
        <f t="shared" si="10"/>
        <v>0</v>
      </c>
      <c r="I251" t="str">
        <f t="shared" si="11"/>
        <v/>
      </c>
      <c r="J251" t="str">
        <f>SUBSTITUTE(IF(COUNTIF(I$2:I251,I251)&gt;1,"",1)," ","")</f>
        <v/>
      </c>
    </row>
    <row r="252" spans="1:10" x14ac:dyDescent="0.2">
      <c r="A252" s="51" t="str">
        <f>IFERROR(VLOOKUP(B252,點上線資訊!A:R,18,0),"")</f>
        <v/>
      </c>
      <c r="B252" s="41">
        <f>'MB51'!A252</f>
        <v>0</v>
      </c>
      <c r="C252" s="60" t="str">
        <f>IFERROR(VLOOKUP(B252,'MB51'!A:I,9,0),"")</f>
        <v/>
      </c>
      <c r="D252" s="61" t="str">
        <f>IFERROR(VLOOKUP(B252,'MB51'!A:J,10,0),"")</f>
        <v/>
      </c>
      <c r="E252" s="62" t="str">
        <f>IFERROR(VLOOKUP(B252,'MB51'!A:K,11,0),"")</f>
        <v/>
      </c>
      <c r="F252" s="42" t="str">
        <f>IFERROR(VLOOKUP(B252,'MB51'!A:F,6,0),"")</f>
        <v/>
      </c>
      <c r="G252" s="17" t="str">
        <f t="shared" si="9"/>
        <v>點揀料單</v>
      </c>
      <c r="H252" s="17">
        <f t="shared" si="10"/>
        <v>0</v>
      </c>
      <c r="I252" t="str">
        <f t="shared" si="11"/>
        <v/>
      </c>
      <c r="J252" t="str">
        <f>SUBSTITUTE(IF(COUNTIF(I$2:I252,I252)&gt;1,"",1)," ","")</f>
        <v/>
      </c>
    </row>
    <row r="253" spans="1:10" x14ac:dyDescent="0.2">
      <c r="A253" s="51" t="str">
        <f>IFERROR(VLOOKUP(B253,點上線資訊!A:R,18,0),"")</f>
        <v/>
      </c>
      <c r="B253" s="41">
        <f>'MB51'!A253</f>
        <v>0</v>
      </c>
      <c r="C253" s="60" t="str">
        <f>IFERROR(VLOOKUP(B253,'MB51'!A:I,9,0),"")</f>
        <v/>
      </c>
      <c r="D253" s="61" t="str">
        <f>IFERROR(VLOOKUP(B253,'MB51'!A:J,10,0),"")</f>
        <v/>
      </c>
      <c r="E253" s="62" t="str">
        <f>IFERROR(VLOOKUP(B253,'MB51'!A:K,11,0),"")</f>
        <v/>
      </c>
      <c r="F253" s="42" t="str">
        <f>IFERROR(VLOOKUP(B253,'MB51'!A:F,6,0),"")</f>
        <v/>
      </c>
      <c r="G253" s="17" t="str">
        <f t="shared" si="9"/>
        <v>點揀料單</v>
      </c>
      <c r="H253" s="17">
        <f t="shared" si="10"/>
        <v>0</v>
      </c>
      <c r="I253" t="str">
        <f t="shared" si="11"/>
        <v/>
      </c>
      <c r="J253" t="str">
        <f>SUBSTITUTE(IF(COUNTIF(I$2:I253,I253)&gt;1,"",1)," ","")</f>
        <v/>
      </c>
    </row>
    <row r="254" spans="1:10" x14ac:dyDescent="0.2">
      <c r="A254" s="51" t="str">
        <f>IFERROR(VLOOKUP(B254,點上線資訊!A:R,18,0),"")</f>
        <v/>
      </c>
      <c r="B254" s="41">
        <f>'MB51'!A254</f>
        <v>0</v>
      </c>
      <c r="C254" s="60" t="str">
        <f>IFERROR(VLOOKUP(B254,'MB51'!A:I,9,0),"")</f>
        <v/>
      </c>
      <c r="D254" s="61" t="str">
        <f>IFERROR(VLOOKUP(B254,'MB51'!A:J,10,0),"")</f>
        <v/>
      </c>
      <c r="E254" s="62" t="str">
        <f>IFERROR(VLOOKUP(B254,'MB51'!A:K,11,0),"")</f>
        <v/>
      </c>
      <c r="F254" s="42" t="str">
        <f>IFERROR(VLOOKUP(B254,'MB51'!A:F,6,0),"")</f>
        <v/>
      </c>
      <c r="G254" s="17" t="str">
        <f t="shared" si="9"/>
        <v>點揀料單</v>
      </c>
      <c r="H254" s="17">
        <f t="shared" si="10"/>
        <v>0</v>
      </c>
      <c r="I254" t="str">
        <f t="shared" si="11"/>
        <v/>
      </c>
      <c r="J254" t="str">
        <f>SUBSTITUTE(IF(COUNTIF(I$2:I254,I254)&gt;1,"",1)," ","")</f>
        <v/>
      </c>
    </row>
    <row r="255" spans="1:10" x14ac:dyDescent="0.2">
      <c r="A255" s="51" t="str">
        <f>IFERROR(VLOOKUP(B255,點上線資訊!A:R,18,0),"")</f>
        <v/>
      </c>
      <c r="B255" s="41">
        <f>'MB51'!A255</f>
        <v>0</v>
      </c>
      <c r="C255" s="60" t="str">
        <f>IFERROR(VLOOKUP(B255,'MB51'!A:I,9,0),"")</f>
        <v/>
      </c>
      <c r="D255" s="61" t="str">
        <f>IFERROR(VLOOKUP(B255,'MB51'!A:J,10,0),"")</f>
        <v/>
      </c>
      <c r="E255" s="62" t="str">
        <f>IFERROR(VLOOKUP(B255,'MB51'!A:K,11,0),"")</f>
        <v/>
      </c>
      <c r="F255" s="42" t="str">
        <f>IFERROR(VLOOKUP(B255,'MB51'!A:F,6,0),"")</f>
        <v/>
      </c>
      <c r="G255" s="17" t="str">
        <f t="shared" si="9"/>
        <v>點揀料單</v>
      </c>
      <c r="H255" s="17">
        <f t="shared" si="10"/>
        <v>0</v>
      </c>
      <c r="I255" t="str">
        <f t="shared" si="11"/>
        <v/>
      </c>
      <c r="J255" t="str">
        <f>SUBSTITUTE(IF(COUNTIF(I$2:I255,I255)&gt;1,"",1)," ","")</f>
        <v/>
      </c>
    </row>
    <row r="256" spans="1:10" x14ac:dyDescent="0.2">
      <c r="A256" s="51" t="str">
        <f>IFERROR(VLOOKUP(B256,點上線資訊!A:R,18,0),"")</f>
        <v/>
      </c>
      <c r="B256" s="41">
        <f>'MB51'!A256</f>
        <v>0</v>
      </c>
      <c r="C256" s="60" t="str">
        <f>IFERROR(VLOOKUP(B256,'MB51'!A:I,9,0),"")</f>
        <v/>
      </c>
      <c r="D256" s="61" t="str">
        <f>IFERROR(VLOOKUP(B256,'MB51'!A:J,10,0),"")</f>
        <v/>
      </c>
      <c r="E256" s="62" t="str">
        <f>IFERROR(VLOOKUP(B256,'MB51'!A:K,11,0),"")</f>
        <v/>
      </c>
      <c r="F256" s="42" t="str">
        <f>IFERROR(VLOOKUP(B256,'MB51'!A:F,6,0),"")</f>
        <v/>
      </c>
      <c r="G256" s="17" t="str">
        <f t="shared" si="9"/>
        <v>點揀料單</v>
      </c>
      <c r="H256" s="17">
        <f t="shared" si="10"/>
        <v>0</v>
      </c>
      <c r="I256" t="str">
        <f t="shared" si="11"/>
        <v/>
      </c>
      <c r="J256" t="str">
        <f>SUBSTITUTE(IF(COUNTIF(I$2:I256,I256)&gt;1,"",1)," ","")</f>
        <v/>
      </c>
    </row>
    <row r="257" spans="1:10" x14ac:dyDescent="0.2">
      <c r="A257" s="51" t="str">
        <f>IFERROR(VLOOKUP(B257,點上線資訊!A:R,18,0),"")</f>
        <v/>
      </c>
      <c r="B257" s="41">
        <f>'MB51'!A257</f>
        <v>0</v>
      </c>
      <c r="C257" s="60" t="str">
        <f>IFERROR(VLOOKUP(B257,'MB51'!A:I,9,0),"")</f>
        <v/>
      </c>
      <c r="D257" s="61" t="str">
        <f>IFERROR(VLOOKUP(B257,'MB51'!A:J,10,0),"")</f>
        <v/>
      </c>
      <c r="E257" s="62" t="str">
        <f>IFERROR(VLOOKUP(B257,'MB51'!A:K,11,0),"")</f>
        <v/>
      </c>
      <c r="F257" s="42" t="str">
        <f>IFERROR(VLOOKUP(B257,'MB51'!A:F,6,0),"")</f>
        <v/>
      </c>
      <c r="G257" s="17" t="str">
        <f t="shared" si="9"/>
        <v>點揀料單</v>
      </c>
      <c r="H257" s="17">
        <f t="shared" si="10"/>
        <v>0</v>
      </c>
      <c r="I257" t="str">
        <f t="shared" si="11"/>
        <v/>
      </c>
      <c r="J257" t="str">
        <f>SUBSTITUTE(IF(COUNTIF(I$2:I257,I257)&gt;1,"",1)," ","")</f>
        <v/>
      </c>
    </row>
    <row r="258" spans="1:10" x14ac:dyDescent="0.2">
      <c r="A258" s="51" t="str">
        <f>IFERROR(VLOOKUP(B258,點上線資訊!A:R,18,0),"")</f>
        <v/>
      </c>
      <c r="B258" s="41">
        <f>'MB51'!A258</f>
        <v>0</v>
      </c>
      <c r="C258" s="60" t="str">
        <f>IFERROR(VLOOKUP(B258,'MB51'!A:I,9,0),"")</f>
        <v/>
      </c>
      <c r="D258" s="61" t="str">
        <f>IFERROR(VLOOKUP(B258,'MB51'!A:J,10,0),"")</f>
        <v/>
      </c>
      <c r="E258" s="62" t="str">
        <f>IFERROR(VLOOKUP(B258,'MB51'!A:K,11,0),"")</f>
        <v/>
      </c>
      <c r="F258" s="42" t="str">
        <f>IFERROR(VLOOKUP(B258,'MB51'!A:F,6,0),"")</f>
        <v/>
      </c>
      <c r="G258" s="17" t="str">
        <f t="shared" si="9"/>
        <v>點揀料單</v>
      </c>
      <c r="H258" s="17">
        <f t="shared" si="10"/>
        <v>0</v>
      </c>
      <c r="I258" t="str">
        <f t="shared" si="11"/>
        <v/>
      </c>
      <c r="J258" t="str">
        <f>SUBSTITUTE(IF(COUNTIF(I$2:I258,I258)&gt;1,"",1)," ","")</f>
        <v/>
      </c>
    </row>
    <row r="259" spans="1:10" x14ac:dyDescent="0.2">
      <c r="A259" s="51" t="str">
        <f>IFERROR(VLOOKUP(B259,點上線資訊!A:R,18,0),"")</f>
        <v/>
      </c>
      <c r="B259" s="41">
        <f>'MB51'!A259</f>
        <v>0</v>
      </c>
      <c r="C259" s="60" t="str">
        <f>IFERROR(VLOOKUP(B259,'MB51'!A:I,9,0),"")</f>
        <v/>
      </c>
      <c r="D259" s="61" t="str">
        <f>IFERROR(VLOOKUP(B259,'MB51'!A:J,10,0),"")</f>
        <v/>
      </c>
      <c r="E259" s="62" t="str">
        <f>IFERROR(VLOOKUP(B259,'MB51'!A:K,11,0),"")</f>
        <v/>
      </c>
      <c r="F259" s="42" t="str">
        <f>IFERROR(VLOOKUP(B259,'MB51'!A:F,6,0),"")</f>
        <v/>
      </c>
      <c r="G259" s="17" t="str">
        <f t="shared" ref="G259:G322" si="12">TEXT(D259,"MM/DD")&amp;TEXT(E259,"  HH")&amp;"點揀料單"</f>
        <v>點揀料單</v>
      </c>
      <c r="H259" s="17">
        <f t="shared" ref="H259:H322" si="13">ABS(SUMIF(C:C,C259,F:F))</f>
        <v>0</v>
      </c>
      <c r="I259" t="str">
        <f t="shared" ref="I259:I322" si="14">RIGHTB(C259,10)</f>
        <v/>
      </c>
      <c r="J259" t="str">
        <f>SUBSTITUTE(IF(COUNTIF(I$2:I259,I259)&gt;1,"",1)," ","")</f>
        <v/>
      </c>
    </row>
    <row r="260" spans="1:10" x14ac:dyDescent="0.2">
      <c r="A260" s="51" t="str">
        <f>IFERROR(VLOOKUP(B260,點上線資訊!A:R,18,0),"")</f>
        <v/>
      </c>
      <c r="B260" s="41">
        <f>'MB51'!A260</f>
        <v>0</v>
      </c>
      <c r="C260" s="60" t="str">
        <f>IFERROR(VLOOKUP(B260,'MB51'!A:I,9,0),"")</f>
        <v/>
      </c>
      <c r="D260" s="61" t="str">
        <f>IFERROR(VLOOKUP(B260,'MB51'!A:J,10,0),"")</f>
        <v/>
      </c>
      <c r="E260" s="62" t="str">
        <f>IFERROR(VLOOKUP(B260,'MB51'!A:K,11,0),"")</f>
        <v/>
      </c>
      <c r="F260" s="42" t="str">
        <f>IFERROR(VLOOKUP(B260,'MB51'!A:F,6,0),"")</f>
        <v/>
      </c>
      <c r="G260" s="17" t="str">
        <f t="shared" si="12"/>
        <v>點揀料單</v>
      </c>
      <c r="H260" s="17">
        <f t="shared" si="13"/>
        <v>0</v>
      </c>
      <c r="I260" t="str">
        <f t="shared" si="14"/>
        <v/>
      </c>
      <c r="J260" t="str">
        <f>SUBSTITUTE(IF(COUNTIF(I$2:I260,I260)&gt;1,"",1)," ","")</f>
        <v/>
      </c>
    </row>
    <row r="261" spans="1:10" x14ac:dyDescent="0.2">
      <c r="A261" s="51" t="str">
        <f>IFERROR(VLOOKUP(B261,點上線資訊!A:R,18,0),"")</f>
        <v/>
      </c>
      <c r="B261" s="41">
        <f>'MB51'!A261</f>
        <v>0</v>
      </c>
      <c r="C261" s="60" t="str">
        <f>IFERROR(VLOOKUP(B261,'MB51'!A:I,9,0),"")</f>
        <v/>
      </c>
      <c r="D261" s="61" t="str">
        <f>IFERROR(VLOOKUP(B261,'MB51'!A:J,10,0),"")</f>
        <v/>
      </c>
      <c r="E261" s="62" t="str">
        <f>IFERROR(VLOOKUP(B261,'MB51'!A:K,11,0),"")</f>
        <v/>
      </c>
      <c r="F261" s="42" t="str">
        <f>IFERROR(VLOOKUP(B261,'MB51'!A:F,6,0),"")</f>
        <v/>
      </c>
      <c r="G261" s="17" t="str">
        <f t="shared" si="12"/>
        <v>點揀料單</v>
      </c>
      <c r="H261" s="17">
        <f t="shared" si="13"/>
        <v>0</v>
      </c>
      <c r="I261" t="str">
        <f t="shared" si="14"/>
        <v/>
      </c>
      <c r="J261" t="str">
        <f>SUBSTITUTE(IF(COUNTIF(I$2:I261,I261)&gt;1,"",1)," ","")</f>
        <v/>
      </c>
    </row>
    <row r="262" spans="1:10" x14ac:dyDescent="0.2">
      <c r="A262" s="51" t="str">
        <f>IFERROR(VLOOKUP(B262,點上線資訊!A:R,18,0),"")</f>
        <v/>
      </c>
      <c r="B262" s="41">
        <f>'MB51'!A262</f>
        <v>0</v>
      </c>
      <c r="C262" s="60" t="str">
        <f>IFERROR(VLOOKUP(B262,'MB51'!A:I,9,0),"")</f>
        <v/>
      </c>
      <c r="D262" s="61" t="str">
        <f>IFERROR(VLOOKUP(B262,'MB51'!A:J,10,0),"")</f>
        <v/>
      </c>
      <c r="E262" s="62" t="str">
        <f>IFERROR(VLOOKUP(B262,'MB51'!A:K,11,0),"")</f>
        <v/>
      </c>
      <c r="F262" s="42" t="str">
        <f>IFERROR(VLOOKUP(B262,'MB51'!A:F,6,0),"")</f>
        <v/>
      </c>
      <c r="G262" s="17" t="str">
        <f t="shared" si="12"/>
        <v>點揀料單</v>
      </c>
      <c r="H262" s="17">
        <f t="shared" si="13"/>
        <v>0</v>
      </c>
      <c r="I262" t="str">
        <f t="shared" si="14"/>
        <v/>
      </c>
      <c r="J262" t="str">
        <f>SUBSTITUTE(IF(COUNTIF(I$2:I262,I262)&gt;1,"",1)," ","")</f>
        <v/>
      </c>
    </row>
    <row r="263" spans="1:10" x14ac:dyDescent="0.2">
      <c r="A263" s="51" t="str">
        <f>IFERROR(VLOOKUP(B263,點上線資訊!A:R,18,0),"")</f>
        <v/>
      </c>
      <c r="B263" s="41">
        <f>'MB51'!A263</f>
        <v>0</v>
      </c>
      <c r="C263" s="60" t="str">
        <f>IFERROR(VLOOKUP(B263,'MB51'!A:I,9,0),"")</f>
        <v/>
      </c>
      <c r="D263" s="61" t="str">
        <f>IFERROR(VLOOKUP(B263,'MB51'!A:J,10,0),"")</f>
        <v/>
      </c>
      <c r="E263" s="62" t="str">
        <f>IFERROR(VLOOKUP(B263,'MB51'!A:K,11,0),"")</f>
        <v/>
      </c>
      <c r="F263" s="42" t="str">
        <f>IFERROR(VLOOKUP(B263,'MB51'!A:F,6,0),"")</f>
        <v/>
      </c>
      <c r="G263" s="17" t="str">
        <f t="shared" si="12"/>
        <v>點揀料單</v>
      </c>
      <c r="H263" s="17">
        <f t="shared" si="13"/>
        <v>0</v>
      </c>
      <c r="I263" t="str">
        <f t="shared" si="14"/>
        <v/>
      </c>
      <c r="J263" t="str">
        <f>SUBSTITUTE(IF(COUNTIF(I$2:I263,I263)&gt;1,"",1)," ","")</f>
        <v/>
      </c>
    </row>
    <row r="264" spans="1:10" x14ac:dyDescent="0.2">
      <c r="A264" s="51" t="str">
        <f>IFERROR(VLOOKUP(B264,點上線資訊!A:R,18,0),"")</f>
        <v/>
      </c>
      <c r="B264" s="41">
        <f>'MB51'!A264</f>
        <v>0</v>
      </c>
      <c r="C264" s="60" t="str">
        <f>IFERROR(VLOOKUP(B264,'MB51'!A:I,9,0),"")</f>
        <v/>
      </c>
      <c r="D264" s="61" t="str">
        <f>IFERROR(VLOOKUP(B264,'MB51'!A:J,10,0),"")</f>
        <v/>
      </c>
      <c r="E264" s="62" t="str">
        <f>IFERROR(VLOOKUP(B264,'MB51'!A:K,11,0),"")</f>
        <v/>
      </c>
      <c r="F264" s="42" t="str">
        <f>IFERROR(VLOOKUP(B264,'MB51'!A:F,6,0),"")</f>
        <v/>
      </c>
      <c r="G264" s="17" t="str">
        <f t="shared" si="12"/>
        <v>點揀料單</v>
      </c>
      <c r="H264" s="17">
        <f t="shared" si="13"/>
        <v>0</v>
      </c>
      <c r="I264" t="str">
        <f t="shared" si="14"/>
        <v/>
      </c>
      <c r="J264" t="str">
        <f>SUBSTITUTE(IF(COUNTIF(I$2:I264,I264)&gt;1,"",1)," ","")</f>
        <v/>
      </c>
    </row>
    <row r="265" spans="1:10" x14ac:dyDescent="0.2">
      <c r="A265" s="51" t="str">
        <f>IFERROR(VLOOKUP(B265,點上線資訊!A:R,18,0),"")</f>
        <v/>
      </c>
      <c r="B265" s="41">
        <f>'MB51'!A265</f>
        <v>0</v>
      </c>
      <c r="C265" s="60" t="str">
        <f>IFERROR(VLOOKUP(B265,'MB51'!A:I,9,0),"")</f>
        <v/>
      </c>
      <c r="D265" s="61" t="str">
        <f>IFERROR(VLOOKUP(B265,'MB51'!A:J,10,0),"")</f>
        <v/>
      </c>
      <c r="E265" s="62" t="str">
        <f>IFERROR(VLOOKUP(B265,'MB51'!A:K,11,0),"")</f>
        <v/>
      </c>
      <c r="F265" s="42" t="str">
        <f>IFERROR(VLOOKUP(B265,'MB51'!A:F,6,0),"")</f>
        <v/>
      </c>
      <c r="G265" s="17" t="str">
        <f t="shared" si="12"/>
        <v>點揀料單</v>
      </c>
      <c r="H265" s="17">
        <f t="shared" si="13"/>
        <v>0</v>
      </c>
      <c r="I265" t="str">
        <f t="shared" si="14"/>
        <v/>
      </c>
      <c r="J265" t="str">
        <f>SUBSTITUTE(IF(COUNTIF(I$2:I265,I265)&gt;1,"",1)," ","")</f>
        <v/>
      </c>
    </row>
    <row r="266" spans="1:10" x14ac:dyDescent="0.2">
      <c r="A266" s="51" t="str">
        <f>IFERROR(VLOOKUP(B266,點上線資訊!A:R,18,0),"")</f>
        <v/>
      </c>
      <c r="B266" s="41">
        <f>'MB51'!A266</f>
        <v>0</v>
      </c>
      <c r="C266" s="60" t="str">
        <f>IFERROR(VLOOKUP(B266,'MB51'!A:I,9,0),"")</f>
        <v/>
      </c>
      <c r="D266" s="61" t="str">
        <f>IFERROR(VLOOKUP(B266,'MB51'!A:J,10,0),"")</f>
        <v/>
      </c>
      <c r="E266" s="62" t="str">
        <f>IFERROR(VLOOKUP(B266,'MB51'!A:K,11,0),"")</f>
        <v/>
      </c>
      <c r="F266" s="42" t="str">
        <f>IFERROR(VLOOKUP(B266,'MB51'!A:F,6,0),"")</f>
        <v/>
      </c>
      <c r="G266" s="17" t="str">
        <f t="shared" si="12"/>
        <v>點揀料單</v>
      </c>
      <c r="H266" s="17">
        <f t="shared" si="13"/>
        <v>0</v>
      </c>
      <c r="I266" t="str">
        <f t="shared" si="14"/>
        <v/>
      </c>
      <c r="J266" t="str">
        <f>SUBSTITUTE(IF(COUNTIF(I$2:I266,I266)&gt;1,"",1)," ","")</f>
        <v/>
      </c>
    </row>
    <row r="267" spans="1:10" x14ac:dyDescent="0.2">
      <c r="A267" s="51" t="str">
        <f>IFERROR(VLOOKUP(B267,點上線資訊!A:R,18,0),"")</f>
        <v/>
      </c>
      <c r="B267" s="41">
        <f>'MB51'!A267</f>
        <v>0</v>
      </c>
      <c r="C267" s="60" t="str">
        <f>IFERROR(VLOOKUP(B267,'MB51'!A:I,9,0),"")</f>
        <v/>
      </c>
      <c r="D267" s="61" t="str">
        <f>IFERROR(VLOOKUP(B267,'MB51'!A:J,10,0),"")</f>
        <v/>
      </c>
      <c r="E267" s="62" t="str">
        <f>IFERROR(VLOOKUP(B267,'MB51'!A:K,11,0),"")</f>
        <v/>
      </c>
      <c r="F267" s="42" t="str">
        <f>IFERROR(VLOOKUP(B267,'MB51'!A:F,6,0),"")</f>
        <v/>
      </c>
      <c r="G267" s="17" t="str">
        <f t="shared" si="12"/>
        <v>點揀料單</v>
      </c>
      <c r="H267" s="17">
        <f t="shared" si="13"/>
        <v>0</v>
      </c>
      <c r="I267" t="str">
        <f t="shared" si="14"/>
        <v/>
      </c>
      <c r="J267" t="str">
        <f>SUBSTITUTE(IF(COUNTIF(I$2:I267,I267)&gt;1,"",1)," ","")</f>
        <v/>
      </c>
    </row>
    <row r="268" spans="1:10" x14ac:dyDescent="0.2">
      <c r="A268" s="51" t="str">
        <f>IFERROR(VLOOKUP(B268,點上線資訊!A:R,18,0),"")</f>
        <v/>
      </c>
      <c r="B268" s="41">
        <f>'MB51'!A268</f>
        <v>0</v>
      </c>
      <c r="C268" s="60" t="str">
        <f>IFERROR(VLOOKUP(B268,'MB51'!A:I,9,0),"")</f>
        <v/>
      </c>
      <c r="D268" s="61" t="str">
        <f>IFERROR(VLOOKUP(B268,'MB51'!A:J,10,0),"")</f>
        <v/>
      </c>
      <c r="E268" s="62" t="str">
        <f>IFERROR(VLOOKUP(B268,'MB51'!A:K,11,0),"")</f>
        <v/>
      </c>
      <c r="F268" s="42" t="str">
        <f>IFERROR(VLOOKUP(B268,'MB51'!A:F,6,0),"")</f>
        <v/>
      </c>
      <c r="G268" s="17" t="str">
        <f t="shared" si="12"/>
        <v>點揀料單</v>
      </c>
      <c r="H268" s="17">
        <f t="shared" si="13"/>
        <v>0</v>
      </c>
      <c r="I268" t="str">
        <f t="shared" si="14"/>
        <v/>
      </c>
      <c r="J268" t="str">
        <f>SUBSTITUTE(IF(COUNTIF(I$2:I268,I268)&gt;1,"",1)," ","")</f>
        <v/>
      </c>
    </row>
    <row r="269" spans="1:10" x14ac:dyDescent="0.2">
      <c r="A269" s="51" t="str">
        <f>IFERROR(VLOOKUP(B269,點上線資訊!A:R,18,0),"")</f>
        <v/>
      </c>
      <c r="B269" s="41">
        <f>'MB51'!A269</f>
        <v>0</v>
      </c>
      <c r="C269" s="60" t="str">
        <f>IFERROR(VLOOKUP(B269,'MB51'!A:I,9,0),"")</f>
        <v/>
      </c>
      <c r="D269" s="61" t="str">
        <f>IFERROR(VLOOKUP(B269,'MB51'!A:J,10,0),"")</f>
        <v/>
      </c>
      <c r="E269" s="62" t="str">
        <f>IFERROR(VLOOKUP(B269,'MB51'!A:K,11,0),"")</f>
        <v/>
      </c>
      <c r="F269" s="42" t="str">
        <f>IFERROR(VLOOKUP(B269,'MB51'!A:F,6,0),"")</f>
        <v/>
      </c>
      <c r="G269" s="17" t="str">
        <f t="shared" si="12"/>
        <v>點揀料單</v>
      </c>
      <c r="H269" s="17">
        <f t="shared" si="13"/>
        <v>0</v>
      </c>
      <c r="I269" t="str">
        <f t="shared" si="14"/>
        <v/>
      </c>
      <c r="J269" t="str">
        <f>SUBSTITUTE(IF(COUNTIF(I$2:I269,I269)&gt;1,"",1)," ","")</f>
        <v/>
      </c>
    </row>
    <row r="270" spans="1:10" x14ac:dyDescent="0.2">
      <c r="A270" s="51" t="str">
        <f>IFERROR(VLOOKUP(B270,點上線資訊!A:R,18,0),"")</f>
        <v/>
      </c>
      <c r="B270" s="41">
        <f>'MB51'!A270</f>
        <v>0</v>
      </c>
      <c r="C270" s="60" t="str">
        <f>IFERROR(VLOOKUP(B270,'MB51'!A:I,9,0),"")</f>
        <v/>
      </c>
      <c r="D270" s="61" t="str">
        <f>IFERROR(VLOOKUP(B270,'MB51'!A:J,10,0),"")</f>
        <v/>
      </c>
      <c r="E270" s="62" t="str">
        <f>IFERROR(VLOOKUP(B270,'MB51'!A:K,11,0),"")</f>
        <v/>
      </c>
      <c r="F270" s="42" t="str">
        <f>IFERROR(VLOOKUP(B270,'MB51'!A:F,6,0),"")</f>
        <v/>
      </c>
      <c r="G270" s="17" t="str">
        <f t="shared" si="12"/>
        <v>點揀料單</v>
      </c>
      <c r="H270" s="17">
        <f t="shared" si="13"/>
        <v>0</v>
      </c>
      <c r="I270" t="str">
        <f t="shared" si="14"/>
        <v/>
      </c>
      <c r="J270" t="str">
        <f>SUBSTITUTE(IF(COUNTIF(I$2:I270,I270)&gt;1,"",1)," ","")</f>
        <v/>
      </c>
    </row>
    <row r="271" spans="1:10" x14ac:dyDescent="0.2">
      <c r="A271" s="51" t="str">
        <f>IFERROR(VLOOKUP(B271,點上線資訊!A:R,18,0),"")</f>
        <v/>
      </c>
      <c r="B271" s="41">
        <f>'MB51'!A271</f>
        <v>0</v>
      </c>
      <c r="C271" s="60" t="str">
        <f>IFERROR(VLOOKUP(B271,'MB51'!A:I,9,0),"")</f>
        <v/>
      </c>
      <c r="D271" s="61" t="str">
        <f>IFERROR(VLOOKUP(B271,'MB51'!A:J,10,0),"")</f>
        <v/>
      </c>
      <c r="E271" s="62" t="str">
        <f>IFERROR(VLOOKUP(B271,'MB51'!A:K,11,0),"")</f>
        <v/>
      </c>
      <c r="F271" s="42" t="str">
        <f>IFERROR(VLOOKUP(B271,'MB51'!A:F,6,0),"")</f>
        <v/>
      </c>
      <c r="G271" s="17" t="str">
        <f t="shared" si="12"/>
        <v>點揀料單</v>
      </c>
      <c r="H271" s="17">
        <f t="shared" si="13"/>
        <v>0</v>
      </c>
      <c r="I271" t="str">
        <f t="shared" si="14"/>
        <v/>
      </c>
      <c r="J271" t="str">
        <f>SUBSTITUTE(IF(COUNTIF(I$2:I271,I271)&gt;1,"",1)," ","")</f>
        <v/>
      </c>
    </row>
    <row r="272" spans="1:10" x14ac:dyDescent="0.2">
      <c r="A272" s="51" t="str">
        <f>IFERROR(VLOOKUP(B272,點上線資訊!A:R,18,0),"")</f>
        <v/>
      </c>
      <c r="B272" s="41">
        <f>'MB51'!A272</f>
        <v>0</v>
      </c>
      <c r="C272" s="60" t="str">
        <f>IFERROR(VLOOKUP(B272,'MB51'!A:I,9,0),"")</f>
        <v/>
      </c>
      <c r="D272" s="61" t="str">
        <f>IFERROR(VLOOKUP(B272,'MB51'!A:J,10,0),"")</f>
        <v/>
      </c>
      <c r="E272" s="62" t="str">
        <f>IFERROR(VLOOKUP(B272,'MB51'!A:K,11,0),"")</f>
        <v/>
      </c>
      <c r="F272" s="42" t="str">
        <f>IFERROR(VLOOKUP(B272,'MB51'!A:F,6,0),"")</f>
        <v/>
      </c>
      <c r="G272" s="17" t="str">
        <f t="shared" si="12"/>
        <v>點揀料單</v>
      </c>
      <c r="H272" s="17">
        <f t="shared" si="13"/>
        <v>0</v>
      </c>
      <c r="I272" t="str">
        <f t="shared" si="14"/>
        <v/>
      </c>
      <c r="J272" t="str">
        <f>SUBSTITUTE(IF(COUNTIF(I$2:I272,I272)&gt;1,"",1)," ","")</f>
        <v/>
      </c>
    </row>
    <row r="273" spans="1:10" x14ac:dyDescent="0.2">
      <c r="A273" s="51" t="str">
        <f>IFERROR(VLOOKUP(B273,點上線資訊!A:R,18,0),"")</f>
        <v/>
      </c>
      <c r="B273" s="41">
        <f>'MB51'!A273</f>
        <v>0</v>
      </c>
      <c r="C273" s="60" t="str">
        <f>IFERROR(VLOOKUP(B273,'MB51'!A:I,9,0),"")</f>
        <v/>
      </c>
      <c r="D273" s="61" t="str">
        <f>IFERROR(VLOOKUP(B273,'MB51'!A:J,10,0),"")</f>
        <v/>
      </c>
      <c r="E273" s="62" t="str">
        <f>IFERROR(VLOOKUP(B273,'MB51'!A:K,11,0),"")</f>
        <v/>
      </c>
      <c r="F273" s="42" t="str">
        <f>IFERROR(VLOOKUP(B273,'MB51'!A:F,6,0),"")</f>
        <v/>
      </c>
      <c r="G273" s="17" t="str">
        <f t="shared" si="12"/>
        <v>點揀料單</v>
      </c>
      <c r="H273" s="17">
        <f t="shared" si="13"/>
        <v>0</v>
      </c>
      <c r="I273" t="str">
        <f t="shared" si="14"/>
        <v/>
      </c>
      <c r="J273" t="str">
        <f>SUBSTITUTE(IF(COUNTIF(I$2:I273,I273)&gt;1,"",1)," ","")</f>
        <v/>
      </c>
    </row>
    <row r="274" spans="1:10" x14ac:dyDescent="0.2">
      <c r="A274" s="51" t="str">
        <f>IFERROR(VLOOKUP(B274,點上線資訊!A:R,18,0),"")</f>
        <v/>
      </c>
      <c r="B274" s="41">
        <f>'MB51'!A274</f>
        <v>0</v>
      </c>
      <c r="C274" s="60" t="str">
        <f>IFERROR(VLOOKUP(B274,'MB51'!A:I,9,0),"")</f>
        <v/>
      </c>
      <c r="D274" s="61" t="str">
        <f>IFERROR(VLOOKUP(B274,'MB51'!A:J,10,0),"")</f>
        <v/>
      </c>
      <c r="E274" s="62" t="str">
        <f>IFERROR(VLOOKUP(B274,'MB51'!A:K,11,0),"")</f>
        <v/>
      </c>
      <c r="F274" s="42" t="str">
        <f>IFERROR(VLOOKUP(B274,'MB51'!A:F,6,0),"")</f>
        <v/>
      </c>
      <c r="G274" s="17" t="str">
        <f t="shared" si="12"/>
        <v>點揀料單</v>
      </c>
      <c r="H274" s="17">
        <f t="shared" si="13"/>
        <v>0</v>
      </c>
      <c r="I274" t="str">
        <f t="shared" si="14"/>
        <v/>
      </c>
      <c r="J274" t="str">
        <f>SUBSTITUTE(IF(COUNTIF(I$2:I274,I274)&gt;1,"",1)," ","")</f>
        <v/>
      </c>
    </row>
    <row r="275" spans="1:10" x14ac:dyDescent="0.2">
      <c r="A275" s="51" t="str">
        <f>IFERROR(VLOOKUP(B275,點上線資訊!A:R,18,0),"")</f>
        <v/>
      </c>
      <c r="B275" s="41">
        <f>'MB51'!A275</f>
        <v>0</v>
      </c>
      <c r="C275" s="60" t="str">
        <f>IFERROR(VLOOKUP(B275,'MB51'!A:I,9,0),"")</f>
        <v/>
      </c>
      <c r="D275" s="61" t="str">
        <f>IFERROR(VLOOKUP(B275,'MB51'!A:J,10,0),"")</f>
        <v/>
      </c>
      <c r="E275" s="62" t="str">
        <f>IFERROR(VLOOKUP(B275,'MB51'!A:K,11,0),"")</f>
        <v/>
      </c>
      <c r="F275" s="42" t="str">
        <f>IFERROR(VLOOKUP(B275,'MB51'!A:F,6,0),"")</f>
        <v/>
      </c>
      <c r="G275" s="17" t="str">
        <f t="shared" si="12"/>
        <v>點揀料單</v>
      </c>
      <c r="H275" s="17">
        <f t="shared" si="13"/>
        <v>0</v>
      </c>
      <c r="I275" t="str">
        <f t="shared" si="14"/>
        <v/>
      </c>
      <c r="J275" t="str">
        <f>SUBSTITUTE(IF(COUNTIF(I$2:I275,I275)&gt;1,"",1)," ","")</f>
        <v/>
      </c>
    </row>
    <row r="276" spans="1:10" x14ac:dyDescent="0.2">
      <c r="A276" s="51" t="str">
        <f>IFERROR(VLOOKUP(B276,點上線資訊!A:R,18,0),"")</f>
        <v/>
      </c>
      <c r="B276" s="41">
        <f>'MB51'!A276</f>
        <v>0</v>
      </c>
      <c r="C276" s="60" t="str">
        <f>IFERROR(VLOOKUP(B276,'MB51'!A:I,9,0),"")</f>
        <v/>
      </c>
      <c r="D276" s="61" t="str">
        <f>IFERROR(VLOOKUP(B276,'MB51'!A:J,10,0),"")</f>
        <v/>
      </c>
      <c r="E276" s="62" t="str">
        <f>IFERROR(VLOOKUP(B276,'MB51'!A:K,11,0),"")</f>
        <v/>
      </c>
      <c r="F276" s="42" t="str">
        <f>IFERROR(VLOOKUP(B276,'MB51'!A:F,6,0),"")</f>
        <v/>
      </c>
      <c r="G276" s="17" t="str">
        <f t="shared" si="12"/>
        <v>點揀料單</v>
      </c>
      <c r="H276" s="17">
        <f t="shared" si="13"/>
        <v>0</v>
      </c>
      <c r="I276" t="str">
        <f t="shared" si="14"/>
        <v/>
      </c>
      <c r="J276" t="str">
        <f>SUBSTITUTE(IF(COUNTIF(I$2:I276,I276)&gt;1,"",1)," ","")</f>
        <v/>
      </c>
    </row>
    <row r="277" spans="1:10" x14ac:dyDescent="0.2">
      <c r="A277" s="51" t="str">
        <f>IFERROR(VLOOKUP(B277,點上線資訊!A:R,18,0),"")</f>
        <v/>
      </c>
      <c r="B277" s="41">
        <f>'MB51'!A277</f>
        <v>0</v>
      </c>
      <c r="C277" s="60" t="str">
        <f>IFERROR(VLOOKUP(B277,'MB51'!A:I,9,0),"")</f>
        <v/>
      </c>
      <c r="D277" s="61" t="str">
        <f>IFERROR(VLOOKUP(B277,'MB51'!A:J,10,0),"")</f>
        <v/>
      </c>
      <c r="E277" s="62" t="str">
        <f>IFERROR(VLOOKUP(B277,'MB51'!A:K,11,0),"")</f>
        <v/>
      </c>
      <c r="F277" s="42" t="str">
        <f>IFERROR(VLOOKUP(B277,'MB51'!A:F,6,0),"")</f>
        <v/>
      </c>
      <c r="G277" s="17" t="str">
        <f t="shared" si="12"/>
        <v>點揀料單</v>
      </c>
      <c r="H277" s="17">
        <f t="shared" si="13"/>
        <v>0</v>
      </c>
      <c r="I277" t="str">
        <f t="shared" si="14"/>
        <v/>
      </c>
      <c r="J277" t="str">
        <f>SUBSTITUTE(IF(COUNTIF(I$2:I277,I277)&gt;1,"",1)," ","")</f>
        <v/>
      </c>
    </row>
    <row r="278" spans="1:10" x14ac:dyDescent="0.2">
      <c r="A278" s="51" t="str">
        <f>IFERROR(VLOOKUP(B278,點上線資訊!A:R,18,0),"")</f>
        <v/>
      </c>
      <c r="B278" s="41">
        <f>'MB51'!A278</f>
        <v>0</v>
      </c>
      <c r="C278" s="60" t="str">
        <f>IFERROR(VLOOKUP(B278,'MB51'!A:I,9,0),"")</f>
        <v/>
      </c>
      <c r="D278" s="61" t="str">
        <f>IFERROR(VLOOKUP(B278,'MB51'!A:J,10,0),"")</f>
        <v/>
      </c>
      <c r="E278" s="62" t="str">
        <f>IFERROR(VLOOKUP(B278,'MB51'!A:K,11,0),"")</f>
        <v/>
      </c>
      <c r="F278" s="42" t="str">
        <f>IFERROR(VLOOKUP(B278,'MB51'!A:F,6,0),"")</f>
        <v/>
      </c>
      <c r="G278" s="17" t="str">
        <f t="shared" si="12"/>
        <v>點揀料單</v>
      </c>
      <c r="H278" s="17">
        <f t="shared" si="13"/>
        <v>0</v>
      </c>
      <c r="I278" t="str">
        <f t="shared" si="14"/>
        <v/>
      </c>
      <c r="J278" t="str">
        <f>SUBSTITUTE(IF(COUNTIF(I$2:I278,I278)&gt;1,"",1)," ","")</f>
        <v/>
      </c>
    </row>
    <row r="279" spans="1:10" x14ac:dyDescent="0.2">
      <c r="A279" s="51" t="str">
        <f>IFERROR(VLOOKUP(B279,點上線資訊!A:R,18,0),"")</f>
        <v/>
      </c>
      <c r="B279" s="41">
        <f>'MB51'!A279</f>
        <v>0</v>
      </c>
      <c r="C279" s="60" t="str">
        <f>IFERROR(VLOOKUP(B279,'MB51'!A:I,9,0),"")</f>
        <v/>
      </c>
      <c r="D279" s="61" t="str">
        <f>IFERROR(VLOOKUP(B279,'MB51'!A:J,10,0),"")</f>
        <v/>
      </c>
      <c r="E279" s="62" t="str">
        <f>IFERROR(VLOOKUP(B279,'MB51'!A:K,11,0),"")</f>
        <v/>
      </c>
      <c r="F279" s="42" t="str">
        <f>IFERROR(VLOOKUP(B279,'MB51'!A:F,6,0),"")</f>
        <v/>
      </c>
      <c r="G279" s="17" t="str">
        <f t="shared" si="12"/>
        <v>點揀料單</v>
      </c>
      <c r="H279" s="17">
        <f t="shared" si="13"/>
        <v>0</v>
      </c>
      <c r="I279" t="str">
        <f t="shared" si="14"/>
        <v/>
      </c>
      <c r="J279" t="str">
        <f>SUBSTITUTE(IF(COUNTIF(I$2:I279,I279)&gt;1,"",1)," ","")</f>
        <v/>
      </c>
    </row>
    <row r="280" spans="1:10" x14ac:dyDescent="0.2">
      <c r="A280" s="51" t="str">
        <f>IFERROR(VLOOKUP(B280,點上線資訊!A:R,18,0),"")</f>
        <v/>
      </c>
      <c r="B280" s="41">
        <f>'MB51'!A280</f>
        <v>0</v>
      </c>
      <c r="C280" s="60" t="str">
        <f>IFERROR(VLOOKUP(B280,'MB51'!A:I,9,0),"")</f>
        <v/>
      </c>
      <c r="D280" s="61" t="str">
        <f>IFERROR(VLOOKUP(B280,'MB51'!A:J,10,0),"")</f>
        <v/>
      </c>
      <c r="E280" s="62" t="str">
        <f>IFERROR(VLOOKUP(B280,'MB51'!A:K,11,0),"")</f>
        <v/>
      </c>
      <c r="F280" s="42" t="str">
        <f>IFERROR(VLOOKUP(B280,'MB51'!A:F,6,0),"")</f>
        <v/>
      </c>
      <c r="G280" s="17" t="str">
        <f t="shared" si="12"/>
        <v>點揀料單</v>
      </c>
      <c r="H280" s="17">
        <f t="shared" si="13"/>
        <v>0</v>
      </c>
      <c r="I280" t="str">
        <f t="shared" si="14"/>
        <v/>
      </c>
      <c r="J280" t="str">
        <f>SUBSTITUTE(IF(COUNTIF(I$2:I280,I280)&gt;1,"",1)," ","")</f>
        <v/>
      </c>
    </row>
    <row r="281" spans="1:10" x14ac:dyDescent="0.2">
      <c r="A281" s="51" t="str">
        <f>IFERROR(VLOOKUP(B281,點上線資訊!A:R,18,0),"")</f>
        <v/>
      </c>
      <c r="B281" s="41">
        <f>'MB51'!A281</f>
        <v>0</v>
      </c>
      <c r="C281" s="60" t="str">
        <f>IFERROR(VLOOKUP(B281,'MB51'!A:I,9,0),"")</f>
        <v/>
      </c>
      <c r="D281" s="61" t="str">
        <f>IFERROR(VLOOKUP(B281,'MB51'!A:J,10,0),"")</f>
        <v/>
      </c>
      <c r="E281" s="62" t="str">
        <f>IFERROR(VLOOKUP(B281,'MB51'!A:K,11,0),"")</f>
        <v/>
      </c>
      <c r="F281" s="42" t="str">
        <f>IFERROR(VLOOKUP(B281,'MB51'!A:F,6,0),"")</f>
        <v/>
      </c>
      <c r="G281" s="17" t="str">
        <f t="shared" si="12"/>
        <v>點揀料單</v>
      </c>
      <c r="H281" s="17">
        <f t="shared" si="13"/>
        <v>0</v>
      </c>
      <c r="I281" t="str">
        <f t="shared" si="14"/>
        <v/>
      </c>
      <c r="J281" t="str">
        <f>SUBSTITUTE(IF(COUNTIF(I$2:I281,I281)&gt;1,"",1)," ","")</f>
        <v/>
      </c>
    </row>
    <row r="282" spans="1:10" x14ac:dyDescent="0.2">
      <c r="A282" s="51" t="str">
        <f>IFERROR(VLOOKUP(B282,點上線資訊!A:R,18,0),"")</f>
        <v/>
      </c>
      <c r="B282" s="41">
        <f>'MB51'!A282</f>
        <v>0</v>
      </c>
      <c r="C282" s="60" t="str">
        <f>IFERROR(VLOOKUP(B282,'MB51'!A:I,9,0),"")</f>
        <v/>
      </c>
      <c r="D282" s="61" t="str">
        <f>IFERROR(VLOOKUP(B282,'MB51'!A:J,10,0),"")</f>
        <v/>
      </c>
      <c r="E282" s="62" t="str">
        <f>IFERROR(VLOOKUP(B282,'MB51'!A:K,11,0),"")</f>
        <v/>
      </c>
      <c r="F282" s="42" t="str">
        <f>IFERROR(VLOOKUP(B282,'MB51'!A:F,6,0),"")</f>
        <v/>
      </c>
      <c r="G282" s="17" t="str">
        <f t="shared" si="12"/>
        <v>點揀料單</v>
      </c>
      <c r="H282" s="17">
        <f t="shared" si="13"/>
        <v>0</v>
      </c>
      <c r="I282" t="str">
        <f t="shared" si="14"/>
        <v/>
      </c>
      <c r="J282" t="str">
        <f>SUBSTITUTE(IF(COUNTIF(I$2:I282,I282)&gt;1,"",1)," ","")</f>
        <v/>
      </c>
    </row>
    <row r="283" spans="1:10" x14ac:dyDescent="0.2">
      <c r="A283" s="51" t="str">
        <f>IFERROR(VLOOKUP(B283,點上線資訊!A:R,18,0),"")</f>
        <v/>
      </c>
      <c r="B283" s="41">
        <f>'MB51'!A283</f>
        <v>0</v>
      </c>
      <c r="C283" s="60" t="str">
        <f>IFERROR(VLOOKUP(B283,'MB51'!A:I,9,0),"")</f>
        <v/>
      </c>
      <c r="D283" s="61" t="str">
        <f>IFERROR(VLOOKUP(B283,'MB51'!A:J,10,0),"")</f>
        <v/>
      </c>
      <c r="E283" s="62" t="str">
        <f>IFERROR(VLOOKUP(B283,'MB51'!A:K,11,0),"")</f>
        <v/>
      </c>
      <c r="F283" s="42" t="str">
        <f>IFERROR(VLOOKUP(B283,'MB51'!A:F,6,0),"")</f>
        <v/>
      </c>
      <c r="G283" s="17" t="str">
        <f t="shared" si="12"/>
        <v>點揀料單</v>
      </c>
      <c r="H283" s="17">
        <f t="shared" si="13"/>
        <v>0</v>
      </c>
      <c r="I283" t="str">
        <f t="shared" si="14"/>
        <v/>
      </c>
      <c r="J283" t="str">
        <f>SUBSTITUTE(IF(COUNTIF(I$2:I283,I283)&gt;1,"",1)," ","")</f>
        <v/>
      </c>
    </row>
    <row r="284" spans="1:10" x14ac:dyDescent="0.2">
      <c r="A284" s="51" t="str">
        <f>IFERROR(VLOOKUP(B284,點上線資訊!A:R,18,0),"")</f>
        <v/>
      </c>
      <c r="B284" s="41">
        <f>'MB51'!A284</f>
        <v>0</v>
      </c>
      <c r="C284" s="60" t="str">
        <f>IFERROR(VLOOKUP(B284,'MB51'!A:I,9,0),"")</f>
        <v/>
      </c>
      <c r="D284" s="61" t="str">
        <f>IFERROR(VLOOKUP(B284,'MB51'!A:J,10,0),"")</f>
        <v/>
      </c>
      <c r="E284" s="62" t="str">
        <f>IFERROR(VLOOKUP(B284,'MB51'!A:K,11,0),"")</f>
        <v/>
      </c>
      <c r="F284" s="42" t="str">
        <f>IFERROR(VLOOKUP(B284,'MB51'!A:F,6,0),"")</f>
        <v/>
      </c>
      <c r="G284" s="17" t="str">
        <f t="shared" si="12"/>
        <v>點揀料單</v>
      </c>
      <c r="H284" s="17">
        <f t="shared" si="13"/>
        <v>0</v>
      </c>
      <c r="I284" t="str">
        <f t="shared" si="14"/>
        <v/>
      </c>
      <c r="J284" t="str">
        <f>SUBSTITUTE(IF(COUNTIF(I$2:I284,I284)&gt;1,"",1)," ","")</f>
        <v/>
      </c>
    </row>
    <row r="285" spans="1:10" x14ac:dyDescent="0.2">
      <c r="A285" s="51" t="str">
        <f>IFERROR(VLOOKUP(B285,點上線資訊!A:R,18,0),"")</f>
        <v/>
      </c>
      <c r="B285" s="41">
        <f>'MB51'!A285</f>
        <v>0</v>
      </c>
      <c r="C285" s="60" t="str">
        <f>IFERROR(VLOOKUP(B285,'MB51'!A:I,9,0),"")</f>
        <v/>
      </c>
      <c r="D285" s="61" t="str">
        <f>IFERROR(VLOOKUP(B285,'MB51'!A:J,10,0),"")</f>
        <v/>
      </c>
      <c r="E285" s="62" t="str">
        <f>IFERROR(VLOOKUP(B285,'MB51'!A:K,11,0),"")</f>
        <v/>
      </c>
      <c r="F285" s="42" t="str">
        <f>IFERROR(VLOOKUP(B285,'MB51'!A:F,6,0),"")</f>
        <v/>
      </c>
      <c r="G285" s="17" t="str">
        <f t="shared" si="12"/>
        <v>點揀料單</v>
      </c>
      <c r="H285" s="17">
        <f t="shared" si="13"/>
        <v>0</v>
      </c>
      <c r="I285" t="str">
        <f t="shared" si="14"/>
        <v/>
      </c>
      <c r="J285" t="str">
        <f>SUBSTITUTE(IF(COUNTIF(I$2:I285,I285)&gt;1,"",1)," ","")</f>
        <v/>
      </c>
    </row>
    <row r="286" spans="1:10" x14ac:dyDescent="0.2">
      <c r="A286" s="51" t="str">
        <f>IFERROR(VLOOKUP(B286,點上線資訊!A:R,18,0),"")</f>
        <v/>
      </c>
      <c r="B286" s="41">
        <f>'MB51'!A286</f>
        <v>0</v>
      </c>
      <c r="C286" s="60" t="str">
        <f>IFERROR(VLOOKUP(B286,'MB51'!A:I,9,0),"")</f>
        <v/>
      </c>
      <c r="D286" s="61" t="str">
        <f>IFERROR(VLOOKUP(B286,'MB51'!A:J,10,0),"")</f>
        <v/>
      </c>
      <c r="E286" s="62" t="str">
        <f>IFERROR(VLOOKUP(B286,'MB51'!A:K,11,0),"")</f>
        <v/>
      </c>
      <c r="F286" s="42" t="str">
        <f>IFERROR(VLOOKUP(B286,'MB51'!A:F,6,0),"")</f>
        <v/>
      </c>
      <c r="G286" s="17" t="str">
        <f t="shared" si="12"/>
        <v>點揀料單</v>
      </c>
      <c r="H286" s="17">
        <f t="shared" si="13"/>
        <v>0</v>
      </c>
      <c r="I286" t="str">
        <f t="shared" si="14"/>
        <v/>
      </c>
      <c r="J286" t="str">
        <f>SUBSTITUTE(IF(COUNTIF(I$2:I286,I286)&gt;1,"",1)," ","")</f>
        <v/>
      </c>
    </row>
    <row r="287" spans="1:10" x14ac:dyDescent="0.2">
      <c r="A287" s="51" t="str">
        <f>IFERROR(VLOOKUP(B287,點上線資訊!A:R,18,0),"")</f>
        <v/>
      </c>
      <c r="B287" s="41">
        <f>'MB51'!A287</f>
        <v>0</v>
      </c>
      <c r="C287" s="60" t="str">
        <f>IFERROR(VLOOKUP(B287,'MB51'!A:I,9,0),"")</f>
        <v/>
      </c>
      <c r="D287" s="61" t="str">
        <f>IFERROR(VLOOKUP(B287,'MB51'!A:J,10,0),"")</f>
        <v/>
      </c>
      <c r="E287" s="62" t="str">
        <f>IFERROR(VLOOKUP(B287,'MB51'!A:K,11,0),"")</f>
        <v/>
      </c>
      <c r="F287" s="42" t="str">
        <f>IFERROR(VLOOKUP(B287,'MB51'!A:F,6,0),"")</f>
        <v/>
      </c>
      <c r="G287" s="17" t="str">
        <f t="shared" si="12"/>
        <v>點揀料單</v>
      </c>
      <c r="H287" s="17">
        <f t="shared" si="13"/>
        <v>0</v>
      </c>
      <c r="I287" t="str">
        <f t="shared" si="14"/>
        <v/>
      </c>
      <c r="J287" t="str">
        <f>SUBSTITUTE(IF(COUNTIF(I$2:I287,I287)&gt;1,"",1)," ","")</f>
        <v/>
      </c>
    </row>
    <row r="288" spans="1:10" x14ac:dyDescent="0.2">
      <c r="A288" s="51" t="str">
        <f>IFERROR(VLOOKUP(B288,點上線資訊!A:R,18,0),"")</f>
        <v/>
      </c>
      <c r="B288" s="41">
        <f>'MB51'!A288</f>
        <v>0</v>
      </c>
      <c r="C288" s="60" t="str">
        <f>IFERROR(VLOOKUP(B288,'MB51'!A:I,9,0),"")</f>
        <v/>
      </c>
      <c r="D288" s="61" t="str">
        <f>IFERROR(VLOOKUP(B288,'MB51'!A:J,10,0),"")</f>
        <v/>
      </c>
      <c r="E288" s="62" t="str">
        <f>IFERROR(VLOOKUP(B288,'MB51'!A:K,11,0),"")</f>
        <v/>
      </c>
      <c r="F288" s="42" t="str">
        <f>IFERROR(VLOOKUP(B288,'MB51'!A:F,6,0),"")</f>
        <v/>
      </c>
      <c r="G288" s="17" t="str">
        <f t="shared" si="12"/>
        <v>點揀料單</v>
      </c>
      <c r="H288" s="17">
        <f t="shared" si="13"/>
        <v>0</v>
      </c>
      <c r="I288" t="str">
        <f t="shared" si="14"/>
        <v/>
      </c>
      <c r="J288" t="str">
        <f>SUBSTITUTE(IF(COUNTIF(I$2:I288,I288)&gt;1,"",1)," ","")</f>
        <v/>
      </c>
    </row>
    <row r="289" spans="1:10" x14ac:dyDescent="0.2">
      <c r="A289" s="51" t="str">
        <f>IFERROR(VLOOKUP(B289,點上線資訊!A:R,18,0),"")</f>
        <v/>
      </c>
      <c r="B289" s="41">
        <f>'MB51'!A289</f>
        <v>0</v>
      </c>
      <c r="C289" s="60" t="str">
        <f>IFERROR(VLOOKUP(B289,'MB51'!A:I,9,0),"")</f>
        <v/>
      </c>
      <c r="D289" s="61" t="str">
        <f>IFERROR(VLOOKUP(B289,'MB51'!A:J,10,0),"")</f>
        <v/>
      </c>
      <c r="E289" s="62" t="str">
        <f>IFERROR(VLOOKUP(B289,'MB51'!A:K,11,0),"")</f>
        <v/>
      </c>
      <c r="F289" s="42" t="str">
        <f>IFERROR(VLOOKUP(B289,'MB51'!A:F,6,0),"")</f>
        <v/>
      </c>
      <c r="G289" s="17" t="str">
        <f t="shared" si="12"/>
        <v>點揀料單</v>
      </c>
      <c r="H289" s="17">
        <f t="shared" si="13"/>
        <v>0</v>
      </c>
      <c r="I289" t="str">
        <f t="shared" si="14"/>
        <v/>
      </c>
      <c r="J289" t="str">
        <f>SUBSTITUTE(IF(COUNTIF(I$2:I289,I289)&gt;1,"",1)," ","")</f>
        <v/>
      </c>
    </row>
    <row r="290" spans="1:10" x14ac:dyDescent="0.2">
      <c r="A290" s="51" t="str">
        <f>IFERROR(VLOOKUP(B290,點上線資訊!A:R,18,0),"")</f>
        <v/>
      </c>
      <c r="B290" s="41">
        <f>'MB51'!A290</f>
        <v>0</v>
      </c>
      <c r="C290" s="60" t="str">
        <f>IFERROR(VLOOKUP(B290,'MB51'!A:I,9,0),"")</f>
        <v/>
      </c>
      <c r="D290" s="61" t="str">
        <f>IFERROR(VLOOKUP(B290,'MB51'!A:J,10,0),"")</f>
        <v/>
      </c>
      <c r="E290" s="62" t="str">
        <f>IFERROR(VLOOKUP(B290,'MB51'!A:K,11,0),"")</f>
        <v/>
      </c>
      <c r="F290" s="42" t="str">
        <f>IFERROR(VLOOKUP(B290,'MB51'!A:F,6,0),"")</f>
        <v/>
      </c>
      <c r="G290" s="17" t="str">
        <f t="shared" si="12"/>
        <v>點揀料單</v>
      </c>
      <c r="H290" s="17">
        <f t="shared" si="13"/>
        <v>0</v>
      </c>
      <c r="I290" t="str">
        <f t="shared" si="14"/>
        <v/>
      </c>
      <c r="J290" t="str">
        <f>SUBSTITUTE(IF(COUNTIF(I$2:I290,I290)&gt;1,"",1)," ","")</f>
        <v/>
      </c>
    </row>
    <row r="291" spans="1:10" x14ac:dyDescent="0.2">
      <c r="A291" s="51" t="str">
        <f>IFERROR(VLOOKUP(B291,點上線資訊!A:R,18,0),"")</f>
        <v/>
      </c>
      <c r="B291" s="41">
        <f>'MB51'!A291</f>
        <v>0</v>
      </c>
      <c r="C291" s="60" t="str">
        <f>IFERROR(VLOOKUP(B291,'MB51'!A:I,9,0),"")</f>
        <v/>
      </c>
      <c r="D291" s="61" t="str">
        <f>IFERROR(VLOOKUP(B291,'MB51'!A:J,10,0),"")</f>
        <v/>
      </c>
      <c r="E291" s="62" t="str">
        <f>IFERROR(VLOOKUP(B291,'MB51'!A:K,11,0),"")</f>
        <v/>
      </c>
      <c r="F291" s="42" t="str">
        <f>IFERROR(VLOOKUP(B291,'MB51'!A:F,6,0),"")</f>
        <v/>
      </c>
      <c r="G291" s="17" t="str">
        <f t="shared" si="12"/>
        <v>點揀料單</v>
      </c>
      <c r="H291" s="17">
        <f t="shared" si="13"/>
        <v>0</v>
      </c>
      <c r="I291" t="str">
        <f t="shared" si="14"/>
        <v/>
      </c>
      <c r="J291" t="str">
        <f>SUBSTITUTE(IF(COUNTIF(I$2:I291,I291)&gt;1,"",1)," ","")</f>
        <v/>
      </c>
    </row>
    <row r="292" spans="1:10" x14ac:dyDescent="0.2">
      <c r="A292" s="51" t="str">
        <f>IFERROR(VLOOKUP(B292,點上線資訊!A:R,18,0),"")</f>
        <v/>
      </c>
      <c r="B292" s="41">
        <f>'MB51'!A292</f>
        <v>0</v>
      </c>
      <c r="C292" s="60" t="str">
        <f>IFERROR(VLOOKUP(B292,'MB51'!A:I,9,0),"")</f>
        <v/>
      </c>
      <c r="D292" s="61" t="str">
        <f>IFERROR(VLOOKUP(B292,'MB51'!A:J,10,0),"")</f>
        <v/>
      </c>
      <c r="E292" s="62" t="str">
        <f>IFERROR(VLOOKUP(B292,'MB51'!A:K,11,0),"")</f>
        <v/>
      </c>
      <c r="F292" s="42" t="str">
        <f>IFERROR(VLOOKUP(B292,'MB51'!A:F,6,0),"")</f>
        <v/>
      </c>
      <c r="G292" s="17" t="str">
        <f t="shared" si="12"/>
        <v>點揀料單</v>
      </c>
      <c r="H292" s="17">
        <f t="shared" si="13"/>
        <v>0</v>
      </c>
      <c r="I292" t="str">
        <f t="shared" si="14"/>
        <v/>
      </c>
      <c r="J292" t="str">
        <f>SUBSTITUTE(IF(COUNTIF(I$2:I292,I292)&gt;1,"",1)," ","")</f>
        <v/>
      </c>
    </row>
    <row r="293" spans="1:10" x14ac:dyDescent="0.2">
      <c r="A293" s="51" t="str">
        <f>IFERROR(VLOOKUP(B293,點上線資訊!A:R,18,0),"")</f>
        <v/>
      </c>
      <c r="B293" s="41">
        <f>'MB51'!A293</f>
        <v>0</v>
      </c>
      <c r="C293" s="60" t="str">
        <f>IFERROR(VLOOKUP(B293,'MB51'!A:I,9,0),"")</f>
        <v/>
      </c>
      <c r="D293" s="61" t="str">
        <f>IFERROR(VLOOKUP(B293,'MB51'!A:J,10,0),"")</f>
        <v/>
      </c>
      <c r="E293" s="62" t="str">
        <f>IFERROR(VLOOKUP(B293,'MB51'!A:K,11,0),"")</f>
        <v/>
      </c>
      <c r="F293" s="42" t="str">
        <f>IFERROR(VLOOKUP(B293,'MB51'!A:F,6,0),"")</f>
        <v/>
      </c>
      <c r="G293" s="17" t="str">
        <f t="shared" si="12"/>
        <v>點揀料單</v>
      </c>
      <c r="H293" s="17">
        <f t="shared" si="13"/>
        <v>0</v>
      </c>
      <c r="I293" t="str">
        <f t="shared" si="14"/>
        <v/>
      </c>
      <c r="J293" t="str">
        <f>SUBSTITUTE(IF(COUNTIF(I$2:I293,I293)&gt;1,"",1)," ","")</f>
        <v/>
      </c>
    </row>
    <row r="294" spans="1:10" x14ac:dyDescent="0.2">
      <c r="A294" s="51" t="str">
        <f>IFERROR(VLOOKUP(B294,點上線資訊!A:R,18,0),"")</f>
        <v/>
      </c>
      <c r="B294" s="41">
        <f>'MB51'!A294</f>
        <v>0</v>
      </c>
      <c r="C294" s="60" t="str">
        <f>IFERROR(VLOOKUP(B294,'MB51'!A:I,9,0),"")</f>
        <v/>
      </c>
      <c r="D294" s="61" t="str">
        <f>IFERROR(VLOOKUP(B294,'MB51'!A:J,10,0),"")</f>
        <v/>
      </c>
      <c r="E294" s="62" t="str">
        <f>IFERROR(VLOOKUP(B294,'MB51'!A:K,11,0),"")</f>
        <v/>
      </c>
      <c r="F294" s="42" t="str">
        <f>IFERROR(VLOOKUP(B294,'MB51'!A:F,6,0),"")</f>
        <v/>
      </c>
      <c r="G294" s="17" t="str">
        <f t="shared" si="12"/>
        <v>點揀料單</v>
      </c>
      <c r="H294" s="17">
        <f t="shared" si="13"/>
        <v>0</v>
      </c>
      <c r="I294" t="str">
        <f t="shared" si="14"/>
        <v/>
      </c>
      <c r="J294" t="str">
        <f>SUBSTITUTE(IF(COUNTIF(I$2:I294,I294)&gt;1,"",1)," ","")</f>
        <v/>
      </c>
    </row>
    <row r="295" spans="1:10" x14ac:dyDescent="0.2">
      <c r="A295" s="51" t="str">
        <f>IFERROR(VLOOKUP(B295,點上線資訊!A:R,18,0),"")</f>
        <v/>
      </c>
      <c r="B295" s="41">
        <f>'MB51'!A295</f>
        <v>0</v>
      </c>
      <c r="C295" s="60" t="str">
        <f>IFERROR(VLOOKUP(B295,'MB51'!A:I,9,0),"")</f>
        <v/>
      </c>
      <c r="D295" s="61" t="str">
        <f>IFERROR(VLOOKUP(B295,'MB51'!A:J,10,0),"")</f>
        <v/>
      </c>
      <c r="E295" s="62" t="str">
        <f>IFERROR(VLOOKUP(B295,'MB51'!A:K,11,0),"")</f>
        <v/>
      </c>
      <c r="F295" s="42" t="str">
        <f>IFERROR(VLOOKUP(B295,'MB51'!A:F,6,0),"")</f>
        <v/>
      </c>
      <c r="G295" s="17" t="str">
        <f t="shared" si="12"/>
        <v>點揀料單</v>
      </c>
      <c r="H295" s="17">
        <f t="shared" si="13"/>
        <v>0</v>
      </c>
      <c r="I295" t="str">
        <f t="shared" si="14"/>
        <v/>
      </c>
      <c r="J295" t="str">
        <f>SUBSTITUTE(IF(COUNTIF(I$2:I295,I295)&gt;1,"",1)," ","")</f>
        <v/>
      </c>
    </row>
    <row r="296" spans="1:10" x14ac:dyDescent="0.2">
      <c r="A296" s="51" t="str">
        <f>IFERROR(VLOOKUP(B296,點上線資訊!A:R,18,0),"")</f>
        <v/>
      </c>
      <c r="B296" s="41">
        <f>'MB51'!A296</f>
        <v>0</v>
      </c>
      <c r="C296" s="60" t="str">
        <f>IFERROR(VLOOKUP(B296,'MB51'!A:I,9,0),"")</f>
        <v/>
      </c>
      <c r="D296" s="61" t="str">
        <f>IFERROR(VLOOKUP(B296,'MB51'!A:J,10,0),"")</f>
        <v/>
      </c>
      <c r="E296" s="62" t="str">
        <f>IFERROR(VLOOKUP(B296,'MB51'!A:K,11,0),"")</f>
        <v/>
      </c>
      <c r="F296" s="42" t="str">
        <f>IFERROR(VLOOKUP(B296,'MB51'!A:F,6,0),"")</f>
        <v/>
      </c>
      <c r="G296" s="17" t="str">
        <f t="shared" si="12"/>
        <v>點揀料單</v>
      </c>
      <c r="H296" s="17">
        <f t="shared" si="13"/>
        <v>0</v>
      </c>
      <c r="I296" t="str">
        <f t="shared" si="14"/>
        <v/>
      </c>
      <c r="J296" t="str">
        <f>SUBSTITUTE(IF(COUNTIF(I$2:I296,I296)&gt;1,"",1)," ","")</f>
        <v/>
      </c>
    </row>
    <row r="297" spans="1:10" x14ac:dyDescent="0.2">
      <c r="A297" s="51" t="str">
        <f>IFERROR(VLOOKUP(B297,點上線資訊!A:R,18,0),"")</f>
        <v/>
      </c>
      <c r="B297" s="41">
        <f>'MB51'!A297</f>
        <v>0</v>
      </c>
      <c r="C297" s="60" t="str">
        <f>IFERROR(VLOOKUP(B297,'MB51'!A:I,9,0),"")</f>
        <v/>
      </c>
      <c r="D297" s="61" t="str">
        <f>IFERROR(VLOOKUP(B297,'MB51'!A:J,10,0),"")</f>
        <v/>
      </c>
      <c r="E297" s="62" t="str">
        <f>IFERROR(VLOOKUP(B297,'MB51'!A:K,11,0),"")</f>
        <v/>
      </c>
      <c r="F297" s="42" t="str">
        <f>IFERROR(VLOOKUP(B297,'MB51'!A:F,6,0),"")</f>
        <v/>
      </c>
      <c r="G297" s="17" t="str">
        <f t="shared" si="12"/>
        <v>點揀料單</v>
      </c>
      <c r="H297" s="17">
        <f t="shared" si="13"/>
        <v>0</v>
      </c>
      <c r="I297" t="str">
        <f t="shared" si="14"/>
        <v/>
      </c>
      <c r="J297" t="str">
        <f>SUBSTITUTE(IF(COUNTIF(I$2:I297,I297)&gt;1,"",1)," ","")</f>
        <v/>
      </c>
    </row>
    <row r="298" spans="1:10" x14ac:dyDescent="0.2">
      <c r="A298" s="51" t="str">
        <f>IFERROR(VLOOKUP(B298,點上線資訊!A:R,18,0),"")</f>
        <v/>
      </c>
      <c r="B298" s="41">
        <f>'MB51'!A298</f>
        <v>0</v>
      </c>
      <c r="C298" s="60" t="str">
        <f>IFERROR(VLOOKUP(B298,'MB51'!A:I,9,0),"")</f>
        <v/>
      </c>
      <c r="D298" s="61" t="str">
        <f>IFERROR(VLOOKUP(B298,'MB51'!A:J,10,0),"")</f>
        <v/>
      </c>
      <c r="E298" s="62" t="str">
        <f>IFERROR(VLOOKUP(B298,'MB51'!A:K,11,0),"")</f>
        <v/>
      </c>
      <c r="F298" s="42" t="str">
        <f>IFERROR(VLOOKUP(B298,'MB51'!A:F,6,0),"")</f>
        <v/>
      </c>
      <c r="G298" s="17" t="str">
        <f t="shared" si="12"/>
        <v>點揀料單</v>
      </c>
      <c r="H298" s="17">
        <f t="shared" si="13"/>
        <v>0</v>
      </c>
      <c r="I298" t="str">
        <f t="shared" si="14"/>
        <v/>
      </c>
      <c r="J298" t="str">
        <f>SUBSTITUTE(IF(COUNTIF(I$2:I298,I298)&gt;1,"",1)," ","")</f>
        <v/>
      </c>
    </row>
    <row r="299" spans="1:10" x14ac:dyDescent="0.2">
      <c r="A299" s="51" t="str">
        <f>IFERROR(VLOOKUP(B299,點上線資訊!A:R,18,0),"")</f>
        <v/>
      </c>
      <c r="B299" s="41">
        <f>'MB51'!A299</f>
        <v>0</v>
      </c>
      <c r="C299" s="60" t="str">
        <f>IFERROR(VLOOKUP(B299,'MB51'!A:I,9,0),"")</f>
        <v/>
      </c>
      <c r="D299" s="61" t="str">
        <f>IFERROR(VLOOKUP(B299,'MB51'!A:J,10,0),"")</f>
        <v/>
      </c>
      <c r="E299" s="62" t="str">
        <f>IFERROR(VLOOKUP(B299,'MB51'!A:K,11,0),"")</f>
        <v/>
      </c>
      <c r="F299" s="42" t="str">
        <f>IFERROR(VLOOKUP(B299,'MB51'!A:F,6,0),"")</f>
        <v/>
      </c>
      <c r="G299" s="17" t="str">
        <f t="shared" si="12"/>
        <v>點揀料單</v>
      </c>
      <c r="H299" s="17">
        <f t="shared" si="13"/>
        <v>0</v>
      </c>
      <c r="I299" t="str">
        <f t="shared" si="14"/>
        <v/>
      </c>
      <c r="J299" t="str">
        <f>SUBSTITUTE(IF(COUNTIF(I$2:I299,I299)&gt;1,"",1)," ","")</f>
        <v/>
      </c>
    </row>
    <row r="300" spans="1:10" x14ac:dyDescent="0.2">
      <c r="A300" s="51" t="str">
        <f>IFERROR(VLOOKUP(B300,點上線資訊!A:R,18,0),"")</f>
        <v/>
      </c>
      <c r="B300" s="41">
        <f>'MB51'!A300</f>
        <v>0</v>
      </c>
      <c r="C300" s="60" t="str">
        <f>IFERROR(VLOOKUP(B300,'MB51'!A:I,9,0),"")</f>
        <v/>
      </c>
      <c r="D300" s="61" t="str">
        <f>IFERROR(VLOOKUP(B300,'MB51'!A:J,10,0),"")</f>
        <v/>
      </c>
      <c r="E300" s="62" t="str">
        <f>IFERROR(VLOOKUP(B300,'MB51'!A:K,11,0),"")</f>
        <v/>
      </c>
      <c r="F300" s="42" t="str">
        <f>IFERROR(VLOOKUP(B300,'MB51'!A:F,6,0),"")</f>
        <v/>
      </c>
      <c r="G300" s="17" t="str">
        <f t="shared" si="12"/>
        <v>點揀料單</v>
      </c>
      <c r="H300" s="17">
        <f t="shared" si="13"/>
        <v>0</v>
      </c>
      <c r="I300" t="str">
        <f t="shared" si="14"/>
        <v/>
      </c>
      <c r="J300" t="str">
        <f>SUBSTITUTE(IF(COUNTIF(I$2:I300,I300)&gt;1,"",1)," ","")</f>
        <v/>
      </c>
    </row>
    <row r="301" spans="1:10" x14ac:dyDescent="0.2">
      <c r="A301" s="51" t="str">
        <f>IFERROR(VLOOKUP(B301,點上線資訊!A:R,18,0),"")</f>
        <v/>
      </c>
      <c r="B301" s="41">
        <f>'MB51'!A301</f>
        <v>0</v>
      </c>
      <c r="C301" s="60" t="str">
        <f>IFERROR(VLOOKUP(B301,'MB51'!A:I,9,0),"")</f>
        <v/>
      </c>
      <c r="D301" s="61" t="str">
        <f>IFERROR(VLOOKUP(B301,'MB51'!A:J,10,0),"")</f>
        <v/>
      </c>
      <c r="E301" s="62" t="str">
        <f>IFERROR(VLOOKUP(B301,'MB51'!A:K,11,0),"")</f>
        <v/>
      </c>
      <c r="F301" s="42" t="str">
        <f>IFERROR(VLOOKUP(B301,'MB51'!A:F,6,0),"")</f>
        <v/>
      </c>
      <c r="G301" s="17" t="str">
        <f t="shared" si="12"/>
        <v>點揀料單</v>
      </c>
      <c r="H301" s="17">
        <f t="shared" si="13"/>
        <v>0</v>
      </c>
      <c r="I301" t="str">
        <f t="shared" si="14"/>
        <v/>
      </c>
      <c r="J301" t="str">
        <f>SUBSTITUTE(IF(COUNTIF(I$2:I301,I301)&gt;1,"",1)," ","")</f>
        <v/>
      </c>
    </row>
    <row r="302" spans="1:10" x14ac:dyDescent="0.2">
      <c r="A302" s="51" t="str">
        <f>IFERROR(VLOOKUP(B302,點上線資訊!A:R,18,0),"")</f>
        <v/>
      </c>
      <c r="B302" s="41">
        <f>'MB51'!A302</f>
        <v>0</v>
      </c>
      <c r="C302" s="60" t="str">
        <f>IFERROR(VLOOKUP(B302,'MB51'!A:I,9,0),"")</f>
        <v/>
      </c>
      <c r="D302" s="61" t="str">
        <f>IFERROR(VLOOKUP(B302,'MB51'!A:J,10,0),"")</f>
        <v/>
      </c>
      <c r="E302" s="62" t="str">
        <f>IFERROR(VLOOKUP(B302,'MB51'!A:K,11,0),"")</f>
        <v/>
      </c>
      <c r="F302" s="42" t="str">
        <f>IFERROR(VLOOKUP(B302,'MB51'!A:F,6,0),"")</f>
        <v/>
      </c>
      <c r="G302" s="17" t="str">
        <f t="shared" si="12"/>
        <v>點揀料單</v>
      </c>
      <c r="H302" s="17">
        <f t="shared" si="13"/>
        <v>0</v>
      </c>
      <c r="I302" t="str">
        <f t="shared" si="14"/>
        <v/>
      </c>
      <c r="J302" t="str">
        <f>SUBSTITUTE(IF(COUNTIF(I$2:I302,I302)&gt;1,"",1)," ","")</f>
        <v/>
      </c>
    </row>
    <row r="303" spans="1:10" x14ac:dyDescent="0.2">
      <c r="A303" s="51" t="str">
        <f>IFERROR(VLOOKUP(B303,點上線資訊!A:R,18,0),"")</f>
        <v/>
      </c>
      <c r="B303" s="41">
        <f>'MB51'!A303</f>
        <v>0</v>
      </c>
      <c r="C303" s="60" t="str">
        <f>IFERROR(VLOOKUP(B303,'MB51'!A:I,9,0),"")</f>
        <v/>
      </c>
      <c r="D303" s="61" t="str">
        <f>IFERROR(VLOOKUP(B303,'MB51'!A:J,10,0),"")</f>
        <v/>
      </c>
      <c r="E303" s="62" t="str">
        <f>IFERROR(VLOOKUP(B303,'MB51'!A:K,11,0),"")</f>
        <v/>
      </c>
      <c r="F303" s="42" t="str">
        <f>IFERROR(VLOOKUP(B303,'MB51'!A:F,6,0),"")</f>
        <v/>
      </c>
      <c r="G303" s="17" t="str">
        <f t="shared" si="12"/>
        <v>點揀料單</v>
      </c>
      <c r="H303" s="17">
        <f t="shared" si="13"/>
        <v>0</v>
      </c>
      <c r="I303" t="str">
        <f t="shared" si="14"/>
        <v/>
      </c>
      <c r="J303" t="str">
        <f>SUBSTITUTE(IF(COUNTIF(I$2:I303,I303)&gt;1,"",1)," ","")</f>
        <v/>
      </c>
    </row>
    <row r="304" spans="1:10" x14ac:dyDescent="0.2">
      <c r="A304" s="51" t="str">
        <f>IFERROR(VLOOKUP(B304,點上線資訊!A:R,18,0),"")</f>
        <v/>
      </c>
      <c r="B304" s="41">
        <f>'MB51'!A304</f>
        <v>0</v>
      </c>
      <c r="C304" s="60" t="str">
        <f>IFERROR(VLOOKUP(B304,'MB51'!A:I,9,0),"")</f>
        <v/>
      </c>
      <c r="D304" s="61" t="str">
        <f>IFERROR(VLOOKUP(B304,'MB51'!A:J,10,0),"")</f>
        <v/>
      </c>
      <c r="E304" s="62" t="str">
        <f>IFERROR(VLOOKUP(B304,'MB51'!A:K,11,0),"")</f>
        <v/>
      </c>
      <c r="F304" s="42" t="str">
        <f>IFERROR(VLOOKUP(B304,'MB51'!A:F,6,0),"")</f>
        <v/>
      </c>
      <c r="G304" s="17" t="str">
        <f t="shared" si="12"/>
        <v>點揀料單</v>
      </c>
      <c r="H304" s="17">
        <f t="shared" si="13"/>
        <v>0</v>
      </c>
      <c r="I304" t="str">
        <f t="shared" si="14"/>
        <v/>
      </c>
      <c r="J304" t="str">
        <f>SUBSTITUTE(IF(COUNTIF(I$2:I304,I304)&gt;1,"",1)," ","")</f>
        <v/>
      </c>
    </row>
    <row r="305" spans="1:10" x14ac:dyDescent="0.2">
      <c r="A305" s="51" t="str">
        <f>IFERROR(VLOOKUP(B305,點上線資訊!A:R,18,0),"")</f>
        <v/>
      </c>
      <c r="B305" s="41">
        <f>'MB51'!A305</f>
        <v>0</v>
      </c>
      <c r="C305" s="60" t="str">
        <f>IFERROR(VLOOKUP(B305,'MB51'!A:I,9,0),"")</f>
        <v/>
      </c>
      <c r="D305" s="61" t="str">
        <f>IFERROR(VLOOKUP(B305,'MB51'!A:J,10,0),"")</f>
        <v/>
      </c>
      <c r="E305" s="62" t="str">
        <f>IFERROR(VLOOKUP(B305,'MB51'!A:K,11,0),"")</f>
        <v/>
      </c>
      <c r="F305" s="42" t="str">
        <f>IFERROR(VLOOKUP(B305,'MB51'!A:F,6,0),"")</f>
        <v/>
      </c>
      <c r="G305" s="17" t="str">
        <f t="shared" si="12"/>
        <v>點揀料單</v>
      </c>
      <c r="H305" s="17">
        <f t="shared" si="13"/>
        <v>0</v>
      </c>
      <c r="I305" t="str">
        <f t="shared" si="14"/>
        <v/>
      </c>
      <c r="J305" t="str">
        <f>SUBSTITUTE(IF(COUNTIF(I$2:I305,I305)&gt;1,"",1)," ","")</f>
        <v/>
      </c>
    </row>
    <row r="306" spans="1:10" x14ac:dyDescent="0.2">
      <c r="A306" s="51" t="str">
        <f>IFERROR(VLOOKUP(B306,點上線資訊!A:R,18,0),"")</f>
        <v/>
      </c>
      <c r="B306" s="41">
        <f>'MB51'!A306</f>
        <v>0</v>
      </c>
      <c r="C306" s="60" t="str">
        <f>IFERROR(VLOOKUP(B306,'MB51'!A:I,9,0),"")</f>
        <v/>
      </c>
      <c r="D306" s="61" t="str">
        <f>IFERROR(VLOOKUP(B306,'MB51'!A:J,10,0),"")</f>
        <v/>
      </c>
      <c r="E306" s="62" t="str">
        <f>IFERROR(VLOOKUP(B306,'MB51'!A:K,11,0),"")</f>
        <v/>
      </c>
      <c r="F306" s="42" t="str">
        <f>IFERROR(VLOOKUP(B306,'MB51'!A:F,6,0),"")</f>
        <v/>
      </c>
      <c r="G306" s="17" t="str">
        <f t="shared" si="12"/>
        <v>點揀料單</v>
      </c>
      <c r="H306" s="17">
        <f t="shared" si="13"/>
        <v>0</v>
      </c>
      <c r="I306" t="str">
        <f t="shared" si="14"/>
        <v/>
      </c>
      <c r="J306" t="str">
        <f>SUBSTITUTE(IF(COUNTIF(I$2:I306,I306)&gt;1,"",1)," ","")</f>
        <v/>
      </c>
    </row>
    <row r="307" spans="1:10" x14ac:dyDescent="0.2">
      <c r="A307" s="51" t="str">
        <f>IFERROR(VLOOKUP(B307,點上線資訊!A:R,18,0),"")</f>
        <v/>
      </c>
      <c r="B307" s="41">
        <f>'MB51'!A307</f>
        <v>0</v>
      </c>
      <c r="C307" s="60" t="str">
        <f>IFERROR(VLOOKUP(B307,'MB51'!A:I,9,0),"")</f>
        <v/>
      </c>
      <c r="D307" s="61" t="str">
        <f>IFERROR(VLOOKUP(B307,'MB51'!A:J,10,0),"")</f>
        <v/>
      </c>
      <c r="E307" s="62" t="str">
        <f>IFERROR(VLOOKUP(B307,'MB51'!A:K,11,0),"")</f>
        <v/>
      </c>
      <c r="F307" s="42" t="str">
        <f>IFERROR(VLOOKUP(B307,'MB51'!A:F,6,0),"")</f>
        <v/>
      </c>
      <c r="G307" s="17" t="str">
        <f t="shared" si="12"/>
        <v>點揀料單</v>
      </c>
      <c r="H307" s="17">
        <f t="shared" si="13"/>
        <v>0</v>
      </c>
      <c r="I307" t="str">
        <f t="shared" si="14"/>
        <v/>
      </c>
      <c r="J307" t="str">
        <f>SUBSTITUTE(IF(COUNTIF(I$2:I307,I307)&gt;1,"",1)," ","")</f>
        <v/>
      </c>
    </row>
    <row r="308" spans="1:10" x14ac:dyDescent="0.2">
      <c r="A308" s="51" t="str">
        <f>IFERROR(VLOOKUP(B308,點上線資訊!A:R,18,0),"")</f>
        <v/>
      </c>
      <c r="B308" s="41">
        <f>'MB51'!A308</f>
        <v>0</v>
      </c>
      <c r="C308" s="60" t="str">
        <f>IFERROR(VLOOKUP(B308,'MB51'!A:I,9,0),"")</f>
        <v/>
      </c>
      <c r="D308" s="61" t="str">
        <f>IFERROR(VLOOKUP(B308,'MB51'!A:J,10,0),"")</f>
        <v/>
      </c>
      <c r="E308" s="62" t="str">
        <f>IFERROR(VLOOKUP(B308,'MB51'!A:K,11,0),"")</f>
        <v/>
      </c>
      <c r="F308" s="42" t="str">
        <f>IFERROR(VLOOKUP(B308,'MB51'!A:F,6,0),"")</f>
        <v/>
      </c>
      <c r="G308" s="17" t="str">
        <f t="shared" si="12"/>
        <v>點揀料單</v>
      </c>
      <c r="H308" s="17">
        <f t="shared" si="13"/>
        <v>0</v>
      </c>
      <c r="I308" t="str">
        <f t="shared" si="14"/>
        <v/>
      </c>
      <c r="J308" t="str">
        <f>SUBSTITUTE(IF(COUNTIF(I$2:I308,I308)&gt;1,"",1)," ","")</f>
        <v/>
      </c>
    </row>
    <row r="309" spans="1:10" x14ac:dyDescent="0.2">
      <c r="A309" s="51" t="str">
        <f>IFERROR(VLOOKUP(B309,點上線資訊!A:R,18,0),"")</f>
        <v/>
      </c>
      <c r="B309" s="41">
        <f>'MB51'!A309</f>
        <v>0</v>
      </c>
      <c r="C309" s="60" t="str">
        <f>IFERROR(VLOOKUP(B309,'MB51'!A:I,9,0),"")</f>
        <v/>
      </c>
      <c r="D309" s="61" t="str">
        <f>IFERROR(VLOOKUP(B309,'MB51'!A:J,10,0),"")</f>
        <v/>
      </c>
      <c r="E309" s="62" t="str">
        <f>IFERROR(VLOOKUP(B309,'MB51'!A:K,11,0),"")</f>
        <v/>
      </c>
      <c r="F309" s="42" t="str">
        <f>IFERROR(VLOOKUP(B309,'MB51'!A:F,6,0),"")</f>
        <v/>
      </c>
      <c r="G309" s="17" t="str">
        <f t="shared" si="12"/>
        <v>點揀料單</v>
      </c>
      <c r="H309" s="17">
        <f t="shared" si="13"/>
        <v>0</v>
      </c>
      <c r="I309" t="str">
        <f t="shared" si="14"/>
        <v/>
      </c>
      <c r="J309" t="str">
        <f>SUBSTITUTE(IF(COUNTIF(I$2:I309,I309)&gt;1,"",1)," ","")</f>
        <v/>
      </c>
    </row>
    <row r="310" spans="1:10" x14ac:dyDescent="0.2">
      <c r="A310" s="51" t="str">
        <f>IFERROR(VLOOKUP(B310,點上線資訊!A:R,18,0),"")</f>
        <v/>
      </c>
      <c r="B310" s="41">
        <f>'MB51'!A310</f>
        <v>0</v>
      </c>
      <c r="C310" s="60" t="str">
        <f>IFERROR(VLOOKUP(B310,'MB51'!A:I,9,0),"")</f>
        <v/>
      </c>
      <c r="D310" s="61" t="str">
        <f>IFERROR(VLOOKUP(B310,'MB51'!A:J,10,0),"")</f>
        <v/>
      </c>
      <c r="E310" s="62" t="str">
        <f>IFERROR(VLOOKUP(B310,'MB51'!A:K,11,0),"")</f>
        <v/>
      </c>
      <c r="F310" s="42" t="str">
        <f>IFERROR(VLOOKUP(B310,'MB51'!A:F,6,0),"")</f>
        <v/>
      </c>
      <c r="G310" s="17" t="str">
        <f t="shared" si="12"/>
        <v>點揀料單</v>
      </c>
      <c r="H310" s="17">
        <f t="shared" si="13"/>
        <v>0</v>
      </c>
      <c r="I310" t="str">
        <f t="shared" si="14"/>
        <v/>
      </c>
      <c r="J310" t="str">
        <f>SUBSTITUTE(IF(COUNTIF(I$2:I310,I310)&gt;1,"",1)," ","")</f>
        <v/>
      </c>
    </row>
    <row r="311" spans="1:10" x14ac:dyDescent="0.2">
      <c r="A311" s="51" t="str">
        <f>IFERROR(VLOOKUP(B311,點上線資訊!A:R,18,0),"")</f>
        <v/>
      </c>
      <c r="B311" s="41">
        <f>'MB51'!A311</f>
        <v>0</v>
      </c>
      <c r="C311" s="60" t="str">
        <f>IFERROR(VLOOKUP(B311,'MB51'!A:I,9,0),"")</f>
        <v/>
      </c>
      <c r="D311" s="61" t="str">
        <f>IFERROR(VLOOKUP(B311,'MB51'!A:J,10,0),"")</f>
        <v/>
      </c>
      <c r="E311" s="62" t="str">
        <f>IFERROR(VLOOKUP(B311,'MB51'!A:K,11,0),"")</f>
        <v/>
      </c>
      <c r="F311" s="42" t="str">
        <f>IFERROR(VLOOKUP(B311,'MB51'!A:F,6,0),"")</f>
        <v/>
      </c>
      <c r="G311" s="17" t="str">
        <f t="shared" si="12"/>
        <v>點揀料單</v>
      </c>
      <c r="H311" s="17">
        <f t="shared" si="13"/>
        <v>0</v>
      </c>
      <c r="I311" t="str">
        <f t="shared" si="14"/>
        <v/>
      </c>
      <c r="J311" t="str">
        <f>SUBSTITUTE(IF(COUNTIF(I$2:I311,I311)&gt;1,"",1)," ","")</f>
        <v/>
      </c>
    </row>
    <row r="312" spans="1:10" x14ac:dyDescent="0.2">
      <c r="A312" s="51" t="str">
        <f>IFERROR(VLOOKUP(B312,點上線資訊!A:R,18,0),"")</f>
        <v/>
      </c>
      <c r="B312" s="41">
        <f>'MB51'!A312</f>
        <v>0</v>
      </c>
      <c r="C312" s="60" t="str">
        <f>IFERROR(VLOOKUP(B312,'MB51'!A:I,9,0),"")</f>
        <v/>
      </c>
      <c r="D312" s="61" t="str">
        <f>IFERROR(VLOOKUP(B312,'MB51'!A:J,10,0),"")</f>
        <v/>
      </c>
      <c r="E312" s="62" t="str">
        <f>IFERROR(VLOOKUP(B312,'MB51'!A:K,11,0),"")</f>
        <v/>
      </c>
      <c r="F312" s="42" t="str">
        <f>IFERROR(VLOOKUP(B312,'MB51'!A:F,6,0),"")</f>
        <v/>
      </c>
      <c r="G312" s="17" t="str">
        <f t="shared" si="12"/>
        <v>點揀料單</v>
      </c>
      <c r="H312" s="17">
        <f t="shared" si="13"/>
        <v>0</v>
      </c>
      <c r="I312" t="str">
        <f t="shared" si="14"/>
        <v/>
      </c>
      <c r="J312" t="str">
        <f>SUBSTITUTE(IF(COUNTIF(I$2:I312,I312)&gt;1,"",1)," ","")</f>
        <v/>
      </c>
    </row>
    <row r="313" spans="1:10" x14ac:dyDescent="0.2">
      <c r="A313" s="51" t="str">
        <f>IFERROR(VLOOKUP(B313,點上線資訊!A:R,18,0),"")</f>
        <v/>
      </c>
      <c r="B313" s="41">
        <f>'MB51'!A313</f>
        <v>0</v>
      </c>
      <c r="C313" s="60" t="str">
        <f>IFERROR(VLOOKUP(B313,'MB51'!A:I,9,0),"")</f>
        <v/>
      </c>
      <c r="D313" s="61" t="str">
        <f>IFERROR(VLOOKUP(B313,'MB51'!A:J,10,0),"")</f>
        <v/>
      </c>
      <c r="E313" s="62" t="str">
        <f>IFERROR(VLOOKUP(B313,'MB51'!A:K,11,0),"")</f>
        <v/>
      </c>
      <c r="F313" s="42" t="str">
        <f>IFERROR(VLOOKUP(B313,'MB51'!A:F,6,0),"")</f>
        <v/>
      </c>
      <c r="G313" s="17" t="str">
        <f t="shared" si="12"/>
        <v>點揀料單</v>
      </c>
      <c r="H313" s="17">
        <f t="shared" si="13"/>
        <v>0</v>
      </c>
      <c r="I313" t="str">
        <f t="shared" si="14"/>
        <v/>
      </c>
      <c r="J313" t="str">
        <f>SUBSTITUTE(IF(COUNTIF(I$2:I313,I313)&gt;1,"",1)," ","")</f>
        <v/>
      </c>
    </row>
    <row r="314" spans="1:10" x14ac:dyDescent="0.2">
      <c r="A314" s="51" t="str">
        <f>IFERROR(VLOOKUP(B314,點上線資訊!A:R,18,0),"")</f>
        <v/>
      </c>
      <c r="B314" s="41">
        <f>'MB51'!A314</f>
        <v>0</v>
      </c>
      <c r="C314" s="60" t="str">
        <f>IFERROR(VLOOKUP(B314,'MB51'!A:I,9,0),"")</f>
        <v/>
      </c>
      <c r="D314" s="61" t="str">
        <f>IFERROR(VLOOKUP(B314,'MB51'!A:J,10,0),"")</f>
        <v/>
      </c>
      <c r="E314" s="62" t="str">
        <f>IFERROR(VLOOKUP(B314,'MB51'!A:K,11,0),"")</f>
        <v/>
      </c>
      <c r="F314" s="42" t="str">
        <f>IFERROR(VLOOKUP(B314,'MB51'!A:F,6,0),"")</f>
        <v/>
      </c>
      <c r="G314" s="17" t="str">
        <f t="shared" si="12"/>
        <v>點揀料單</v>
      </c>
      <c r="H314" s="17">
        <f t="shared" si="13"/>
        <v>0</v>
      </c>
      <c r="I314" t="str">
        <f t="shared" si="14"/>
        <v/>
      </c>
      <c r="J314" t="str">
        <f>SUBSTITUTE(IF(COUNTIF(I$2:I314,I314)&gt;1,"",1)," ","")</f>
        <v/>
      </c>
    </row>
    <row r="315" spans="1:10" x14ac:dyDescent="0.2">
      <c r="A315" s="51" t="str">
        <f>IFERROR(VLOOKUP(B315,點上線資訊!A:R,18,0),"")</f>
        <v/>
      </c>
      <c r="B315" s="41">
        <f>'MB51'!A315</f>
        <v>0</v>
      </c>
      <c r="C315" s="60" t="str">
        <f>IFERROR(VLOOKUP(B315,'MB51'!A:I,9,0),"")</f>
        <v/>
      </c>
      <c r="D315" s="61" t="str">
        <f>IFERROR(VLOOKUP(B315,'MB51'!A:J,10,0),"")</f>
        <v/>
      </c>
      <c r="E315" s="62" t="str">
        <f>IFERROR(VLOOKUP(B315,'MB51'!A:K,11,0),"")</f>
        <v/>
      </c>
      <c r="F315" s="42" t="str">
        <f>IFERROR(VLOOKUP(B315,'MB51'!A:F,6,0),"")</f>
        <v/>
      </c>
      <c r="G315" s="17" t="str">
        <f t="shared" si="12"/>
        <v>點揀料單</v>
      </c>
      <c r="H315" s="17">
        <f t="shared" si="13"/>
        <v>0</v>
      </c>
      <c r="I315" t="str">
        <f t="shared" si="14"/>
        <v/>
      </c>
      <c r="J315" t="str">
        <f>SUBSTITUTE(IF(COUNTIF(I$2:I315,I315)&gt;1,"",1)," ","")</f>
        <v/>
      </c>
    </row>
    <row r="316" spans="1:10" x14ac:dyDescent="0.2">
      <c r="A316" s="51" t="str">
        <f>IFERROR(VLOOKUP(B316,點上線資訊!A:R,18,0),"")</f>
        <v/>
      </c>
      <c r="B316" s="41">
        <f>'MB51'!A316</f>
        <v>0</v>
      </c>
      <c r="C316" s="60" t="str">
        <f>IFERROR(VLOOKUP(B316,'MB51'!A:I,9,0),"")</f>
        <v/>
      </c>
      <c r="D316" s="61" t="str">
        <f>IFERROR(VLOOKUP(B316,'MB51'!A:J,10,0),"")</f>
        <v/>
      </c>
      <c r="E316" s="62" t="str">
        <f>IFERROR(VLOOKUP(B316,'MB51'!A:K,11,0),"")</f>
        <v/>
      </c>
      <c r="F316" s="42" t="str">
        <f>IFERROR(VLOOKUP(B316,'MB51'!A:F,6,0),"")</f>
        <v/>
      </c>
      <c r="G316" s="17" t="str">
        <f t="shared" si="12"/>
        <v>點揀料單</v>
      </c>
      <c r="H316" s="17">
        <f t="shared" si="13"/>
        <v>0</v>
      </c>
      <c r="I316" t="str">
        <f t="shared" si="14"/>
        <v/>
      </c>
      <c r="J316" t="str">
        <f>SUBSTITUTE(IF(COUNTIF(I$2:I316,I316)&gt;1,"",1)," ","")</f>
        <v/>
      </c>
    </row>
    <row r="317" spans="1:10" x14ac:dyDescent="0.2">
      <c r="A317" s="51" t="str">
        <f>IFERROR(VLOOKUP(B317,點上線資訊!A:R,18,0),"")</f>
        <v/>
      </c>
      <c r="B317" s="41">
        <f>'MB51'!A317</f>
        <v>0</v>
      </c>
      <c r="C317" s="60" t="str">
        <f>IFERROR(VLOOKUP(B317,'MB51'!A:I,9,0),"")</f>
        <v/>
      </c>
      <c r="D317" s="61" t="str">
        <f>IFERROR(VLOOKUP(B317,'MB51'!A:J,10,0),"")</f>
        <v/>
      </c>
      <c r="E317" s="62" t="str">
        <f>IFERROR(VLOOKUP(B317,'MB51'!A:K,11,0),"")</f>
        <v/>
      </c>
      <c r="F317" s="42" t="str">
        <f>IFERROR(VLOOKUP(B317,'MB51'!A:F,6,0),"")</f>
        <v/>
      </c>
      <c r="G317" s="17" t="str">
        <f t="shared" si="12"/>
        <v>點揀料單</v>
      </c>
      <c r="H317" s="17">
        <f t="shared" si="13"/>
        <v>0</v>
      </c>
      <c r="I317" t="str">
        <f t="shared" si="14"/>
        <v/>
      </c>
      <c r="J317" t="str">
        <f>SUBSTITUTE(IF(COUNTIF(I$2:I317,I317)&gt;1,"",1)," ","")</f>
        <v/>
      </c>
    </row>
    <row r="318" spans="1:10" x14ac:dyDescent="0.2">
      <c r="A318" s="51" t="str">
        <f>IFERROR(VLOOKUP(B318,點上線資訊!A:R,18,0),"")</f>
        <v/>
      </c>
      <c r="B318" s="41">
        <f>'MB51'!A318</f>
        <v>0</v>
      </c>
      <c r="C318" s="60" t="str">
        <f>IFERROR(VLOOKUP(B318,'MB51'!A:I,9,0),"")</f>
        <v/>
      </c>
      <c r="D318" s="61" t="str">
        <f>IFERROR(VLOOKUP(B318,'MB51'!A:J,10,0),"")</f>
        <v/>
      </c>
      <c r="E318" s="62" t="str">
        <f>IFERROR(VLOOKUP(B318,'MB51'!A:K,11,0),"")</f>
        <v/>
      </c>
      <c r="F318" s="42" t="str">
        <f>IFERROR(VLOOKUP(B318,'MB51'!A:F,6,0),"")</f>
        <v/>
      </c>
      <c r="G318" s="17" t="str">
        <f t="shared" si="12"/>
        <v>點揀料單</v>
      </c>
      <c r="H318" s="17">
        <f t="shared" si="13"/>
        <v>0</v>
      </c>
      <c r="I318" t="str">
        <f t="shared" si="14"/>
        <v/>
      </c>
      <c r="J318" t="str">
        <f>SUBSTITUTE(IF(COUNTIF(I$2:I318,I318)&gt;1,"",1)," ","")</f>
        <v/>
      </c>
    </row>
    <row r="319" spans="1:10" x14ac:dyDescent="0.2">
      <c r="A319" s="51" t="str">
        <f>IFERROR(VLOOKUP(B319,點上線資訊!A:R,18,0),"")</f>
        <v/>
      </c>
      <c r="B319" s="41">
        <f>'MB51'!A319</f>
        <v>0</v>
      </c>
      <c r="C319" s="60" t="str">
        <f>IFERROR(VLOOKUP(B319,'MB51'!A:I,9,0),"")</f>
        <v/>
      </c>
      <c r="D319" s="61" t="str">
        <f>IFERROR(VLOOKUP(B319,'MB51'!A:J,10,0),"")</f>
        <v/>
      </c>
      <c r="E319" s="62" t="str">
        <f>IFERROR(VLOOKUP(B319,'MB51'!A:K,11,0),"")</f>
        <v/>
      </c>
      <c r="F319" s="42" t="str">
        <f>IFERROR(VLOOKUP(B319,'MB51'!A:F,6,0),"")</f>
        <v/>
      </c>
      <c r="G319" s="17" t="str">
        <f t="shared" si="12"/>
        <v>點揀料單</v>
      </c>
      <c r="H319" s="17">
        <f t="shared" si="13"/>
        <v>0</v>
      </c>
      <c r="I319" t="str">
        <f t="shared" si="14"/>
        <v/>
      </c>
      <c r="J319" t="str">
        <f>SUBSTITUTE(IF(COUNTIF(I$2:I319,I319)&gt;1,"",1)," ","")</f>
        <v/>
      </c>
    </row>
    <row r="320" spans="1:10" x14ac:dyDescent="0.2">
      <c r="A320" s="51" t="str">
        <f>IFERROR(VLOOKUP(B320,點上線資訊!A:R,18,0),"")</f>
        <v/>
      </c>
      <c r="B320" s="41">
        <f>'MB51'!A320</f>
        <v>0</v>
      </c>
      <c r="C320" s="60" t="str">
        <f>IFERROR(VLOOKUP(B320,'MB51'!A:I,9,0),"")</f>
        <v/>
      </c>
      <c r="D320" s="61" t="str">
        <f>IFERROR(VLOOKUP(B320,'MB51'!A:J,10,0),"")</f>
        <v/>
      </c>
      <c r="E320" s="62" t="str">
        <f>IFERROR(VLOOKUP(B320,'MB51'!A:K,11,0),"")</f>
        <v/>
      </c>
      <c r="F320" s="42" t="str">
        <f>IFERROR(VLOOKUP(B320,'MB51'!A:F,6,0),"")</f>
        <v/>
      </c>
      <c r="G320" s="17" t="str">
        <f t="shared" si="12"/>
        <v>點揀料單</v>
      </c>
      <c r="H320" s="17">
        <f t="shared" si="13"/>
        <v>0</v>
      </c>
      <c r="I320" t="str">
        <f t="shared" si="14"/>
        <v/>
      </c>
      <c r="J320" t="str">
        <f>SUBSTITUTE(IF(COUNTIF(I$2:I320,I320)&gt;1,"",1)," ","")</f>
        <v/>
      </c>
    </row>
    <row r="321" spans="1:10" x14ac:dyDescent="0.2">
      <c r="A321" s="51" t="str">
        <f>IFERROR(VLOOKUP(B321,點上線資訊!A:R,18,0),"")</f>
        <v/>
      </c>
      <c r="B321" s="41">
        <f>'MB51'!A321</f>
        <v>0</v>
      </c>
      <c r="C321" s="60" t="str">
        <f>IFERROR(VLOOKUP(B321,'MB51'!A:I,9,0),"")</f>
        <v/>
      </c>
      <c r="D321" s="61" t="str">
        <f>IFERROR(VLOOKUP(B321,'MB51'!A:J,10,0),"")</f>
        <v/>
      </c>
      <c r="E321" s="62" t="str">
        <f>IFERROR(VLOOKUP(B321,'MB51'!A:K,11,0),"")</f>
        <v/>
      </c>
      <c r="F321" s="42" t="str">
        <f>IFERROR(VLOOKUP(B321,'MB51'!A:F,6,0),"")</f>
        <v/>
      </c>
      <c r="G321" s="17" t="str">
        <f t="shared" si="12"/>
        <v>點揀料單</v>
      </c>
      <c r="H321" s="17">
        <f t="shared" si="13"/>
        <v>0</v>
      </c>
      <c r="I321" t="str">
        <f t="shared" si="14"/>
        <v/>
      </c>
      <c r="J321" t="str">
        <f>SUBSTITUTE(IF(COUNTIF(I$2:I321,I321)&gt;1,"",1)," ","")</f>
        <v/>
      </c>
    </row>
    <row r="322" spans="1:10" x14ac:dyDescent="0.2">
      <c r="A322" s="51" t="str">
        <f>IFERROR(VLOOKUP(B322,點上線資訊!A:R,18,0),"")</f>
        <v/>
      </c>
      <c r="B322" s="41">
        <f>'MB51'!A322</f>
        <v>0</v>
      </c>
      <c r="C322" s="60" t="str">
        <f>IFERROR(VLOOKUP(B322,'MB51'!A:I,9,0),"")</f>
        <v/>
      </c>
      <c r="D322" s="61" t="str">
        <f>IFERROR(VLOOKUP(B322,'MB51'!A:J,10,0),"")</f>
        <v/>
      </c>
      <c r="E322" s="62" t="str">
        <f>IFERROR(VLOOKUP(B322,'MB51'!A:K,11,0),"")</f>
        <v/>
      </c>
      <c r="F322" s="42" t="str">
        <f>IFERROR(VLOOKUP(B322,'MB51'!A:F,6,0),"")</f>
        <v/>
      </c>
      <c r="G322" s="17" t="str">
        <f t="shared" si="12"/>
        <v>點揀料單</v>
      </c>
      <c r="H322" s="17">
        <f t="shared" si="13"/>
        <v>0</v>
      </c>
      <c r="I322" t="str">
        <f t="shared" si="14"/>
        <v/>
      </c>
      <c r="J322" t="str">
        <f>SUBSTITUTE(IF(COUNTIF(I$2:I322,I322)&gt;1,"",1)," ","")</f>
        <v/>
      </c>
    </row>
    <row r="323" spans="1:10" x14ac:dyDescent="0.2">
      <c r="A323" s="51" t="str">
        <f>IFERROR(VLOOKUP(B323,點上線資訊!A:R,18,0),"")</f>
        <v/>
      </c>
      <c r="B323" s="41">
        <f>'MB51'!A323</f>
        <v>0</v>
      </c>
      <c r="C323" s="60" t="str">
        <f>IFERROR(VLOOKUP(B323,'MB51'!A:I,9,0),"")</f>
        <v/>
      </c>
      <c r="D323" s="61" t="str">
        <f>IFERROR(VLOOKUP(B323,'MB51'!A:J,10,0),"")</f>
        <v/>
      </c>
      <c r="E323" s="62" t="str">
        <f>IFERROR(VLOOKUP(B323,'MB51'!A:K,11,0),"")</f>
        <v/>
      </c>
      <c r="F323" s="42" t="str">
        <f>IFERROR(VLOOKUP(B323,'MB51'!A:F,6,0),"")</f>
        <v/>
      </c>
      <c r="G323" s="17" t="str">
        <f t="shared" ref="G323:G386" si="15">TEXT(D323,"MM/DD")&amp;TEXT(E323,"  HH")&amp;"點揀料單"</f>
        <v>點揀料單</v>
      </c>
      <c r="H323" s="17">
        <f t="shared" ref="H323:H386" si="16">ABS(SUMIF(C:C,C323,F:F))</f>
        <v>0</v>
      </c>
      <c r="I323" t="str">
        <f t="shared" ref="I323:I386" si="17">RIGHTB(C323,10)</f>
        <v/>
      </c>
      <c r="J323" t="str">
        <f>SUBSTITUTE(IF(COUNTIF(I$2:I323,I323)&gt;1,"",1)," ","")</f>
        <v/>
      </c>
    </row>
    <row r="324" spans="1:10" x14ac:dyDescent="0.2">
      <c r="A324" s="51" t="str">
        <f>IFERROR(VLOOKUP(B324,點上線資訊!A:R,18,0),"")</f>
        <v/>
      </c>
      <c r="B324" s="41">
        <f>'MB51'!A324</f>
        <v>0</v>
      </c>
      <c r="C324" s="60" t="str">
        <f>IFERROR(VLOOKUP(B324,'MB51'!A:I,9,0),"")</f>
        <v/>
      </c>
      <c r="D324" s="61" t="str">
        <f>IFERROR(VLOOKUP(B324,'MB51'!A:J,10,0),"")</f>
        <v/>
      </c>
      <c r="E324" s="62" t="str">
        <f>IFERROR(VLOOKUP(B324,'MB51'!A:K,11,0),"")</f>
        <v/>
      </c>
      <c r="F324" s="42" t="str">
        <f>IFERROR(VLOOKUP(B324,'MB51'!A:F,6,0),"")</f>
        <v/>
      </c>
      <c r="G324" s="17" t="str">
        <f t="shared" si="15"/>
        <v>點揀料單</v>
      </c>
      <c r="H324" s="17">
        <f t="shared" si="16"/>
        <v>0</v>
      </c>
      <c r="I324" t="str">
        <f t="shared" si="17"/>
        <v/>
      </c>
      <c r="J324" t="str">
        <f>SUBSTITUTE(IF(COUNTIF(I$2:I324,I324)&gt;1,"",1)," ","")</f>
        <v/>
      </c>
    </row>
    <row r="325" spans="1:10" x14ac:dyDescent="0.2">
      <c r="A325" s="51" t="str">
        <f>IFERROR(VLOOKUP(B325,點上線資訊!A:R,18,0),"")</f>
        <v/>
      </c>
      <c r="B325" s="41">
        <f>'MB51'!A325</f>
        <v>0</v>
      </c>
      <c r="C325" s="60" t="str">
        <f>IFERROR(VLOOKUP(B325,'MB51'!A:I,9,0),"")</f>
        <v/>
      </c>
      <c r="D325" s="61" t="str">
        <f>IFERROR(VLOOKUP(B325,'MB51'!A:J,10,0),"")</f>
        <v/>
      </c>
      <c r="E325" s="62" t="str">
        <f>IFERROR(VLOOKUP(B325,'MB51'!A:K,11,0),"")</f>
        <v/>
      </c>
      <c r="F325" s="42" t="str">
        <f>IFERROR(VLOOKUP(B325,'MB51'!A:F,6,0),"")</f>
        <v/>
      </c>
      <c r="G325" s="17" t="str">
        <f t="shared" si="15"/>
        <v>點揀料單</v>
      </c>
      <c r="H325" s="17">
        <f t="shared" si="16"/>
        <v>0</v>
      </c>
      <c r="I325" t="str">
        <f t="shared" si="17"/>
        <v/>
      </c>
      <c r="J325" t="str">
        <f>SUBSTITUTE(IF(COUNTIF(I$2:I325,I325)&gt;1,"",1)," ","")</f>
        <v/>
      </c>
    </row>
    <row r="326" spans="1:10" x14ac:dyDescent="0.2">
      <c r="A326" s="51" t="str">
        <f>IFERROR(VLOOKUP(B326,點上線資訊!A:R,18,0),"")</f>
        <v/>
      </c>
      <c r="B326" s="41">
        <f>'MB51'!A326</f>
        <v>0</v>
      </c>
      <c r="C326" s="60" t="str">
        <f>IFERROR(VLOOKUP(B326,'MB51'!A:I,9,0),"")</f>
        <v/>
      </c>
      <c r="D326" s="61" t="str">
        <f>IFERROR(VLOOKUP(B326,'MB51'!A:J,10,0),"")</f>
        <v/>
      </c>
      <c r="E326" s="62" t="str">
        <f>IFERROR(VLOOKUP(B326,'MB51'!A:K,11,0),"")</f>
        <v/>
      </c>
      <c r="F326" s="42" t="str">
        <f>IFERROR(VLOOKUP(B326,'MB51'!A:F,6,0),"")</f>
        <v/>
      </c>
      <c r="G326" s="17" t="str">
        <f t="shared" si="15"/>
        <v>點揀料單</v>
      </c>
      <c r="H326" s="17">
        <f t="shared" si="16"/>
        <v>0</v>
      </c>
      <c r="I326" t="str">
        <f t="shared" si="17"/>
        <v/>
      </c>
      <c r="J326" t="str">
        <f>SUBSTITUTE(IF(COUNTIF(I$2:I326,I326)&gt;1,"",1)," ","")</f>
        <v/>
      </c>
    </row>
    <row r="327" spans="1:10" x14ac:dyDescent="0.2">
      <c r="A327" s="51" t="str">
        <f>IFERROR(VLOOKUP(B327,點上線資訊!A:R,18,0),"")</f>
        <v/>
      </c>
      <c r="B327" s="41">
        <f>'MB51'!A327</f>
        <v>0</v>
      </c>
      <c r="C327" s="60" t="str">
        <f>IFERROR(VLOOKUP(B327,'MB51'!A:I,9,0),"")</f>
        <v/>
      </c>
      <c r="D327" s="61" t="str">
        <f>IFERROR(VLOOKUP(B327,'MB51'!A:J,10,0),"")</f>
        <v/>
      </c>
      <c r="E327" s="62" t="str">
        <f>IFERROR(VLOOKUP(B327,'MB51'!A:K,11,0),"")</f>
        <v/>
      </c>
      <c r="F327" s="42" t="str">
        <f>IFERROR(VLOOKUP(B327,'MB51'!A:F,6,0),"")</f>
        <v/>
      </c>
      <c r="G327" s="17" t="str">
        <f t="shared" si="15"/>
        <v>點揀料單</v>
      </c>
      <c r="H327" s="17">
        <f t="shared" si="16"/>
        <v>0</v>
      </c>
      <c r="I327" t="str">
        <f t="shared" si="17"/>
        <v/>
      </c>
      <c r="J327" t="str">
        <f>SUBSTITUTE(IF(COUNTIF(I$2:I327,I327)&gt;1,"",1)," ","")</f>
        <v/>
      </c>
    </row>
    <row r="328" spans="1:10" x14ac:dyDescent="0.2">
      <c r="A328" s="51" t="str">
        <f>IFERROR(VLOOKUP(B328,點上線資訊!A:R,18,0),"")</f>
        <v/>
      </c>
      <c r="B328" s="41">
        <f>'MB51'!A328</f>
        <v>0</v>
      </c>
      <c r="C328" s="60" t="str">
        <f>IFERROR(VLOOKUP(B328,'MB51'!A:I,9,0),"")</f>
        <v/>
      </c>
      <c r="D328" s="61" t="str">
        <f>IFERROR(VLOOKUP(B328,'MB51'!A:J,10,0),"")</f>
        <v/>
      </c>
      <c r="E328" s="62" t="str">
        <f>IFERROR(VLOOKUP(B328,'MB51'!A:K,11,0),"")</f>
        <v/>
      </c>
      <c r="F328" s="42" t="str">
        <f>IFERROR(VLOOKUP(B328,'MB51'!A:F,6,0),"")</f>
        <v/>
      </c>
      <c r="G328" s="17" t="str">
        <f t="shared" si="15"/>
        <v>點揀料單</v>
      </c>
      <c r="H328" s="17">
        <f t="shared" si="16"/>
        <v>0</v>
      </c>
      <c r="I328" t="str">
        <f t="shared" si="17"/>
        <v/>
      </c>
      <c r="J328" t="str">
        <f>SUBSTITUTE(IF(COUNTIF(I$2:I328,I328)&gt;1,"",1)," ","")</f>
        <v/>
      </c>
    </row>
    <row r="329" spans="1:10" x14ac:dyDescent="0.2">
      <c r="A329" s="51" t="str">
        <f>IFERROR(VLOOKUP(B329,點上線資訊!A:R,18,0),"")</f>
        <v/>
      </c>
      <c r="B329" s="41">
        <f>'MB51'!A329</f>
        <v>0</v>
      </c>
      <c r="C329" s="60" t="str">
        <f>IFERROR(VLOOKUP(B329,'MB51'!A:I,9,0),"")</f>
        <v/>
      </c>
      <c r="D329" s="61" t="str">
        <f>IFERROR(VLOOKUP(B329,'MB51'!A:J,10,0),"")</f>
        <v/>
      </c>
      <c r="E329" s="62" t="str">
        <f>IFERROR(VLOOKUP(B329,'MB51'!A:K,11,0),"")</f>
        <v/>
      </c>
      <c r="F329" s="42" t="str">
        <f>IFERROR(VLOOKUP(B329,'MB51'!A:F,6,0),"")</f>
        <v/>
      </c>
      <c r="G329" s="17" t="str">
        <f t="shared" si="15"/>
        <v>點揀料單</v>
      </c>
      <c r="H329" s="17">
        <f t="shared" si="16"/>
        <v>0</v>
      </c>
      <c r="I329" t="str">
        <f t="shared" si="17"/>
        <v/>
      </c>
      <c r="J329" t="str">
        <f>SUBSTITUTE(IF(COUNTIF(I$2:I329,I329)&gt;1,"",1)," ","")</f>
        <v/>
      </c>
    </row>
    <row r="330" spans="1:10" x14ac:dyDescent="0.2">
      <c r="A330" s="51" t="str">
        <f>IFERROR(VLOOKUP(B330,點上線資訊!A:R,18,0),"")</f>
        <v/>
      </c>
      <c r="B330" s="41">
        <f>'MB51'!A330</f>
        <v>0</v>
      </c>
      <c r="C330" s="60" t="str">
        <f>IFERROR(VLOOKUP(B330,'MB51'!A:I,9,0),"")</f>
        <v/>
      </c>
      <c r="D330" s="61" t="str">
        <f>IFERROR(VLOOKUP(B330,'MB51'!A:J,10,0),"")</f>
        <v/>
      </c>
      <c r="E330" s="62" t="str">
        <f>IFERROR(VLOOKUP(B330,'MB51'!A:K,11,0),"")</f>
        <v/>
      </c>
      <c r="F330" s="42" t="str">
        <f>IFERROR(VLOOKUP(B330,'MB51'!A:F,6,0),"")</f>
        <v/>
      </c>
      <c r="G330" s="17" t="str">
        <f t="shared" si="15"/>
        <v>點揀料單</v>
      </c>
      <c r="H330" s="17">
        <f t="shared" si="16"/>
        <v>0</v>
      </c>
      <c r="I330" t="str">
        <f t="shared" si="17"/>
        <v/>
      </c>
      <c r="J330" t="str">
        <f>SUBSTITUTE(IF(COUNTIF(I$2:I330,I330)&gt;1,"",1)," ","")</f>
        <v/>
      </c>
    </row>
    <row r="331" spans="1:10" x14ac:dyDescent="0.2">
      <c r="A331" s="51" t="str">
        <f>IFERROR(VLOOKUP(B331,點上線資訊!A:R,18,0),"")</f>
        <v/>
      </c>
      <c r="B331" s="41">
        <f>'MB51'!A331</f>
        <v>0</v>
      </c>
      <c r="C331" s="60" t="str">
        <f>IFERROR(VLOOKUP(B331,'MB51'!A:I,9,0),"")</f>
        <v/>
      </c>
      <c r="D331" s="61" t="str">
        <f>IFERROR(VLOOKUP(B331,'MB51'!A:J,10,0),"")</f>
        <v/>
      </c>
      <c r="E331" s="62" t="str">
        <f>IFERROR(VLOOKUP(B331,'MB51'!A:K,11,0),"")</f>
        <v/>
      </c>
      <c r="F331" s="42" t="str">
        <f>IFERROR(VLOOKUP(B331,'MB51'!A:F,6,0),"")</f>
        <v/>
      </c>
      <c r="G331" s="17" t="str">
        <f t="shared" si="15"/>
        <v>點揀料單</v>
      </c>
      <c r="H331" s="17">
        <f t="shared" si="16"/>
        <v>0</v>
      </c>
      <c r="I331" t="str">
        <f t="shared" si="17"/>
        <v/>
      </c>
      <c r="J331" t="str">
        <f>SUBSTITUTE(IF(COUNTIF(I$2:I331,I331)&gt;1,"",1)," ","")</f>
        <v/>
      </c>
    </row>
    <row r="332" spans="1:10" x14ac:dyDescent="0.2">
      <c r="A332" s="51" t="str">
        <f>IFERROR(VLOOKUP(B332,點上線資訊!A:R,18,0),"")</f>
        <v/>
      </c>
      <c r="B332" s="41">
        <f>'MB51'!A332</f>
        <v>0</v>
      </c>
      <c r="C332" s="60" t="str">
        <f>IFERROR(VLOOKUP(B332,'MB51'!A:I,9,0),"")</f>
        <v/>
      </c>
      <c r="D332" s="61" t="str">
        <f>IFERROR(VLOOKUP(B332,'MB51'!A:J,10,0),"")</f>
        <v/>
      </c>
      <c r="E332" s="62" t="str">
        <f>IFERROR(VLOOKUP(B332,'MB51'!A:K,11,0),"")</f>
        <v/>
      </c>
      <c r="F332" s="42" t="str">
        <f>IFERROR(VLOOKUP(B332,'MB51'!A:F,6,0),"")</f>
        <v/>
      </c>
      <c r="G332" s="17" t="str">
        <f t="shared" si="15"/>
        <v>點揀料單</v>
      </c>
      <c r="H332" s="17">
        <f t="shared" si="16"/>
        <v>0</v>
      </c>
      <c r="I332" t="str">
        <f t="shared" si="17"/>
        <v/>
      </c>
      <c r="J332" t="str">
        <f>SUBSTITUTE(IF(COUNTIF(I$2:I332,I332)&gt;1,"",1)," ","")</f>
        <v/>
      </c>
    </row>
    <row r="333" spans="1:10" x14ac:dyDescent="0.2">
      <c r="A333" s="51" t="str">
        <f>IFERROR(VLOOKUP(B333,點上線資訊!A:R,18,0),"")</f>
        <v/>
      </c>
      <c r="B333" s="41">
        <f>'MB51'!A333</f>
        <v>0</v>
      </c>
      <c r="C333" s="60" t="str">
        <f>IFERROR(VLOOKUP(B333,'MB51'!A:I,9,0),"")</f>
        <v/>
      </c>
      <c r="D333" s="61" t="str">
        <f>IFERROR(VLOOKUP(B333,'MB51'!A:J,10,0),"")</f>
        <v/>
      </c>
      <c r="E333" s="62" t="str">
        <f>IFERROR(VLOOKUP(B333,'MB51'!A:K,11,0),"")</f>
        <v/>
      </c>
      <c r="F333" s="42" t="str">
        <f>IFERROR(VLOOKUP(B333,'MB51'!A:F,6,0),"")</f>
        <v/>
      </c>
      <c r="G333" s="17" t="str">
        <f t="shared" si="15"/>
        <v>點揀料單</v>
      </c>
      <c r="H333" s="17">
        <f t="shared" si="16"/>
        <v>0</v>
      </c>
      <c r="I333" t="str">
        <f t="shared" si="17"/>
        <v/>
      </c>
      <c r="J333" t="str">
        <f>SUBSTITUTE(IF(COUNTIF(I$2:I333,I333)&gt;1,"",1)," ","")</f>
        <v/>
      </c>
    </row>
    <row r="334" spans="1:10" x14ac:dyDescent="0.2">
      <c r="A334" s="51" t="str">
        <f>IFERROR(VLOOKUP(B334,點上線資訊!A:R,18,0),"")</f>
        <v/>
      </c>
      <c r="B334" s="41">
        <f>'MB51'!A334</f>
        <v>0</v>
      </c>
      <c r="C334" s="60" t="str">
        <f>IFERROR(VLOOKUP(B334,'MB51'!A:I,9,0),"")</f>
        <v/>
      </c>
      <c r="D334" s="61" t="str">
        <f>IFERROR(VLOOKUP(B334,'MB51'!A:J,10,0),"")</f>
        <v/>
      </c>
      <c r="E334" s="62" t="str">
        <f>IFERROR(VLOOKUP(B334,'MB51'!A:K,11,0),"")</f>
        <v/>
      </c>
      <c r="F334" s="42" t="str">
        <f>IFERROR(VLOOKUP(B334,'MB51'!A:F,6,0),"")</f>
        <v/>
      </c>
      <c r="G334" s="17" t="str">
        <f t="shared" si="15"/>
        <v>點揀料單</v>
      </c>
      <c r="H334" s="17">
        <f t="shared" si="16"/>
        <v>0</v>
      </c>
      <c r="I334" t="str">
        <f t="shared" si="17"/>
        <v/>
      </c>
      <c r="J334" t="str">
        <f>SUBSTITUTE(IF(COUNTIF(I$2:I334,I334)&gt;1,"",1)," ","")</f>
        <v/>
      </c>
    </row>
    <row r="335" spans="1:10" x14ac:dyDescent="0.2">
      <c r="A335" s="51" t="str">
        <f>IFERROR(VLOOKUP(B335,點上線資訊!A:R,18,0),"")</f>
        <v/>
      </c>
      <c r="B335" s="41">
        <f>'MB51'!A335</f>
        <v>0</v>
      </c>
      <c r="C335" s="60" t="str">
        <f>IFERROR(VLOOKUP(B335,'MB51'!A:I,9,0),"")</f>
        <v/>
      </c>
      <c r="D335" s="61" t="str">
        <f>IFERROR(VLOOKUP(B335,'MB51'!A:J,10,0),"")</f>
        <v/>
      </c>
      <c r="E335" s="62" t="str">
        <f>IFERROR(VLOOKUP(B335,'MB51'!A:K,11,0),"")</f>
        <v/>
      </c>
      <c r="F335" s="42" t="str">
        <f>IFERROR(VLOOKUP(B335,'MB51'!A:F,6,0),"")</f>
        <v/>
      </c>
      <c r="G335" s="17" t="str">
        <f t="shared" si="15"/>
        <v>點揀料單</v>
      </c>
      <c r="H335" s="17">
        <f t="shared" si="16"/>
        <v>0</v>
      </c>
      <c r="I335" t="str">
        <f t="shared" si="17"/>
        <v/>
      </c>
      <c r="J335" t="str">
        <f>SUBSTITUTE(IF(COUNTIF(I$2:I335,I335)&gt;1,"",1)," ","")</f>
        <v/>
      </c>
    </row>
    <row r="336" spans="1:10" x14ac:dyDescent="0.2">
      <c r="A336" s="51" t="str">
        <f>IFERROR(VLOOKUP(B336,點上線資訊!A:R,18,0),"")</f>
        <v/>
      </c>
      <c r="B336" s="41">
        <f>'MB51'!A336</f>
        <v>0</v>
      </c>
      <c r="C336" s="60" t="str">
        <f>IFERROR(VLOOKUP(B336,'MB51'!A:I,9,0),"")</f>
        <v/>
      </c>
      <c r="D336" s="61" t="str">
        <f>IFERROR(VLOOKUP(B336,'MB51'!A:J,10,0),"")</f>
        <v/>
      </c>
      <c r="E336" s="62" t="str">
        <f>IFERROR(VLOOKUP(B336,'MB51'!A:K,11,0),"")</f>
        <v/>
      </c>
      <c r="F336" s="42" t="str">
        <f>IFERROR(VLOOKUP(B336,'MB51'!A:F,6,0),"")</f>
        <v/>
      </c>
      <c r="G336" s="17" t="str">
        <f t="shared" si="15"/>
        <v>點揀料單</v>
      </c>
      <c r="H336" s="17">
        <f t="shared" si="16"/>
        <v>0</v>
      </c>
      <c r="I336" t="str">
        <f t="shared" si="17"/>
        <v/>
      </c>
      <c r="J336" t="str">
        <f>SUBSTITUTE(IF(COUNTIF(I$2:I336,I336)&gt;1,"",1)," ","")</f>
        <v/>
      </c>
    </row>
    <row r="337" spans="1:10" x14ac:dyDescent="0.2">
      <c r="A337" s="51" t="str">
        <f>IFERROR(VLOOKUP(B337,點上線資訊!A:R,18,0),"")</f>
        <v/>
      </c>
      <c r="B337" s="41">
        <f>'MB51'!A337</f>
        <v>0</v>
      </c>
      <c r="C337" s="60" t="str">
        <f>IFERROR(VLOOKUP(B337,'MB51'!A:I,9,0),"")</f>
        <v/>
      </c>
      <c r="D337" s="61" t="str">
        <f>IFERROR(VLOOKUP(B337,'MB51'!A:J,10,0),"")</f>
        <v/>
      </c>
      <c r="E337" s="62" t="str">
        <f>IFERROR(VLOOKUP(B337,'MB51'!A:K,11,0),"")</f>
        <v/>
      </c>
      <c r="F337" s="42" t="str">
        <f>IFERROR(VLOOKUP(B337,'MB51'!A:F,6,0),"")</f>
        <v/>
      </c>
      <c r="G337" s="17" t="str">
        <f t="shared" si="15"/>
        <v>點揀料單</v>
      </c>
      <c r="H337" s="17">
        <f t="shared" si="16"/>
        <v>0</v>
      </c>
      <c r="I337" t="str">
        <f t="shared" si="17"/>
        <v/>
      </c>
      <c r="J337" t="str">
        <f>SUBSTITUTE(IF(COUNTIF(I$2:I337,I337)&gt;1,"",1)," ","")</f>
        <v/>
      </c>
    </row>
    <row r="338" spans="1:10" x14ac:dyDescent="0.2">
      <c r="A338" s="51" t="str">
        <f>IFERROR(VLOOKUP(B338,點上線資訊!A:R,18,0),"")</f>
        <v/>
      </c>
      <c r="B338" s="41">
        <f>'MB51'!A338</f>
        <v>0</v>
      </c>
      <c r="C338" s="60" t="str">
        <f>IFERROR(VLOOKUP(B338,'MB51'!A:I,9,0),"")</f>
        <v/>
      </c>
      <c r="D338" s="61" t="str">
        <f>IFERROR(VLOOKUP(B338,'MB51'!A:J,10,0),"")</f>
        <v/>
      </c>
      <c r="E338" s="62" t="str">
        <f>IFERROR(VLOOKUP(B338,'MB51'!A:K,11,0),"")</f>
        <v/>
      </c>
      <c r="F338" s="42" t="str">
        <f>IFERROR(VLOOKUP(B338,'MB51'!A:F,6,0),"")</f>
        <v/>
      </c>
      <c r="G338" s="17" t="str">
        <f t="shared" si="15"/>
        <v>點揀料單</v>
      </c>
      <c r="H338" s="17">
        <f t="shared" si="16"/>
        <v>0</v>
      </c>
      <c r="I338" t="str">
        <f t="shared" si="17"/>
        <v/>
      </c>
      <c r="J338" t="str">
        <f>SUBSTITUTE(IF(COUNTIF(I$2:I338,I338)&gt;1,"",1)," ","")</f>
        <v/>
      </c>
    </row>
    <row r="339" spans="1:10" x14ac:dyDescent="0.2">
      <c r="A339" s="51" t="str">
        <f>IFERROR(VLOOKUP(B339,點上線資訊!A:R,18,0),"")</f>
        <v/>
      </c>
      <c r="B339" s="41">
        <f>'MB51'!A339</f>
        <v>0</v>
      </c>
      <c r="C339" s="60" t="str">
        <f>IFERROR(VLOOKUP(B339,'MB51'!A:I,9,0),"")</f>
        <v/>
      </c>
      <c r="D339" s="61" t="str">
        <f>IFERROR(VLOOKUP(B339,'MB51'!A:J,10,0),"")</f>
        <v/>
      </c>
      <c r="E339" s="62" t="str">
        <f>IFERROR(VLOOKUP(B339,'MB51'!A:K,11,0),"")</f>
        <v/>
      </c>
      <c r="F339" s="42" t="str">
        <f>IFERROR(VLOOKUP(B339,'MB51'!A:F,6,0),"")</f>
        <v/>
      </c>
      <c r="G339" s="17" t="str">
        <f t="shared" si="15"/>
        <v>點揀料單</v>
      </c>
      <c r="H339" s="17">
        <f t="shared" si="16"/>
        <v>0</v>
      </c>
      <c r="I339" t="str">
        <f t="shared" si="17"/>
        <v/>
      </c>
      <c r="J339" t="str">
        <f>SUBSTITUTE(IF(COUNTIF(I$2:I339,I339)&gt;1,"",1)," ","")</f>
        <v/>
      </c>
    </row>
    <row r="340" spans="1:10" x14ac:dyDescent="0.2">
      <c r="A340" s="51" t="str">
        <f>IFERROR(VLOOKUP(B340,點上線資訊!A:R,18,0),"")</f>
        <v/>
      </c>
      <c r="B340" s="41">
        <f>'MB51'!A340</f>
        <v>0</v>
      </c>
      <c r="C340" s="60" t="str">
        <f>IFERROR(VLOOKUP(B340,'MB51'!A:I,9,0),"")</f>
        <v/>
      </c>
      <c r="D340" s="61" t="str">
        <f>IFERROR(VLOOKUP(B340,'MB51'!A:J,10,0),"")</f>
        <v/>
      </c>
      <c r="E340" s="62" t="str">
        <f>IFERROR(VLOOKUP(B340,'MB51'!A:K,11,0),"")</f>
        <v/>
      </c>
      <c r="F340" s="42" t="str">
        <f>IFERROR(VLOOKUP(B340,'MB51'!A:F,6,0),"")</f>
        <v/>
      </c>
      <c r="G340" s="17" t="str">
        <f t="shared" si="15"/>
        <v>點揀料單</v>
      </c>
      <c r="H340" s="17">
        <f t="shared" si="16"/>
        <v>0</v>
      </c>
      <c r="I340" t="str">
        <f t="shared" si="17"/>
        <v/>
      </c>
      <c r="J340" t="str">
        <f>SUBSTITUTE(IF(COUNTIF(I$2:I340,I340)&gt;1,"",1)," ","")</f>
        <v/>
      </c>
    </row>
    <row r="341" spans="1:10" x14ac:dyDescent="0.2">
      <c r="A341" s="51" t="str">
        <f>IFERROR(VLOOKUP(B341,點上線資訊!A:R,18,0),"")</f>
        <v/>
      </c>
      <c r="B341" s="41">
        <f>'MB51'!A341</f>
        <v>0</v>
      </c>
      <c r="C341" s="60" t="str">
        <f>IFERROR(VLOOKUP(B341,'MB51'!A:I,9,0),"")</f>
        <v/>
      </c>
      <c r="D341" s="61" t="str">
        <f>IFERROR(VLOOKUP(B341,'MB51'!A:J,10,0),"")</f>
        <v/>
      </c>
      <c r="E341" s="62" t="str">
        <f>IFERROR(VLOOKUP(B341,'MB51'!A:K,11,0),"")</f>
        <v/>
      </c>
      <c r="F341" s="42" t="str">
        <f>IFERROR(VLOOKUP(B341,'MB51'!A:F,6,0),"")</f>
        <v/>
      </c>
      <c r="G341" s="17" t="str">
        <f t="shared" si="15"/>
        <v>點揀料單</v>
      </c>
      <c r="H341" s="17">
        <f t="shared" si="16"/>
        <v>0</v>
      </c>
      <c r="I341" t="str">
        <f t="shared" si="17"/>
        <v/>
      </c>
      <c r="J341" t="str">
        <f>SUBSTITUTE(IF(COUNTIF(I$2:I341,I341)&gt;1,"",1)," ","")</f>
        <v/>
      </c>
    </row>
    <row r="342" spans="1:10" x14ac:dyDescent="0.2">
      <c r="A342" s="51" t="str">
        <f>IFERROR(VLOOKUP(B342,點上線資訊!A:R,18,0),"")</f>
        <v/>
      </c>
      <c r="B342" s="41">
        <f>'MB51'!A342</f>
        <v>0</v>
      </c>
      <c r="C342" s="60" t="str">
        <f>IFERROR(VLOOKUP(B342,'MB51'!A:I,9,0),"")</f>
        <v/>
      </c>
      <c r="D342" s="61" t="str">
        <f>IFERROR(VLOOKUP(B342,'MB51'!A:J,10,0),"")</f>
        <v/>
      </c>
      <c r="E342" s="62" t="str">
        <f>IFERROR(VLOOKUP(B342,'MB51'!A:K,11,0),"")</f>
        <v/>
      </c>
      <c r="F342" s="42" t="str">
        <f>IFERROR(VLOOKUP(B342,'MB51'!A:F,6,0),"")</f>
        <v/>
      </c>
      <c r="G342" s="17" t="str">
        <f t="shared" si="15"/>
        <v>點揀料單</v>
      </c>
      <c r="H342" s="17">
        <f t="shared" si="16"/>
        <v>0</v>
      </c>
      <c r="I342" t="str">
        <f t="shared" si="17"/>
        <v/>
      </c>
      <c r="J342" t="str">
        <f>SUBSTITUTE(IF(COUNTIF(I$2:I342,I342)&gt;1,"",1)," ","")</f>
        <v/>
      </c>
    </row>
    <row r="343" spans="1:10" x14ac:dyDescent="0.2">
      <c r="A343" s="51" t="str">
        <f>IFERROR(VLOOKUP(B343,點上線資訊!A:R,18,0),"")</f>
        <v/>
      </c>
      <c r="B343" s="41">
        <f>'MB51'!A343</f>
        <v>0</v>
      </c>
      <c r="C343" s="60" t="str">
        <f>IFERROR(VLOOKUP(B343,'MB51'!A:I,9,0),"")</f>
        <v/>
      </c>
      <c r="D343" s="61" t="str">
        <f>IFERROR(VLOOKUP(B343,'MB51'!A:J,10,0),"")</f>
        <v/>
      </c>
      <c r="E343" s="62" t="str">
        <f>IFERROR(VLOOKUP(B343,'MB51'!A:K,11,0),"")</f>
        <v/>
      </c>
      <c r="F343" s="42" t="str">
        <f>IFERROR(VLOOKUP(B343,'MB51'!A:F,6,0),"")</f>
        <v/>
      </c>
      <c r="G343" s="17" t="str">
        <f t="shared" si="15"/>
        <v>點揀料單</v>
      </c>
      <c r="H343" s="17">
        <f t="shared" si="16"/>
        <v>0</v>
      </c>
      <c r="I343" t="str">
        <f t="shared" si="17"/>
        <v/>
      </c>
      <c r="J343" t="str">
        <f>SUBSTITUTE(IF(COUNTIF(I$2:I343,I343)&gt;1,"",1)," ","")</f>
        <v/>
      </c>
    </row>
    <row r="344" spans="1:10" x14ac:dyDescent="0.2">
      <c r="A344" s="51" t="str">
        <f>IFERROR(VLOOKUP(B344,點上線資訊!A:R,18,0),"")</f>
        <v/>
      </c>
      <c r="B344" s="41">
        <f>'MB51'!A344</f>
        <v>0</v>
      </c>
      <c r="C344" s="60" t="str">
        <f>IFERROR(VLOOKUP(B344,'MB51'!A:I,9,0),"")</f>
        <v/>
      </c>
      <c r="D344" s="61" t="str">
        <f>IFERROR(VLOOKUP(B344,'MB51'!A:J,10,0),"")</f>
        <v/>
      </c>
      <c r="E344" s="62" t="str">
        <f>IFERROR(VLOOKUP(B344,'MB51'!A:K,11,0),"")</f>
        <v/>
      </c>
      <c r="F344" s="42" t="str">
        <f>IFERROR(VLOOKUP(B344,'MB51'!A:F,6,0),"")</f>
        <v/>
      </c>
      <c r="G344" s="17" t="str">
        <f t="shared" si="15"/>
        <v>點揀料單</v>
      </c>
      <c r="H344" s="17">
        <f t="shared" si="16"/>
        <v>0</v>
      </c>
      <c r="I344" t="str">
        <f t="shared" si="17"/>
        <v/>
      </c>
      <c r="J344" t="str">
        <f>SUBSTITUTE(IF(COUNTIF(I$2:I344,I344)&gt;1,"",1)," ","")</f>
        <v/>
      </c>
    </row>
    <row r="345" spans="1:10" x14ac:dyDescent="0.2">
      <c r="A345" s="51" t="str">
        <f>IFERROR(VLOOKUP(B345,點上線資訊!A:R,18,0),"")</f>
        <v/>
      </c>
      <c r="B345" s="41">
        <f>'MB51'!A345</f>
        <v>0</v>
      </c>
      <c r="C345" s="60" t="str">
        <f>IFERROR(VLOOKUP(B345,'MB51'!A:I,9,0),"")</f>
        <v/>
      </c>
      <c r="D345" s="61" t="str">
        <f>IFERROR(VLOOKUP(B345,'MB51'!A:J,10,0),"")</f>
        <v/>
      </c>
      <c r="E345" s="62" t="str">
        <f>IFERROR(VLOOKUP(B345,'MB51'!A:K,11,0),"")</f>
        <v/>
      </c>
      <c r="F345" s="42" t="str">
        <f>IFERROR(VLOOKUP(B345,'MB51'!A:F,6,0),"")</f>
        <v/>
      </c>
      <c r="G345" s="17" t="str">
        <f t="shared" si="15"/>
        <v>點揀料單</v>
      </c>
      <c r="H345" s="17">
        <f t="shared" si="16"/>
        <v>0</v>
      </c>
      <c r="I345" t="str">
        <f t="shared" si="17"/>
        <v/>
      </c>
      <c r="J345" t="str">
        <f>SUBSTITUTE(IF(COUNTIF(I$2:I345,I345)&gt;1,"",1)," ","")</f>
        <v/>
      </c>
    </row>
    <row r="346" spans="1:10" x14ac:dyDescent="0.2">
      <c r="A346" s="51" t="str">
        <f>IFERROR(VLOOKUP(B346,點上線資訊!A:R,18,0),"")</f>
        <v/>
      </c>
      <c r="B346" s="41">
        <f>'MB51'!A346</f>
        <v>0</v>
      </c>
      <c r="C346" s="60" t="str">
        <f>IFERROR(VLOOKUP(B346,'MB51'!A:I,9,0),"")</f>
        <v/>
      </c>
      <c r="D346" s="61" t="str">
        <f>IFERROR(VLOOKUP(B346,'MB51'!A:J,10,0),"")</f>
        <v/>
      </c>
      <c r="E346" s="62" t="str">
        <f>IFERROR(VLOOKUP(B346,'MB51'!A:K,11,0),"")</f>
        <v/>
      </c>
      <c r="F346" s="42" t="str">
        <f>IFERROR(VLOOKUP(B346,'MB51'!A:F,6,0),"")</f>
        <v/>
      </c>
      <c r="G346" s="17" t="str">
        <f t="shared" si="15"/>
        <v>點揀料單</v>
      </c>
      <c r="H346" s="17">
        <f t="shared" si="16"/>
        <v>0</v>
      </c>
      <c r="I346" t="str">
        <f t="shared" si="17"/>
        <v/>
      </c>
      <c r="J346" t="str">
        <f>SUBSTITUTE(IF(COUNTIF(I$2:I346,I346)&gt;1,"",1)," ","")</f>
        <v/>
      </c>
    </row>
    <row r="347" spans="1:10" x14ac:dyDescent="0.2">
      <c r="A347" s="51" t="str">
        <f>IFERROR(VLOOKUP(B347,點上線資訊!A:R,18,0),"")</f>
        <v/>
      </c>
      <c r="B347" s="41">
        <f>'MB51'!A347</f>
        <v>0</v>
      </c>
      <c r="C347" s="60" t="str">
        <f>IFERROR(VLOOKUP(B347,'MB51'!A:I,9,0),"")</f>
        <v/>
      </c>
      <c r="D347" s="61" t="str">
        <f>IFERROR(VLOOKUP(B347,'MB51'!A:J,10,0),"")</f>
        <v/>
      </c>
      <c r="E347" s="62" t="str">
        <f>IFERROR(VLOOKUP(B347,'MB51'!A:K,11,0),"")</f>
        <v/>
      </c>
      <c r="F347" s="42" t="str">
        <f>IFERROR(VLOOKUP(B347,'MB51'!A:F,6,0),"")</f>
        <v/>
      </c>
      <c r="G347" s="17" t="str">
        <f t="shared" si="15"/>
        <v>點揀料單</v>
      </c>
      <c r="H347" s="17">
        <f t="shared" si="16"/>
        <v>0</v>
      </c>
      <c r="I347" t="str">
        <f t="shared" si="17"/>
        <v/>
      </c>
      <c r="J347" t="str">
        <f>SUBSTITUTE(IF(COUNTIF(I$2:I347,I347)&gt;1,"",1)," ","")</f>
        <v/>
      </c>
    </row>
    <row r="348" spans="1:10" x14ac:dyDescent="0.2">
      <c r="A348" s="51" t="str">
        <f>IFERROR(VLOOKUP(B348,點上線資訊!A:R,18,0),"")</f>
        <v/>
      </c>
      <c r="B348" s="41">
        <f>'MB51'!A348</f>
        <v>0</v>
      </c>
      <c r="C348" s="60" t="str">
        <f>IFERROR(VLOOKUP(B348,'MB51'!A:I,9,0),"")</f>
        <v/>
      </c>
      <c r="D348" s="61" t="str">
        <f>IFERROR(VLOOKUP(B348,'MB51'!A:J,10,0),"")</f>
        <v/>
      </c>
      <c r="E348" s="62" t="str">
        <f>IFERROR(VLOOKUP(B348,'MB51'!A:K,11,0),"")</f>
        <v/>
      </c>
      <c r="F348" s="42" t="str">
        <f>IFERROR(VLOOKUP(B348,'MB51'!A:F,6,0),"")</f>
        <v/>
      </c>
      <c r="G348" s="17" t="str">
        <f t="shared" si="15"/>
        <v>點揀料單</v>
      </c>
      <c r="H348" s="17">
        <f t="shared" si="16"/>
        <v>0</v>
      </c>
      <c r="I348" t="str">
        <f t="shared" si="17"/>
        <v/>
      </c>
      <c r="J348" t="str">
        <f>SUBSTITUTE(IF(COUNTIF(I$2:I348,I348)&gt;1,"",1)," ","")</f>
        <v/>
      </c>
    </row>
    <row r="349" spans="1:10" x14ac:dyDescent="0.2">
      <c r="A349" s="51" t="str">
        <f>IFERROR(VLOOKUP(B349,點上線資訊!A:R,18,0),"")</f>
        <v/>
      </c>
      <c r="B349" s="41">
        <f>'MB51'!A349</f>
        <v>0</v>
      </c>
      <c r="C349" s="60" t="str">
        <f>IFERROR(VLOOKUP(B349,'MB51'!A:I,9,0),"")</f>
        <v/>
      </c>
      <c r="D349" s="61" t="str">
        <f>IFERROR(VLOOKUP(B349,'MB51'!A:J,10,0),"")</f>
        <v/>
      </c>
      <c r="E349" s="62" t="str">
        <f>IFERROR(VLOOKUP(B349,'MB51'!A:K,11,0),"")</f>
        <v/>
      </c>
      <c r="F349" s="42" t="str">
        <f>IFERROR(VLOOKUP(B349,'MB51'!A:F,6,0),"")</f>
        <v/>
      </c>
      <c r="G349" s="17" t="str">
        <f t="shared" si="15"/>
        <v>點揀料單</v>
      </c>
      <c r="H349" s="17">
        <f t="shared" si="16"/>
        <v>0</v>
      </c>
      <c r="I349" t="str">
        <f t="shared" si="17"/>
        <v/>
      </c>
      <c r="J349" t="str">
        <f>SUBSTITUTE(IF(COUNTIF(I$2:I349,I349)&gt;1,"",1)," ","")</f>
        <v/>
      </c>
    </row>
    <row r="350" spans="1:10" x14ac:dyDescent="0.2">
      <c r="A350" s="51" t="str">
        <f>IFERROR(VLOOKUP(B350,點上線資訊!A:R,18,0),"")</f>
        <v/>
      </c>
      <c r="B350" s="41">
        <f>'MB51'!A350</f>
        <v>0</v>
      </c>
      <c r="C350" s="60" t="str">
        <f>IFERROR(VLOOKUP(B350,'MB51'!A:I,9,0),"")</f>
        <v/>
      </c>
      <c r="D350" s="61" t="str">
        <f>IFERROR(VLOOKUP(B350,'MB51'!A:J,10,0),"")</f>
        <v/>
      </c>
      <c r="E350" s="62" t="str">
        <f>IFERROR(VLOOKUP(B350,'MB51'!A:K,11,0),"")</f>
        <v/>
      </c>
      <c r="F350" s="42" t="str">
        <f>IFERROR(VLOOKUP(B350,'MB51'!A:F,6,0),"")</f>
        <v/>
      </c>
      <c r="G350" s="17" t="str">
        <f t="shared" si="15"/>
        <v>點揀料單</v>
      </c>
      <c r="H350" s="17">
        <f t="shared" si="16"/>
        <v>0</v>
      </c>
      <c r="I350" t="str">
        <f t="shared" si="17"/>
        <v/>
      </c>
      <c r="J350" t="str">
        <f>SUBSTITUTE(IF(COUNTIF(I$2:I350,I350)&gt;1,"",1)," ","")</f>
        <v/>
      </c>
    </row>
    <row r="351" spans="1:10" x14ac:dyDescent="0.2">
      <c r="A351" s="51" t="str">
        <f>IFERROR(VLOOKUP(B351,點上線資訊!A:R,18,0),"")</f>
        <v/>
      </c>
      <c r="B351" s="41">
        <f>'MB51'!A351</f>
        <v>0</v>
      </c>
      <c r="C351" s="60" t="str">
        <f>IFERROR(VLOOKUP(B351,'MB51'!A:I,9,0),"")</f>
        <v/>
      </c>
      <c r="D351" s="61" t="str">
        <f>IFERROR(VLOOKUP(B351,'MB51'!A:J,10,0),"")</f>
        <v/>
      </c>
      <c r="E351" s="62" t="str">
        <f>IFERROR(VLOOKUP(B351,'MB51'!A:K,11,0),"")</f>
        <v/>
      </c>
      <c r="F351" s="42" t="str">
        <f>IFERROR(VLOOKUP(B351,'MB51'!A:F,6,0),"")</f>
        <v/>
      </c>
      <c r="G351" s="17" t="str">
        <f t="shared" si="15"/>
        <v>點揀料單</v>
      </c>
      <c r="H351" s="17">
        <f t="shared" si="16"/>
        <v>0</v>
      </c>
      <c r="I351" t="str">
        <f t="shared" si="17"/>
        <v/>
      </c>
      <c r="J351" t="str">
        <f>SUBSTITUTE(IF(COUNTIF(I$2:I351,I351)&gt;1,"",1)," ","")</f>
        <v/>
      </c>
    </row>
    <row r="352" spans="1:10" x14ac:dyDescent="0.2">
      <c r="A352" s="51" t="str">
        <f>IFERROR(VLOOKUP(B352,點上線資訊!A:R,18,0),"")</f>
        <v/>
      </c>
      <c r="B352" s="41">
        <f>'MB51'!A352</f>
        <v>0</v>
      </c>
      <c r="C352" s="60" t="str">
        <f>IFERROR(VLOOKUP(B352,'MB51'!A:I,9,0),"")</f>
        <v/>
      </c>
      <c r="D352" s="61" t="str">
        <f>IFERROR(VLOOKUP(B352,'MB51'!A:J,10,0),"")</f>
        <v/>
      </c>
      <c r="E352" s="62" t="str">
        <f>IFERROR(VLOOKUP(B352,'MB51'!A:K,11,0),"")</f>
        <v/>
      </c>
      <c r="F352" s="42" t="str">
        <f>IFERROR(VLOOKUP(B352,'MB51'!A:F,6,0),"")</f>
        <v/>
      </c>
      <c r="G352" s="17" t="str">
        <f t="shared" si="15"/>
        <v>點揀料單</v>
      </c>
      <c r="H352" s="17">
        <f t="shared" si="16"/>
        <v>0</v>
      </c>
      <c r="I352" t="str">
        <f t="shared" si="17"/>
        <v/>
      </c>
      <c r="J352" t="str">
        <f>SUBSTITUTE(IF(COUNTIF(I$2:I352,I352)&gt;1,"",1)," ","")</f>
        <v/>
      </c>
    </row>
    <row r="353" spans="1:10" x14ac:dyDescent="0.2">
      <c r="A353" s="51" t="str">
        <f>IFERROR(VLOOKUP(B353,點上線資訊!A:R,18,0),"")</f>
        <v/>
      </c>
      <c r="B353" s="41">
        <f>'MB51'!A353</f>
        <v>0</v>
      </c>
      <c r="C353" s="60" t="str">
        <f>IFERROR(VLOOKUP(B353,'MB51'!A:I,9,0),"")</f>
        <v/>
      </c>
      <c r="D353" s="61" t="str">
        <f>IFERROR(VLOOKUP(B353,'MB51'!A:J,10,0),"")</f>
        <v/>
      </c>
      <c r="E353" s="62" t="str">
        <f>IFERROR(VLOOKUP(B353,'MB51'!A:K,11,0),"")</f>
        <v/>
      </c>
      <c r="F353" s="42" t="str">
        <f>IFERROR(VLOOKUP(B353,'MB51'!A:F,6,0),"")</f>
        <v/>
      </c>
      <c r="G353" s="17" t="str">
        <f t="shared" si="15"/>
        <v>點揀料單</v>
      </c>
      <c r="H353" s="17">
        <f t="shared" si="16"/>
        <v>0</v>
      </c>
      <c r="I353" t="str">
        <f t="shared" si="17"/>
        <v/>
      </c>
      <c r="J353" t="str">
        <f>SUBSTITUTE(IF(COUNTIF(I$2:I353,I353)&gt;1,"",1)," ","")</f>
        <v/>
      </c>
    </row>
    <row r="354" spans="1:10" x14ac:dyDescent="0.2">
      <c r="A354" s="51" t="str">
        <f>IFERROR(VLOOKUP(B354,點上線資訊!A:R,18,0),"")</f>
        <v/>
      </c>
      <c r="B354" s="41">
        <f>'MB51'!A354</f>
        <v>0</v>
      </c>
      <c r="C354" s="60" t="str">
        <f>IFERROR(VLOOKUP(B354,'MB51'!A:I,9,0),"")</f>
        <v/>
      </c>
      <c r="D354" s="61" t="str">
        <f>IFERROR(VLOOKUP(B354,'MB51'!A:J,10,0),"")</f>
        <v/>
      </c>
      <c r="E354" s="62" t="str">
        <f>IFERROR(VLOOKUP(B354,'MB51'!A:K,11,0),"")</f>
        <v/>
      </c>
      <c r="F354" s="42" t="str">
        <f>IFERROR(VLOOKUP(B354,'MB51'!A:F,6,0),"")</f>
        <v/>
      </c>
      <c r="G354" s="17" t="str">
        <f t="shared" si="15"/>
        <v>點揀料單</v>
      </c>
      <c r="H354" s="17">
        <f t="shared" si="16"/>
        <v>0</v>
      </c>
      <c r="I354" t="str">
        <f t="shared" si="17"/>
        <v/>
      </c>
      <c r="J354" t="str">
        <f>SUBSTITUTE(IF(COUNTIF(I$2:I354,I354)&gt;1,"",1)," ","")</f>
        <v/>
      </c>
    </row>
    <row r="355" spans="1:10" x14ac:dyDescent="0.2">
      <c r="A355" s="51" t="str">
        <f>IFERROR(VLOOKUP(B355,點上線資訊!A:R,18,0),"")</f>
        <v/>
      </c>
      <c r="B355" s="41">
        <f>'MB51'!A355</f>
        <v>0</v>
      </c>
      <c r="C355" s="60" t="str">
        <f>IFERROR(VLOOKUP(B355,'MB51'!A:I,9,0),"")</f>
        <v/>
      </c>
      <c r="D355" s="61" t="str">
        <f>IFERROR(VLOOKUP(B355,'MB51'!A:J,10,0),"")</f>
        <v/>
      </c>
      <c r="E355" s="62" t="str">
        <f>IFERROR(VLOOKUP(B355,'MB51'!A:K,11,0),"")</f>
        <v/>
      </c>
      <c r="F355" s="42" t="str">
        <f>IFERROR(VLOOKUP(B355,'MB51'!A:F,6,0),"")</f>
        <v/>
      </c>
      <c r="G355" s="17" t="str">
        <f t="shared" si="15"/>
        <v>點揀料單</v>
      </c>
      <c r="H355" s="17">
        <f t="shared" si="16"/>
        <v>0</v>
      </c>
      <c r="I355" t="str">
        <f t="shared" si="17"/>
        <v/>
      </c>
      <c r="J355" t="str">
        <f>SUBSTITUTE(IF(COUNTIF(I$2:I355,I355)&gt;1,"",1)," ","")</f>
        <v/>
      </c>
    </row>
    <row r="356" spans="1:10" x14ac:dyDescent="0.2">
      <c r="A356" s="51" t="str">
        <f>IFERROR(VLOOKUP(B356,點上線資訊!A:R,18,0),"")</f>
        <v/>
      </c>
      <c r="B356" s="41">
        <f>'MB51'!A356</f>
        <v>0</v>
      </c>
      <c r="C356" s="60" t="str">
        <f>IFERROR(VLOOKUP(B356,'MB51'!A:I,9,0),"")</f>
        <v/>
      </c>
      <c r="D356" s="61" t="str">
        <f>IFERROR(VLOOKUP(B356,'MB51'!A:J,10,0),"")</f>
        <v/>
      </c>
      <c r="E356" s="62" t="str">
        <f>IFERROR(VLOOKUP(B356,'MB51'!A:K,11,0),"")</f>
        <v/>
      </c>
      <c r="F356" s="42" t="str">
        <f>IFERROR(VLOOKUP(B356,'MB51'!A:F,6,0),"")</f>
        <v/>
      </c>
      <c r="G356" s="17" t="str">
        <f t="shared" si="15"/>
        <v>點揀料單</v>
      </c>
      <c r="H356" s="17">
        <f t="shared" si="16"/>
        <v>0</v>
      </c>
      <c r="I356" t="str">
        <f t="shared" si="17"/>
        <v/>
      </c>
      <c r="J356" t="str">
        <f>SUBSTITUTE(IF(COUNTIF(I$2:I356,I356)&gt;1,"",1)," ","")</f>
        <v/>
      </c>
    </row>
    <row r="357" spans="1:10" x14ac:dyDescent="0.2">
      <c r="A357" s="51" t="str">
        <f>IFERROR(VLOOKUP(B357,點上線資訊!A:R,18,0),"")</f>
        <v/>
      </c>
      <c r="B357" s="41">
        <f>'MB51'!A357</f>
        <v>0</v>
      </c>
      <c r="C357" s="60" t="str">
        <f>IFERROR(VLOOKUP(B357,'MB51'!A:I,9,0),"")</f>
        <v/>
      </c>
      <c r="D357" s="61" t="str">
        <f>IFERROR(VLOOKUP(B357,'MB51'!A:J,10,0),"")</f>
        <v/>
      </c>
      <c r="E357" s="62" t="str">
        <f>IFERROR(VLOOKUP(B357,'MB51'!A:K,11,0),"")</f>
        <v/>
      </c>
      <c r="F357" s="42" t="str">
        <f>IFERROR(VLOOKUP(B357,'MB51'!A:F,6,0),"")</f>
        <v/>
      </c>
      <c r="G357" s="17" t="str">
        <f t="shared" si="15"/>
        <v>點揀料單</v>
      </c>
      <c r="H357" s="17">
        <f t="shared" si="16"/>
        <v>0</v>
      </c>
      <c r="I357" t="str">
        <f t="shared" si="17"/>
        <v/>
      </c>
      <c r="J357" t="str">
        <f>SUBSTITUTE(IF(COUNTIF(I$2:I357,I357)&gt;1,"",1)," ","")</f>
        <v/>
      </c>
    </row>
    <row r="358" spans="1:10" x14ac:dyDescent="0.2">
      <c r="A358" s="51" t="str">
        <f>IFERROR(VLOOKUP(B358,點上線資訊!A:R,18,0),"")</f>
        <v/>
      </c>
      <c r="B358" s="41">
        <f>'MB51'!A358</f>
        <v>0</v>
      </c>
      <c r="C358" s="60" t="str">
        <f>IFERROR(VLOOKUP(B358,'MB51'!A:I,9,0),"")</f>
        <v/>
      </c>
      <c r="D358" s="61" t="str">
        <f>IFERROR(VLOOKUP(B358,'MB51'!A:J,10,0),"")</f>
        <v/>
      </c>
      <c r="E358" s="62" t="str">
        <f>IFERROR(VLOOKUP(B358,'MB51'!A:K,11,0),"")</f>
        <v/>
      </c>
      <c r="F358" s="42" t="str">
        <f>IFERROR(VLOOKUP(B358,'MB51'!A:F,6,0),"")</f>
        <v/>
      </c>
      <c r="G358" s="17" t="str">
        <f t="shared" si="15"/>
        <v>點揀料單</v>
      </c>
      <c r="H358" s="17">
        <f t="shared" si="16"/>
        <v>0</v>
      </c>
      <c r="I358" t="str">
        <f t="shared" si="17"/>
        <v/>
      </c>
      <c r="J358" t="str">
        <f>SUBSTITUTE(IF(COUNTIF(I$2:I358,I358)&gt;1,"",1)," ","")</f>
        <v/>
      </c>
    </row>
    <row r="359" spans="1:10" x14ac:dyDescent="0.2">
      <c r="A359" s="51" t="str">
        <f>IFERROR(VLOOKUP(B359,點上線資訊!A:R,18,0),"")</f>
        <v/>
      </c>
      <c r="B359" s="41">
        <f>'MB51'!A359</f>
        <v>0</v>
      </c>
      <c r="C359" s="60" t="str">
        <f>IFERROR(VLOOKUP(B359,'MB51'!A:I,9,0),"")</f>
        <v/>
      </c>
      <c r="D359" s="61" t="str">
        <f>IFERROR(VLOOKUP(B359,'MB51'!A:J,10,0),"")</f>
        <v/>
      </c>
      <c r="E359" s="62" t="str">
        <f>IFERROR(VLOOKUP(B359,'MB51'!A:K,11,0),"")</f>
        <v/>
      </c>
      <c r="F359" s="42" t="str">
        <f>IFERROR(VLOOKUP(B359,'MB51'!A:F,6,0),"")</f>
        <v/>
      </c>
      <c r="G359" s="17" t="str">
        <f t="shared" si="15"/>
        <v>點揀料單</v>
      </c>
      <c r="H359" s="17">
        <f t="shared" si="16"/>
        <v>0</v>
      </c>
      <c r="I359" t="str">
        <f t="shared" si="17"/>
        <v/>
      </c>
      <c r="J359" t="str">
        <f>SUBSTITUTE(IF(COUNTIF(I$2:I359,I359)&gt;1,"",1)," ","")</f>
        <v/>
      </c>
    </row>
    <row r="360" spans="1:10" x14ac:dyDescent="0.2">
      <c r="A360" s="51" t="str">
        <f>IFERROR(VLOOKUP(B360,點上線資訊!A:R,18,0),"")</f>
        <v/>
      </c>
      <c r="B360" s="41">
        <f>'MB51'!A360</f>
        <v>0</v>
      </c>
      <c r="C360" s="60" t="str">
        <f>IFERROR(VLOOKUP(B360,'MB51'!A:I,9,0),"")</f>
        <v/>
      </c>
      <c r="D360" s="61" t="str">
        <f>IFERROR(VLOOKUP(B360,'MB51'!A:J,10,0),"")</f>
        <v/>
      </c>
      <c r="E360" s="62" t="str">
        <f>IFERROR(VLOOKUP(B360,'MB51'!A:K,11,0),"")</f>
        <v/>
      </c>
      <c r="F360" s="42" t="str">
        <f>IFERROR(VLOOKUP(B360,'MB51'!A:F,6,0),"")</f>
        <v/>
      </c>
      <c r="G360" s="17" t="str">
        <f t="shared" si="15"/>
        <v>點揀料單</v>
      </c>
      <c r="H360" s="17">
        <f t="shared" si="16"/>
        <v>0</v>
      </c>
      <c r="I360" t="str">
        <f t="shared" si="17"/>
        <v/>
      </c>
      <c r="J360" t="str">
        <f>SUBSTITUTE(IF(COUNTIF(I$2:I360,I360)&gt;1,"",1)," ","")</f>
        <v/>
      </c>
    </row>
    <row r="361" spans="1:10" x14ac:dyDescent="0.2">
      <c r="A361" s="51" t="str">
        <f>IFERROR(VLOOKUP(B361,點上線資訊!A:R,18,0),"")</f>
        <v/>
      </c>
      <c r="B361" s="41">
        <f>'MB51'!A361</f>
        <v>0</v>
      </c>
      <c r="C361" s="60" t="str">
        <f>IFERROR(VLOOKUP(B361,'MB51'!A:I,9,0),"")</f>
        <v/>
      </c>
      <c r="D361" s="61" t="str">
        <f>IFERROR(VLOOKUP(B361,'MB51'!A:J,10,0),"")</f>
        <v/>
      </c>
      <c r="E361" s="62" t="str">
        <f>IFERROR(VLOOKUP(B361,'MB51'!A:K,11,0),"")</f>
        <v/>
      </c>
      <c r="F361" s="42" t="str">
        <f>IFERROR(VLOOKUP(B361,'MB51'!A:F,6,0),"")</f>
        <v/>
      </c>
      <c r="G361" s="17" t="str">
        <f t="shared" si="15"/>
        <v>點揀料單</v>
      </c>
      <c r="H361" s="17">
        <f t="shared" si="16"/>
        <v>0</v>
      </c>
      <c r="I361" t="str">
        <f t="shared" si="17"/>
        <v/>
      </c>
      <c r="J361" t="str">
        <f>SUBSTITUTE(IF(COUNTIF(I$2:I361,I361)&gt;1,"",1)," ","")</f>
        <v/>
      </c>
    </row>
    <row r="362" spans="1:10" x14ac:dyDescent="0.2">
      <c r="A362" s="51" t="str">
        <f>IFERROR(VLOOKUP(B362,點上線資訊!A:R,18,0),"")</f>
        <v/>
      </c>
      <c r="B362" s="41">
        <f>'MB51'!A362</f>
        <v>0</v>
      </c>
      <c r="C362" s="60" t="str">
        <f>IFERROR(VLOOKUP(B362,'MB51'!A:I,9,0),"")</f>
        <v/>
      </c>
      <c r="D362" s="61" t="str">
        <f>IFERROR(VLOOKUP(B362,'MB51'!A:J,10,0),"")</f>
        <v/>
      </c>
      <c r="E362" s="62" t="str">
        <f>IFERROR(VLOOKUP(B362,'MB51'!A:K,11,0),"")</f>
        <v/>
      </c>
      <c r="F362" s="42" t="str">
        <f>IFERROR(VLOOKUP(B362,'MB51'!A:F,6,0),"")</f>
        <v/>
      </c>
      <c r="G362" s="17" t="str">
        <f t="shared" si="15"/>
        <v>點揀料單</v>
      </c>
      <c r="H362" s="17">
        <f t="shared" si="16"/>
        <v>0</v>
      </c>
      <c r="I362" t="str">
        <f t="shared" si="17"/>
        <v/>
      </c>
      <c r="J362" t="str">
        <f>SUBSTITUTE(IF(COUNTIF(I$2:I362,I362)&gt;1,"",1)," ","")</f>
        <v/>
      </c>
    </row>
    <row r="363" spans="1:10" x14ac:dyDescent="0.2">
      <c r="A363" s="51" t="str">
        <f>IFERROR(VLOOKUP(B363,點上線資訊!A:R,18,0),"")</f>
        <v/>
      </c>
      <c r="B363" s="41">
        <f>'MB51'!A363</f>
        <v>0</v>
      </c>
      <c r="C363" s="60" t="str">
        <f>IFERROR(VLOOKUP(B363,'MB51'!A:I,9,0),"")</f>
        <v/>
      </c>
      <c r="D363" s="61" t="str">
        <f>IFERROR(VLOOKUP(B363,'MB51'!A:J,10,0),"")</f>
        <v/>
      </c>
      <c r="E363" s="62" t="str">
        <f>IFERROR(VLOOKUP(B363,'MB51'!A:K,11,0),"")</f>
        <v/>
      </c>
      <c r="F363" s="42" t="str">
        <f>IFERROR(VLOOKUP(B363,'MB51'!A:F,6,0),"")</f>
        <v/>
      </c>
      <c r="G363" s="17" t="str">
        <f t="shared" si="15"/>
        <v>點揀料單</v>
      </c>
      <c r="H363" s="17">
        <f t="shared" si="16"/>
        <v>0</v>
      </c>
      <c r="I363" t="str">
        <f t="shared" si="17"/>
        <v/>
      </c>
      <c r="J363" t="str">
        <f>SUBSTITUTE(IF(COUNTIF(I$2:I363,I363)&gt;1,"",1)," ","")</f>
        <v/>
      </c>
    </row>
    <row r="364" spans="1:10" x14ac:dyDescent="0.2">
      <c r="A364" s="51" t="str">
        <f>IFERROR(VLOOKUP(B364,點上線資訊!A:R,18,0),"")</f>
        <v/>
      </c>
      <c r="B364" s="41">
        <f>'MB51'!A364</f>
        <v>0</v>
      </c>
      <c r="C364" s="60" t="str">
        <f>IFERROR(VLOOKUP(B364,'MB51'!A:I,9,0),"")</f>
        <v/>
      </c>
      <c r="D364" s="61" t="str">
        <f>IFERROR(VLOOKUP(B364,'MB51'!A:J,10,0),"")</f>
        <v/>
      </c>
      <c r="E364" s="62" t="str">
        <f>IFERROR(VLOOKUP(B364,'MB51'!A:K,11,0),"")</f>
        <v/>
      </c>
      <c r="F364" s="42" t="str">
        <f>IFERROR(VLOOKUP(B364,'MB51'!A:F,6,0),"")</f>
        <v/>
      </c>
      <c r="G364" s="17" t="str">
        <f t="shared" si="15"/>
        <v>點揀料單</v>
      </c>
      <c r="H364" s="17">
        <f t="shared" si="16"/>
        <v>0</v>
      </c>
      <c r="I364" t="str">
        <f t="shared" si="17"/>
        <v/>
      </c>
      <c r="J364" t="str">
        <f>SUBSTITUTE(IF(COUNTIF(I$2:I364,I364)&gt;1,"",1)," ","")</f>
        <v/>
      </c>
    </row>
    <row r="365" spans="1:10" x14ac:dyDescent="0.2">
      <c r="A365" s="51" t="str">
        <f>IFERROR(VLOOKUP(B365,點上線資訊!A:R,18,0),"")</f>
        <v/>
      </c>
      <c r="B365" s="41">
        <f>'MB51'!A365</f>
        <v>0</v>
      </c>
      <c r="C365" s="60" t="str">
        <f>IFERROR(VLOOKUP(B365,'MB51'!A:I,9,0),"")</f>
        <v/>
      </c>
      <c r="D365" s="61" t="str">
        <f>IFERROR(VLOOKUP(B365,'MB51'!A:J,10,0),"")</f>
        <v/>
      </c>
      <c r="E365" s="62" t="str">
        <f>IFERROR(VLOOKUP(B365,'MB51'!A:K,11,0),"")</f>
        <v/>
      </c>
      <c r="F365" s="42" t="str">
        <f>IFERROR(VLOOKUP(B365,'MB51'!A:F,6,0),"")</f>
        <v/>
      </c>
      <c r="G365" s="17" t="str">
        <f t="shared" si="15"/>
        <v>點揀料單</v>
      </c>
      <c r="H365" s="17">
        <f t="shared" si="16"/>
        <v>0</v>
      </c>
      <c r="I365" t="str">
        <f t="shared" si="17"/>
        <v/>
      </c>
      <c r="J365" t="str">
        <f>SUBSTITUTE(IF(COUNTIF(I$2:I365,I365)&gt;1,"",1)," ","")</f>
        <v/>
      </c>
    </row>
    <row r="366" spans="1:10" x14ac:dyDescent="0.2">
      <c r="A366" s="51" t="str">
        <f>IFERROR(VLOOKUP(B366,點上線資訊!A:R,18,0),"")</f>
        <v/>
      </c>
      <c r="B366" s="41">
        <f>'MB51'!A366</f>
        <v>0</v>
      </c>
      <c r="C366" s="60" t="str">
        <f>IFERROR(VLOOKUP(B366,'MB51'!A:I,9,0),"")</f>
        <v/>
      </c>
      <c r="D366" s="61" t="str">
        <f>IFERROR(VLOOKUP(B366,'MB51'!A:J,10,0),"")</f>
        <v/>
      </c>
      <c r="E366" s="62" t="str">
        <f>IFERROR(VLOOKUP(B366,'MB51'!A:K,11,0),"")</f>
        <v/>
      </c>
      <c r="F366" s="42" t="str">
        <f>IFERROR(VLOOKUP(B366,'MB51'!A:F,6,0),"")</f>
        <v/>
      </c>
      <c r="G366" s="17" t="str">
        <f t="shared" si="15"/>
        <v>點揀料單</v>
      </c>
      <c r="H366" s="17">
        <f t="shared" si="16"/>
        <v>0</v>
      </c>
      <c r="I366" t="str">
        <f t="shared" si="17"/>
        <v/>
      </c>
      <c r="J366" t="str">
        <f>SUBSTITUTE(IF(COUNTIF(I$2:I366,I366)&gt;1,"",1)," ","")</f>
        <v/>
      </c>
    </row>
    <row r="367" spans="1:10" x14ac:dyDescent="0.2">
      <c r="A367" s="51" t="str">
        <f>IFERROR(VLOOKUP(B367,點上線資訊!A:R,18,0),"")</f>
        <v/>
      </c>
      <c r="B367" s="41">
        <f>'MB51'!A367</f>
        <v>0</v>
      </c>
      <c r="C367" s="60" t="str">
        <f>IFERROR(VLOOKUP(B367,'MB51'!A:I,9,0),"")</f>
        <v/>
      </c>
      <c r="D367" s="61" t="str">
        <f>IFERROR(VLOOKUP(B367,'MB51'!A:J,10,0),"")</f>
        <v/>
      </c>
      <c r="E367" s="62" t="str">
        <f>IFERROR(VLOOKUP(B367,'MB51'!A:K,11,0),"")</f>
        <v/>
      </c>
      <c r="F367" s="42" t="str">
        <f>IFERROR(VLOOKUP(B367,'MB51'!A:F,6,0),"")</f>
        <v/>
      </c>
      <c r="G367" s="17" t="str">
        <f t="shared" si="15"/>
        <v>點揀料單</v>
      </c>
      <c r="H367" s="17">
        <f t="shared" si="16"/>
        <v>0</v>
      </c>
      <c r="I367" t="str">
        <f t="shared" si="17"/>
        <v/>
      </c>
      <c r="J367" t="str">
        <f>SUBSTITUTE(IF(COUNTIF(I$2:I367,I367)&gt;1,"",1)," ","")</f>
        <v/>
      </c>
    </row>
    <row r="368" spans="1:10" x14ac:dyDescent="0.2">
      <c r="A368" s="51" t="str">
        <f>IFERROR(VLOOKUP(B368,點上線資訊!A:R,18,0),"")</f>
        <v/>
      </c>
      <c r="B368" s="41">
        <f>'MB51'!A368</f>
        <v>0</v>
      </c>
      <c r="C368" s="60" t="str">
        <f>IFERROR(VLOOKUP(B368,'MB51'!A:I,9,0),"")</f>
        <v/>
      </c>
      <c r="D368" s="61" t="str">
        <f>IFERROR(VLOOKUP(B368,'MB51'!A:J,10,0),"")</f>
        <v/>
      </c>
      <c r="E368" s="62" t="str">
        <f>IFERROR(VLOOKUP(B368,'MB51'!A:K,11,0),"")</f>
        <v/>
      </c>
      <c r="F368" s="42" t="str">
        <f>IFERROR(VLOOKUP(B368,'MB51'!A:F,6,0),"")</f>
        <v/>
      </c>
      <c r="G368" s="17" t="str">
        <f t="shared" si="15"/>
        <v>點揀料單</v>
      </c>
      <c r="H368" s="17">
        <f t="shared" si="16"/>
        <v>0</v>
      </c>
      <c r="I368" t="str">
        <f t="shared" si="17"/>
        <v/>
      </c>
      <c r="J368" t="str">
        <f>SUBSTITUTE(IF(COUNTIF(I$2:I368,I368)&gt;1,"",1)," ","")</f>
        <v/>
      </c>
    </row>
    <row r="369" spans="1:10" x14ac:dyDescent="0.2">
      <c r="A369" s="51" t="str">
        <f>IFERROR(VLOOKUP(B369,點上線資訊!A:R,18,0),"")</f>
        <v/>
      </c>
      <c r="B369" s="41">
        <f>'MB51'!A369</f>
        <v>0</v>
      </c>
      <c r="C369" s="60" t="str">
        <f>IFERROR(VLOOKUP(B369,'MB51'!A:I,9,0),"")</f>
        <v/>
      </c>
      <c r="D369" s="61" t="str">
        <f>IFERROR(VLOOKUP(B369,'MB51'!A:J,10,0),"")</f>
        <v/>
      </c>
      <c r="E369" s="62" t="str">
        <f>IFERROR(VLOOKUP(B369,'MB51'!A:K,11,0),"")</f>
        <v/>
      </c>
      <c r="F369" s="42" t="str">
        <f>IFERROR(VLOOKUP(B369,'MB51'!A:F,6,0),"")</f>
        <v/>
      </c>
      <c r="G369" s="17" t="str">
        <f t="shared" si="15"/>
        <v>點揀料單</v>
      </c>
      <c r="H369" s="17">
        <f t="shared" si="16"/>
        <v>0</v>
      </c>
      <c r="I369" t="str">
        <f t="shared" si="17"/>
        <v/>
      </c>
      <c r="J369" t="str">
        <f>SUBSTITUTE(IF(COUNTIF(I$2:I369,I369)&gt;1,"",1)," ","")</f>
        <v/>
      </c>
    </row>
    <row r="370" spans="1:10" x14ac:dyDescent="0.2">
      <c r="A370" s="51" t="str">
        <f>IFERROR(VLOOKUP(B370,點上線資訊!A:R,18,0),"")</f>
        <v/>
      </c>
      <c r="B370" s="41">
        <f>'MB51'!A370</f>
        <v>0</v>
      </c>
      <c r="C370" s="60" t="str">
        <f>IFERROR(VLOOKUP(B370,'MB51'!A:I,9,0),"")</f>
        <v/>
      </c>
      <c r="D370" s="61" t="str">
        <f>IFERROR(VLOOKUP(B370,'MB51'!A:J,10,0),"")</f>
        <v/>
      </c>
      <c r="E370" s="62" t="str">
        <f>IFERROR(VLOOKUP(B370,'MB51'!A:K,11,0),"")</f>
        <v/>
      </c>
      <c r="F370" s="42" t="str">
        <f>IFERROR(VLOOKUP(B370,'MB51'!A:F,6,0),"")</f>
        <v/>
      </c>
      <c r="G370" s="17" t="str">
        <f t="shared" si="15"/>
        <v>點揀料單</v>
      </c>
      <c r="H370" s="17">
        <f t="shared" si="16"/>
        <v>0</v>
      </c>
      <c r="I370" t="str">
        <f t="shared" si="17"/>
        <v/>
      </c>
      <c r="J370" t="str">
        <f>SUBSTITUTE(IF(COUNTIF(I$2:I370,I370)&gt;1,"",1)," ","")</f>
        <v/>
      </c>
    </row>
    <row r="371" spans="1:10" x14ac:dyDescent="0.2">
      <c r="A371" s="51" t="str">
        <f>IFERROR(VLOOKUP(B371,點上線資訊!A:R,18,0),"")</f>
        <v/>
      </c>
      <c r="B371" s="41">
        <f>'MB51'!A371</f>
        <v>0</v>
      </c>
      <c r="C371" s="60" t="str">
        <f>IFERROR(VLOOKUP(B371,'MB51'!A:I,9,0),"")</f>
        <v/>
      </c>
      <c r="D371" s="61" t="str">
        <f>IFERROR(VLOOKUP(B371,'MB51'!A:J,10,0),"")</f>
        <v/>
      </c>
      <c r="E371" s="62" t="str">
        <f>IFERROR(VLOOKUP(B371,'MB51'!A:K,11,0),"")</f>
        <v/>
      </c>
      <c r="F371" s="42" t="str">
        <f>IFERROR(VLOOKUP(B371,'MB51'!A:F,6,0),"")</f>
        <v/>
      </c>
      <c r="G371" s="17" t="str">
        <f t="shared" si="15"/>
        <v>點揀料單</v>
      </c>
      <c r="H371" s="17">
        <f t="shared" si="16"/>
        <v>0</v>
      </c>
      <c r="I371" t="str">
        <f t="shared" si="17"/>
        <v/>
      </c>
      <c r="J371" t="str">
        <f>SUBSTITUTE(IF(COUNTIF(I$2:I371,I371)&gt;1,"",1)," ","")</f>
        <v/>
      </c>
    </row>
    <row r="372" spans="1:10" x14ac:dyDescent="0.2">
      <c r="A372" s="51" t="str">
        <f>IFERROR(VLOOKUP(B372,點上線資訊!A:R,18,0),"")</f>
        <v/>
      </c>
      <c r="B372" s="41">
        <f>'MB51'!A372</f>
        <v>0</v>
      </c>
      <c r="C372" s="60" t="str">
        <f>IFERROR(VLOOKUP(B372,'MB51'!A:I,9,0),"")</f>
        <v/>
      </c>
      <c r="D372" s="61" t="str">
        <f>IFERROR(VLOOKUP(B372,'MB51'!A:J,10,0),"")</f>
        <v/>
      </c>
      <c r="E372" s="62" t="str">
        <f>IFERROR(VLOOKUP(B372,'MB51'!A:K,11,0),"")</f>
        <v/>
      </c>
      <c r="F372" s="42" t="str">
        <f>IFERROR(VLOOKUP(B372,'MB51'!A:F,6,0),"")</f>
        <v/>
      </c>
      <c r="G372" s="17" t="str">
        <f t="shared" si="15"/>
        <v>點揀料單</v>
      </c>
      <c r="H372" s="17">
        <f t="shared" si="16"/>
        <v>0</v>
      </c>
      <c r="I372" t="str">
        <f t="shared" si="17"/>
        <v/>
      </c>
      <c r="J372" t="str">
        <f>SUBSTITUTE(IF(COUNTIF(I$2:I372,I372)&gt;1,"",1)," ","")</f>
        <v/>
      </c>
    </row>
    <row r="373" spans="1:10" x14ac:dyDescent="0.2">
      <c r="A373" s="51" t="str">
        <f>IFERROR(VLOOKUP(B373,點上線資訊!A:R,18,0),"")</f>
        <v/>
      </c>
      <c r="B373" s="41">
        <f>'MB51'!A373</f>
        <v>0</v>
      </c>
      <c r="C373" s="60" t="str">
        <f>IFERROR(VLOOKUP(B373,'MB51'!A:I,9,0),"")</f>
        <v/>
      </c>
      <c r="D373" s="61" t="str">
        <f>IFERROR(VLOOKUP(B373,'MB51'!A:J,10,0),"")</f>
        <v/>
      </c>
      <c r="E373" s="62" t="str">
        <f>IFERROR(VLOOKUP(B373,'MB51'!A:K,11,0),"")</f>
        <v/>
      </c>
      <c r="F373" s="42" t="str">
        <f>IFERROR(VLOOKUP(B373,'MB51'!A:F,6,0),"")</f>
        <v/>
      </c>
      <c r="G373" s="17" t="str">
        <f t="shared" si="15"/>
        <v>點揀料單</v>
      </c>
      <c r="H373" s="17">
        <f t="shared" si="16"/>
        <v>0</v>
      </c>
      <c r="I373" t="str">
        <f t="shared" si="17"/>
        <v/>
      </c>
      <c r="J373" t="str">
        <f>SUBSTITUTE(IF(COUNTIF(I$2:I373,I373)&gt;1,"",1)," ","")</f>
        <v/>
      </c>
    </row>
    <row r="374" spans="1:10" x14ac:dyDescent="0.2">
      <c r="A374" s="51" t="str">
        <f>IFERROR(VLOOKUP(B374,點上線資訊!A:R,18,0),"")</f>
        <v/>
      </c>
      <c r="B374" s="41">
        <f>'MB51'!A374</f>
        <v>0</v>
      </c>
      <c r="C374" s="60" t="str">
        <f>IFERROR(VLOOKUP(B374,'MB51'!A:I,9,0),"")</f>
        <v/>
      </c>
      <c r="D374" s="61" t="str">
        <f>IFERROR(VLOOKUP(B374,'MB51'!A:J,10,0),"")</f>
        <v/>
      </c>
      <c r="E374" s="62" t="str">
        <f>IFERROR(VLOOKUP(B374,'MB51'!A:K,11,0),"")</f>
        <v/>
      </c>
      <c r="F374" s="42" t="str">
        <f>IFERROR(VLOOKUP(B374,'MB51'!A:F,6,0),"")</f>
        <v/>
      </c>
      <c r="G374" s="17" t="str">
        <f t="shared" si="15"/>
        <v>點揀料單</v>
      </c>
      <c r="H374" s="17">
        <f t="shared" si="16"/>
        <v>0</v>
      </c>
      <c r="I374" t="str">
        <f t="shared" si="17"/>
        <v/>
      </c>
      <c r="J374" t="str">
        <f>SUBSTITUTE(IF(COUNTIF(I$2:I374,I374)&gt;1,"",1)," ","")</f>
        <v/>
      </c>
    </row>
    <row r="375" spans="1:10" x14ac:dyDescent="0.2">
      <c r="A375" s="51" t="str">
        <f>IFERROR(VLOOKUP(B375,點上線資訊!A:R,18,0),"")</f>
        <v/>
      </c>
      <c r="B375" s="41">
        <f>'MB51'!A375</f>
        <v>0</v>
      </c>
      <c r="C375" s="60" t="str">
        <f>IFERROR(VLOOKUP(B375,'MB51'!A:I,9,0),"")</f>
        <v/>
      </c>
      <c r="D375" s="61" t="str">
        <f>IFERROR(VLOOKUP(B375,'MB51'!A:J,10,0),"")</f>
        <v/>
      </c>
      <c r="E375" s="62" t="str">
        <f>IFERROR(VLOOKUP(B375,'MB51'!A:K,11,0),"")</f>
        <v/>
      </c>
      <c r="F375" s="42" t="str">
        <f>IFERROR(VLOOKUP(B375,'MB51'!A:F,6,0),"")</f>
        <v/>
      </c>
      <c r="G375" s="17" t="str">
        <f t="shared" si="15"/>
        <v>點揀料單</v>
      </c>
      <c r="H375" s="17">
        <f t="shared" si="16"/>
        <v>0</v>
      </c>
      <c r="I375" t="str">
        <f t="shared" si="17"/>
        <v/>
      </c>
      <c r="J375" t="str">
        <f>SUBSTITUTE(IF(COUNTIF(I$2:I375,I375)&gt;1,"",1)," ","")</f>
        <v/>
      </c>
    </row>
    <row r="376" spans="1:10" x14ac:dyDescent="0.2">
      <c r="A376" s="51" t="str">
        <f>IFERROR(VLOOKUP(B376,點上線資訊!A:R,18,0),"")</f>
        <v/>
      </c>
      <c r="B376" s="41">
        <f>'MB51'!A376</f>
        <v>0</v>
      </c>
      <c r="C376" s="60" t="str">
        <f>IFERROR(VLOOKUP(B376,'MB51'!A:I,9,0),"")</f>
        <v/>
      </c>
      <c r="D376" s="61" t="str">
        <f>IFERROR(VLOOKUP(B376,'MB51'!A:J,10,0),"")</f>
        <v/>
      </c>
      <c r="E376" s="62" t="str">
        <f>IFERROR(VLOOKUP(B376,'MB51'!A:K,11,0),"")</f>
        <v/>
      </c>
      <c r="F376" s="42" t="str">
        <f>IFERROR(VLOOKUP(B376,'MB51'!A:F,6,0),"")</f>
        <v/>
      </c>
      <c r="G376" s="17" t="str">
        <f t="shared" si="15"/>
        <v>點揀料單</v>
      </c>
      <c r="H376" s="17">
        <f t="shared" si="16"/>
        <v>0</v>
      </c>
      <c r="I376" t="str">
        <f t="shared" si="17"/>
        <v/>
      </c>
      <c r="J376" t="str">
        <f>SUBSTITUTE(IF(COUNTIF(I$2:I376,I376)&gt;1,"",1)," ","")</f>
        <v/>
      </c>
    </row>
    <row r="377" spans="1:10" x14ac:dyDescent="0.2">
      <c r="A377" s="51" t="str">
        <f>IFERROR(VLOOKUP(B377,點上線資訊!A:R,18,0),"")</f>
        <v/>
      </c>
      <c r="B377" s="41">
        <f>'MB51'!A377</f>
        <v>0</v>
      </c>
      <c r="C377" s="60" t="str">
        <f>IFERROR(VLOOKUP(B377,'MB51'!A:I,9,0),"")</f>
        <v/>
      </c>
      <c r="D377" s="61" t="str">
        <f>IFERROR(VLOOKUP(B377,'MB51'!A:J,10,0),"")</f>
        <v/>
      </c>
      <c r="E377" s="62" t="str">
        <f>IFERROR(VLOOKUP(B377,'MB51'!A:K,11,0),"")</f>
        <v/>
      </c>
      <c r="F377" s="42" t="str">
        <f>IFERROR(VLOOKUP(B377,'MB51'!A:F,6,0),"")</f>
        <v/>
      </c>
      <c r="G377" s="17" t="str">
        <f t="shared" si="15"/>
        <v>點揀料單</v>
      </c>
      <c r="H377" s="17">
        <f t="shared" si="16"/>
        <v>0</v>
      </c>
      <c r="I377" t="str">
        <f t="shared" si="17"/>
        <v/>
      </c>
      <c r="J377" t="str">
        <f>SUBSTITUTE(IF(COUNTIF(I$2:I377,I377)&gt;1,"",1)," ","")</f>
        <v/>
      </c>
    </row>
    <row r="378" spans="1:10" x14ac:dyDescent="0.2">
      <c r="A378" s="51" t="str">
        <f>IFERROR(VLOOKUP(B378,點上線資訊!A:R,18,0),"")</f>
        <v/>
      </c>
      <c r="B378" s="41">
        <f>'MB51'!A378</f>
        <v>0</v>
      </c>
      <c r="C378" s="60" t="str">
        <f>IFERROR(VLOOKUP(B378,'MB51'!A:I,9,0),"")</f>
        <v/>
      </c>
      <c r="D378" s="61" t="str">
        <f>IFERROR(VLOOKUP(B378,'MB51'!A:J,10,0),"")</f>
        <v/>
      </c>
      <c r="E378" s="62" t="str">
        <f>IFERROR(VLOOKUP(B378,'MB51'!A:K,11,0),"")</f>
        <v/>
      </c>
      <c r="F378" s="42" t="str">
        <f>IFERROR(VLOOKUP(B378,'MB51'!A:F,6,0),"")</f>
        <v/>
      </c>
      <c r="G378" s="17" t="str">
        <f t="shared" si="15"/>
        <v>點揀料單</v>
      </c>
      <c r="H378" s="17">
        <f t="shared" si="16"/>
        <v>0</v>
      </c>
      <c r="I378" t="str">
        <f t="shared" si="17"/>
        <v/>
      </c>
      <c r="J378" t="str">
        <f>SUBSTITUTE(IF(COUNTIF(I$2:I378,I378)&gt;1,"",1)," ","")</f>
        <v/>
      </c>
    </row>
    <row r="379" spans="1:10" x14ac:dyDescent="0.2">
      <c r="A379" s="51" t="str">
        <f>IFERROR(VLOOKUP(B379,點上線資訊!A:R,18,0),"")</f>
        <v/>
      </c>
      <c r="B379" s="41">
        <f>'MB51'!A379</f>
        <v>0</v>
      </c>
      <c r="C379" s="60" t="str">
        <f>IFERROR(VLOOKUP(B379,'MB51'!A:I,9,0),"")</f>
        <v/>
      </c>
      <c r="D379" s="61" t="str">
        <f>IFERROR(VLOOKUP(B379,'MB51'!A:J,10,0),"")</f>
        <v/>
      </c>
      <c r="E379" s="62" t="str">
        <f>IFERROR(VLOOKUP(B379,'MB51'!A:K,11,0),"")</f>
        <v/>
      </c>
      <c r="F379" s="42" t="str">
        <f>IFERROR(VLOOKUP(B379,'MB51'!A:F,6,0),"")</f>
        <v/>
      </c>
      <c r="G379" s="17" t="str">
        <f t="shared" si="15"/>
        <v>點揀料單</v>
      </c>
      <c r="H379" s="17">
        <f t="shared" si="16"/>
        <v>0</v>
      </c>
      <c r="I379" t="str">
        <f t="shared" si="17"/>
        <v/>
      </c>
      <c r="J379" t="str">
        <f>SUBSTITUTE(IF(COUNTIF(I$2:I379,I379)&gt;1,"",1)," ","")</f>
        <v/>
      </c>
    </row>
    <row r="380" spans="1:10" x14ac:dyDescent="0.2">
      <c r="A380" s="51" t="str">
        <f>IFERROR(VLOOKUP(B380,點上線資訊!A:R,18,0),"")</f>
        <v/>
      </c>
      <c r="B380" s="41">
        <f>'MB51'!A380</f>
        <v>0</v>
      </c>
      <c r="C380" s="60" t="str">
        <f>IFERROR(VLOOKUP(B380,'MB51'!A:I,9,0),"")</f>
        <v/>
      </c>
      <c r="D380" s="61" t="str">
        <f>IFERROR(VLOOKUP(B380,'MB51'!A:J,10,0),"")</f>
        <v/>
      </c>
      <c r="E380" s="62" t="str">
        <f>IFERROR(VLOOKUP(B380,'MB51'!A:K,11,0),"")</f>
        <v/>
      </c>
      <c r="F380" s="42" t="str">
        <f>IFERROR(VLOOKUP(B380,'MB51'!A:F,6,0),"")</f>
        <v/>
      </c>
      <c r="G380" s="17" t="str">
        <f t="shared" si="15"/>
        <v>點揀料單</v>
      </c>
      <c r="H380" s="17">
        <f t="shared" si="16"/>
        <v>0</v>
      </c>
      <c r="I380" t="str">
        <f t="shared" si="17"/>
        <v/>
      </c>
      <c r="J380" t="str">
        <f>SUBSTITUTE(IF(COUNTIF(I$2:I380,I380)&gt;1,"",1)," ","")</f>
        <v/>
      </c>
    </row>
    <row r="381" spans="1:10" x14ac:dyDescent="0.2">
      <c r="A381" s="51" t="str">
        <f>IFERROR(VLOOKUP(B381,點上線資訊!A:R,18,0),"")</f>
        <v/>
      </c>
      <c r="B381" s="41">
        <f>'MB51'!A381</f>
        <v>0</v>
      </c>
      <c r="C381" s="60" t="str">
        <f>IFERROR(VLOOKUP(B381,'MB51'!A:I,9,0),"")</f>
        <v/>
      </c>
      <c r="D381" s="61" t="str">
        <f>IFERROR(VLOOKUP(B381,'MB51'!A:J,10,0),"")</f>
        <v/>
      </c>
      <c r="E381" s="62" t="str">
        <f>IFERROR(VLOOKUP(B381,'MB51'!A:K,11,0),"")</f>
        <v/>
      </c>
      <c r="F381" s="42" t="str">
        <f>IFERROR(VLOOKUP(B381,'MB51'!A:F,6,0),"")</f>
        <v/>
      </c>
      <c r="G381" s="17" t="str">
        <f t="shared" si="15"/>
        <v>點揀料單</v>
      </c>
      <c r="H381" s="17">
        <f t="shared" si="16"/>
        <v>0</v>
      </c>
      <c r="I381" t="str">
        <f t="shared" si="17"/>
        <v/>
      </c>
      <c r="J381" t="str">
        <f>SUBSTITUTE(IF(COUNTIF(I$2:I381,I381)&gt;1,"",1)," ","")</f>
        <v/>
      </c>
    </row>
    <row r="382" spans="1:10" x14ac:dyDescent="0.2">
      <c r="A382" s="51" t="str">
        <f>IFERROR(VLOOKUP(B382,點上線資訊!A:R,18,0),"")</f>
        <v/>
      </c>
      <c r="B382" s="41">
        <f>'MB51'!A382</f>
        <v>0</v>
      </c>
      <c r="C382" s="60" t="str">
        <f>IFERROR(VLOOKUP(B382,'MB51'!A:I,9,0),"")</f>
        <v/>
      </c>
      <c r="D382" s="61" t="str">
        <f>IFERROR(VLOOKUP(B382,'MB51'!A:J,10,0),"")</f>
        <v/>
      </c>
      <c r="E382" s="62" t="str">
        <f>IFERROR(VLOOKUP(B382,'MB51'!A:K,11,0),"")</f>
        <v/>
      </c>
      <c r="F382" s="42" t="str">
        <f>IFERROR(VLOOKUP(B382,'MB51'!A:F,6,0),"")</f>
        <v/>
      </c>
      <c r="G382" s="17" t="str">
        <f t="shared" si="15"/>
        <v>點揀料單</v>
      </c>
      <c r="H382" s="17">
        <f t="shared" si="16"/>
        <v>0</v>
      </c>
      <c r="I382" t="str">
        <f t="shared" si="17"/>
        <v/>
      </c>
      <c r="J382" t="str">
        <f>SUBSTITUTE(IF(COUNTIF(I$2:I382,I382)&gt;1,"",1)," ","")</f>
        <v/>
      </c>
    </row>
    <row r="383" spans="1:10" x14ac:dyDescent="0.2">
      <c r="A383" s="51" t="str">
        <f>IFERROR(VLOOKUP(B383,點上線資訊!A:R,18,0),"")</f>
        <v/>
      </c>
      <c r="B383" s="41">
        <f>'MB51'!A383</f>
        <v>0</v>
      </c>
      <c r="C383" s="60" t="str">
        <f>IFERROR(VLOOKUP(B383,'MB51'!A:I,9,0),"")</f>
        <v/>
      </c>
      <c r="D383" s="61" t="str">
        <f>IFERROR(VLOOKUP(B383,'MB51'!A:J,10,0),"")</f>
        <v/>
      </c>
      <c r="E383" s="62" t="str">
        <f>IFERROR(VLOOKUP(B383,'MB51'!A:K,11,0),"")</f>
        <v/>
      </c>
      <c r="F383" s="42" t="str">
        <f>IFERROR(VLOOKUP(B383,'MB51'!A:F,6,0),"")</f>
        <v/>
      </c>
      <c r="G383" s="17" t="str">
        <f t="shared" si="15"/>
        <v>點揀料單</v>
      </c>
      <c r="H383" s="17">
        <f t="shared" si="16"/>
        <v>0</v>
      </c>
      <c r="I383" t="str">
        <f t="shared" si="17"/>
        <v/>
      </c>
      <c r="J383" t="str">
        <f>SUBSTITUTE(IF(COUNTIF(I$2:I383,I383)&gt;1,"",1)," ","")</f>
        <v/>
      </c>
    </row>
    <row r="384" spans="1:10" x14ac:dyDescent="0.2">
      <c r="A384" s="51" t="str">
        <f>IFERROR(VLOOKUP(B384,點上線資訊!A:R,18,0),"")</f>
        <v/>
      </c>
      <c r="B384" s="41">
        <f>'MB51'!A384</f>
        <v>0</v>
      </c>
      <c r="C384" s="60" t="str">
        <f>IFERROR(VLOOKUP(B384,'MB51'!A:I,9,0),"")</f>
        <v/>
      </c>
      <c r="D384" s="61" t="str">
        <f>IFERROR(VLOOKUP(B384,'MB51'!A:J,10,0),"")</f>
        <v/>
      </c>
      <c r="E384" s="62" t="str">
        <f>IFERROR(VLOOKUP(B384,'MB51'!A:K,11,0),"")</f>
        <v/>
      </c>
      <c r="F384" s="42" t="str">
        <f>IFERROR(VLOOKUP(B384,'MB51'!A:F,6,0),"")</f>
        <v/>
      </c>
      <c r="G384" s="17" t="str">
        <f t="shared" si="15"/>
        <v>點揀料單</v>
      </c>
      <c r="H384" s="17">
        <f t="shared" si="16"/>
        <v>0</v>
      </c>
      <c r="I384" t="str">
        <f t="shared" si="17"/>
        <v/>
      </c>
      <c r="J384" t="str">
        <f>SUBSTITUTE(IF(COUNTIF(I$2:I384,I384)&gt;1,"",1)," ","")</f>
        <v/>
      </c>
    </row>
    <row r="385" spans="1:10" x14ac:dyDescent="0.2">
      <c r="A385" s="51" t="str">
        <f>IFERROR(VLOOKUP(B385,點上線資訊!A:R,18,0),"")</f>
        <v/>
      </c>
      <c r="B385" s="41">
        <f>'MB51'!A385</f>
        <v>0</v>
      </c>
      <c r="C385" s="60" t="str">
        <f>IFERROR(VLOOKUP(B385,'MB51'!A:I,9,0),"")</f>
        <v/>
      </c>
      <c r="D385" s="61" t="str">
        <f>IFERROR(VLOOKUP(B385,'MB51'!A:J,10,0),"")</f>
        <v/>
      </c>
      <c r="E385" s="62" t="str">
        <f>IFERROR(VLOOKUP(B385,'MB51'!A:K,11,0),"")</f>
        <v/>
      </c>
      <c r="F385" s="42" t="str">
        <f>IFERROR(VLOOKUP(B385,'MB51'!A:F,6,0),"")</f>
        <v/>
      </c>
      <c r="G385" s="17" t="str">
        <f t="shared" si="15"/>
        <v>點揀料單</v>
      </c>
      <c r="H385" s="17">
        <f t="shared" si="16"/>
        <v>0</v>
      </c>
      <c r="I385" t="str">
        <f t="shared" si="17"/>
        <v/>
      </c>
      <c r="J385" t="str">
        <f>SUBSTITUTE(IF(COUNTIF(I$2:I385,I385)&gt;1,"",1)," ","")</f>
        <v/>
      </c>
    </row>
    <row r="386" spans="1:10" x14ac:dyDescent="0.2">
      <c r="A386" s="51" t="str">
        <f>IFERROR(VLOOKUP(B386,點上線資訊!A:R,18,0),"")</f>
        <v/>
      </c>
      <c r="B386" s="41">
        <f>'MB51'!A386</f>
        <v>0</v>
      </c>
      <c r="C386" s="60" t="str">
        <f>IFERROR(VLOOKUP(B386,'MB51'!A:I,9,0),"")</f>
        <v/>
      </c>
      <c r="D386" s="61" t="str">
        <f>IFERROR(VLOOKUP(B386,'MB51'!A:J,10,0),"")</f>
        <v/>
      </c>
      <c r="E386" s="62" t="str">
        <f>IFERROR(VLOOKUP(B386,'MB51'!A:K,11,0),"")</f>
        <v/>
      </c>
      <c r="F386" s="42" t="str">
        <f>IFERROR(VLOOKUP(B386,'MB51'!A:F,6,0),"")</f>
        <v/>
      </c>
      <c r="G386" s="17" t="str">
        <f t="shared" si="15"/>
        <v>點揀料單</v>
      </c>
      <c r="H386" s="17">
        <f t="shared" si="16"/>
        <v>0</v>
      </c>
      <c r="I386" t="str">
        <f t="shared" si="17"/>
        <v/>
      </c>
      <c r="J386" t="str">
        <f>SUBSTITUTE(IF(COUNTIF(I$2:I386,I386)&gt;1,"",1)," ","")</f>
        <v/>
      </c>
    </row>
    <row r="387" spans="1:10" x14ac:dyDescent="0.2">
      <c r="A387" s="51" t="str">
        <f>IFERROR(VLOOKUP(B387,點上線資訊!A:R,18,0),"")</f>
        <v/>
      </c>
      <c r="B387" s="41">
        <f>'MB51'!A387</f>
        <v>0</v>
      </c>
      <c r="C387" s="60" t="str">
        <f>IFERROR(VLOOKUP(B387,'MB51'!A:I,9,0),"")</f>
        <v/>
      </c>
      <c r="D387" s="61" t="str">
        <f>IFERROR(VLOOKUP(B387,'MB51'!A:J,10,0),"")</f>
        <v/>
      </c>
      <c r="E387" s="62" t="str">
        <f>IFERROR(VLOOKUP(B387,'MB51'!A:K,11,0),"")</f>
        <v/>
      </c>
      <c r="F387" s="42" t="str">
        <f>IFERROR(VLOOKUP(B387,'MB51'!A:F,6,0),"")</f>
        <v/>
      </c>
      <c r="G387" s="17" t="str">
        <f t="shared" ref="G387:G450" si="18">TEXT(D387,"MM/DD")&amp;TEXT(E387,"  HH")&amp;"點揀料單"</f>
        <v>點揀料單</v>
      </c>
      <c r="H387" s="17">
        <f t="shared" ref="H387:H450" si="19">ABS(SUMIF(C:C,C387,F:F))</f>
        <v>0</v>
      </c>
      <c r="I387" t="str">
        <f t="shared" ref="I387:I450" si="20">RIGHTB(C387,10)</f>
        <v/>
      </c>
      <c r="J387" t="str">
        <f>SUBSTITUTE(IF(COUNTIF(I$2:I387,I387)&gt;1,"",1)," ","")</f>
        <v/>
      </c>
    </row>
    <row r="388" spans="1:10" x14ac:dyDescent="0.2">
      <c r="A388" s="51" t="str">
        <f>IFERROR(VLOOKUP(B388,點上線資訊!A:R,18,0),"")</f>
        <v/>
      </c>
      <c r="B388" s="41">
        <f>'MB51'!A388</f>
        <v>0</v>
      </c>
      <c r="C388" s="60" t="str">
        <f>IFERROR(VLOOKUP(B388,'MB51'!A:I,9,0),"")</f>
        <v/>
      </c>
      <c r="D388" s="61" t="str">
        <f>IFERROR(VLOOKUP(B388,'MB51'!A:J,10,0),"")</f>
        <v/>
      </c>
      <c r="E388" s="62" t="str">
        <f>IFERROR(VLOOKUP(B388,'MB51'!A:K,11,0),"")</f>
        <v/>
      </c>
      <c r="F388" s="42" t="str">
        <f>IFERROR(VLOOKUP(B388,'MB51'!A:F,6,0),"")</f>
        <v/>
      </c>
      <c r="G388" s="17" t="str">
        <f t="shared" si="18"/>
        <v>點揀料單</v>
      </c>
      <c r="H388" s="17">
        <f t="shared" si="19"/>
        <v>0</v>
      </c>
      <c r="I388" t="str">
        <f t="shared" si="20"/>
        <v/>
      </c>
      <c r="J388" t="str">
        <f>SUBSTITUTE(IF(COUNTIF(I$2:I388,I388)&gt;1,"",1)," ","")</f>
        <v/>
      </c>
    </row>
    <row r="389" spans="1:10" x14ac:dyDescent="0.2">
      <c r="A389" s="51" t="str">
        <f>IFERROR(VLOOKUP(B389,點上線資訊!A:R,18,0),"")</f>
        <v/>
      </c>
      <c r="B389" s="41">
        <f>'MB51'!A389</f>
        <v>0</v>
      </c>
      <c r="C389" s="60" t="str">
        <f>IFERROR(VLOOKUP(B389,'MB51'!A:I,9,0),"")</f>
        <v/>
      </c>
      <c r="D389" s="61" t="str">
        <f>IFERROR(VLOOKUP(B389,'MB51'!A:J,10,0),"")</f>
        <v/>
      </c>
      <c r="E389" s="62" t="str">
        <f>IFERROR(VLOOKUP(B389,'MB51'!A:K,11,0),"")</f>
        <v/>
      </c>
      <c r="F389" s="42" t="str">
        <f>IFERROR(VLOOKUP(B389,'MB51'!A:F,6,0),"")</f>
        <v/>
      </c>
      <c r="G389" s="17" t="str">
        <f t="shared" si="18"/>
        <v>點揀料單</v>
      </c>
      <c r="H389" s="17">
        <f t="shared" si="19"/>
        <v>0</v>
      </c>
      <c r="I389" t="str">
        <f t="shared" si="20"/>
        <v/>
      </c>
      <c r="J389" t="str">
        <f>SUBSTITUTE(IF(COUNTIF(I$2:I389,I389)&gt;1,"",1)," ","")</f>
        <v/>
      </c>
    </row>
    <row r="390" spans="1:10" x14ac:dyDescent="0.2">
      <c r="A390" s="51" t="str">
        <f>IFERROR(VLOOKUP(B390,點上線資訊!A:R,18,0),"")</f>
        <v/>
      </c>
      <c r="B390" s="41">
        <f>'MB51'!A390</f>
        <v>0</v>
      </c>
      <c r="C390" s="60" t="str">
        <f>IFERROR(VLOOKUP(B390,'MB51'!A:I,9,0),"")</f>
        <v/>
      </c>
      <c r="D390" s="61" t="str">
        <f>IFERROR(VLOOKUP(B390,'MB51'!A:J,10,0),"")</f>
        <v/>
      </c>
      <c r="E390" s="62" t="str">
        <f>IFERROR(VLOOKUP(B390,'MB51'!A:K,11,0),"")</f>
        <v/>
      </c>
      <c r="F390" s="42" t="str">
        <f>IFERROR(VLOOKUP(B390,'MB51'!A:F,6,0),"")</f>
        <v/>
      </c>
      <c r="G390" s="17" t="str">
        <f t="shared" si="18"/>
        <v>點揀料單</v>
      </c>
      <c r="H390" s="17">
        <f t="shared" si="19"/>
        <v>0</v>
      </c>
      <c r="I390" t="str">
        <f t="shared" si="20"/>
        <v/>
      </c>
      <c r="J390" t="str">
        <f>SUBSTITUTE(IF(COUNTIF(I$2:I390,I390)&gt;1,"",1)," ","")</f>
        <v/>
      </c>
    </row>
    <row r="391" spans="1:10" x14ac:dyDescent="0.2">
      <c r="A391" s="51" t="str">
        <f>IFERROR(VLOOKUP(B391,點上線資訊!A:R,18,0),"")</f>
        <v/>
      </c>
      <c r="B391" s="41">
        <f>'MB51'!A391</f>
        <v>0</v>
      </c>
      <c r="C391" s="60" t="str">
        <f>IFERROR(VLOOKUP(B391,'MB51'!A:I,9,0),"")</f>
        <v/>
      </c>
      <c r="D391" s="61" t="str">
        <f>IFERROR(VLOOKUP(B391,'MB51'!A:J,10,0),"")</f>
        <v/>
      </c>
      <c r="E391" s="62" t="str">
        <f>IFERROR(VLOOKUP(B391,'MB51'!A:K,11,0),"")</f>
        <v/>
      </c>
      <c r="F391" s="42" t="str">
        <f>IFERROR(VLOOKUP(B391,'MB51'!A:F,6,0),"")</f>
        <v/>
      </c>
      <c r="G391" s="17" t="str">
        <f t="shared" si="18"/>
        <v>點揀料單</v>
      </c>
      <c r="H391" s="17">
        <f t="shared" si="19"/>
        <v>0</v>
      </c>
      <c r="I391" t="str">
        <f t="shared" si="20"/>
        <v/>
      </c>
      <c r="J391" t="str">
        <f>SUBSTITUTE(IF(COUNTIF(I$2:I391,I391)&gt;1,"",1)," ","")</f>
        <v/>
      </c>
    </row>
    <row r="392" spans="1:10" x14ac:dyDescent="0.2">
      <c r="A392" s="51" t="str">
        <f>IFERROR(VLOOKUP(B392,點上線資訊!A:R,18,0),"")</f>
        <v/>
      </c>
      <c r="B392" s="41">
        <f>'MB51'!A392</f>
        <v>0</v>
      </c>
      <c r="C392" s="60" t="str">
        <f>IFERROR(VLOOKUP(B392,'MB51'!A:I,9,0),"")</f>
        <v/>
      </c>
      <c r="D392" s="61" t="str">
        <f>IFERROR(VLOOKUP(B392,'MB51'!A:J,10,0),"")</f>
        <v/>
      </c>
      <c r="E392" s="62" t="str">
        <f>IFERROR(VLOOKUP(B392,'MB51'!A:K,11,0),"")</f>
        <v/>
      </c>
      <c r="F392" s="42" t="str">
        <f>IFERROR(VLOOKUP(B392,'MB51'!A:F,6,0),"")</f>
        <v/>
      </c>
      <c r="G392" s="17" t="str">
        <f t="shared" si="18"/>
        <v>點揀料單</v>
      </c>
      <c r="H392" s="17">
        <f t="shared" si="19"/>
        <v>0</v>
      </c>
      <c r="I392" t="str">
        <f t="shared" si="20"/>
        <v/>
      </c>
      <c r="J392" t="str">
        <f>SUBSTITUTE(IF(COUNTIF(I$2:I392,I392)&gt;1,"",1)," ","")</f>
        <v/>
      </c>
    </row>
    <row r="393" spans="1:10" x14ac:dyDescent="0.2">
      <c r="A393" s="51" t="str">
        <f>IFERROR(VLOOKUP(B393,點上線資訊!A:R,18,0),"")</f>
        <v/>
      </c>
      <c r="B393" s="41">
        <f>'MB51'!A393</f>
        <v>0</v>
      </c>
      <c r="C393" s="60" t="str">
        <f>IFERROR(VLOOKUP(B393,'MB51'!A:I,9,0),"")</f>
        <v/>
      </c>
      <c r="D393" s="61" t="str">
        <f>IFERROR(VLOOKUP(B393,'MB51'!A:J,10,0),"")</f>
        <v/>
      </c>
      <c r="E393" s="62" t="str">
        <f>IFERROR(VLOOKUP(B393,'MB51'!A:K,11,0),"")</f>
        <v/>
      </c>
      <c r="F393" s="42" t="str">
        <f>IFERROR(VLOOKUP(B393,'MB51'!A:F,6,0),"")</f>
        <v/>
      </c>
      <c r="G393" s="17" t="str">
        <f t="shared" si="18"/>
        <v>點揀料單</v>
      </c>
      <c r="H393" s="17">
        <f t="shared" si="19"/>
        <v>0</v>
      </c>
      <c r="I393" t="str">
        <f t="shared" si="20"/>
        <v/>
      </c>
      <c r="J393" t="str">
        <f>SUBSTITUTE(IF(COUNTIF(I$2:I393,I393)&gt;1,"",1)," ","")</f>
        <v/>
      </c>
    </row>
    <row r="394" spans="1:10" x14ac:dyDescent="0.2">
      <c r="A394" s="51" t="str">
        <f>IFERROR(VLOOKUP(B394,點上線資訊!A:R,18,0),"")</f>
        <v/>
      </c>
      <c r="B394" s="41">
        <f>'MB51'!A394</f>
        <v>0</v>
      </c>
      <c r="C394" s="60" t="str">
        <f>IFERROR(VLOOKUP(B394,'MB51'!A:I,9,0),"")</f>
        <v/>
      </c>
      <c r="D394" s="61" t="str">
        <f>IFERROR(VLOOKUP(B394,'MB51'!A:J,10,0),"")</f>
        <v/>
      </c>
      <c r="E394" s="62" t="str">
        <f>IFERROR(VLOOKUP(B394,'MB51'!A:K,11,0),"")</f>
        <v/>
      </c>
      <c r="F394" s="42" t="str">
        <f>IFERROR(VLOOKUP(B394,'MB51'!A:F,6,0),"")</f>
        <v/>
      </c>
      <c r="G394" s="17" t="str">
        <f t="shared" si="18"/>
        <v>點揀料單</v>
      </c>
      <c r="H394" s="17">
        <f t="shared" si="19"/>
        <v>0</v>
      </c>
      <c r="I394" t="str">
        <f t="shared" si="20"/>
        <v/>
      </c>
      <c r="J394" t="str">
        <f>SUBSTITUTE(IF(COUNTIF(I$2:I394,I394)&gt;1,"",1)," ","")</f>
        <v/>
      </c>
    </row>
    <row r="395" spans="1:10" x14ac:dyDescent="0.2">
      <c r="A395" s="51" t="str">
        <f>IFERROR(VLOOKUP(B395,點上線資訊!A:R,18,0),"")</f>
        <v/>
      </c>
      <c r="B395" s="41">
        <f>'MB51'!A395</f>
        <v>0</v>
      </c>
      <c r="C395" s="60" t="str">
        <f>IFERROR(VLOOKUP(B395,'MB51'!A:I,9,0),"")</f>
        <v/>
      </c>
      <c r="D395" s="61" t="str">
        <f>IFERROR(VLOOKUP(B395,'MB51'!A:J,10,0),"")</f>
        <v/>
      </c>
      <c r="E395" s="62" t="str">
        <f>IFERROR(VLOOKUP(B395,'MB51'!A:K,11,0),"")</f>
        <v/>
      </c>
      <c r="F395" s="42" t="str">
        <f>IFERROR(VLOOKUP(B395,'MB51'!A:F,6,0),"")</f>
        <v/>
      </c>
      <c r="G395" s="17" t="str">
        <f t="shared" si="18"/>
        <v>點揀料單</v>
      </c>
      <c r="H395" s="17">
        <f t="shared" si="19"/>
        <v>0</v>
      </c>
      <c r="I395" t="str">
        <f t="shared" si="20"/>
        <v/>
      </c>
      <c r="J395" t="str">
        <f>SUBSTITUTE(IF(COUNTIF(I$2:I395,I395)&gt;1,"",1)," ","")</f>
        <v/>
      </c>
    </row>
    <row r="396" spans="1:10" x14ac:dyDescent="0.2">
      <c r="A396" s="51" t="str">
        <f>IFERROR(VLOOKUP(B396,點上線資訊!A:R,18,0),"")</f>
        <v/>
      </c>
      <c r="B396" s="41">
        <f>'MB51'!A396</f>
        <v>0</v>
      </c>
      <c r="C396" s="60" t="str">
        <f>IFERROR(VLOOKUP(B396,'MB51'!A:I,9,0),"")</f>
        <v/>
      </c>
      <c r="D396" s="61" t="str">
        <f>IFERROR(VLOOKUP(B396,'MB51'!A:J,10,0),"")</f>
        <v/>
      </c>
      <c r="E396" s="62" t="str">
        <f>IFERROR(VLOOKUP(B396,'MB51'!A:K,11,0),"")</f>
        <v/>
      </c>
      <c r="F396" s="42" t="str">
        <f>IFERROR(VLOOKUP(B396,'MB51'!A:F,6,0),"")</f>
        <v/>
      </c>
      <c r="G396" s="17" t="str">
        <f t="shared" si="18"/>
        <v>點揀料單</v>
      </c>
      <c r="H396" s="17">
        <f t="shared" si="19"/>
        <v>0</v>
      </c>
      <c r="I396" t="str">
        <f t="shared" si="20"/>
        <v/>
      </c>
      <c r="J396" t="str">
        <f>SUBSTITUTE(IF(COUNTIF(I$2:I396,I396)&gt;1,"",1)," ","")</f>
        <v/>
      </c>
    </row>
    <row r="397" spans="1:10" x14ac:dyDescent="0.2">
      <c r="A397" s="51" t="str">
        <f>IFERROR(VLOOKUP(B397,點上線資訊!A:R,18,0),"")</f>
        <v/>
      </c>
      <c r="B397" s="41">
        <f>'MB51'!A397</f>
        <v>0</v>
      </c>
      <c r="C397" s="60" t="str">
        <f>IFERROR(VLOOKUP(B397,'MB51'!A:I,9,0),"")</f>
        <v/>
      </c>
      <c r="D397" s="61" t="str">
        <f>IFERROR(VLOOKUP(B397,'MB51'!A:J,10,0),"")</f>
        <v/>
      </c>
      <c r="E397" s="62" t="str">
        <f>IFERROR(VLOOKUP(B397,'MB51'!A:K,11,0),"")</f>
        <v/>
      </c>
      <c r="F397" s="42" t="str">
        <f>IFERROR(VLOOKUP(B397,'MB51'!A:F,6,0),"")</f>
        <v/>
      </c>
      <c r="G397" s="17" t="str">
        <f t="shared" si="18"/>
        <v>點揀料單</v>
      </c>
      <c r="H397" s="17">
        <f t="shared" si="19"/>
        <v>0</v>
      </c>
      <c r="I397" t="str">
        <f t="shared" si="20"/>
        <v/>
      </c>
      <c r="J397" t="str">
        <f>SUBSTITUTE(IF(COUNTIF(I$2:I397,I397)&gt;1,"",1)," ","")</f>
        <v/>
      </c>
    </row>
    <row r="398" spans="1:10" x14ac:dyDescent="0.2">
      <c r="A398" s="51" t="str">
        <f>IFERROR(VLOOKUP(B398,點上線資訊!A:R,18,0),"")</f>
        <v/>
      </c>
      <c r="B398" s="41">
        <f>'MB51'!A398</f>
        <v>0</v>
      </c>
      <c r="C398" s="60" t="str">
        <f>IFERROR(VLOOKUP(B398,'MB51'!A:I,9,0),"")</f>
        <v/>
      </c>
      <c r="D398" s="61" t="str">
        <f>IFERROR(VLOOKUP(B398,'MB51'!A:J,10,0),"")</f>
        <v/>
      </c>
      <c r="E398" s="62" t="str">
        <f>IFERROR(VLOOKUP(B398,'MB51'!A:K,11,0),"")</f>
        <v/>
      </c>
      <c r="F398" s="42" t="str">
        <f>IFERROR(VLOOKUP(B398,'MB51'!A:F,6,0),"")</f>
        <v/>
      </c>
      <c r="G398" s="17" t="str">
        <f t="shared" si="18"/>
        <v>點揀料單</v>
      </c>
      <c r="H398" s="17">
        <f t="shared" si="19"/>
        <v>0</v>
      </c>
      <c r="I398" t="str">
        <f t="shared" si="20"/>
        <v/>
      </c>
      <c r="J398" t="str">
        <f>SUBSTITUTE(IF(COUNTIF(I$2:I398,I398)&gt;1,"",1)," ","")</f>
        <v/>
      </c>
    </row>
    <row r="399" spans="1:10" x14ac:dyDescent="0.2">
      <c r="A399" s="51" t="str">
        <f>IFERROR(VLOOKUP(B399,點上線資訊!A:R,18,0),"")</f>
        <v/>
      </c>
      <c r="B399" s="41">
        <f>'MB51'!A399</f>
        <v>0</v>
      </c>
      <c r="C399" s="60" t="str">
        <f>IFERROR(VLOOKUP(B399,'MB51'!A:I,9,0),"")</f>
        <v/>
      </c>
      <c r="D399" s="61" t="str">
        <f>IFERROR(VLOOKUP(B399,'MB51'!A:J,10,0),"")</f>
        <v/>
      </c>
      <c r="E399" s="62" t="str">
        <f>IFERROR(VLOOKUP(B399,'MB51'!A:K,11,0),"")</f>
        <v/>
      </c>
      <c r="F399" s="42" t="str">
        <f>IFERROR(VLOOKUP(B399,'MB51'!A:F,6,0),"")</f>
        <v/>
      </c>
      <c r="G399" s="17" t="str">
        <f t="shared" si="18"/>
        <v>點揀料單</v>
      </c>
      <c r="H399" s="17">
        <f t="shared" si="19"/>
        <v>0</v>
      </c>
      <c r="I399" t="str">
        <f t="shared" si="20"/>
        <v/>
      </c>
      <c r="J399" t="str">
        <f>SUBSTITUTE(IF(COUNTIF(I$2:I399,I399)&gt;1,"",1)," ","")</f>
        <v/>
      </c>
    </row>
    <row r="400" spans="1:10" x14ac:dyDescent="0.2">
      <c r="A400" s="51" t="str">
        <f>IFERROR(VLOOKUP(B400,點上線資訊!A:R,18,0),"")</f>
        <v/>
      </c>
      <c r="B400" s="41">
        <f>'MB51'!A400</f>
        <v>0</v>
      </c>
      <c r="C400" s="60" t="str">
        <f>IFERROR(VLOOKUP(B400,'MB51'!A:I,9,0),"")</f>
        <v/>
      </c>
      <c r="D400" s="61" t="str">
        <f>IFERROR(VLOOKUP(B400,'MB51'!A:J,10,0),"")</f>
        <v/>
      </c>
      <c r="E400" s="62" t="str">
        <f>IFERROR(VLOOKUP(B400,'MB51'!A:K,11,0),"")</f>
        <v/>
      </c>
      <c r="F400" s="42" t="str">
        <f>IFERROR(VLOOKUP(B400,'MB51'!A:F,6,0),"")</f>
        <v/>
      </c>
      <c r="G400" s="17" t="str">
        <f t="shared" si="18"/>
        <v>點揀料單</v>
      </c>
      <c r="H400" s="17">
        <f t="shared" si="19"/>
        <v>0</v>
      </c>
      <c r="I400" t="str">
        <f t="shared" si="20"/>
        <v/>
      </c>
      <c r="J400" t="str">
        <f>SUBSTITUTE(IF(COUNTIF(I$2:I400,I400)&gt;1,"",1)," ","")</f>
        <v/>
      </c>
    </row>
    <row r="401" spans="1:10" x14ac:dyDescent="0.2">
      <c r="A401" s="51" t="str">
        <f>IFERROR(VLOOKUP(B401,點上線資訊!A:R,18,0),"")</f>
        <v/>
      </c>
      <c r="B401" s="41">
        <f>'MB51'!A401</f>
        <v>0</v>
      </c>
      <c r="C401" s="60" t="str">
        <f>IFERROR(VLOOKUP(B401,'MB51'!A:I,9,0),"")</f>
        <v/>
      </c>
      <c r="D401" s="61" t="str">
        <f>IFERROR(VLOOKUP(B401,'MB51'!A:J,10,0),"")</f>
        <v/>
      </c>
      <c r="E401" s="62" t="str">
        <f>IFERROR(VLOOKUP(B401,'MB51'!A:K,11,0),"")</f>
        <v/>
      </c>
      <c r="F401" s="42" t="str">
        <f>IFERROR(VLOOKUP(B401,'MB51'!A:F,6,0),"")</f>
        <v/>
      </c>
      <c r="G401" s="17" t="str">
        <f t="shared" si="18"/>
        <v>點揀料單</v>
      </c>
      <c r="H401" s="17">
        <f t="shared" si="19"/>
        <v>0</v>
      </c>
      <c r="I401" t="str">
        <f t="shared" si="20"/>
        <v/>
      </c>
      <c r="J401" t="str">
        <f>SUBSTITUTE(IF(COUNTIF(I$2:I401,I401)&gt;1,"",1)," ","")</f>
        <v/>
      </c>
    </row>
    <row r="402" spans="1:10" x14ac:dyDescent="0.2">
      <c r="A402" s="51" t="str">
        <f>IFERROR(VLOOKUP(B402,點上線資訊!A:R,18,0),"")</f>
        <v/>
      </c>
      <c r="B402" s="41">
        <f>'MB51'!A402</f>
        <v>0</v>
      </c>
      <c r="C402" s="60" t="str">
        <f>IFERROR(VLOOKUP(B402,'MB51'!A:I,9,0),"")</f>
        <v/>
      </c>
      <c r="D402" s="61" t="str">
        <f>IFERROR(VLOOKUP(B402,'MB51'!A:J,10,0),"")</f>
        <v/>
      </c>
      <c r="E402" s="62" t="str">
        <f>IFERROR(VLOOKUP(B402,'MB51'!A:K,11,0),"")</f>
        <v/>
      </c>
      <c r="F402" s="42" t="str">
        <f>IFERROR(VLOOKUP(B402,'MB51'!A:F,6,0),"")</f>
        <v/>
      </c>
      <c r="G402" s="17" t="str">
        <f t="shared" si="18"/>
        <v>點揀料單</v>
      </c>
      <c r="H402" s="17">
        <f t="shared" si="19"/>
        <v>0</v>
      </c>
      <c r="I402" t="str">
        <f t="shared" si="20"/>
        <v/>
      </c>
      <c r="J402" t="str">
        <f>SUBSTITUTE(IF(COUNTIF(I$2:I402,I402)&gt;1,"",1)," ","")</f>
        <v/>
      </c>
    </row>
    <row r="403" spans="1:10" x14ac:dyDescent="0.2">
      <c r="A403" s="51" t="str">
        <f>IFERROR(VLOOKUP(B403,點上線資訊!A:R,18,0),"")</f>
        <v/>
      </c>
      <c r="B403" s="41">
        <f>'MB51'!A403</f>
        <v>0</v>
      </c>
      <c r="C403" s="60" t="str">
        <f>IFERROR(VLOOKUP(B403,'MB51'!A:I,9,0),"")</f>
        <v/>
      </c>
      <c r="D403" s="61" t="str">
        <f>IFERROR(VLOOKUP(B403,'MB51'!A:J,10,0),"")</f>
        <v/>
      </c>
      <c r="E403" s="62" t="str">
        <f>IFERROR(VLOOKUP(B403,'MB51'!A:K,11,0),"")</f>
        <v/>
      </c>
      <c r="F403" s="42" t="str">
        <f>IFERROR(VLOOKUP(B403,'MB51'!A:F,6,0),"")</f>
        <v/>
      </c>
      <c r="G403" s="17" t="str">
        <f t="shared" si="18"/>
        <v>點揀料單</v>
      </c>
      <c r="H403" s="17">
        <f t="shared" si="19"/>
        <v>0</v>
      </c>
      <c r="I403" t="str">
        <f t="shared" si="20"/>
        <v/>
      </c>
      <c r="J403" t="str">
        <f>SUBSTITUTE(IF(COUNTIF(I$2:I403,I403)&gt;1,"",1)," ","")</f>
        <v/>
      </c>
    </row>
    <row r="404" spans="1:10" x14ac:dyDescent="0.2">
      <c r="A404" s="51" t="str">
        <f>IFERROR(VLOOKUP(B404,點上線資訊!A:R,18,0),"")</f>
        <v/>
      </c>
      <c r="B404" s="41">
        <f>'MB51'!A404</f>
        <v>0</v>
      </c>
      <c r="C404" s="60" t="str">
        <f>IFERROR(VLOOKUP(B404,'MB51'!A:I,9,0),"")</f>
        <v/>
      </c>
      <c r="D404" s="61" t="str">
        <f>IFERROR(VLOOKUP(B404,'MB51'!A:J,10,0),"")</f>
        <v/>
      </c>
      <c r="E404" s="62" t="str">
        <f>IFERROR(VLOOKUP(B404,'MB51'!A:K,11,0),"")</f>
        <v/>
      </c>
      <c r="F404" s="42" t="str">
        <f>IFERROR(VLOOKUP(B404,'MB51'!A:F,6,0),"")</f>
        <v/>
      </c>
      <c r="G404" s="17" t="str">
        <f t="shared" si="18"/>
        <v>點揀料單</v>
      </c>
      <c r="H404" s="17">
        <f t="shared" si="19"/>
        <v>0</v>
      </c>
      <c r="I404" t="str">
        <f t="shared" si="20"/>
        <v/>
      </c>
      <c r="J404" t="str">
        <f>SUBSTITUTE(IF(COUNTIF(I$2:I404,I404)&gt;1,"",1)," ","")</f>
        <v/>
      </c>
    </row>
    <row r="405" spans="1:10" x14ac:dyDescent="0.2">
      <c r="A405" s="51" t="str">
        <f>IFERROR(VLOOKUP(B405,點上線資訊!A:R,18,0),"")</f>
        <v/>
      </c>
      <c r="B405" s="41">
        <f>'MB51'!A405</f>
        <v>0</v>
      </c>
      <c r="C405" s="60" t="str">
        <f>IFERROR(VLOOKUP(B405,'MB51'!A:I,9,0),"")</f>
        <v/>
      </c>
      <c r="D405" s="61" t="str">
        <f>IFERROR(VLOOKUP(B405,'MB51'!A:J,10,0),"")</f>
        <v/>
      </c>
      <c r="E405" s="62" t="str">
        <f>IFERROR(VLOOKUP(B405,'MB51'!A:K,11,0),"")</f>
        <v/>
      </c>
      <c r="F405" s="42" t="str">
        <f>IFERROR(VLOOKUP(B405,'MB51'!A:F,6,0),"")</f>
        <v/>
      </c>
      <c r="G405" s="17" t="str">
        <f t="shared" si="18"/>
        <v>點揀料單</v>
      </c>
      <c r="H405" s="17">
        <f t="shared" si="19"/>
        <v>0</v>
      </c>
      <c r="I405" t="str">
        <f t="shared" si="20"/>
        <v/>
      </c>
      <c r="J405" t="str">
        <f>SUBSTITUTE(IF(COUNTIF(I$2:I405,I405)&gt;1,"",1)," ","")</f>
        <v/>
      </c>
    </row>
    <row r="406" spans="1:10" x14ac:dyDescent="0.2">
      <c r="A406" s="51" t="str">
        <f>IFERROR(VLOOKUP(B406,點上線資訊!A:R,18,0),"")</f>
        <v/>
      </c>
      <c r="B406" s="41">
        <f>'MB51'!A406</f>
        <v>0</v>
      </c>
      <c r="C406" s="60" t="str">
        <f>IFERROR(VLOOKUP(B406,'MB51'!A:I,9,0),"")</f>
        <v/>
      </c>
      <c r="D406" s="61" t="str">
        <f>IFERROR(VLOOKUP(B406,'MB51'!A:J,10,0),"")</f>
        <v/>
      </c>
      <c r="E406" s="62" t="str">
        <f>IFERROR(VLOOKUP(B406,'MB51'!A:K,11,0),"")</f>
        <v/>
      </c>
      <c r="F406" s="42" t="str">
        <f>IFERROR(VLOOKUP(B406,'MB51'!A:F,6,0),"")</f>
        <v/>
      </c>
      <c r="G406" s="17" t="str">
        <f t="shared" si="18"/>
        <v>點揀料單</v>
      </c>
      <c r="H406" s="17">
        <f t="shared" si="19"/>
        <v>0</v>
      </c>
      <c r="I406" t="str">
        <f t="shared" si="20"/>
        <v/>
      </c>
      <c r="J406" t="str">
        <f>SUBSTITUTE(IF(COUNTIF(I$2:I406,I406)&gt;1,"",1)," ","")</f>
        <v/>
      </c>
    </row>
    <row r="407" spans="1:10" x14ac:dyDescent="0.2">
      <c r="A407" s="51" t="str">
        <f>IFERROR(VLOOKUP(B407,點上線資訊!A:R,18,0),"")</f>
        <v/>
      </c>
      <c r="B407" s="41">
        <f>'MB51'!A407</f>
        <v>0</v>
      </c>
      <c r="C407" s="60" t="str">
        <f>IFERROR(VLOOKUP(B407,'MB51'!A:I,9,0),"")</f>
        <v/>
      </c>
      <c r="D407" s="61" t="str">
        <f>IFERROR(VLOOKUP(B407,'MB51'!A:J,10,0),"")</f>
        <v/>
      </c>
      <c r="E407" s="62" t="str">
        <f>IFERROR(VLOOKUP(B407,'MB51'!A:K,11,0),"")</f>
        <v/>
      </c>
      <c r="F407" s="42" t="str">
        <f>IFERROR(VLOOKUP(B407,'MB51'!A:F,6,0),"")</f>
        <v/>
      </c>
      <c r="G407" s="17" t="str">
        <f t="shared" si="18"/>
        <v>點揀料單</v>
      </c>
      <c r="H407" s="17">
        <f t="shared" si="19"/>
        <v>0</v>
      </c>
      <c r="I407" t="str">
        <f t="shared" si="20"/>
        <v/>
      </c>
      <c r="J407" t="str">
        <f>SUBSTITUTE(IF(COUNTIF(I$2:I407,I407)&gt;1,"",1)," ","")</f>
        <v/>
      </c>
    </row>
    <row r="408" spans="1:10" x14ac:dyDescent="0.2">
      <c r="A408" s="51" t="str">
        <f>IFERROR(VLOOKUP(B408,點上線資訊!A:R,18,0),"")</f>
        <v/>
      </c>
      <c r="B408" s="41">
        <f>'MB51'!A408</f>
        <v>0</v>
      </c>
      <c r="C408" s="60" t="str">
        <f>IFERROR(VLOOKUP(B408,'MB51'!A:I,9,0),"")</f>
        <v/>
      </c>
      <c r="D408" s="61" t="str">
        <f>IFERROR(VLOOKUP(B408,'MB51'!A:J,10,0),"")</f>
        <v/>
      </c>
      <c r="E408" s="62" t="str">
        <f>IFERROR(VLOOKUP(B408,'MB51'!A:K,11,0),"")</f>
        <v/>
      </c>
      <c r="F408" s="42" t="str">
        <f>IFERROR(VLOOKUP(B408,'MB51'!A:F,6,0),"")</f>
        <v/>
      </c>
      <c r="G408" s="17" t="str">
        <f t="shared" si="18"/>
        <v>點揀料單</v>
      </c>
      <c r="H408" s="17">
        <f t="shared" si="19"/>
        <v>0</v>
      </c>
      <c r="I408" t="str">
        <f t="shared" si="20"/>
        <v/>
      </c>
      <c r="J408" t="str">
        <f>SUBSTITUTE(IF(COUNTIF(I$2:I408,I408)&gt;1,"",1)," ","")</f>
        <v/>
      </c>
    </row>
    <row r="409" spans="1:10" x14ac:dyDescent="0.2">
      <c r="A409" s="51" t="str">
        <f>IFERROR(VLOOKUP(B409,點上線資訊!A:R,18,0),"")</f>
        <v/>
      </c>
      <c r="B409" s="41">
        <f>'MB51'!A409</f>
        <v>0</v>
      </c>
      <c r="C409" s="60" t="str">
        <f>IFERROR(VLOOKUP(B409,'MB51'!A:I,9,0),"")</f>
        <v/>
      </c>
      <c r="D409" s="61" t="str">
        <f>IFERROR(VLOOKUP(B409,'MB51'!A:J,10,0),"")</f>
        <v/>
      </c>
      <c r="E409" s="62" t="str">
        <f>IFERROR(VLOOKUP(B409,'MB51'!A:K,11,0),"")</f>
        <v/>
      </c>
      <c r="F409" s="42" t="str">
        <f>IFERROR(VLOOKUP(B409,'MB51'!A:F,6,0),"")</f>
        <v/>
      </c>
      <c r="G409" s="17" t="str">
        <f t="shared" si="18"/>
        <v>點揀料單</v>
      </c>
      <c r="H409" s="17">
        <f t="shared" si="19"/>
        <v>0</v>
      </c>
      <c r="I409" t="str">
        <f t="shared" si="20"/>
        <v/>
      </c>
      <c r="J409" t="str">
        <f>SUBSTITUTE(IF(COUNTIF(I$2:I409,I409)&gt;1,"",1)," ","")</f>
        <v/>
      </c>
    </row>
    <row r="410" spans="1:10" x14ac:dyDescent="0.2">
      <c r="A410" s="51" t="str">
        <f>IFERROR(VLOOKUP(B410,點上線資訊!A:R,18,0),"")</f>
        <v/>
      </c>
      <c r="B410" s="41">
        <f>'MB51'!A410</f>
        <v>0</v>
      </c>
      <c r="C410" s="60" t="str">
        <f>IFERROR(VLOOKUP(B410,'MB51'!A:I,9,0),"")</f>
        <v/>
      </c>
      <c r="D410" s="61" t="str">
        <f>IFERROR(VLOOKUP(B410,'MB51'!A:J,10,0),"")</f>
        <v/>
      </c>
      <c r="E410" s="62" t="str">
        <f>IFERROR(VLOOKUP(B410,'MB51'!A:K,11,0),"")</f>
        <v/>
      </c>
      <c r="F410" s="42" t="str">
        <f>IFERROR(VLOOKUP(B410,'MB51'!A:F,6,0),"")</f>
        <v/>
      </c>
      <c r="G410" s="17" t="str">
        <f t="shared" si="18"/>
        <v>點揀料單</v>
      </c>
      <c r="H410" s="17">
        <f t="shared" si="19"/>
        <v>0</v>
      </c>
      <c r="I410" t="str">
        <f t="shared" si="20"/>
        <v/>
      </c>
      <c r="J410" t="str">
        <f>SUBSTITUTE(IF(COUNTIF(I$2:I410,I410)&gt;1,"",1)," ","")</f>
        <v/>
      </c>
    </row>
    <row r="411" spans="1:10" x14ac:dyDescent="0.2">
      <c r="A411" s="51" t="str">
        <f>IFERROR(VLOOKUP(B411,點上線資訊!A:R,18,0),"")</f>
        <v/>
      </c>
      <c r="B411" s="41">
        <f>'MB51'!A411</f>
        <v>0</v>
      </c>
      <c r="C411" s="60" t="str">
        <f>IFERROR(VLOOKUP(B411,'MB51'!A:I,9,0),"")</f>
        <v/>
      </c>
      <c r="D411" s="61" t="str">
        <f>IFERROR(VLOOKUP(B411,'MB51'!A:J,10,0),"")</f>
        <v/>
      </c>
      <c r="E411" s="62" t="str">
        <f>IFERROR(VLOOKUP(B411,'MB51'!A:K,11,0),"")</f>
        <v/>
      </c>
      <c r="F411" s="42" t="str">
        <f>IFERROR(VLOOKUP(B411,'MB51'!A:F,6,0),"")</f>
        <v/>
      </c>
      <c r="G411" s="17" t="str">
        <f t="shared" si="18"/>
        <v>點揀料單</v>
      </c>
      <c r="H411" s="17">
        <f t="shared" si="19"/>
        <v>0</v>
      </c>
      <c r="I411" t="str">
        <f t="shared" si="20"/>
        <v/>
      </c>
      <c r="J411" t="str">
        <f>SUBSTITUTE(IF(COUNTIF(I$2:I411,I411)&gt;1,"",1)," ","")</f>
        <v/>
      </c>
    </row>
    <row r="412" spans="1:10" x14ac:dyDescent="0.2">
      <c r="A412" s="51" t="str">
        <f>IFERROR(VLOOKUP(B412,點上線資訊!A:R,18,0),"")</f>
        <v/>
      </c>
      <c r="B412" s="41">
        <f>'MB51'!A412</f>
        <v>0</v>
      </c>
      <c r="C412" s="60" t="str">
        <f>IFERROR(VLOOKUP(B412,'MB51'!A:I,9,0),"")</f>
        <v/>
      </c>
      <c r="D412" s="61" t="str">
        <f>IFERROR(VLOOKUP(B412,'MB51'!A:J,10,0),"")</f>
        <v/>
      </c>
      <c r="E412" s="62" t="str">
        <f>IFERROR(VLOOKUP(B412,'MB51'!A:K,11,0),"")</f>
        <v/>
      </c>
      <c r="F412" s="42" t="str">
        <f>IFERROR(VLOOKUP(B412,'MB51'!A:F,6,0),"")</f>
        <v/>
      </c>
      <c r="G412" s="17" t="str">
        <f t="shared" si="18"/>
        <v>點揀料單</v>
      </c>
      <c r="H412" s="17">
        <f t="shared" si="19"/>
        <v>0</v>
      </c>
      <c r="I412" t="str">
        <f t="shared" si="20"/>
        <v/>
      </c>
      <c r="J412" t="str">
        <f>SUBSTITUTE(IF(COUNTIF(I$2:I412,I412)&gt;1,"",1)," ","")</f>
        <v/>
      </c>
    </row>
    <row r="413" spans="1:10" x14ac:dyDescent="0.2">
      <c r="A413" s="51" t="str">
        <f>IFERROR(VLOOKUP(B413,點上線資訊!A:R,18,0),"")</f>
        <v/>
      </c>
      <c r="B413" s="41">
        <f>'MB51'!A413</f>
        <v>0</v>
      </c>
      <c r="C413" s="60" t="str">
        <f>IFERROR(VLOOKUP(B413,'MB51'!A:I,9,0),"")</f>
        <v/>
      </c>
      <c r="D413" s="61" t="str">
        <f>IFERROR(VLOOKUP(B413,'MB51'!A:J,10,0),"")</f>
        <v/>
      </c>
      <c r="E413" s="62" t="str">
        <f>IFERROR(VLOOKUP(B413,'MB51'!A:K,11,0),"")</f>
        <v/>
      </c>
      <c r="F413" s="42" t="str">
        <f>IFERROR(VLOOKUP(B413,'MB51'!A:F,6,0),"")</f>
        <v/>
      </c>
      <c r="G413" s="17" t="str">
        <f t="shared" si="18"/>
        <v>點揀料單</v>
      </c>
      <c r="H413" s="17">
        <f t="shared" si="19"/>
        <v>0</v>
      </c>
      <c r="I413" t="str">
        <f t="shared" si="20"/>
        <v/>
      </c>
      <c r="J413" t="str">
        <f>SUBSTITUTE(IF(COUNTIF(I$2:I413,I413)&gt;1,"",1)," ","")</f>
        <v/>
      </c>
    </row>
    <row r="414" spans="1:10" x14ac:dyDescent="0.2">
      <c r="A414" s="51" t="str">
        <f>IFERROR(VLOOKUP(B414,點上線資訊!A:R,18,0),"")</f>
        <v/>
      </c>
      <c r="B414" s="41">
        <f>'MB51'!A414</f>
        <v>0</v>
      </c>
      <c r="C414" s="60" t="str">
        <f>IFERROR(VLOOKUP(B414,'MB51'!A:I,9,0),"")</f>
        <v/>
      </c>
      <c r="D414" s="61" t="str">
        <f>IFERROR(VLOOKUP(B414,'MB51'!A:J,10,0),"")</f>
        <v/>
      </c>
      <c r="E414" s="62" t="str">
        <f>IFERROR(VLOOKUP(B414,'MB51'!A:K,11,0),"")</f>
        <v/>
      </c>
      <c r="F414" s="42" t="str">
        <f>IFERROR(VLOOKUP(B414,'MB51'!A:F,6,0),"")</f>
        <v/>
      </c>
      <c r="G414" s="17" t="str">
        <f t="shared" si="18"/>
        <v>點揀料單</v>
      </c>
      <c r="H414" s="17">
        <f t="shared" si="19"/>
        <v>0</v>
      </c>
      <c r="I414" t="str">
        <f t="shared" si="20"/>
        <v/>
      </c>
      <c r="J414" t="str">
        <f>SUBSTITUTE(IF(COUNTIF(I$2:I414,I414)&gt;1,"",1)," ","")</f>
        <v/>
      </c>
    </row>
    <row r="415" spans="1:10" x14ac:dyDescent="0.2">
      <c r="A415" s="51" t="str">
        <f>IFERROR(VLOOKUP(B415,點上線資訊!A:R,18,0),"")</f>
        <v/>
      </c>
      <c r="B415" s="41">
        <f>'MB51'!A415</f>
        <v>0</v>
      </c>
      <c r="C415" s="60" t="str">
        <f>IFERROR(VLOOKUP(B415,'MB51'!A:I,9,0),"")</f>
        <v/>
      </c>
      <c r="D415" s="61" t="str">
        <f>IFERROR(VLOOKUP(B415,'MB51'!A:J,10,0),"")</f>
        <v/>
      </c>
      <c r="E415" s="62" t="str">
        <f>IFERROR(VLOOKUP(B415,'MB51'!A:K,11,0),"")</f>
        <v/>
      </c>
      <c r="F415" s="42" t="str">
        <f>IFERROR(VLOOKUP(B415,'MB51'!A:F,6,0),"")</f>
        <v/>
      </c>
      <c r="G415" s="17" t="str">
        <f t="shared" si="18"/>
        <v>點揀料單</v>
      </c>
      <c r="H415" s="17">
        <f t="shared" si="19"/>
        <v>0</v>
      </c>
      <c r="I415" t="str">
        <f t="shared" si="20"/>
        <v/>
      </c>
      <c r="J415" t="str">
        <f>SUBSTITUTE(IF(COUNTIF(I$2:I415,I415)&gt;1,"",1)," ","")</f>
        <v/>
      </c>
    </row>
    <row r="416" spans="1:10" x14ac:dyDescent="0.2">
      <c r="A416" s="51" t="str">
        <f>IFERROR(VLOOKUP(B416,點上線資訊!A:R,18,0),"")</f>
        <v/>
      </c>
      <c r="B416" s="41">
        <f>'MB51'!A416</f>
        <v>0</v>
      </c>
      <c r="C416" s="60" t="str">
        <f>IFERROR(VLOOKUP(B416,'MB51'!A:I,9,0),"")</f>
        <v/>
      </c>
      <c r="D416" s="61" t="str">
        <f>IFERROR(VLOOKUP(B416,'MB51'!A:J,10,0),"")</f>
        <v/>
      </c>
      <c r="E416" s="62" t="str">
        <f>IFERROR(VLOOKUP(B416,'MB51'!A:K,11,0),"")</f>
        <v/>
      </c>
      <c r="F416" s="42" t="str">
        <f>IFERROR(VLOOKUP(B416,'MB51'!A:F,6,0),"")</f>
        <v/>
      </c>
      <c r="G416" s="17" t="str">
        <f t="shared" si="18"/>
        <v>點揀料單</v>
      </c>
      <c r="H416" s="17">
        <f t="shared" si="19"/>
        <v>0</v>
      </c>
      <c r="I416" t="str">
        <f t="shared" si="20"/>
        <v/>
      </c>
      <c r="J416" t="str">
        <f>SUBSTITUTE(IF(COUNTIF(I$2:I416,I416)&gt;1,"",1)," ","")</f>
        <v/>
      </c>
    </row>
    <row r="417" spans="1:10" x14ac:dyDescent="0.2">
      <c r="A417" s="51" t="str">
        <f>IFERROR(VLOOKUP(B417,點上線資訊!A:R,18,0),"")</f>
        <v/>
      </c>
      <c r="B417" s="41">
        <f>'MB51'!A417</f>
        <v>0</v>
      </c>
      <c r="C417" s="60" t="str">
        <f>IFERROR(VLOOKUP(B417,'MB51'!A:I,9,0),"")</f>
        <v/>
      </c>
      <c r="D417" s="61" t="str">
        <f>IFERROR(VLOOKUP(B417,'MB51'!A:J,10,0),"")</f>
        <v/>
      </c>
      <c r="E417" s="62" t="str">
        <f>IFERROR(VLOOKUP(B417,'MB51'!A:K,11,0),"")</f>
        <v/>
      </c>
      <c r="F417" s="42" t="str">
        <f>IFERROR(VLOOKUP(B417,'MB51'!A:F,6,0),"")</f>
        <v/>
      </c>
      <c r="G417" s="17" t="str">
        <f t="shared" si="18"/>
        <v>點揀料單</v>
      </c>
      <c r="H417" s="17">
        <f t="shared" si="19"/>
        <v>0</v>
      </c>
      <c r="I417" t="str">
        <f t="shared" si="20"/>
        <v/>
      </c>
      <c r="J417" t="str">
        <f>SUBSTITUTE(IF(COUNTIF(I$2:I417,I417)&gt;1,"",1)," ","")</f>
        <v/>
      </c>
    </row>
    <row r="418" spans="1:10" x14ac:dyDescent="0.2">
      <c r="A418" s="51" t="str">
        <f>IFERROR(VLOOKUP(B418,點上線資訊!A:R,18,0),"")</f>
        <v/>
      </c>
      <c r="B418" s="41">
        <f>'MB51'!A418</f>
        <v>0</v>
      </c>
      <c r="C418" s="60" t="str">
        <f>IFERROR(VLOOKUP(B418,'MB51'!A:I,9,0),"")</f>
        <v/>
      </c>
      <c r="D418" s="61" t="str">
        <f>IFERROR(VLOOKUP(B418,'MB51'!A:J,10,0),"")</f>
        <v/>
      </c>
      <c r="E418" s="62" t="str">
        <f>IFERROR(VLOOKUP(B418,'MB51'!A:K,11,0),"")</f>
        <v/>
      </c>
      <c r="F418" s="42" t="str">
        <f>IFERROR(VLOOKUP(B418,'MB51'!A:F,6,0),"")</f>
        <v/>
      </c>
      <c r="G418" s="17" t="str">
        <f t="shared" si="18"/>
        <v>點揀料單</v>
      </c>
      <c r="H418" s="17">
        <f t="shared" si="19"/>
        <v>0</v>
      </c>
      <c r="I418" t="str">
        <f t="shared" si="20"/>
        <v/>
      </c>
      <c r="J418" t="str">
        <f>SUBSTITUTE(IF(COUNTIF(I$2:I418,I418)&gt;1,"",1)," ","")</f>
        <v/>
      </c>
    </row>
    <row r="419" spans="1:10" x14ac:dyDescent="0.2">
      <c r="A419" s="51" t="str">
        <f>IFERROR(VLOOKUP(B419,點上線資訊!A:R,18,0),"")</f>
        <v/>
      </c>
      <c r="B419" s="41">
        <f>'MB51'!A419</f>
        <v>0</v>
      </c>
      <c r="C419" s="60" t="str">
        <f>IFERROR(VLOOKUP(B419,'MB51'!A:I,9,0),"")</f>
        <v/>
      </c>
      <c r="D419" s="61" t="str">
        <f>IFERROR(VLOOKUP(B419,'MB51'!A:J,10,0),"")</f>
        <v/>
      </c>
      <c r="E419" s="62" t="str">
        <f>IFERROR(VLOOKUP(B419,'MB51'!A:K,11,0),"")</f>
        <v/>
      </c>
      <c r="F419" s="42" t="str">
        <f>IFERROR(VLOOKUP(B419,'MB51'!A:F,6,0),"")</f>
        <v/>
      </c>
      <c r="G419" s="17" t="str">
        <f t="shared" si="18"/>
        <v>點揀料單</v>
      </c>
      <c r="H419" s="17">
        <f t="shared" si="19"/>
        <v>0</v>
      </c>
      <c r="I419" t="str">
        <f t="shared" si="20"/>
        <v/>
      </c>
      <c r="J419" t="str">
        <f>SUBSTITUTE(IF(COUNTIF(I$2:I419,I419)&gt;1,"",1)," ","")</f>
        <v/>
      </c>
    </row>
    <row r="420" spans="1:10" x14ac:dyDescent="0.2">
      <c r="A420" s="51" t="str">
        <f>IFERROR(VLOOKUP(B420,點上線資訊!A:R,18,0),"")</f>
        <v/>
      </c>
      <c r="B420" s="41">
        <f>'MB51'!A420</f>
        <v>0</v>
      </c>
      <c r="C420" s="60" t="str">
        <f>IFERROR(VLOOKUP(B420,'MB51'!A:I,9,0),"")</f>
        <v/>
      </c>
      <c r="D420" s="61" t="str">
        <f>IFERROR(VLOOKUP(B420,'MB51'!A:J,10,0),"")</f>
        <v/>
      </c>
      <c r="E420" s="62" t="str">
        <f>IFERROR(VLOOKUP(B420,'MB51'!A:K,11,0),"")</f>
        <v/>
      </c>
      <c r="F420" s="42" t="str">
        <f>IFERROR(VLOOKUP(B420,'MB51'!A:F,6,0),"")</f>
        <v/>
      </c>
      <c r="G420" s="17" t="str">
        <f t="shared" si="18"/>
        <v>點揀料單</v>
      </c>
      <c r="H420" s="17">
        <f t="shared" si="19"/>
        <v>0</v>
      </c>
      <c r="I420" t="str">
        <f t="shared" si="20"/>
        <v/>
      </c>
      <c r="J420" t="str">
        <f>SUBSTITUTE(IF(COUNTIF(I$2:I420,I420)&gt;1,"",1)," ","")</f>
        <v/>
      </c>
    </row>
    <row r="421" spans="1:10" x14ac:dyDescent="0.2">
      <c r="A421" s="51" t="str">
        <f>IFERROR(VLOOKUP(B421,點上線資訊!A:R,18,0),"")</f>
        <v/>
      </c>
      <c r="B421" s="41">
        <f>'MB51'!A421</f>
        <v>0</v>
      </c>
      <c r="C421" s="60" t="str">
        <f>IFERROR(VLOOKUP(B421,'MB51'!A:I,9,0),"")</f>
        <v/>
      </c>
      <c r="D421" s="61" t="str">
        <f>IFERROR(VLOOKUP(B421,'MB51'!A:J,10,0),"")</f>
        <v/>
      </c>
      <c r="E421" s="62" t="str">
        <f>IFERROR(VLOOKUP(B421,'MB51'!A:K,11,0),"")</f>
        <v/>
      </c>
      <c r="F421" s="42" t="str">
        <f>IFERROR(VLOOKUP(B421,'MB51'!A:F,6,0),"")</f>
        <v/>
      </c>
      <c r="G421" s="17" t="str">
        <f t="shared" si="18"/>
        <v>點揀料單</v>
      </c>
      <c r="H421" s="17">
        <f t="shared" si="19"/>
        <v>0</v>
      </c>
      <c r="I421" t="str">
        <f t="shared" si="20"/>
        <v/>
      </c>
      <c r="J421" t="str">
        <f>SUBSTITUTE(IF(COUNTIF(I$2:I421,I421)&gt;1,"",1)," ","")</f>
        <v/>
      </c>
    </row>
    <row r="422" spans="1:10" x14ac:dyDescent="0.2">
      <c r="A422" s="51" t="str">
        <f>IFERROR(VLOOKUP(B422,點上線資訊!A:R,18,0),"")</f>
        <v/>
      </c>
      <c r="B422" s="41">
        <f>'MB51'!A422</f>
        <v>0</v>
      </c>
      <c r="C422" s="60" t="str">
        <f>IFERROR(VLOOKUP(B422,'MB51'!A:I,9,0),"")</f>
        <v/>
      </c>
      <c r="D422" s="61" t="str">
        <f>IFERROR(VLOOKUP(B422,'MB51'!A:J,10,0),"")</f>
        <v/>
      </c>
      <c r="E422" s="62" t="str">
        <f>IFERROR(VLOOKUP(B422,'MB51'!A:K,11,0),"")</f>
        <v/>
      </c>
      <c r="F422" s="42" t="str">
        <f>IFERROR(VLOOKUP(B422,'MB51'!A:F,6,0),"")</f>
        <v/>
      </c>
      <c r="G422" s="17" t="str">
        <f t="shared" si="18"/>
        <v>點揀料單</v>
      </c>
      <c r="H422" s="17">
        <f t="shared" si="19"/>
        <v>0</v>
      </c>
      <c r="I422" t="str">
        <f t="shared" si="20"/>
        <v/>
      </c>
      <c r="J422" t="str">
        <f>SUBSTITUTE(IF(COUNTIF(I$2:I422,I422)&gt;1,"",1)," ","")</f>
        <v/>
      </c>
    </row>
    <row r="423" spans="1:10" x14ac:dyDescent="0.2">
      <c r="A423" s="51" t="str">
        <f>IFERROR(VLOOKUP(B423,點上線資訊!A:R,18,0),"")</f>
        <v/>
      </c>
      <c r="B423" s="41">
        <f>'MB51'!A423</f>
        <v>0</v>
      </c>
      <c r="C423" s="60" t="str">
        <f>IFERROR(VLOOKUP(B423,'MB51'!A:I,9,0),"")</f>
        <v/>
      </c>
      <c r="D423" s="61" t="str">
        <f>IFERROR(VLOOKUP(B423,'MB51'!A:J,10,0),"")</f>
        <v/>
      </c>
      <c r="E423" s="62" t="str">
        <f>IFERROR(VLOOKUP(B423,'MB51'!A:K,11,0),"")</f>
        <v/>
      </c>
      <c r="F423" s="42" t="str">
        <f>IFERROR(VLOOKUP(B423,'MB51'!A:F,6,0),"")</f>
        <v/>
      </c>
      <c r="G423" s="17" t="str">
        <f t="shared" si="18"/>
        <v>點揀料單</v>
      </c>
      <c r="H423" s="17">
        <f t="shared" si="19"/>
        <v>0</v>
      </c>
      <c r="I423" t="str">
        <f t="shared" si="20"/>
        <v/>
      </c>
      <c r="J423" t="str">
        <f>SUBSTITUTE(IF(COUNTIF(I$2:I423,I423)&gt;1,"",1)," ","")</f>
        <v/>
      </c>
    </row>
    <row r="424" spans="1:10" x14ac:dyDescent="0.2">
      <c r="A424" s="51" t="str">
        <f>IFERROR(VLOOKUP(B424,點上線資訊!A:R,18,0),"")</f>
        <v/>
      </c>
      <c r="B424" s="41">
        <f>'MB51'!A424</f>
        <v>0</v>
      </c>
      <c r="C424" s="60" t="str">
        <f>IFERROR(VLOOKUP(B424,'MB51'!A:I,9,0),"")</f>
        <v/>
      </c>
      <c r="D424" s="61" t="str">
        <f>IFERROR(VLOOKUP(B424,'MB51'!A:J,10,0),"")</f>
        <v/>
      </c>
      <c r="E424" s="62" t="str">
        <f>IFERROR(VLOOKUP(B424,'MB51'!A:K,11,0),"")</f>
        <v/>
      </c>
      <c r="F424" s="42" t="str">
        <f>IFERROR(VLOOKUP(B424,'MB51'!A:F,6,0),"")</f>
        <v/>
      </c>
      <c r="G424" s="17" t="str">
        <f t="shared" si="18"/>
        <v>點揀料單</v>
      </c>
      <c r="H424" s="17">
        <f t="shared" si="19"/>
        <v>0</v>
      </c>
      <c r="I424" t="str">
        <f t="shared" si="20"/>
        <v/>
      </c>
      <c r="J424" t="str">
        <f>SUBSTITUTE(IF(COUNTIF(I$2:I424,I424)&gt;1,"",1)," ","")</f>
        <v/>
      </c>
    </row>
    <row r="425" spans="1:10" x14ac:dyDescent="0.2">
      <c r="A425" s="51" t="str">
        <f>IFERROR(VLOOKUP(B425,點上線資訊!A:R,18,0),"")</f>
        <v/>
      </c>
      <c r="B425" s="41">
        <f>'MB51'!A425</f>
        <v>0</v>
      </c>
      <c r="C425" s="60" t="str">
        <f>IFERROR(VLOOKUP(B425,'MB51'!A:I,9,0),"")</f>
        <v/>
      </c>
      <c r="D425" s="61" t="str">
        <f>IFERROR(VLOOKUP(B425,'MB51'!A:J,10,0),"")</f>
        <v/>
      </c>
      <c r="E425" s="62" t="str">
        <f>IFERROR(VLOOKUP(B425,'MB51'!A:K,11,0),"")</f>
        <v/>
      </c>
      <c r="F425" s="42" t="str">
        <f>IFERROR(VLOOKUP(B425,'MB51'!A:F,6,0),"")</f>
        <v/>
      </c>
      <c r="G425" s="17" t="str">
        <f t="shared" si="18"/>
        <v>點揀料單</v>
      </c>
      <c r="H425" s="17">
        <f t="shared" si="19"/>
        <v>0</v>
      </c>
      <c r="I425" t="str">
        <f t="shared" si="20"/>
        <v/>
      </c>
      <c r="J425" t="str">
        <f>SUBSTITUTE(IF(COUNTIF(I$2:I425,I425)&gt;1,"",1)," ","")</f>
        <v/>
      </c>
    </row>
    <row r="426" spans="1:10" x14ac:dyDescent="0.2">
      <c r="A426" s="51" t="str">
        <f>IFERROR(VLOOKUP(B426,點上線資訊!A:R,18,0),"")</f>
        <v/>
      </c>
      <c r="B426" s="41">
        <f>'MB51'!A426</f>
        <v>0</v>
      </c>
      <c r="C426" s="60" t="str">
        <f>IFERROR(VLOOKUP(B426,'MB51'!A:I,9,0),"")</f>
        <v/>
      </c>
      <c r="D426" s="61" t="str">
        <f>IFERROR(VLOOKUP(B426,'MB51'!A:J,10,0),"")</f>
        <v/>
      </c>
      <c r="E426" s="62" t="str">
        <f>IFERROR(VLOOKUP(B426,'MB51'!A:K,11,0),"")</f>
        <v/>
      </c>
      <c r="F426" s="42" t="str">
        <f>IFERROR(VLOOKUP(B426,'MB51'!A:F,6,0),"")</f>
        <v/>
      </c>
      <c r="G426" s="17" t="str">
        <f t="shared" si="18"/>
        <v>點揀料單</v>
      </c>
      <c r="H426" s="17">
        <f t="shared" si="19"/>
        <v>0</v>
      </c>
      <c r="I426" t="str">
        <f t="shared" si="20"/>
        <v/>
      </c>
      <c r="J426" t="str">
        <f>SUBSTITUTE(IF(COUNTIF(I$2:I426,I426)&gt;1,"",1)," ","")</f>
        <v/>
      </c>
    </row>
    <row r="427" spans="1:10" x14ac:dyDescent="0.2">
      <c r="A427" s="51" t="str">
        <f>IFERROR(VLOOKUP(B427,點上線資訊!A:R,18,0),"")</f>
        <v/>
      </c>
      <c r="B427" s="41">
        <f>'MB51'!A427</f>
        <v>0</v>
      </c>
      <c r="C427" s="60" t="str">
        <f>IFERROR(VLOOKUP(B427,'MB51'!A:I,9,0),"")</f>
        <v/>
      </c>
      <c r="D427" s="61" t="str">
        <f>IFERROR(VLOOKUP(B427,'MB51'!A:J,10,0),"")</f>
        <v/>
      </c>
      <c r="E427" s="62" t="str">
        <f>IFERROR(VLOOKUP(B427,'MB51'!A:K,11,0),"")</f>
        <v/>
      </c>
      <c r="F427" s="42" t="str">
        <f>IFERROR(VLOOKUP(B427,'MB51'!A:F,6,0),"")</f>
        <v/>
      </c>
      <c r="G427" s="17" t="str">
        <f t="shared" si="18"/>
        <v>點揀料單</v>
      </c>
      <c r="H427" s="17">
        <f t="shared" si="19"/>
        <v>0</v>
      </c>
      <c r="I427" t="str">
        <f t="shared" si="20"/>
        <v/>
      </c>
      <c r="J427" t="str">
        <f>SUBSTITUTE(IF(COUNTIF(I$2:I427,I427)&gt;1,"",1)," ","")</f>
        <v/>
      </c>
    </row>
    <row r="428" spans="1:10" x14ac:dyDescent="0.2">
      <c r="A428" s="51" t="str">
        <f>IFERROR(VLOOKUP(B428,點上線資訊!A:R,18,0),"")</f>
        <v/>
      </c>
      <c r="B428" s="41">
        <f>'MB51'!A428</f>
        <v>0</v>
      </c>
      <c r="C428" s="60" t="str">
        <f>IFERROR(VLOOKUP(B428,'MB51'!A:I,9,0),"")</f>
        <v/>
      </c>
      <c r="D428" s="61" t="str">
        <f>IFERROR(VLOOKUP(B428,'MB51'!A:J,10,0),"")</f>
        <v/>
      </c>
      <c r="E428" s="62" t="str">
        <f>IFERROR(VLOOKUP(B428,'MB51'!A:K,11,0),"")</f>
        <v/>
      </c>
      <c r="F428" s="42" t="str">
        <f>IFERROR(VLOOKUP(B428,'MB51'!A:F,6,0),"")</f>
        <v/>
      </c>
      <c r="G428" s="17" t="str">
        <f t="shared" si="18"/>
        <v>點揀料單</v>
      </c>
      <c r="H428" s="17">
        <f t="shared" si="19"/>
        <v>0</v>
      </c>
      <c r="I428" t="str">
        <f t="shared" si="20"/>
        <v/>
      </c>
      <c r="J428" t="str">
        <f>SUBSTITUTE(IF(COUNTIF(I$2:I428,I428)&gt;1,"",1)," ","")</f>
        <v/>
      </c>
    </row>
    <row r="429" spans="1:10" x14ac:dyDescent="0.2">
      <c r="A429" s="51" t="str">
        <f>IFERROR(VLOOKUP(B429,點上線資訊!A:R,18,0),"")</f>
        <v/>
      </c>
      <c r="B429" s="41">
        <f>'MB51'!A429</f>
        <v>0</v>
      </c>
      <c r="C429" s="60" t="str">
        <f>IFERROR(VLOOKUP(B429,'MB51'!A:I,9,0),"")</f>
        <v/>
      </c>
      <c r="D429" s="61" t="str">
        <f>IFERROR(VLOOKUP(B429,'MB51'!A:J,10,0),"")</f>
        <v/>
      </c>
      <c r="E429" s="62" t="str">
        <f>IFERROR(VLOOKUP(B429,'MB51'!A:K,11,0),"")</f>
        <v/>
      </c>
      <c r="F429" s="42" t="str">
        <f>IFERROR(VLOOKUP(B429,'MB51'!A:F,6,0),"")</f>
        <v/>
      </c>
      <c r="G429" s="17" t="str">
        <f t="shared" si="18"/>
        <v>點揀料單</v>
      </c>
      <c r="H429" s="17">
        <f t="shared" si="19"/>
        <v>0</v>
      </c>
      <c r="I429" t="str">
        <f t="shared" si="20"/>
        <v/>
      </c>
      <c r="J429" t="str">
        <f>SUBSTITUTE(IF(COUNTIF(I$2:I429,I429)&gt;1,"",1)," ","")</f>
        <v/>
      </c>
    </row>
    <row r="430" spans="1:10" x14ac:dyDescent="0.2">
      <c r="A430" s="51" t="str">
        <f>IFERROR(VLOOKUP(B430,點上線資訊!A:R,18,0),"")</f>
        <v/>
      </c>
      <c r="B430" s="41">
        <f>'MB51'!A430</f>
        <v>0</v>
      </c>
      <c r="C430" s="60" t="str">
        <f>IFERROR(VLOOKUP(B430,'MB51'!A:I,9,0),"")</f>
        <v/>
      </c>
      <c r="D430" s="61" t="str">
        <f>IFERROR(VLOOKUP(B430,'MB51'!A:J,10,0),"")</f>
        <v/>
      </c>
      <c r="E430" s="62" t="str">
        <f>IFERROR(VLOOKUP(B430,'MB51'!A:K,11,0),"")</f>
        <v/>
      </c>
      <c r="F430" s="42" t="str">
        <f>IFERROR(VLOOKUP(B430,'MB51'!A:F,6,0),"")</f>
        <v/>
      </c>
      <c r="G430" s="17" t="str">
        <f t="shared" si="18"/>
        <v>點揀料單</v>
      </c>
      <c r="H430" s="17">
        <f t="shared" si="19"/>
        <v>0</v>
      </c>
      <c r="I430" t="str">
        <f t="shared" si="20"/>
        <v/>
      </c>
      <c r="J430" t="str">
        <f>SUBSTITUTE(IF(COUNTIF(I$2:I430,I430)&gt;1,"",1)," ","")</f>
        <v/>
      </c>
    </row>
    <row r="431" spans="1:10" x14ac:dyDescent="0.2">
      <c r="A431" s="51" t="str">
        <f>IFERROR(VLOOKUP(B431,點上線資訊!A:R,18,0),"")</f>
        <v/>
      </c>
      <c r="B431" s="41">
        <f>'MB51'!A431</f>
        <v>0</v>
      </c>
      <c r="C431" s="60" t="str">
        <f>IFERROR(VLOOKUP(B431,'MB51'!A:I,9,0),"")</f>
        <v/>
      </c>
      <c r="D431" s="61" t="str">
        <f>IFERROR(VLOOKUP(B431,'MB51'!A:J,10,0),"")</f>
        <v/>
      </c>
      <c r="E431" s="62" t="str">
        <f>IFERROR(VLOOKUP(B431,'MB51'!A:K,11,0),"")</f>
        <v/>
      </c>
      <c r="F431" s="42" t="str">
        <f>IFERROR(VLOOKUP(B431,'MB51'!A:F,6,0),"")</f>
        <v/>
      </c>
      <c r="G431" s="17" t="str">
        <f t="shared" si="18"/>
        <v>點揀料單</v>
      </c>
      <c r="H431" s="17">
        <f t="shared" si="19"/>
        <v>0</v>
      </c>
      <c r="I431" t="str">
        <f t="shared" si="20"/>
        <v/>
      </c>
      <c r="J431" t="str">
        <f>SUBSTITUTE(IF(COUNTIF(I$2:I431,I431)&gt;1,"",1)," ","")</f>
        <v/>
      </c>
    </row>
    <row r="432" spans="1:10" x14ac:dyDescent="0.2">
      <c r="A432" s="51" t="str">
        <f>IFERROR(VLOOKUP(B432,點上線資訊!A:R,18,0),"")</f>
        <v/>
      </c>
      <c r="B432" s="41">
        <f>'MB51'!A432</f>
        <v>0</v>
      </c>
      <c r="C432" s="60" t="str">
        <f>IFERROR(VLOOKUP(B432,'MB51'!A:I,9,0),"")</f>
        <v/>
      </c>
      <c r="D432" s="61" t="str">
        <f>IFERROR(VLOOKUP(B432,'MB51'!A:J,10,0),"")</f>
        <v/>
      </c>
      <c r="E432" s="62" t="str">
        <f>IFERROR(VLOOKUP(B432,'MB51'!A:K,11,0),"")</f>
        <v/>
      </c>
      <c r="F432" s="42" t="str">
        <f>IFERROR(VLOOKUP(B432,'MB51'!A:F,6,0),"")</f>
        <v/>
      </c>
      <c r="G432" s="17" t="str">
        <f t="shared" si="18"/>
        <v>點揀料單</v>
      </c>
      <c r="H432" s="17">
        <f t="shared" si="19"/>
        <v>0</v>
      </c>
      <c r="I432" t="str">
        <f t="shared" si="20"/>
        <v/>
      </c>
      <c r="J432" t="str">
        <f>SUBSTITUTE(IF(COUNTIF(I$2:I432,I432)&gt;1,"",1)," ","")</f>
        <v/>
      </c>
    </row>
    <row r="433" spans="1:10" x14ac:dyDescent="0.2">
      <c r="A433" s="51" t="str">
        <f>IFERROR(VLOOKUP(B433,點上線資訊!A:R,18,0),"")</f>
        <v/>
      </c>
      <c r="B433" s="41">
        <f>'MB51'!A433</f>
        <v>0</v>
      </c>
      <c r="C433" s="60" t="str">
        <f>IFERROR(VLOOKUP(B433,'MB51'!A:I,9,0),"")</f>
        <v/>
      </c>
      <c r="D433" s="61" t="str">
        <f>IFERROR(VLOOKUP(B433,'MB51'!A:J,10,0),"")</f>
        <v/>
      </c>
      <c r="E433" s="62" t="str">
        <f>IFERROR(VLOOKUP(B433,'MB51'!A:K,11,0),"")</f>
        <v/>
      </c>
      <c r="F433" s="42" t="str">
        <f>IFERROR(VLOOKUP(B433,'MB51'!A:F,6,0),"")</f>
        <v/>
      </c>
      <c r="G433" s="17" t="str">
        <f t="shared" si="18"/>
        <v>點揀料單</v>
      </c>
      <c r="H433" s="17">
        <f t="shared" si="19"/>
        <v>0</v>
      </c>
      <c r="I433" t="str">
        <f t="shared" si="20"/>
        <v/>
      </c>
      <c r="J433" t="str">
        <f>SUBSTITUTE(IF(COUNTIF(I$2:I433,I433)&gt;1,"",1)," ","")</f>
        <v/>
      </c>
    </row>
    <row r="434" spans="1:10" x14ac:dyDescent="0.2">
      <c r="A434" s="51" t="str">
        <f>IFERROR(VLOOKUP(B434,點上線資訊!A:R,18,0),"")</f>
        <v/>
      </c>
      <c r="B434" s="41">
        <f>'MB51'!A434</f>
        <v>0</v>
      </c>
      <c r="C434" s="60" t="str">
        <f>IFERROR(VLOOKUP(B434,'MB51'!A:I,9,0),"")</f>
        <v/>
      </c>
      <c r="D434" s="61" t="str">
        <f>IFERROR(VLOOKUP(B434,'MB51'!A:J,10,0),"")</f>
        <v/>
      </c>
      <c r="E434" s="62" t="str">
        <f>IFERROR(VLOOKUP(B434,'MB51'!A:K,11,0),"")</f>
        <v/>
      </c>
      <c r="F434" s="42" t="str">
        <f>IFERROR(VLOOKUP(B434,'MB51'!A:F,6,0),"")</f>
        <v/>
      </c>
      <c r="G434" s="17" t="str">
        <f t="shared" si="18"/>
        <v>點揀料單</v>
      </c>
      <c r="H434" s="17">
        <f t="shared" si="19"/>
        <v>0</v>
      </c>
      <c r="I434" t="str">
        <f t="shared" si="20"/>
        <v/>
      </c>
      <c r="J434" t="str">
        <f>SUBSTITUTE(IF(COUNTIF(I$2:I434,I434)&gt;1,"",1)," ","")</f>
        <v/>
      </c>
    </row>
    <row r="435" spans="1:10" x14ac:dyDescent="0.2">
      <c r="A435" s="51" t="str">
        <f>IFERROR(VLOOKUP(B435,點上線資訊!A:R,18,0),"")</f>
        <v/>
      </c>
      <c r="B435" s="41">
        <f>'MB51'!A435</f>
        <v>0</v>
      </c>
      <c r="C435" s="60" t="str">
        <f>IFERROR(VLOOKUP(B435,'MB51'!A:I,9,0),"")</f>
        <v/>
      </c>
      <c r="D435" s="61" t="str">
        <f>IFERROR(VLOOKUP(B435,'MB51'!A:J,10,0),"")</f>
        <v/>
      </c>
      <c r="E435" s="62" t="str">
        <f>IFERROR(VLOOKUP(B435,'MB51'!A:K,11,0),"")</f>
        <v/>
      </c>
      <c r="F435" s="42" t="str">
        <f>IFERROR(VLOOKUP(B435,'MB51'!A:F,6,0),"")</f>
        <v/>
      </c>
      <c r="G435" s="17" t="str">
        <f t="shared" si="18"/>
        <v>點揀料單</v>
      </c>
      <c r="H435" s="17">
        <f t="shared" si="19"/>
        <v>0</v>
      </c>
      <c r="I435" t="str">
        <f t="shared" si="20"/>
        <v/>
      </c>
      <c r="J435" t="str">
        <f>SUBSTITUTE(IF(COUNTIF(I$2:I435,I435)&gt;1,"",1)," ","")</f>
        <v/>
      </c>
    </row>
    <row r="436" spans="1:10" x14ac:dyDescent="0.2">
      <c r="A436" s="51" t="str">
        <f>IFERROR(VLOOKUP(B436,點上線資訊!A:R,18,0),"")</f>
        <v/>
      </c>
      <c r="B436" s="41">
        <f>'MB51'!A436</f>
        <v>0</v>
      </c>
      <c r="C436" s="60" t="str">
        <f>IFERROR(VLOOKUP(B436,'MB51'!A:I,9,0),"")</f>
        <v/>
      </c>
      <c r="D436" s="61" t="str">
        <f>IFERROR(VLOOKUP(B436,'MB51'!A:J,10,0),"")</f>
        <v/>
      </c>
      <c r="E436" s="62" t="str">
        <f>IFERROR(VLOOKUP(B436,'MB51'!A:K,11,0),"")</f>
        <v/>
      </c>
      <c r="F436" s="42" t="str">
        <f>IFERROR(VLOOKUP(B436,'MB51'!A:F,6,0),"")</f>
        <v/>
      </c>
      <c r="G436" s="17" t="str">
        <f t="shared" si="18"/>
        <v>點揀料單</v>
      </c>
      <c r="H436" s="17">
        <f t="shared" si="19"/>
        <v>0</v>
      </c>
      <c r="I436" t="str">
        <f t="shared" si="20"/>
        <v/>
      </c>
      <c r="J436" t="str">
        <f>SUBSTITUTE(IF(COUNTIF(I$2:I436,I436)&gt;1,"",1)," ","")</f>
        <v/>
      </c>
    </row>
    <row r="437" spans="1:10" x14ac:dyDescent="0.2">
      <c r="A437" s="51" t="str">
        <f>IFERROR(VLOOKUP(B437,點上線資訊!A:R,18,0),"")</f>
        <v/>
      </c>
      <c r="B437" s="41">
        <f>'MB51'!A437</f>
        <v>0</v>
      </c>
      <c r="C437" s="60" t="str">
        <f>IFERROR(VLOOKUP(B437,'MB51'!A:I,9,0),"")</f>
        <v/>
      </c>
      <c r="D437" s="61" t="str">
        <f>IFERROR(VLOOKUP(B437,'MB51'!A:J,10,0),"")</f>
        <v/>
      </c>
      <c r="E437" s="62" t="str">
        <f>IFERROR(VLOOKUP(B437,'MB51'!A:K,11,0),"")</f>
        <v/>
      </c>
      <c r="F437" s="42" t="str">
        <f>IFERROR(VLOOKUP(B437,'MB51'!A:F,6,0),"")</f>
        <v/>
      </c>
      <c r="G437" s="17" t="str">
        <f t="shared" si="18"/>
        <v>點揀料單</v>
      </c>
      <c r="H437" s="17">
        <f t="shared" si="19"/>
        <v>0</v>
      </c>
      <c r="I437" t="str">
        <f t="shared" si="20"/>
        <v/>
      </c>
      <c r="J437" t="str">
        <f>SUBSTITUTE(IF(COUNTIF(I$2:I437,I437)&gt;1,"",1)," ","")</f>
        <v/>
      </c>
    </row>
    <row r="438" spans="1:10" x14ac:dyDescent="0.2">
      <c r="A438" s="51" t="str">
        <f>IFERROR(VLOOKUP(B438,點上線資訊!A:R,18,0),"")</f>
        <v/>
      </c>
      <c r="B438" s="41">
        <f>'MB51'!A438</f>
        <v>0</v>
      </c>
      <c r="C438" s="60" t="str">
        <f>IFERROR(VLOOKUP(B438,'MB51'!A:I,9,0),"")</f>
        <v/>
      </c>
      <c r="D438" s="61" t="str">
        <f>IFERROR(VLOOKUP(B438,'MB51'!A:J,10,0),"")</f>
        <v/>
      </c>
      <c r="E438" s="62" t="str">
        <f>IFERROR(VLOOKUP(B438,'MB51'!A:K,11,0),"")</f>
        <v/>
      </c>
      <c r="F438" s="42" t="str">
        <f>IFERROR(VLOOKUP(B438,'MB51'!A:F,6,0),"")</f>
        <v/>
      </c>
      <c r="G438" s="17" t="str">
        <f t="shared" si="18"/>
        <v>點揀料單</v>
      </c>
      <c r="H438" s="17">
        <f t="shared" si="19"/>
        <v>0</v>
      </c>
      <c r="I438" t="str">
        <f t="shared" si="20"/>
        <v/>
      </c>
      <c r="J438" t="str">
        <f>SUBSTITUTE(IF(COUNTIF(I$2:I438,I438)&gt;1,"",1)," ","")</f>
        <v/>
      </c>
    </row>
    <row r="439" spans="1:10" x14ac:dyDescent="0.2">
      <c r="A439" s="51" t="str">
        <f>IFERROR(VLOOKUP(B439,點上線資訊!A:R,18,0),"")</f>
        <v/>
      </c>
      <c r="B439" s="41">
        <f>'MB51'!A439</f>
        <v>0</v>
      </c>
      <c r="C439" s="60" t="str">
        <f>IFERROR(VLOOKUP(B439,'MB51'!A:I,9,0),"")</f>
        <v/>
      </c>
      <c r="D439" s="61" t="str">
        <f>IFERROR(VLOOKUP(B439,'MB51'!A:J,10,0),"")</f>
        <v/>
      </c>
      <c r="E439" s="62" t="str">
        <f>IFERROR(VLOOKUP(B439,'MB51'!A:K,11,0),"")</f>
        <v/>
      </c>
      <c r="F439" s="42" t="str">
        <f>IFERROR(VLOOKUP(B439,'MB51'!A:F,6,0),"")</f>
        <v/>
      </c>
      <c r="G439" s="17" t="str">
        <f t="shared" si="18"/>
        <v>點揀料單</v>
      </c>
      <c r="H439" s="17">
        <f t="shared" si="19"/>
        <v>0</v>
      </c>
      <c r="I439" t="str">
        <f t="shared" si="20"/>
        <v/>
      </c>
      <c r="J439" t="str">
        <f>SUBSTITUTE(IF(COUNTIF(I$2:I439,I439)&gt;1,"",1)," ","")</f>
        <v/>
      </c>
    </row>
    <row r="440" spans="1:10" x14ac:dyDescent="0.2">
      <c r="A440" s="51" t="str">
        <f>IFERROR(VLOOKUP(B440,點上線資訊!A:R,18,0),"")</f>
        <v/>
      </c>
      <c r="B440" s="41">
        <f>'MB51'!A440</f>
        <v>0</v>
      </c>
      <c r="C440" s="60" t="str">
        <f>IFERROR(VLOOKUP(B440,'MB51'!A:I,9,0),"")</f>
        <v/>
      </c>
      <c r="D440" s="61" t="str">
        <f>IFERROR(VLOOKUP(B440,'MB51'!A:J,10,0),"")</f>
        <v/>
      </c>
      <c r="E440" s="62" t="str">
        <f>IFERROR(VLOOKUP(B440,'MB51'!A:K,11,0),"")</f>
        <v/>
      </c>
      <c r="F440" s="42" t="str">
        <f>IFERROR(VLOOKUP(B440,'MB51'!A:F,6,0),"")</f>
        <v/>
      </c>
      <c r="G440" s="17" t="str">
        <f t="shared" si="18"/>
        <v>點揀料單</v>
      </c>
      <c r="H440" s="17">
        <f t="shared" si="19"/>
        <v>0</v>
      </c>
      <c r="I440" t="str">
        <f t="shared" si="20"/>
        <v/>
      </c>
      <c r="J440" t="str">
        <f>SUBSTITUTE(IF(COUNTIF(I$2:I440,I440)&gt;1,"",1)," ","")</f>
        <v/>
      </c>
    </row>
    <row r="441" spans="1:10" x14ac:dyDescent="0.2">
      <c r="A441" s="51" t="str">
        <f>IFERROR(VLOOKUP(B441,點上線資訊!A:R,18,0),"")</f>
        <v/>
      </c>
      <c r="B441" s="41">
        <f>'MB51'!A441</f>
        <v>0</v>
      </c>
      <c r="C441" s="60" t="str">
        <f>IFERROR(VLOOKUP(B441,'MB51'!A:I,9,0),"")</f>
        <v/>
      </c>
      <c r="D441" s="61" t="str">
        <f>IFERROR(VLOOKUP(B441,'MB51'!A:J,10,0),"")</f>
        <v/>
      </c>
      <c r="E441" s="62" t="str">
        <f>IFERROR(VLOOKUP(B441,'MB51'!A:K,11,0),"")</f>
        <v/>
      </c>
      <c r="F441" s="42" t="str">
        <f>IFERROR(VLOOKUP(B441,'MB51'!A:F,6,0),"")</f>
        <v/>
      </c>
      <c r="G441" s="17" t="str">
        <f t="shared" si="18"/>
        <v>點揀料單</v>
      </c>
      <c r="H441" s="17">
        <f t="shared" si="19"/>
        <v>0</v>
      </c>
      <c r="I441" t="str">
        <f t="shared" si="20"/>
        <v/>
      </c>
      <c r="J441" t="str">
        <f>SUBSTITUTE(IF(COUNTIF(I$2:I441,I441)&gt;1,"",1)," ","")</f>
        <v/>
      </c>
    </row>
    <row r="442" spans="1:10" x14ac:dyDescent="0.2">
      <c r="A442" s="51" t="str">
        <f>IFERROR(VLOOKUP(B442,點上線資訊!A:R,18,0),"")</f>
        <v/>
      </c>
      <c r="B442" s="41">
        <f>'MB51'!A442</f>
        <v>0</v>
      </c>
      <c r="C442" s="60" t="str">
        <f>IFERROR(VLOOKUP(B442,'MB51'!A:I,9,0),"")</f>
        <v/>
      </c>
      <c r="D442" s="61" t="str">
        <f>IFERROR(VLOOKUP(B442,'MB51'!A:J,10,0),"")</f>
        <v/>
      </c>
      <c r="E442" s="62" t="str">
        <f>IFERROR(VLOOKUP(B442,'MB51'!A:K,11,0),"")</f>
        <v/>
      </c>
      <c r="F442" s="42" t="str">
        <f>IFERROR(VLOOKUP(B442,'MB51'!A:F,6,0),"")</f>
        <v/>
      </c>
      <c r="G442" s="17" t="str">
        <f t="shared" si="18"/>
        <v>點揀料單</v>
      </c>
      <c r="H442" s="17">
        <f t="shared" si="19"/>
        <v>0</v>
      </c>
      <c r="I442" t="str">
        <f t="shared" si="20"/>
        <v/>
      </c>
      <c r="J442" t="str">
        <f>SUBSTITUTE(IF(COUNTIF(I$2:I442,I442)&gt;1,"",1)," ","")</f>
        <v/>
      </c>
    </row>
    <row r="443" spans="1:10" x14ac:dyDescent="0.2">
      <c r="A443" s="51" t="str">
        <f>IFERROR(VLOOKUP(B443,點上線資訊!A:R,18,0),"")</f>
        <v/>
      </c>
      <c r="B443" s="41">
        <f>'MB51'!A443</f>
        <v>0</v>
      </c>
      <c r="C443" s="60" t="str">
        <f>IFERROR(VLOOKUP(B443,'MB51'!A:I,9,0),"")</f>
        <v/>
      </c>
      <c r="D443" s="61" t="str">
        <f>IFERROR(VLOOKUP(B443,'MB51'!A:J,10,0),"")</f>
        <v/>
      </c>
      <c r="E443" s="62" t="str">
        <f>IFERROR(VLOOKUP(B443,'MB51'!A:K,11,0),"")</f>
        <v/>
      </c>
      <c r="F443" s="42" t="str">
        <f>IFERROR(VLOOKUP(B443,'MB51'!A:F,6,0),"")</f>
        <v/>
      </c>
      <c r="G443" s="17" t="str">
        <f t="shared" si="18"/>
        <v>點揀料單</v>
      </c>
      <c r="H443" s="17">
        <f t="shared" si="19"/>
        <v>0</v>
      </c>
      <c r="I443" t="str">
        <f t="shared" si="20"/>
        <v/>
      </c>
      <c r="J443" t="str">
        <f>SUBSTITUTE(IF(COUNTIF(I$2:I443,I443)&gt;1,"",1)," ","")</f>
        <v/>
      </c>
    </row>
    <row r="444" spans="1:10" x14ac:dyDescent="0.2">
      <c r="A444" s="51" t="str">
        <f>IFERROR(VLOOKUP(B444,點上線資訊!A:R,18,0),"")</f>
        <v/>
      </c>
      <c r="B444" s="41">
        <f>'MB51'!A444</f>
        <v>0</v>
      </c>
      <c r="C444" s="60" t="str">
        <f>IFERROR(VLOOKUP(B444,'MB51'!A:I,9,0),"")</f>
        <v/>
      </c>
      <c r="D444" s="61" t="str">
        <f>IFERROR(VLOOKUP(B444,'MB51'!A:J,10,0),"")</f>
        <v/>
      </c>
      <c r="E444" s="62" t="str">
        <f>IFERROR(VLOOKUP(B444,'MB51'!A:K,11,0),"")</f>
        <v/>
      </c>
      <c r="F444" s="42" t="str">
        <f>IFERROR(VLOOKUP(B444,'MB51'!A:F,6,0),"")</f>
        <v/>
      </c>
      <c r="G444" s="17" t="str">
        <f t="shared" si="18"/>
        <v>點揀料單</v>
      </c>
      <c r="H444" s="17">
        <f t="shared" si="19"/>
        <v>0</v>
      </c>
      <c r="I444" t="str">
        <f t="shared" si="20"/>
        <v/>
      </c>
      <c r="J444" t="str">
        <f>SUBSTITUTE(IF(COUNTIF(I$2:I444,I444)&gt;1,"",1)," ","")</f>
        <v/>
      </c>
    </row>
    <row r="445" spans="1:10" x14ac:dyDescent="0.2">
      <c r="A445" s="51" t="str">
        <f>IFERROR(VLOOKUP(B445,點上線資訊!A:R,18,0),"")</f>
        <v/>
      </c>
      <c r="B445" s="41">
        <f>'MB51'!A445</f>
        <v>0</v>
      </c>
      <c r="C445" s="60" t="str">
        <f>IFERROR(VLOOKUP(B445,'MB51'!A:I,9,0),"")</f>
        <v/>
      </c>
      <c r="D445" s="61" t="str">
        <f>IFERROR(VLOOKUP(B445,'MB51'!A:J,10,0),"")</f>
        <v/>
      </c>
      <c r="E445" s="62" t="str">
        <f>IFERROR(VLOOKUP(B445,'MB51'!A:K,11,0),"")</f>
        <v/>
      </c>
      <c r="F445" s="42" t="str">
        <f>IFERROR(VLOOKUP(B445,'MB51'!A:F,6,0),"")</f>
        <v/>
      </c>
      <c r="G445" s="17" t="str">
        <f t="shared" si="18"/>
        <v>點揀料單</v>
      </c>
      <c r="H445" s="17">
        <f t="shared" si="19"/>
        <v>0</v>
      </c>
      <c r="I445" t="str">
        <f t="shared" si="20"/>
        <v/>
      </c>
      <c r="J445" t="str">
        <f>SUBSTITUTE(IF(COUNTIF(I$2:I445,I445)&gt;1,"",1)," ","")</f>
        <v/>
      </c>
    </row>
    <row r="446" spans="1:10" x14ac:dyDescent="0.2">
      <c r="A446" s="51" t="str">
        <f>IFERROR(VLOOKUP(B446,點上線資訊!A:R,18,0),"")</f>
        <v/>
      </c>
      <c r="B446" s="41">
        <f>'MB51'!A446</f>
        <v>0</v>
      </c>
      <c r="C446" s="60" t="str">
        <f>IFERROR(VLOOKUP(B446,'MB51'!A:I,9,0),"")</f>
        <v/>
      </c>
      <c r="D446" s="61" t="str">
        <f>IFERROR(VLOOKUP(B446,'MB51'!A:J,10,0),"")</f>
        <v/>
      </c>
      <c r="E446" s="62" t="str">
        <f>IFERROR(VLOOKUP(B446,'MB51'!A:K,11,0),"")</f>
        <v/>
      </c>
      <c r="F446" s="42" t="str">
        <f>IFERROR(VLOOKUP(B446,'MB51'!A:F,6,0),"")</f>
        <v/>
      </c>
      <c r="G446" s="17" t="str">
        <f t="shared" si="18"/>
        <v>點揀料單</v>
      </c>
      <c r="H446" s="17">
        <f t="shared" si="19"/>
        <v>0</v>
      </c>
      <c r="I446" t="str">
        <f t="shared" si="20"/>
        <v/>
      </c>
      <c r="J446" t="str">
        <f>SUBSTITUTE(IF(COUNTIF(I$2:I446,I446)&gt;1,"",1)," ","")</f>
        <v/>
      </c>
    </row>
    <row r="447" spans="1:10" x14ac:dyDescent="0.2">
      <c r="A447" s="51" t="str">
        <f>IFERROR(VLOOKUP(B447,點上線資訊!A:R,18,0),"")</f>
        <v/>
      </c>
      <c r="B447" s="41">
        <f>'MB51'!A447</f>
        <v>0</v>
      </c>
      <c r="C447" s="60" t="str">
        <f>IFERROR(VLOOKUP(B447,'MB51'!A:I,9,0),"")</f>
        <v/>
      </c>
      <c r="D447" s="61" t="str">
        <f>IFERROR(VLOOKUP(B447,'MB51'!A:J,10,0),"")</f>
        <v/>
      </c>
      <c r="E447" s="62" t="str">
        <f>IFERROR(VLOOKUP(B447,'MB51'!A:K,11,0),"")</f>
        <v/>
      </c>
      <c r="F447" s="42" t="str">
        <f>IFERROR(VLOOKUP(B447,'MB51'!A:F,6,0),"")</f>
        <v/>
      </c>
      <c r="G447" s="17" t="str">
        <f t="shared" si="18"/>
        <v>點揀料單</v>
      </c>
      <c r="H447" s="17">
        <f t="shared" si="19"/>
        <v>0</v>
      </c>
      <c r="I447" t="str">
        <f t="shared" si="20"/>
        <v/>
      </c>
      <c r="J447" t="str">
        <f>SUBSTITUTE(IF(COUNTIF(I$2:I447,I447)&gt;1,"",1)," ","")</f>
        <v/>
      </c>
    </row>
    <row r="448" spans="1:10" x14ac:dyDescent="0.2">
      <c r="A448" s="51" t="str">
        <f>IFERROR(VLOOKUP(B448,點上線資訊!A:R,18,0),"")</f>
        <v/>
      </c>
      <c r="B448" s="41">
        <f>'MB51'!A448</f>
        <v>0</v>
      </c>
      <c r="C448" s="60" t="str">
        <f>IFERROR(VLOOKUP(B448,'MB51'!A:I,9,0),"")</f>
        <v/>
      </c>
      <c r="D448" s="61" t="str">
        <f>IFERROR(VLOOKUP(B448,'MB51'!A:J,10,0),"")</f>
        <v/>
      </c>
      <c r="E448" s="62" t="str">
        <f>IFERROR(VLOOKUP(B448,'MB51'!A:K,11,0),"")</f>
        <v/>
      </c>
      <c r="F448" s="42" t="str">
        <f>IFERROR(VLOOKUP(B448,'MB51'!A:F,6,0),"")</f>
        <v/>
      </c>
      <c r="G448" s="17" t="str">
        <f t="shared" si="18"/>
        <v>點揀料單</v>
      </c>
      <c r="H448" s="17">
        <f t="shared" si="19"/>
        <v>0</v>
      </c>
      <c r="I448" t="str">
        <f t="shared" si="20"/>
        <v/>
      </c>
      <c r="J448" t="str">
        <f>SUBSTITUTE(IF(COUNTIF(I$2:I448,I448)&gt;1,"",1)," ","")</f>
        <v/>
      </c>
    </row>
    <row r="449" spans="1:10" x14ac:dyDescent="0.2">
      <c r="A449" s="51" t="str">
        <f>IFERROR(VLOOKUP(B449,點上線資訊!A:R,18,0),"")</f>
        <v/>
      </c>
      <c r="B449" s="41">
        <f>'MB51'!A449</f>
        <v>0</v>
      </c>
      <c r="C449" s="60" t="str">
        <f>IFERROR(VLOOKUP(B449,'MB51'!A:I,9,0),"")</f>
        <v/>
      </c>
      <c r="D449" s="61" t="str">
        <f>IFERROR(VLOOKUP(B449,'MB51'!A:J,10,0),"")</f>
        <v/>
      </c>
      <c r="E449" s="62" t="str">
        <f>IFERROR(VLOOKUP(B449,'MB51'!A:K,11,0),"")</f>
        <v/>
      </c>
      <c r="F449" s="42" t="str">
        <f>IFERROR(VLOOKUP(B449,'MB51'!A:F,6,0),"")</f>
        <v/>
      </c>
      <c r="G449" s="17" t="str">
        <f t="shared" si="18"/>
        <v>點揀料單</v>
      </c>
      <c r="H449" s="17">
        <f t="shared" si="19"/>
        <v>0</v>
      </c>
      <c r="I449" t="str">
        <f t="shared" si="20"/>
        <v/>
      </c>
      <c r="J449" t="str">
        <f>SUBSTITUTE(IF(COUNTIF(I$2:I449,I449)&gt;1,"",1)," ","")</f>
        <v/>
      </c>
    </row>
    <row r="450" spans="1:10" x14ac:dyDescent="0.2">
      <c r="A450" s="51" t="str">
        <f>IFERROR(VLOOKUP(B450,點上線資訊!A:R,18,0),"")</f>
        <v/>
      </c>
      <c r="B450" s="41">
        <f>'MB51'!A450</f>
        <v>0</v>
      </c>
      <c r="C450" s="60" t="str">
        <f>IFERROR(VLOOKUP(B450,'MB51'!A:I,9,0),"")</f>
        <v/>
      </c>
      <c r="D450" s="61" t="str">
        <f>IFERROR(VLOOKUP(B450,'MB51'!A:J,10,0),"")</f>
        <v/>
      </c>
      <c r="E450" s="62" t="str">
        <f>IFERROR(VLOOKUP(B450,'MB51'!A:K,11,0),"")</f>
        <v/>
      </c>
      <c r="F450" s="42" t="str">
        <f>IFERROR(VLOOKUP(B450,'MB51'!A:F,6,0),"")</f>
        <v/>
      </c>
      <c r="G450" s="17" t="str">
        <f t="shared" si="18"/>
        <v>點揀料單</v>
      </c>
      <c r="H450" s="17">
        <f t="shared" si="19"/>
        <v>0</v>
      </c>
      <c r="I450" t="str">
        <f t="shared" si="20"/>
        <v/>
      </c>
      <c r="J450" t="str">
        <f>SUBSTITUTE(IF(COUNTIF(I$2:I450,I450)&gt;1,"",1)," ","")</f>
        <v/>
      </c>
    </row>
    <row r="451" spans="1:10" x14ac:dyDescent="0.2">
      <c r="A451" s="51" t="str">
        <f>IFERROR(VLOOKUP(B451,點上線資訊!A:R,18,0),"")</f>
        <v/>
      </c>
      <c r="B451" s="41">
        <f>'MB51'!A451</f>
        <v>0</v>
      </c>
      <c r="C451" s="60" t="str">
        <f>IFERROR(VLOOKUP(B451,'MB51'!A:I,9,0),"")</f>
        <v/>
      </c>
      <c r="D451" s="61" t="str">
        <f>IFERROR(VLOOKUP(B451,'MB51'!A:J,10,0),"")</f>
        <v/>
      </c>
      <c r="E451" s="62" t="str">
        <f>IFERROR(VLOOKUP(B451,'MB51'!A:K,11,0),"")</f>
        <v/>
      </c>
      <c r="F451" s="42" t="str">
        <f>IFERROR(VLOOKUP(B451,'MB51'!A:F,6,0),"")</f>
        <v/>
      </c>
      <c r="G451" s="17" t="str">
        <f t="shared" ref="G451:G514" si="21">TEXT(D451,"MM/DD")&amp;TEXT(E451,"  HH")&amp;"點揀料單"</f>
        <v>點揀料單</v>
      </c>
      <c r="H451" s="17">
        <f t="shared" ref="H451:H514" si="22">ABS(SUMIF(C:C,C451,F:F))</f>
        <v>0</v>
      </c>
      <c r="I451" t="str">
        <f t="shared" ref="I451:I514" si="23">RIGHTB(C451,10)</f>
        <v/>
      </c>
      <c r="J451" t="str">
        <f>SUBSTITUTE(IF(COUNTIF(I$2:I451,I451)&gt;1,"",1)," ","")</f>
        <v/>
      </c>
    </row>
    <row r="452" spans="1:10" x14ac:dyDescent="0.2">
      <c r="A452" s="51" t="str">
        <f>IFERROR(VLOOKUP(B452,點上線資訊!A:R,18,0),"")</f>
        <v/>
      </c>
      <c r="B452" s="41">
        <f>'MB51'!A452</f>
        <v>0</v>
      </c>
      <c r="C452" s="60" t="str">
        <f>IFERROR(VLOOKUP(B452,'MB51'!A:I,9,0),"")</f>
        <v/>
      </c>
      <c r="D452" s="61" t="str">
        <f>IFERROR(VLOOKUP(B452,'MB51'!A:J,10,0),"")</f>
        <v/>
      </c>
      <c r="E452" s="62" t="str">
        <f>IFERROR(VLOOKUP(B452,'MB51'!A:K,11,0),"")</f>
        <v/>
      </c>
      <c r="F452" s="42" t="str">
        <f>IFERROR(VLOOKUP(B452,'MB51'!A:F,6,0),"")</f>
        <v/>
      </c>
      <c r="G452" s="17" t="str">
        <f t="shared" si="21"/>
        <v>點揀料單</v>
      </c>
      <c r="H452" s="17">
        <f t="shared" si="22"/>
        <v>0</v>
      </c>
      <c r="I452" t="str">
        <f t="shared" si="23"/>
        <v/>
      </c>
      <c r="J452" t="str">
        <f>SUBSTITUTE(IF(COUNTIF(I$2:I452,I452)&gt;1,"",1)," ","")</f>
        <v/>
      </c>
    </row>
    <row r="453" spans="1:10" x14ac:dyDescent="0.2">
      <c r="A453" s="51" t="str">
        <f>IFERROR(VLOOKUP(B453,點上線資訊!A:R,18,0),"")</f>
        <v/>
      </c>
      <c r="B453" s="41">
        <f>'MB51'!A453</f>
        <v>0</v>
      </c>
      <c r="C453" s="60" t="str">
        <f>IFERROR(VLOOKUP(B453,'MB51'!A:I,9,0),"")</f>
        <v/>
      </c>
      <c r="D453" s="61" t="str">
        <f>IFERROR(VLOOKUP(B453,'MB51'!A:J,10,0),"")</f>
        <v/>
      </c>
      <c r="E453" s="62" t="str">
        <f>IFERROR(VLOOKUP(B453,'MB51'!A:K,11,0),"")</f>
        <v/>
      </c>
      <c r="F453" s="42" t="str">
        <f>IFERROR(VLOOKUP(B453,'MB51'!A:F,6,0),"")</f>
        <v/>
      </c>
      <c r="G453" s="17" t="str">
        <f t="shared" si="21"/>
        <v>點揀料單</v>
      </c>
      <c r="H453" s="17">
        <f t="shared" si="22"/>
        <v>0</v>
      </c>
      <c r="I453" t="str">
        <f t="shared" si="23"/>
        <v/>
      </c>
      <c r="J453" t="str">
        <f>SUBSTITUTE(IF(COUNTIF(I$2:I453,I453)&gt;1,"",1)," ","")</f>
        <v/>
      </c>
    </row>
    <row r="454" spans="1:10" x14ac:dyDescent="0.2">
      <c r="A454" s="51" t="str">
        <f>IFERROR(VLOOKUP(B454,點上線資訊!A:R,18,0),"")</f>
        <v/>
      </c>
      <c r="B454" s="41">
        <f>'MB51'!A454</f>
        <v>0</v>
      </c>
      <c r="C454" s="60" t="str">
        <f>IFERROR(VLOOKUP(B454,'MB51'!A:I,9,0),"")</f>
        <v/>
      </c>
      <c r="D454" s="61" t="str">
        <f>IFERROR(VLOOKUP(B454,'MB51'!A:J,10,0),"")</f>
        <v/>
      </c>
      <c r="E454" s="62" t="str">
        <f>IFERROR(VLOOKUP(B454,'MB51'!A:K,11,0),"")</f>
        <v/>
      </c>
      <c r="F454" s="42" t="str">
        <f>IFERROR(VLOOKUP(B454,'MB51'!A:F,6,0),"")</f>
        <v/>
      </c>
      <c r="G454" s="17" t="str">
        <f t="shared" si="21"/>
        <v>點揀料單</v>
      </c>
      <c r="H454" s="17">
        <f t="shared" si="22"/>
        <v>0</v>
      </c>
      <c r="I454" t="str">
        <f t="shared" si="23"/>
        <v/>
      </c>
      <c r="J454" t="str">
        <f>SUBSTITUTE(IF(COUNTIF(I$2:I454,I454)&gt;1,"",1)," ","")</f>
        <v/>
      </c>
    </row>
    <row r="455" spans="1:10" x14ac:dyDescent="0.2">
      <c r="A455" s="51" t="str">
        <f>IFERROR(VLOOKUP(B455,點上線資訊!A:R,18,0),"")</f>
        <v/>
      </c>
      <c r="B455" s="41">
        <f>'MB51'!A455</f>
        <v>0</v>
      </c>
      <c r="C455" s="60" t="str">
        <f>IFERROR(VLOOKUP(B455,'MB51'!A:I,9,0),"")</f>
        <v/>
      </c>
      <c r="D455" s="61" t="str">
        <f>IFERROR(VLOOKUP(B455,'MB51'!A:J,10,0),"")</f>
        <v/>
      </c>
      <c r="E455" s="62" t="str">
        <f>IFERROR(VLOOKUP(B455,'MB51'!A:K,11,0),"")</f>
        <v/>
      </c>
      <c r="F455" s="42" t="str">
        <f>IFERROR(VLOOKUP(B455,'MB51'!A:F,6,0),"")</f>
        <v/>
      </c>
      <c r="G455" s="17" t="str">
        <f t="shared" si="21"/>
        <v>點揀料單</v>
      </c>
      <c r="H455" s="17">
        <f t="shared" si="22"/>
        <v>0</v>
      </c>
      <c r="I455" t="str">
        <f t="shared" si="23"/>
        <v/>
      </c>
      <c r="J455" t="str">
        <f>SUBSTITUTE(IF(COUNTIF(I$2:I455,I455)&gt;1,"",1)," ","")</f>
        <v/>
      </c>
    </row>
    <row r="456" spans="1:10" x14ac:dyDescent="0.2">
      <c r="A456" s="51" t="str">
        <f>IFERROR(VLOOKUP(B456,點上線資訊!A:R,18,0),"")</f>
        <v/>
      </c>
      <c r="B456" s="41">
        <f>'MB51'!A456</f>
        <v>0</v>
      </c>
      <c r="C456" s="60" t="str">
        <f>IFERROR(VLOOKUP(B456,'MB51'!A:I,9,0),"")</f>
        <v/>
      </c>
      <c r="D456" s="61" t="str">
        <f>IFERROR(VLOOKUP(B456,'MB51'!A:J,10,0),"")</f>
        <v/>
      </c>
      <c r="E456" s="62" t="str">
        <f>IFERROR(VLOOKUP(B456,'MB51'!A:K,11,0),"")</f>
        <v/>
      </c>
      <c r="F456" s="42" t="str">
        <f>IFERROR(VLOOKUP(B456,'MB51'!A:F,6,0),"")</f>
        <v/>
      </c>
      <c r="G456" s="17" t="str">
        <f t="shared" si="21"/>
        <v>點揀料單</v>
      </c>
      <c r="H456" s="17">
        <f t="shared" si="22"/>
        <v>0</v>
      </c>
      <c r="I456" t="str">
        <f t="shared" si="23"/>
        <v/>
      </c>
      <c r="J456" t="str">
        <f>SUBSTITUTE(IF(COUNTIF(I$2:I456,I456)&gt;1,"",1)," ","")</f>
        <v/>
      </c>
    </row>
    <row r="457" spans="1:10" x14ac:dyDescent="0.2">
      <c r="A457" s="51" t="str">
        <f>IFERROR(VLOOKUP(B457,點上線資訊!A:R,18,0),"")</f>
        <v/>
      </c>
      <c r="B457" s="41">
        <f>'MB51'!A457</f>
        <v>0</v>
      </c>
      <c r="C457" s="60" t="str">
        <f>IFERROR(VLOOKUP(B457,'MB51'!A:I,9,0),"")</f>
        <v/>
      </c>
      <c r="D457" s="61" t="str">
        <f>IFERROR(VLOOKUP(B457,'MB51'!A:J,10,0),"")</f>
        <v/>
      </c>
      <c r="E457" s="62" t="str">
        <f>IFERROR(VLOOKUP(B457,'MB51'!A:K,11,0),"")</f>
        <v/>
      </c>
      <c r="F457" s="42" t="str">
        <f>IFERROR(VLOOKUP(B457,'MB51'!A:F,6,0),"")</f>
        <v/>
      </c>
      <c r="G457" s="17" t="str">
        <f t="shared" si="21"/>
        <v>點揀料單</v>
      </c>
      <c r="H457" s="17">
        <f t="shared" si="22"/>
        <v>0</v>
      </c>
      <c r="I457" t="str">
        <f t="shared" si="23"/>
        <v/>
      </c>
      <c r="J457" t="str">
        <f>SUBSTITUTE(IF(COUNTIF(I$2:I457,I457)&gt;1,"",1)," ","")</f>
        <v/>
      </c>
    </row>
    <row r="458" spans="1:10" x14ac:dyDescent="0.2">
      <c r="A458" s="51" t="str">
        <f>IFERROR(VLOOKUP(B458,點上線資訊!A:R,18,0),"")</f>
        <v/>
      </c>
      <c r="B458" s="41">
        <f>'MB51'!A458</f>
        <v>0</v>
      </c>
      <c r="C458" s="60" t="str">
        <f>IFERROR(VLOOKUP(B458,'MB51'!A:I,9,0),"")</f>
        <v/>
      </c>
      <c r="D458" s="61" t="str">
        <f>IFERROR(VLOOKUP(B458,'MB51'!A:J,10,0),"")</f>
        <v/>
      </c>
      <c r="E458" s="62" t="str">
        <f>IFERROR(VLOOKUP(B458,'MB51'!A:K,11,0),"")</f>
        <v/>
      </c>
      <c r="F458" s="42" t="str">
        <f>IFERROR(VLOOKUP(B458,'MB51'!A:F,6,0),"")</f>
        <v/>
      </c>
      <c r="G458" s="17" t="str">
        <f t="shared" si="21"/>
        <v>點揀料單</v>
      </c>
      <c r="H458" s="17">
        <f t="shared" si="22"/>
        <v>0</v>
      </c>
      <c r="I458" t="str">
        <f t="shared" si="23"/>
        <v/>
      </c>
      <c r="J458" t="str">
        <f>SUBSTITUTE(IF(COUNTIF(I$2:I458,I458)&gt;1,"",1)," ","")</f>
        <v/>
      </c>
    </row>
    <row r="459" spans="1:10" x14ac:dyDescent="0.2">
      <c r="A459" s="51" t="str">
        <f>IFERROR(VLOOKUP(B459,點上線資訊!A:R,18,0),"")</f>
        <v/>
      </c>
      <c r="B459" s="41">
        <f>'MB51'!A459</f>
        <v>0</v>
      </c>
      <c r="C459" s="60" t="str">
        <f>IFERROR(VLOOKUP(B459,'MB51'!A:I,9,0),"")</f>
        <v/>
      </c>
      <c r="D459" s="61" t="str">
        <f>IFERROR(VLOOKUP(B459,'MB51'!A:J,10,0),"")</f>
        <v/>
      </c>
      <c r="E459" s="62" t="str">
        <f>IFERROR(VLOOKUP(B459,'MB51'!A:K,11,0),"")</f>
        <v/>
      </c>
      <c r="F459" s="42" t="str">
        <f>IFERROR(VLOOKUP(B459,'MB51'!A:F,6,0),"")</f>
        <v/>
      </c>
      <c r="G459" s="17" t="str">
        <f t="shared" si="21"/>
        <v>點揀料單</v>
      </c>
      <c r="H459" s="17">
        <f t="shared" si="22"/>
        <v>0</v>
      </c>
      <c r="I459" t="str">
        <f t="shared" si="23"/>
        <v/>
      </c>
      <c r="J459" t="str">
        <f>SUBSTITUTE(IF(COUNTIF(I$2:I459,I459)&gt;1,"",1)," ","")</f>
        <v/>
      </c>
    </row>
    <row r="460" spans="1:10" x14ac:dyDescent="0.2">
      <c r="A460" s="51" t="str">
        <f>IFERROR(VLOOKUP(B460,點上線資訊!A:R,18,0),"")</f>
        <v/>
      </c>
      <c r="B460" s="41">
        <f>'MB51'!A460</f>
        <v>0</v>
      </c>
      <c r="C460" s="60" t="str">
        <f>IFERROR(VLOOKUP(B460,'MB51'!A:I,9,0),"")</f>
        <v/>
      </c>
      <c r="D460" s="61" t="str">
        <f>IFERROR(VLOOKUP(B460,'MB51'!A:J,10,0),"")</f>
        <v/>
      </c>
      <c r="E460" s="62" t="str">
        <f>IFERROR(VLOOKUP(B460,'MB51'!A:K,11,0),"")</f>
        <v/>
      </c>
      <c r="F460" s="42" t="str">
        <f>IFERROR(VLOOKUP(B460,'MB51'!A:F,6,0),"")</f>
        <v/>
      </c>
      <c r="G460" s="17" t="str">
        <f t="shared" si="21"/>
        <v>點揀料單</v>
      </c>
      <c r="H460" s="17">
        <f t="shared" si="22"/>
        <v>0</v>
      </c>
      <c r="I460" t="str">
        <f t="shared" si="23"/>
        <v/>
      </c>
      <c r="J460" t="str">
        <f>SUBSTITUTE(IF(COUNTIF(I$2:I460,I460)&gt;1,"",1)," ","")</f>
        <v/>
      </c>
    </row>
    <row r="461" spans="1:10" x14ac:dyDescent="0.2">
      <c r="A461" s="51" t="str">
        <f>IFERROR(VLOOKUP(B461,點上線資訊!A:R,18,0),"")</f>
        <v/>
      </c>
      <c r="B461" s="41">
        <f>'MB51'!A461</f>
        <v>0</v>
      </c>
      <c r="C461" s="60" t="str">
        <f>IFERROR(VLOOKUP(B461,'MB51'!A:I,9,0),"")</f>
        <v/>
      </c>
      <c r="D461" s="61" t="str">
        <f>IFERROR(VLOOKUP(B461,'MB51'!A:J,10,0),"")</f>
        <v/>
      </c>
      <c r="E461" s="62" t="str">
        <f>IFERROR(VLOOKUP(B461,'MB51'!A:K,11,0),"")</f>
        <v/>
      </c>
      <c r="F461" s="42" t="str">
        <f>IFERROR(VLOOKUP(B461,'MB51'!A:F,6,0),"")</f>
        <v/>
      </c>
      <c r="G461" s="17" t="str">
        <f t="shared" si="21"/>
        <v>點揀料單</v>
      </c>
      <c r="H461" s="17">
        <f t="shared" si="22"/>
        <v>0</v>
      </c>
      <c r="I461" t="str">
        <f t="shared" si="23"/>
        <v/>
      </c>
      <c r="J461" t="str">
        <f>SUBSTITUTE(IF(COUNTIF(I$2:I461,I461)&gt;1,"",1)," ","")</f>
        <v/>
      </c>
    </row>
    <row r="462" spans="1:10" x14ac:dyDescent="0.2">
      <c r="A462" s="51" t="str">
        <f>IFERROR(VLOOKUP(B462,點上線資訊!A:R,18,0),"")</f>
        <v/>
      </c>
      <c r="B462" s="41">
        <f>'MB51'!A462</f>
        <v>0</v>
      </c>
      <c r="C462" s="60" t="str">
        <f>IFERROR(VLOOKUP(B462,'MB51'!A:I,9,0),"")</f>
        <v/>
      </c>
      <c r="D462" s="61" t="str">
        <f>IFERROR(VLOOKUP(B462,'MB51'!A:J,10,0),"")</f>
        <v/>
      </c>
      <c r="E462" s="62" t="str">
        <f>IFERROR(VLOOKUP(B462,'MB51'!A:K,11,0),"")</f>
        <v/>
      </c>
      <c r="F462" s="42" t="str">
        <f>IFERROR(VLOOKUP(B462,'MB51'!A:F,6,0),"")</f>
        <v/>
      </c>
      <c r="G462" s="17" t="str">
        <f t="shared" si="21"/>
        <v>點揀料單</v>
      </c>
      <c r="H462" s="17">
        <f t="shared" si="22"/>
        <v>0</v>
      </c>
      <c r="I462" t="str">
        <f t="shared" si="23"/>
        <v/>
      </c>
      <c r="J462" t="str">
        <f>SUBSTITUTE(IF(COUNTIF(I$2:I462,I462)&gt;1,"",1)," ","")</f>
        <v/>
      </c>
    </row>
    <row r="463" spans="1:10" x14ac:dyDescent="0.2">
      <c r="A463" s="51" t="str">
        <f>IFERROR(VLOOKUP(B463,點上線資訊!A:R,18,0),"")</f>
        <v/>
      </c>
      <c r="B463" s="41">
        <f>'MB51'!A463</f>
        <v>0</v>
      </c>
      <c r="C463" s="60" t="str">
        <f>IFERROR(VLOOKUP(B463,'MB51'!A:I,9,0),"")</f>
        <v/>
      </c>
      <c r="D463" s="61" t="str">
        <f>IFERROR(VLOOKUP(B463,'MB51'!A:J,10,0),"")</f>
        <v/>
      </c>
      <c r="E463" s="62" t="str">
        <f>IFERROR(VLOOKUP(B463,'MB51'!A:K,11,0),"")</f>
        <v/>
      </c>
      <c r="F463" s="42" t="str">
        <f>IFERROR(VLOOKUP(B463,'MB51'!A:F,6,0),"")</f>
        <v/>
      </c>
      <c r="G463" s="17" t="str">
        <f t="shared" si="21"/>
        <v>點揀料單</v>
      </c>
      <c r="H463" s="17">
        <f t="shared" si="22"/>
        <v>0</v>
      </c>
      <c r="I463" t="str">
        <f t="shared" si="23"/>
        <v/>
      </c>
      <c r="J463" t="str">
        <f>SUBSTITUTE(IF(COUNTIF(I$2:I463,I463)&gt;1,"",1)," ","")</f>
        <v/>
      </c>
    </row>
    <row r="464" spans="1:10" x14ac:dyDescent="0.2">
      <c r="A464" s="51" t="str">
        <f>IFERROR(VLOOKUP(B464,點上線資訊!A:R,18,0),"")</f>
        <v/>
      </c>
      <c r="B464" s="41">
        <f>'MB51'!A464</f>
        <v>0</v>
      </c>
      <c r="C464" s="60" t="str">
        <f>IFERROR(VLOOKUP(B464,'MB51'!A:I,9,0),"")</f>
        <v/>
      </c>
      <c r="D464" s="61" t="str">
        <f>IFERROR(VLOOKUP(B464,'MB51'!A:J,10,0),"")</f>
        <v/>
      </c>
      <c r="E464" s="62" t="str">
        <f>IFERROR(VLOOKUP(B464,'MB51'!A:K,11,0),"")</f>
        <v/>
      </c>
      <c r="F464" s="42" t="str">
        <f>IFERROR(VLOOKUP(B464,'MB51'!A:F,6,0),"")</f>
        <v/>
      </c>
      <c r="G464" s="17" t="str">
        <f t="shared" si="21"/>
        <v>點揀料單</v>
      </c>
      <c r="H464" s="17">
        <f t="shared" si="22"/>
        <v>0</v>
      </c>
      <c r="I464" t="str">
        <f t="shared" si="23"/>
        <v/>
      </c>
      <c r="J464" t="str">
        <f>SUBSTITUTE(IF(COUNTIF(I$2:I464,I464)&gt;1,"",1)," ","")</f>
        <v/>
      </c>
    </row>
    <row r="465" spans="1:10" x14ac:dyDescent="0.2">
      <c r="A465" s="51" t="str">
        <f>IFERROR(VLOOKUP(B465,點上線資訊!A:R,18,0),"")</f>
        <v/>
      </c>
      <c r="B465" s="41">
        <f>'MB51'!A465</f>
        <v>0</v>
      </c>
      <c r="C465" s="60" t="str">
        <f>IFERROR(VLOOKUP(B465,'MB51'!A:I,9,0),"")</f>
        <v/>
      </c>
      <c r="D465" s="61" t="str">
        <f>IFERROR(VLOOKUP(B465,'MB51'!A:J,10,0),"")</f>
        <v/>
      </c>
      <c r="E465" s="62" t="str">
        <f>IFERROR(VLOOKUP(B465,'MB51'!A:K,11,0),"")</f>
        <v/>
      </c>
      <c r="F465" s="42" t="str">
        <f>IFERROR(VLOOKUP(B465,'MB51'!A:F,6,0),"")</f>
        <v/>
      </c>
      <c r="G465" s="17" t="str">
        <f t="shared" si="21"/>
        <v>點揀料單</v>
      </c>
      <c r="H465" s="17">
        <f t="shared" si="22"/>
        <v>0</v>
      </c>
      <c r="I465" t="str">
        <f t="shared" si="23"/>
        <v/>
      </c>
      <c r="J465" t="str">
        <f>SUBSTITUTE(IF(COUNTIF(I$2:I465,I465)&gt;1,"",1)," ","")</f>
        <v/>
      </c>
    </row>
    <row r="466" spans="1:10" x14ac:dyDescent="0.2">
      <c r="A466" s="51" t="str">
        <f>IFERROR(VLOOKUP(B466,點上線資訊!A:R,18,0),"")</f>
        <v/>
      </c>
      <c r="B466" s="41">
        <f>'MB51'!A466</f>
        <v>0</v>
      </c>
      <c r="C466" s="60" t="str">
        <f>IFERROR(VLOOKUP(B466,'MB51'!A:I,9,0),"")</f>
        <v/>
      </c>
      <c r="D466" s="61" t="str">
        <f>IFERROR(VLOOKUP(B466,'MB51'!A:J,10,0),"")</f>
        <v/>
      </c>
      <c r="E466" s="62" t="str">
        <f>IFERROR(VLOOKUP(B466,'MB51'!A:K,11,0),"")</f>
        <v/>
      </c>
      <c r="F466" s="42" t="str">
        <f>IFERROR(VLOOKUP(B466,'MB51'!A:F,6,0),"")</f>
        <v/>
      </c>
      <c r="G466" s="17" t="str">
        <f t="shared" si="21"/>
        <v>點揀料單</v>
      </c>
      <c r="H466" s="17">
        <f t="shared" si="22"/>
        <v>0</v>
      </c>
      <c r="I466" t="str">
        <f t="shared" si="23"/>
        <v/>
      </c>
      <c r="J466" t="str">
        <f>SUBSTITUTE(IF(COUNTIF(I$2:I466,I466)&gt;1,"",1)," ","")</f>
        <v/>
      </c>
    </row>
    <row r="467" spans="1:10" x14ac:dyDescent="0.2">
      <c r="A467" s="51" t="str">
        <f>IFERROR(VLOOKUP(B467,點上線資訊!A:R,18,0),"")</f>
        <v/>
      </c>
      <c r="B467" s="41">
        <f>'MB51'!A467</f>
        <v>0</v>
      </c>
      <c r="C467" s="60" t="str">
        <f>IFERROR(VLOOKUP(B467,'MB51'!A:I,9,0),"")</f>
        <v/>
      </c>
      <c r="D467" s="61" t="str">
        <f>IFERROR(VLOOKUP(B467,'MB51'!A:J,10,0),"")</f>
        <v/>
      </c>
      <c r="E467" s="62" t="str">
        <f>IFERROR(VLOOKUP(B467,'MB51'!A:K,11,0),"")</f>
        <v/>
      </c>
      <c r="F467" s="42" t="str">
        <f>IFERROR(VLOOKUP(B467,'MB51'!A:F,6,0),"")</f>
        <v/>
      </c>
      <c r="G467" s="17" t="str">
        <f t="shared" si="21"/>
        <v>點揀料單</v>
      </c>
      <c r="H467" s="17">
        <f t="shared" si="22"/>
        <v>0</v>
      </c>
      <c r="I467" t="str">
        <f t="shared" si="23"/>
        <v/>
      </c>
      <c r="J467" t="str">
        <f>SUBSTITUTE(IF(COUNTIF(I$2:I467,I467)&gt;1,"",1)," ","")</f>
        <v/>
      </c>
    </row>
    <row r="468" spans="1:10" x14ac:dyDescent="0.2">
      <c r="A468" s="51" t="str">
        <f>IFERROR(VLOOKUP(B468,點上線資訊!A:R,18,0),"")</f>
        <v/>
      </c>
      <c r="B468" s="41">
        <f>'MB51'!A468</f>
        <v>0</v>
      </c>
      <c r="C468" s="60" t="str">
        <f>IFERROR(VLOOKUP(B468,'MB51'!A:I,9,0),"")</f>
        <v/>
      </c>
      <c r="D468" s="61" t="str">
        <f>IFERROR(VLOOKUP(B468,'MB51'!A:J,10,0),"")</f>
        <v/>
      </c>
      <c r="E468" s="62" t="str">
        <f>IFERROR(VLOOKUP(B468,'MB51'!A:K,11,0),"")</f>
        <v/>
      </c>
      <c r="F468" s="42" t="str">
        <f>IFERROR(VLOOKUP(B468,'MB51'!A:F,6,0),"")</f>
        <v/>
      </c>
      <c r="G468" s="17" t="str">
        <f t="shared" si="21"/>
        <v>點揀料單</v>
      </c>
      <c r="H468" s="17">
        <f t="shared" si="22"/>
        <v>0</v>
      </c>
      <c r="I468" t="str">
        <f t="shared" si="23"/>
        <v/>
      </c>
      <c r="J468" t="str">
        <f>SUBSTITUTE(IF(COUNTIF(I$2:I468,I468)&gt;1,"",1)," ","")</f>
        <v/>
      </c>
    </row>
    <row r="469" spans="1:10" x14ac:dyDescent="0.2">
      <c r="A469" s="51" t="str">
        <f>IFERROR(VLOOKUP(B469,點上線資訊!A:R,18,0),"")</f>
        <v/>
      </c>
      <c r="B469" s="41">
        <f>'MB51'!A469</f>
        <v>0</v>
      </c>
      <c r="C469" s="60" t="str">
        <f>IFERROR(VLOOKUP(B469,'MB51'!A:I,9,0),"")</f>
        <v/>
      </c>
      <c r="D469" s="61" t="str">
        <f>IFERROR(VLOOKUP(B469,'MB51'!A:J,10,0),"")</f>
        <v/>
      </c>
      <c r="E469" s="62" t="str">
        <f>IFERROR(VLOOKUP(B469,'MB51'!A:K,11,0),"")</f>
        <v/>
      </c>
      <c r="F469" s="42" t="str">
        <f>IFERROR(VLOOKUP(B469,'MB51'!A:F,6,0),"")</f>
        <v/>
      </c>
      <c r="G469" s="17" t="str">
        <f t="shared" si="21"/>
        <v>點揀料單</v>
      </c>
      <c r="H469" s="17">
        <f t="shared" si="22"/>
        <v>0</v>
      </c>
      <c r="I469" t="str">
        <f t="shared" si="23"/>
        <v/>
      </c>
      <c r="J469" t="str">
        <f>SUBSTITUTE(IF(COUNTIF(I$2:I469,I469)&gt;1,"",1)," ","")</f>
        <v/>
      </c>
    </row>
    <row r="470" spans="1:10" x14ac:dyDescent="0.2">
      <c r="A470" s="51" t="str">
        <f>IFERROR(VLOOKUP(B470,點上線資訊!A:R,18,0),"")</f>
        <v/>
      </c>
      <c r="B470" s="41">
        <f>'MB51'!A470</f>
        <v>0</v>
      </c>
      <c r="C470" s="60" t="str">
        <f>IFERROR(VLOOKUP(B470,'MB51'!A:I,9,0),"")</f>
        <v/>
      </c>
      <c r="D470" s="61" t="str">
        <f>IFERROR(VLOOKUP(B470,'MB51'!A:J,10,0),"")</f>
        <v/>
      </c>
      <c r="E470" s="62" t="str">
        <f>IFERROR(VLOOKUP(B470,'MB51'!A:K,11,0),"")</f>
        <v/>
      </c>
      <c r="F470" s="42" t="str">
        <f>IFERROR(VLOOKUP(B470,'MB51'!A:F,6,0),"")</f>
        <v/>
      </c>
      <c r="G470" s="17" t="str">
        <f t="shared" si="21"/>
        <v>點揀料單</v>
      </c>
      <c r="H470" s="17">
        <f t="shared" si="22"/>
        <v>0</v>
      </c>
      <c r="I470" t="str">
        <f t="shared" si="23"/>
        <v/>
      </c>
      <c r="J470" t="str">
        <f>SUBSTITUTE(IF(COUNTIF(I$2:I470,I470)&gt;1,"",1)," ","")</f>
        <v/>
      </c>
    </row>
    <row r="471" spans="1:10" x14ac:dyDescent="0.2">
      <c r="A471" s="51" t="str">
        <f>IFERROR(VLOOKUP(B471,點上線資訊!A:R,18,0),"")</f>
        <v/>
      </c>
      <c r="B471" s="41">
        <f>'MB51'!A471</f>
        <v>0</v>
      </c>
      <c r="C471" s="60" t="str">
        <f>IFERROR(VLOOKUP(B471,'MB51'!A:I,9,0),"")</f>
        <v/>
      </c>
      <c r="D471" s="61" t="str">
        <f>IFERROR(VLOOKUP(B471,'MB51'!A:J,10,0),"")</f>
        <v/>
      </c>
      <c r="E471" s="62" t="str">
        <f>IFERROR(VLOOKUP(B471,'MB51'!A:K,11,0),"")</f>
        <v/>
      </c>
      <c r="F471" s="42" t="str">
        <f>IFERROR(VLOOKUP(B471,'MB51'!A:F,6,0),"")</f>
        <v/>
      </c>
      <c r="G471" s="17" t="str">
        <f t="shared" si="21"/>
        <v>點揀料單</v>
      </c>
      <c r="H471" s="17">
        <f t="shared" si="22"/>
        <v>0</v>
      </c>
      <c r="I471" t="str">
        <f t="shared" si="23"/>
        <v/>
      </c>
      <c r="J471" t="str">
        <f>SUBSTITUTE(IF(COUNTIF(I$2:I471,I471)&gt;1,"",1)," ","")</f>
        <v/>
      </c>
    </row>
    <row r="472" spans="1:10" x14ac:dyDescent="0.2">
      <c r="A472" s="51" t="str">
        <f>IFERROR(VLOOKUP(B472,點上線資訊!A:R,18,0),"")</f>
        <v/>
      </c>
      <c r="B472" s="41">
        <f>'MB51'!A472</f>
        <v>0</v>
      </c>
      <c r="C472" s="60" t="str">
        <f>IFERROR(VLOOKUP(B472,'MB51'!A:I,9,0),"")</f>
        <v/>
      </c>
      <c r="D472" s="61" t="str">
        <f>IFERROR(VLOOKUP(B472,'MB51'!A:J,10,0),"")</f>
        <v/>
      </c>
      <c r="E472" s="62" t="str">
        <f>IFERROR(VLOOKUP(B472,'MB51'!A:K,11,0),"")</f>
        <v/>
      </c>
      <c r="F472" s="42" t="str">
        <f>IFERROR(VLOOKUP(B472,'MB51'!A:F,6,0),"")</f>
        <v/>
      </c>
      <c r="G472" s="17" t="str">
        <f t="shared" si="21"/>
        <v>點揀料單</v>
      </c>
      <c r="H472" s="17">
        <f t="shared" si="22"/>
        <v>0</v>
      </c>
      <c r="I472" t="str">
        <f t="shared" si="23"/>
        <v/>
      </c>
      <c r="J472" t="str">
        <f>SUBSTITUTE(IF(COUNTIF(I$2:I472,I472)&gt;1,"",1)," ","")</f>
        <v/>
      </c>
    </row>
    <row r="473" spans="1:10" x14ac:dyDescent="0.2">
      <c r="A473" s="51" t="str">
        <f>IFERROR(VLOOKUP(B473,點上線資訊!A:R,18,0),"")</f>
        <v/>
      </c>
      <c r="B473" s="41">
        <f>'MB51'!A473</f>
        <v>0</v>
      </c>
      <c r="C473" s="60" t="str">
        <f>IFERROR(VLOOKUP(B473,'MB51'!A:I,9,0),"")</f>
        <v/>
      </c>
      <c r="D473" s="61" t="str">
        <f>IFERROR(VLOOKUP(B473,'MB51'!A:J,10,0),"")</f>
        <v/>
      </c>
      <c r="E473" s="62" t="str">
        <f>IFERROR(VLOOKUP(B473,'MB51'!A:K,11,0),"")</f>
        <v/>
      </c>
      <c r="F473" s="42" t="str">
        <f>IFERROR(VLOOKUP(B473,'MB51'!A:F,6,0),"")</f>
        <v/>
      </c>
      <c r="G473" s="17" t="str">
        <f t="shared" si="21"/>
        <v>點揀料單</v>
      </c>
      <c r="H473" s="17">
        <f t="shared" si="22"/>
        <v>0</v>
      </c>
      <c r="I473" t="str">
        <f t="shared" si="23"/>
        <v/>
      </c>
      <c r="J473" t="str">
        <f>SUBSTITUTE(IF(COUNTIF(I$2:I473,I473)&gt;1,"",1)," ","")</f>
        <v/>
      </c>
    </row>
    <row r="474" spans="1:10" x14ac:dyDescent="0.2">
      <c r="A474" s="51" t="str">
        <f>IFERROR(VLOOKUP(B474,點上線資訊!A:R,18,0),"")</f>
        <v/>
      </c>
      <c r="B474" s="41">
        <f>'MB51'!A474</f>
        <v>0</v>
      </c>
      <c r="C474" s="60" t="str">
        <f>IFERROR(VLOOKUP(B474,'MB51'!A:I,9,0),"")</f>
        <v/>
      </c>
      <c r="D474" s="61" t="str">
        <f>IFERROR(VLOOKUP(B474,'MB51'!A:J,10,0),"")</f>
        <v/>
      </c>
      <c r="E474" s="62" t="str">
        <f>IFERROR(VLOOKUP(B474,'MB51'!A:K,11,0),"")</f>
        <v/>
      </c>
      <c r="F474" s="42" t="str">
        <f>IFERROR(VLOOKUP(B474,'MB51'!A:F,6,0),"")</f>
        <v/>
      </c>
      <c r="G474" s="17" t="str">
        <f t="shared" si="21"/>
        <v>點揀料單</v>
      </c>
      <c r="H474" s="17">
        <f t="shared" si="22"/>
        <v>0</v>
      </c>
      <c r="I474" t="str">
        <f t="shared" si="23"/>
        <v/>
      </c>
      <c r="J474" t="str">
        <f>SUBSTITUTE(IF(COUNTIF(I$2:I474,I474)&gt;1,"",1)," ","")</f>
        <v/>
      </c>
    </row>
    <row r="475" spans="1:10" x14ac:dyDescent="0.2">
      <c r="A475" s="51" t="str">
        <f>IFERROR(VLOOKUP(B475,點上線資訊!A:R,18,0),"")</f>
        <v/>
      </c>
      <c r="B475" s="41">
        <f>'MB51'!A475</f>
        <v>0</v>
      </c>
      <c r="C475" s="60" t="str">
        <f>IFERROR(VLOOKUP(B475,'MB51'!A:I,9,0),"")</f>
        <v/>
      </c>
      <c r="D475" s="61" t="str">
        <f>IFERROR(VLOOKUP(B475,'MB51'!A:J,10,0),"")</f>
        <v/>
      </c>
      <c r="E475" s="62" t="str">
        <f>IFERROR(VLOOKUP(B475,'MB51'!A:K,11,0),"")</f>
        <v/>
      </c>
      <c r="F475" s="42" t="str">
        <f>IFERROR(VLOOKUP(B475,'MB51'!A:F,6,0),"")</f>
        <v/>
      </c>
      <c r="G475" s="17" t="str">
        <f t="shared" si="21"/>
        <v>點揀料單</v>
      </c>
      <c r="H475" s="17">
        <f t="shared" si="22"/>
        <v>0</v>
      </c>
      <c r="I475" t="str">
        <f t="shared" si="23"/>
        <v/>
      </c>
      <c r="J475" t="str">
        <f>SUBSTITUTE(IF(COUNTIF(I$2:I475,I475)&gt;1,"",1)," ","")</f>
        <v/>
      </c>
    </row>
    <row r="476" spans="1:10" x14ac:dyDescent="0.2">
      <c r="A476" s="51" t="str">
        <f>IFERROR(VLOOKUP(B476,點上線資訊!A:R,18,0),"")</f>
        <v/>
      </c>
      <c r="B476" s="41">
        <f>'MB51'!A476</f>
        <v>0</v>
      </c>
      <c r="C476" s="60" t="str">
        <f>IFERROR(VLOOKUP(B476,'MB51'!A:I,9,0),"")</f>
        <v/>
      </c>
      <c r="D476" s="61" t="str">
        <f>IFERROR(VLOOKUP(B476,'MB51'!A:J,10,0),"")</f>
        <v/>
      </c>
      <c r="E476" s="62" t="str">
        <f>IFERROR(VLOOKUP(B476,'MB51'!A:K,11,0),"")</f>
        <v/>
      </c>
      <c r="F476" s="42" t="str">
        <f>IFERROR(VLOOKUP(B476,'MB51'!A:F,6,0),"")</f>
        <v/>
      </c>
      <c r="G476" s="17" t="str">
        <f t="shared" si="21"/>
        <v>點揀料單</v>
      </c>
      <c r="H476" s="17">
        <f t="shared" si="22"/>
        <v>0</v>
      </c>
      <c r="I476" t="str">
        <f t="shared" si="23"/>
        <v/>
      </c>
      <c r="J476" t="str">
        <f>SUBSTITUTE(IF(COUNTIF(I$2:I476,I476)&gt;1,"",1)," ","")</f>
        <v/>
      </c>
    </row>
    <row r="477" spans="1:10" x14ac:dyDescent="0.2">
      <c r="A477" s="51" t="str">
        <f>IFERROR(VLOOKUP(B477,點上線資訊!A:R,18,0),"")</f>
        <v/>
      </c>
      <c r="B477" s="41">
        <f>'MB51'!A477</f>
        <v>0</v>
      </c>
      <c r="C477" s="60" t="str">
        <f>IFERROR(VLOOKUP(B477,'MB51'!A:I,9,0),"")</f>
        <v/>
      </c>
      <c r="D477" s="61" t="str">
        <f>IFERROR(VLOOKUP(B477,'MB51'!A:J,10,0),"")</f>
        <v/>
      </c>
      <c r="E477" s="62" t="str">
        <f>IFERROR(VLOOKUP(B477,'MB51'!A:K,11,0),"")</f>
        <v/>
      </c>
      <c r="F477" s="42" t="str">
        <f>IFERROR(VLOOKUP(B477,'MB51'!A:F,6,0),"")</f>
        <v/>
      </c>
      <c r="G477" s="17" t="str">
        <f t="shared" si="21"/>
        <v>點揀料單</v>
      </c>
      <c r="H477" s="17">
        <f t="shared" si="22"/>
        <v>0</v>
      </c>
      <c r="I477" t="str">
        <f t="shared" si="23"/>
        <v/>
      </c>
      <c r="J477" t="str">
        <f>SUBSTITUTE(IF(COUNTIF(I$2:I477,I477)&gt;1,"",1)," ","")</f>
        <v/>
      </c>
    </row>
    <row r="478" spans="1:10" x14ac:dyDescent="0.2">
      <c r="A478" s="51" t="str">
        <f>IFERROR(VLOOKUP(B478,點上線資訊!A:R,18,0),"")</f>
        <v/>
      </c>
      <c r="B478" s="41">
        <f>'MB51'!A478</f>
        <v>0</v>
      </c>
      <c r="C478" s="60" t="str">
        <f>IFERROR(VLOOKUP(B478,'MB51'!A:I,9,0),"")</f>
        <v/>
      </c>
      <c r="D478" s="61" t="str">
        <f>IFERROR(VLOOKUP(B478,'MB51'!A:J,10,0),"")</f>
        <v/>
      </c>
      <c r="E478" s="62" t="str">
        <f>IFERROR(VLOOKUP(B478,'MB51'!A:K,11,0),"")</f>
        <v/>
      </c>
      <c r="F478" s="42" t="str">
        <f>IFERROR(VLOOKUP(B478,'MB51'!A:F,6,0),"")</f>
        <v/>
      </c>
      <c r="G478" s="17" t="str">
        <f t="shared" si="21"/>
        <v>點揀料單</v>
      </c>
      <c r="H478" s="17">
        <f t="shared" si="22"/>
        <v>0</v>
      </c>
      <c r="I478" t="str">
        <f t="shared" si="23"/>
        <v/>
      </c>
      <c r="J478" t="str">
        <f>SUBSTITUTE(IF(COUNTIF(I$2:I478,I478)&gt;1,"",1)," ","")</f>
        <v/>
      </c>
    </row>
    <row r="479" spans="1:10" x14ac:dyDescent="0.2">
      <c r="A479" s="51" t="str">
        <f>IFERROR(VLOOKUP(B479,點上線資訊!A:R,18,0),"")</f>
        <v/>
      </c>
      <c r="B479" s="41">
        <f>'MB51'!A479</f>
        <v>0</v>
      </c>
      <c r="C479" s="60" t="str">
        <f>IFERROR(VLOOKUP(B479,'MB51'!A:I,9,0),"")</f>
        <v/>
      </c>
      <c r="D479" s="61" t="str">
        <f>IFERROR(VLOOKUP(B479,'MB51'!A:J,10,0),"")</f>
        <v/>
      </c>
      <c r="E479" s="62" t="str">
        <f>IFERROR(VLOOKUP(B479,'MB51'!A:K,11,0),"")</f>
        <v/>
      </c>
      <c r="F479" s="42" t="str">
        <f>IFERROR(VLOOKUP(B479,'MB51'!A:F,6,0),"")</f>
        <v/>
      </c>
      <c r="G479" s="17" t="str">
        <f t="shared" si="21"/>
        <v>點揀料單</v>
      </c>
      <c r="H479" s="17">
        <f t="shared" si="22"/>
        <v>0</v>
      </c>
      <c r="I479" t="str">
        <f t="shared" si="23"/>
        <v/>
      </c>
      <c r="J479" t="str">
        <f>SUBSTITUTE(IF(COUNTIF(I$2:I479,I479)&gt;1,"",1)," ","")</f>
        <v/>
      </c>
    </row>
    <row r="480" spans="1:10" x14ac:dyDescent="0.2">
      <c r="A480" s="51" t="str">
        <f>IFERROR(VLOOKUP(B480,點上線資訊!A:R,18,0),"")</f>
        <v/>
      </c>
      <c r="B480" s="41">
        <f>'MB51'!A480</f>
        <v>0</v>
      </c>
      <c r="C480" s="60" t="str">
        <f>IFERROR(VLOOKUP(B480,'MB51'!A:I,9,0),"")</f>
        <v/>
      </c>
      <c r="D480" s="61" t="str">
        <f>IFERROR(VLOOKUP(B480,'MB51'!A:J,10,0),"")</f>
        <v/>
      </c>
      <c r="E480" s="62" t="str">
        <f>IFERROR(VLOOKUP(B480,'MB51'!A:K,11,0),"")</f>
        <v/>
      </c>
      <c r="F480" s="42" t="str">
        <f>IFERROR(VLOOKUP(B480,'MB51'!A:F,6,0),"")</f>
        <v/>
      </c>
      <c r="G480" s="17" t="str">
        <f t="shared" si="21"/>
        <v>點揀料單</v>
      </c>
      <c r="H480" s="17">
        <f t="shared" si="22"/>
        <v>0</v>
      </c>
      <c r="I480" t="str">
        <f t="shared" si="23"/>
        <v/>
      </c>
      <c r="J480" t="str">
        <f>SUBSTITUTE(IF(COUNTIF(I$2:I480,I480)&gt;1,"",1)," ","")</f>
        <v/>
      </c>
    </row>
    <row r="481" spans="1:10" x14ac:dyDescent="0.2">
      <c r="A481" s="51" t="str">
        <f>IFERROR(VLOOKUP(B481,點上線資訊!A:R,18,0),"")</f>
        <v/>
      </c>
      <c r="B481" s="41">
        <f>'MB51'!A481</f>
        <v>0</v>
      </c>
      <c r="C481" s="60" t="str">
        <f>IFERROR(VLOOKUP(B481,'MB51'!A:I,9,0),"")</f>
        <v/>
      </c>
      <c r="D481" s="61" t="str">
        <f>IFERROR(VLOOKUP(B481,'MB51'!A:J,10,0),"")</f>
        <v/>
      </c>
      <c r="E481" s="62" t="str">
        <f>IFERROR(VLOOKUP(B481,'MB51'!A:K,11,0),"")</f>
        <v/>
      </c>
      <c r="F481" s="42" t="str">
        <f>IFERROR(VLOOKUP(B481,'MB51'!A:F,6,0),"")</f>
        <v/>
      </c>
      <c r="G481" s="17" t="str">
        <f t="shared" si="21"/>
        <v>點揀料單</v>
      </c>
      <c r="H481" s="17">
        <f t="shared" si="22"/>
        <v>0</v>
      </c>
      <c r="I481" t="str">
        <f t="shared" si="23"/>
        <v/>
      </c>
      <c r="J481" t="str">
        <f>SUBSTITUTE(IF(COUNTIF(I$2:I481,I481)&gt;1,"",1)," ","")</f>
        <v/>
      </c>
    </row>
    <row r="482" spans="1:10" x14ac:dyDescent="0.2">
      <c r="A482" s="51" t="str">
        <f>IFERROR(VLOOKUP(B482,點上線資訊!A:R,18,0),"")</f>
        <v/>
      </c>
      <c r="B482" s="41">
        <f>'MB51'!A482</f>
        <v>0</v>
      </c>
      <c r="C482" s="60" t="str">
        <f>IFERROR(VLOOKUP(B482,'MB51'!A:I,9,0),"")</f>
        <v/>
      </c>
      <c r="D482" s="61" t="str">
        <f>IFERROR(VLOOKUP(B482,'MB51'!A:J,10,0),"")</f>
        <v/>
      </c>
      <c r="E482" s="62" t="str">
        <f>IFERROR(VLOOKUP(B482,'MB51'!A:K,11,0),"")</f>
        <v/>
      </c>
      <c r="F482" s="42" t="str">
        <f>IFERROR(VLOOKUP(B482,'MB51'!A:F,6,0),"")</f>
        <v/>
      </c>
      <c r="G482" s="17" t="str">
        <f t="shared" si="21"/>
        <v>點揀料單</v>
      </c>
      <c r="H482" s="17">
        <f t="shared" si="22"/>
        <v>0</v>
      </c>
      <c r="I482" t="str">
        <f t="shared" si="23"/>
        <v/>
      </c>
      <c r="J482" t="str">
        <f>SUBSTITUTE(IF(COUNTIF(I$2:I482,I482)&gt;1,"",1)," ","")</f>
        <v/>
      </c>
    </row>
    <row r="483" spans="1:10" x14ac:dyDescent="0.2">
      <c r="A483" s="51" t="str">
        <f>IFERROR(VLOOKUP(B483,點上線資訊!A:R,18,0),"")</f>
        <v/>
      </c>
      <c r="B483" s="41">
        <f>'MB51'!A483</f>
        <v>0</v>
      </c>
      <c r="C483" s="60" t="str">
        <f>IFERROR(VLOOKUP(B483,'MB51'!A:I,9,0),"")</f>
        <v/>
      </c>
      <c r="D483" s="61" t="str">
        <f>IFERROR(VLOOKUP(B483,'MB51'!A:J,10,0),"")</f>
        <v/>
      </c>
      <c r="E483" s="62" t="str">
        <f>IFERROR(VLOOKUP(B483,'MB51'!A:K,11,0),"")</f>
        <v/>
      </c>
      <c r="F483" s="42" t="str">
        <f>IFERROR(VLOOKUP(B483,'MB51'!A:F,6,0),"")</f>
        <v/>
      </c>
      <c r="G483" s="17" t="str">
        <f t="shared" si="21"/>
        <v>點揀料單</v>
      </c>
      <c r="H483" s="17">
        <f t="shared" si="22"/>
        <v>0</v>
      </c>
      <c r="I483" t="str">
        <f t="shared" si="23"/>
        <v/>
      </c>
      <c r="J483" t="str">
        <f>SUBSTITUTE(IF(COUNTIF(I$2:I483,I483)&gt;1,"",1)," ","")</f>
        <v/>
      </c>
    </row>
    <row r="484" spans="1:10" x14ac:dyDescent="0.2">
      <c r="A484" s="51" t="str">
        <f>IFERROR(VLOOKUP(B484,點上線資訊!A:R,18,0),"")</f>
        <v/>
      </c>
      <c r="B484" s="41">
        <f>'MB51'!A484</f>
        <v>0</v>
      </c>
      <c r="C484" s="60" t="str">
        <f>IFERROR(VLOOKUP(B484,'MB51'!A:I,9,0),"")</f>
        <v/>
      </c>
      <c r="D484" s="61" t="str">
        <f>IFERROR(VLOOKUP(B484,'MB51'!A:J,10,0),"")</f>
        <v/>
      </c>
      <c r="E484" s="62" t="str">
        <f>IFERROR(VLOOKUP(B484,'MB51'!A:K,11,0),"")</f>
        <v/>
      </c>
      <c r="F484" s="42" t="str">
        <f>IFERROR(VLOOKUP(B484,'MB51'!A:F,6,0),"")</f>
        <v/>
      </c>
      <c r="G484" s="17" t="str">
        <f t="shared" si="21"/>
        <v>點揀料單</v>
      </c>
      <c r="H484" s="17">
        <f t="shared" si="22"/>
        <v>0</v>
      </c>
      <c r="I484" t="str">
        <f t="shared" si="23"/>
        <v/>
      </c>
      <c r="J484" t="str">
        <f>SUBSTITUTE(IF(COUNTIF(I$2:I484,I484)&gt;1,"",1)," ","")</f>
        <v/>
      </c>
    </row>
    <row r="485" spans="1:10" x14ac:dyDescent="0.2">
      <c r="A485" s="51" t="str">
        <f>IFERROR(VLOOKUP(B485,點上線資訊!A:R,18,0),"")</f>
        <v/>
      </c>
      <c r="B485" s="41">
        <f>'MB51'!A485</f>
        <v>0</v>
      </c>
      <c r="C485" s="60" t="str">
        <f>IFERROR(VLOOKUP(B485,'MB51'!A:I,9,0),"")</f>
        <v/>
      </c>
      <c r="D485" s="61" t="str">
        <f>IFERROR(VLOOKUP(B485,'MB51'!A:J,10,0),"")</f>
        <v/>
      </c>
      <c r="E485" s="62" t="str">
        <f>IFERROR(VLOOKUP(B485,'MB51'!A:K,11,0),"")</f>
        <v/>
      </c>
      <c r="F485" s="42" t="str">
        <f>IFERROR(VLOOKUP(B485,'MB51'!A:F,6,0),"")</f>
        <v/>
      </c>
      <c r="G485" s="17" t="str">
        <f t="shared" si="21"/>
        <v>點揀料單</v>
      </c>
      <c r="H485" s="17">
        <f t="shared" si="22"/>
        <v>0</v>
      </c>
      <c r="I485" t="str">
        <f t="shared" si="23"/>
        <v/>
      </c>
      <c r="J485" t="str">
        <f>SUBSTITUTE(IF(COUNTIF(I$2:I485,I485)&gt;1,"",1)," ","")</f>
        <v/>
      </c>
    </row>
    <row r="486" spans="1:10" x14ac:dyDescent="0.2">
      <c r="A486" s="51" t="str">
        <f>IFERROR(VLOOKUP(B486,點上線資訊!A:R,18,0),"")</f>
        <v/>
      </c>
      <c r="B486" s="41">
        <f>'MB51'!A486</f>
        <v>0</v>
      </c>
      <c r="C486" s="60" t="str">
        <f>IFERROR(VLOOKUP(B486,'MB51'!A:I,9,0),"")</f>
        <v/>
      </c>
      <c r="D486" s="61" t="str">
        <f>IFERROR(VLOOKUP(B486,'MB51'!A:J,10,0),"")</f>
        <v/>
      </c>
      <c r="E486" s="62" t="str">
        <f>IFERROR(VLOOKUP(B486,'MB51'!A:K,11,0),"")</f>
        <v/>
      </c>
      <c r="F486" s="42" t="str">
        <f>IFERROR(VLOOKUP(B486,'MB51'!A:F,6,0),"")</f>
        <v/>
      </c>
      <c r="G486" s="17" t="str">
        <f t="shared" si="21"/>
        <v>點揀料單</v>
      </c>
      <c r="H486" s="17">
        <f t="shared" si="22"/>
        <v>0</v>
      </c>
      <c r="I486" t="str">
        <f t="shared" si="23"/>
        <v/>
      </c>
      <c r="J486" t="str">
        <f>SUBSTITUTE(IF(COUNTIF(I$2:I486,I486)&gt;1,"",1)," ","")</f>
        <v/>
      </c>
    </row>
    <row r="487" spans="1:10" x14ac:dyDescent="0.2">
      <c r="A487" s="51" t="str">
        <f>IFERROR(VLOOKUP(B487,點上線資訊!A:R,18,0),"")</f>
        <v/>
      </c>
      <c r="B487" s="41">
        <f>'MB51'!A487</f>
        <v>0</v>
      </c>
      <c r="C487" s="60" t="str">
        <f>IFERROR(VLOOKUP(B487,'MB51'!A:I,9,0),"")</f>
        <v/>
      </c>
      <c r="D487" s="61" t="str">
        <f>IFERROR(VLOOKUP(B487,'MB51'!A:J,10,0),"")</f>
        <v/>
      </c>
      <c r="E487" s="62" t="str">
        <f>IFERROR(VLOOKUP(B487,'MB51'!A:K,11,0),"")</f>
        <v/>
      </c>
      <c r="F487" s="42" t="str">
        <f>IFERROR(VLOOKUP(B487,'MB51'!A:F,6,0),"")</f>
        <v/>
      </c>
      <c r="G487" s="17" t="str">
        <f t="shared" si="21"/>
        <v>點揀料單</v>
      </c>
      <c r="H487" s="17">
        <f t="shared" si="22"/>
        <v>0</v>
      </c>
      <c r="I487" t="str">
        <f t="shared" si="23"/>
        <v/>
      </c>
      <c r="J487" t="str">
        <f>SUBSTITUTE(IF(COUNTIF(I$2:I487,I487)&gt;1,"",1)," ","")</f>
        <v/>
      </c>
    </row>
    <row r="488" spans="1:10" x14ac:dyDescent="0.2">
      <c r="A488" s="51" t="str">
        <f>IFERROR(VLOOKUP(B488,點上線資訊!A:R,18,0),"")</f>
        <v/>
      </c>
      <c r="B488" s="41">
        <f>'MB51'!A488</f>
        <v>0</v>
      </c>
      <c r="C488" s="60" t="str">
        <f>IFERROR(VLOOKUP(B488,'MB51'!A:I,9,0),"")</f>
        <v/>
      </c>
      <c r="D488" s="61" t="str">
        <f>IFERROR(VLOOKUP(B488,'MB51'!A:J,10,0),"")</f>
        <v/>
      </c>
      <c r="E488" s="62" t="str">
        <f>IFERROR(VLOOKUP(B488,'MB51'!A:K,11,0),"")</f>
        <v/>
      </c>
      <c r="F488" s="42" t="str">
        <f>IFERROR(VLOOKUP(B488,'MB51'!A:F,6,0),"")</f>
        <v/>
      </c>
      <c r="G488" s="17" t="str">
        <f t="shared" si="21"/>
        <v>點揀料單</v>
      </c>
      <c r="H488" s="17">
        <f t="shared" si="22"/>
        <v>0</v>
      </c>
      <c r="I488" t="str">
        <f t="shared" si="23"/>
        <v/>
      </c>
      <c r="J488" t="str">
        <f>SUBSTITUTE(IF(COUNTIF(I$2:I488,I488)&gt;1,"",1)," ","")</f>
        <v/>
      </c>
    </row>
    <row r="489" spans="1:10" x14ac:dyDescent="0.2">
      <c r="A489" s="51" t="str">
        <f>IFERROR(VLOOKUP(B489,點上線資訊!A:R,18,0),"")</f>
        <v/>
      </c>
      <c r="B489" s="41">
        <f>'MB51'!A489</f>
        <v>0</v>
      </c>
      <c r="C489" s="60" t="str">
        <f>IFERROR(VLOOKUP(B489,'MB51'!A:I,9,0),"")</f>
        <v/>
      </c>
      <c r="D489" s="61" t="str">
        <f>IFERROR(VLOOKUP(B489,'MB51'!A:J,10,0),"")</f>
        <v/>
      </c>
      <c r="E489" s="62" t="str">
        <f>IFERROR(VLOOKUP(B489,'MB51'!A:K,11,0),"")</f>
        <v/>
      </c>
      <c r="F489" s="42" t="str">
        <f>IFERROR(VLOOKUP(B489,'MB51'!A:F,6,0),"")</f>
        <v/>
      </c>
      <c r="G489" s="17" t="str">
        <f t="shared" si="21"/>
        <v>點揀料單</v>
      </c>
      <c r="H489" s="17">
        <f t="shared" si="22"/>
        <v>0</v>
      </c>
      <c r="I489" t="str">
        <f t="shared" si="23"/>
        <v/>
      </c>
      <c r="J489" t="str">
        <f>SUBSTITUTE(IF(COUNTIF(I$2:I489,I489)&gt;1,"",1)," ","")</f>
        <v/>
      </c>
    </row>
    <row r="490" spans="1:10" x14ac:dyDescent="0.2">
      <c r="A490" s="51" t="str">
        <f>IFERROR(VLOOKUP(B490,點上線資訊!A:R,18,0),"")</f>
        <v/>
      </c>
      <c r="B490" s="41">
        <f>'MB51'!A490</f>
        <v>0</v>
      </c>
      <c r="C490" s="60" t="str">
        <f>IFERROR(VLOOKUP(B490,'MB51'!A:I,9,0),"")</f>
        <v/>
      </c>
      <c r="D490" s="61" t="str">
        <f>IFERROR(VLOOKUP(B490,'MB51'!A:J,10,0),"")</f>
        <v/>
      </c>
      <c r="E490" s="62" t="str">
        <f>IFERROR(VLOOKUP(B490,'MB51'!A:K,11,0),"")</f>
        <v/>
      </c>
      <c r="F490" s="42" t="str">
        <f>IFERROR(VLOOKUP(B490,'MB51'!A:F,6,0),"")</f>
        <v/>
      </c>
      <c r="G490" s="17" t="str">
        <f t="shared" si="21"/>
        <v>點揀料單</v>
      </c>
      <c r="H490" s="17">
        <f t="shared" si="22"/>
        <v>0</v>
      </c>
      <c r="I490" t="str">
        <f t="shared" si="23"/>
        <v/>
      </c>
      <c r="J490" t="str">
        <f>SUBSTITUTE(IF(COUNTIF(I$2:I490,I490)&gt;1,"",1)," ","")</f>
        <v/>
      </c>
    </row>
    <row r="491" spans="1:10" x14ac:dyDescent="0.2">
      <c r="A491" s="51" t="str">
        <f>IFERROR(VLOOKUP(B491,點上線資訊!A:R,18,0),"")</f>
        <v/>
      </c>
      <c r="B491" s="41">
        <f>'MB51'!A491</f>
        <v>0</v>
      </c>
      <c r="C491" s="60" t="str">
        <f>IFERROR(VLOOKUP(B491,'MB51'!A:I,9,0),"")</f>
        <v/>
      </c>
      <c r="D491" s="61" t="str">
        <f>IFERROR(VLOOKUP(B491,'MB51'!A:J,10,0),"")</f>
        <v/>
      </c>
      <c r="E491" s="62" t="str">
        <f>IFERROR(VLOOKUP(B491,'MB51'!A:K,11,0),"")</f>
        <v/>
      </c>
      <c r="F491" s="42" t="str">
        <f>IFERROR(VLOOKUP(B491,'MB51'!A:F,6,0),"")</f>
        <v/>
      </c>
      <c r="G491" s="17" t="str">
        <f t="shared" si="21"/>
        <v>點揀料單</v>
      </c>
      <c r="H491" s="17">
        <f t="shared" si="22"/>
        <v>0</v>
      </c>
      <c r="I491" t="str">
        <f t="shared" si="23"/>
        <v/>
      </c>
      <c r="J491" t="str">
        <f>SUBSTITUTE(IF(COUNTIF(I$2:I491,I491)&gt;1,"",1)," ","")</f>
        <v/>
      </c>
    </row>
    <row r="492" spans="1:10" x14ac:dyDescent="0.2">
      <c r="A492" s="51" t="str">
        <f>IFERROR(VLOOKUP(B492,點上線資訊!A:R,18,0),"")</f>
        <v/>
      </c>
      <c r="B492" s="41">
        <f>'MB51'!A492</f>
        <v>0</v>
      </c>
      <c r="C492" s="60" t="str">
        <f>IFERROR(VLOOKUP(B492,'MB51'!A:I,9,0),"")</f>
        <v/>
      </c>
      <c r="D492" s="61" t="str">
        <f>IFERROR(VLOOKUP(B492,'MB51'!A:J,10,0),"")</f>
        <v/>
      </c>
      <c r="E492" s="62" t="str">
        <f>IFERROR(VLOOKUP(B492,'MB51'!A:K,11,0),"")</f>
        <v/>
      </c>
      <c r="F492" s="42" t="str">
        <f>IFERROR(VLOOKUP(B492,'MB51'!A:F,6,0),"")</f>
        <v/>
      </c>
      <c r="G492" s="17" t="str">
        <f t="shared" si="21"/>
        <v>點揀料單</v>
      </c>
      <c r="H492" s="17">
        <f t="shared" si="22"/>
        <v>0</v>
      </c>
      <c r="I492" t="str">
        <f t="shared" si="23"/>
        <v/>
      </c>
      <c r="J492" t="str">
        <f>SUBSTITUTE(IF(COUNTIF(I$2:I492,I492)&gt;1,"",1)," ","")</f>
        <v/>
      </c>
    </row>
    <row r="493" spans="1:10" x14ac:dyDescent="0.2">
      <c r="A493" s="51" t="str">
        <f>IFERROR(VLOOKUP(B493,點上線資訊!A:R,18,0),"")</f>
        <v/>
      </c>
      <c r="B493" s="41">
        <f>'MB51'!A493</f>
        <v>0</v>
      </c>
      <c r="C493" s="60" t="str">
        <f>IFERROR(VLOOKUP(B493,'MB51'!A:I,9,0),"")</f>
        <v/>
      </c>
      <c r="D493" s="61" t="str">
        <f>IFERROR(VLOOKUP(B493,'MB51'!A:J,10,0),"")</f>
        <v/>
      </c>
      <c r="E493" s="62" t="str">
        <f>IFERROR(VLOOKUP(B493,'MB51'!A:K,11,0),"")</f>
        <v/>
      </c>
      <c r="F493" s="42" t="str">
        <f>IFERROR(VLOOKUP(B493,'MB51'!A:F,6,0),"")</f>
        <v/>
      </c>
      <c r="G493" s="17" t="str">
        <f t="shared" si="21"/>
        <v>點揀料單</v>
      </c>
      <c r="H493" s="17">
        <f t="shared" si="22"/>
        <v>0</v>
      </c>
      <c r="I493" t="str">
        <f t="shared" si="23"/>
        <v/>
      </c>
      <c r="J493" t="str">
        <f>SUBSTITUTE(IF(COUNTIF(I$2:I493,I493)&gt;1,"",1)," ","")</f>
        <v/>
      </c>
    </row>
    <row r="494" spans="1:10" x14ac:dyDescent="0.2">
      <c r="A494" s="51" t="str">
        <f>IFERROR(VLOOKUP(B494,點上線資訊!A:R,18,0),"")</f>
        <v/>
      </c>
      <c r="B494" s="41">
        <f>'MB51'!A494</f>
        <v>0</v>
      </c>
      <c r="C494" s="60" t="str">
        <f>IFERROR(VLOOKUP(B494,'MB51'!A:I,9,0),"")</f>
        <v/>
      </c>
      <c r="D494" s="61" t="str">
        <f>IFERROR(VLOOKUP(B494,'MB51'!A:J,10,0),"")</f>
        <v/>
      </c>
      <c r="E494" s="62" t="str">
        <f>IFERROR(VLOOKUP(B494,'MB51'!A:K,11,0),"")</f>
        <v/>
      </c>
      <c r="F494" s="42" t="str">
        <f>IFERROR(VLOOKUP(B494,'MB51'!A:F,6,0),"")</f>
        <v/>
      </c>
      <c r="G494" s="17" t="str">
        <f t="shared" si="21"/>
        <v>點揀料單</v>
      </c>
      <c r="H494" s="17">
        <f t="shared" si="22"/>
        <v>0</v>
      </c>
      <c r="I494" t="str">
        <f t="shared" si="23"/>
        <v/>
      </c>
      <c r="J494" t="str">
        <f>SUBSTITUTE(IF(COUNTIF(I$2:I494,I494)&gt;1,"",1)," ","")</f>
        <v/>
      </c>
    </row>
    <row r="495" spans="1:10" x14ac:dyDescent="0.2">
      <c r="A495" s="51" t="str">
        <f>IFERROR(VLOOKUP(B495,點上線資訊!A:R,18,0),"")</f>
        <v/>
      </c>
      <c r="B495" s="41">
        <f>'MB51'!A495</f>
        <v>0</v>
      </c>
      <c r="C495" s="60" t="str">
        <f>IFERROR(VLOOKUP(B495,'MB51'!A:I,9,0),"")</f>
        <v/>
      </c>
      <c r="D495" s="61" t="str">
        <f>IFERROR(VLOOKUP(B495,'MB51'!A:J,10,0),"")</f>
        <v/>
      </c>
      <c r="E495" s="62" t="str">
        <f>IFERROR(VLOOKUP(B495,'MB51'!A:K,11,0),"")</f>
        <v/>
      </c>
      <c r="F495" s="42" t="str">
        <f>IFERROR(VLOOKUP(B495,'MB51'!A:F,6,0),"")</f>
        <v/>
      </c>
      <c r="G495" s="17" t="str">
        <f t="shared" si="21"/>
        <v>點揀料單</v>
      </c>
      <c r="H495" s="17">
        <f t="shared" si="22"/>
        <v>0</v>
      </c>
      <c r="I495" t="str">
        <f t="shared" si="23"/>
        <v/>
      </c>
      <c r="J495" t="str">
        <f>SUBSTITUTE(IF(COUNTIF(I$2:I495,I495)&gt;1,"",1)," ","")</f>
        <v/>
      </c>
    </row>
    <row r="496" spans="1:10" x14ac:dyDescent="0.2">
      <c r="A496" s="51" t="str">
        <f>IFERROR(VLOOKUP(B496,點上線資訊!A:R,18,0),"")</f>
        <v/>
      </c>
      <c r="B496" s="41">
        <f>'MB51'!A496</f>
        <v>0</v>
      </c>
      <c r="C496" s="60" t="str">
        <f>IFERROR(VLOOKUP(B496,'MB51'!A:I,9,0),"")</f>
        <v/>
      </c>
      <c r="D496" s="61" t="str">
        <f>IFERROR(VLOOKUP(B496,'MB51'!A:J,10,0),"")</f>
        <v/>
      </c>
      <c r="E496" s="62" t="str">
        <f>IFERROR(VLOOKUP(B496,'MB51'!A:K,11,0),"")</f>
        <v/>
      </c>
      <c r="F496" s="42" t="str">
        <f>IFERROR(VLOOKUP(B496,'MB51'!A:F,6,0),"")</f>
        <v/>
      </c>
      <c r="G496" s="17" t="str">
        <f t="shared" si="21"/>
        <v>點揀料單</v>
      </c>
      <c r="H496" s="17">
        <f t="shared" si="22"/>
        <v>0</v>
      </c>
      <c r="I496" t="str">
        <f t="shared" si="23"/>
        <v/>
      </c>
      <c r="J496" t="str">
        <f>SUBSTITUTE(IF(COUNTIF(I$2:I496,I496)&gt;1,"",1)," ","")</f>
        <v/>
      </c>
    </row>
    <row r="497" spans="1:10" x14ac:dyDescent="0.2">
      <c r="A497" s="51" t="str">
        <f>IFERROR(VLOOKUP(B497,點上線資訊!A:R,18,0),"")</f>
        <v/>
      </c>
      <c r="B497" s="41">
        <f>'MB51'!A497</f>
        <v>0</v>
      </c>
      <c r="C497" s="60" t="str">
        <f>IFERROR(VLOOKUP(B497,'MB51'!A:I,9,0),"")</f>
        <v/>
      </c>
      <c r="D497" s="61" t="str">
        <f>IFERROR(VLOOKUP(B497,'MB51'!A:J,10,0),"")</f>
        <v/>
      </c>
      <c r="E497" s="62" t="str">
        <f>IFERROR(VLOOKUP(B497,'MB51'!A:K,11,0),"")</f>
        <v/>
      </c>
      <c r="F497" s="42" t="str">
        <f>IFERROR(VLOOKUP(B497,'MB51'!A:F,6,0),"")</f>
        <v/>
      </c>
      <c r="G497" s="17" t="str">
        <f t="shared" si="21"/>
        <v>點揀料單</v>
      </c>
      <c r="H497" s="17">
        <f t="shared" si="22"/>
        <v>0</v>
      </c>
      <c r="I497" t="str">
        <f t="shared" si="23"/>
        <v/>
      </c>
      <c r="J497" t="str">
        <f>SUBSTITUTE(IF(COUNTIF(I$2:I497,I497)&gt;1,"",1)," ","")</f>
        <v/>
      </c>
    </row>
    <row r="498" spans="1:10" x14ac:dyDescent="0.2">
      <c r="A498" s="51" t="str">
        <f>IFERROR(VLOOKUP(B498,點上線資訊!A:R,18,0),"")</f>
        <v/>
      </c>
      <c r="B498" s="41">
        <f>'MB51'!A498</f>
        <v>0</v>
      </c>
      <c r="C498" s="60" t="str">
        <f>IFERROR(VLOOKUP(B498,'MB51'!A:I,9,0),"")</f>
        <v/>
      </c>
      <c r="D498" s="61" t="str">
        <f>IFERROR(VLOOKUP(B498,'MB51'!A:J,10,0),"")</f>
        <v/>
      </c>
      <c r="E498" s="62" t="str">
        <f>IFERROR(VLOOKUP(B498,'MB51'!A:K,11,0),"")</f>
        <v/>
      </c>
      <c r="F498" s="42" t="str">
        <f>IFERROR(VLOOKUP(B498,'MB51'!A:F,6,0),"")</f>
        <v/>
      </c>
      <c r="G498" s="17" t="str">
        <f t="shared" si="21"/>
        <v>點揀料單</v>
      </c>
      <c r="H498" s="17">
        <f t="shared" si="22"/>
        <v>0</v>
      </c>
      <c r="I498" t="str">
        <f t="shared" si="23"/>
        <v/>
      </c>
      <c r="J498" t="str">
        <f>SUBSTITUTE(IF(COUNTIF(I$2:I498,I498)&gt;1,"",1)," ","")</f>
        <v/>
      </c>
    </row>
    <row r="499" spans="1:10" x14ac:dyDescent="0.2">
      <c r="A499" s="51" t="str">
        <f>IFERROR(VLOOKUP(B499,點上線資訊!A:R,18,0),"")</f>
        <v/>
      </c>
      <c r="B499" s="41">
        <f>'MB51'!A499</f>
        <v>0</v>
      </c>
      <c r="C499" s="60" t="str">
        <f>IFERROR(VLOOKUP(B499,'MB51'!A:I,9,0),"")</f>
        <v/>
      </c>
      <c r="D499" s="61" t="str">
        <f>IFERROR(VLOOKUP(B499,'MB51'!A:J,10,0),"")</f>
        <v/>
      </c>
      <c r="E499" s="62" t="str">
        <f>IFERROR(VLOOKUP(B499,'MB51'!A:K,11,0),"")</f>
        <v/>
      </c>
      <c r="F499" s="42" t="str">
        <f>IFERROR(VLOOKUP(B499,'MB51'!A:F,6,0),"")</f>
        <v/>
      </c>
      <c r="G499" s="17" t="str">
        <f t="shared" si="21"/>
        <v>點揀料單</v>
      </c>
      <c r="H499" s="17">
        <f t="shared" si="22"/>
        <v>0</v>
      </c>
      <c r="I499" t="str">
        <f t="shared" si="23"/>
        <v/>
      </c>
      <c r="J499" t="str">
        <f>SUBSTITUTE(IF(COUNTIF(I$2:I499,I499)&gt;1,"",1)," ","")</f>
        <v/>
      </c>
    </row>
    <row r="500" spans="1:10" x14ac:dyDescent="0.2">
      <c r="A500" s="51" t="str">
        <f>IFERROR(VLOOKUP(B500,點上線資訊!A:R,18,0),"")</f>
        <v/>
      </c>
      <c r="B500" s="41">
        <f>'MB51'!A500</f>
        <v>0</v>
      </c>
      <c r="C500" s="60" t="str">
        <f>IFERROR(VLOOKUP(B500,'MB51'!A:I,9,0),"")</f>
        <v/>
      </c>
      <c r="D500" s="61" t="str">
        <f>IFERROR(VLOOKUP(B500,'MB51'!A:J,10,0),"")</f>
        <v/>
      </c>
      <c r="E500" s="62" t="str">
        <f>IFERROR(VLOOKUP(B500,'MB51'!A:K,11,0),"")</f>
        <v/>
      </c>
      <c r="F500" s="42" t="str">
        <f>IFERROR(VLOOKUP(B500,'MB51'!A:F,6,0),"")</f>
        <v/>
      </c>
      <c r="G500" s="17" t="str">
        <f t="shared" si="21"/>
        <v>點揀料單</v>
      </c>
      <c r="H500" s="17">
        <f t="shared" si="22"/>
        <v>0</v>
      </c>
      <c r="I500" t="str">
        <f t="shared" si="23"/>
        <v/>
      </c>
      <c r="J500" t="str">
        <f>SUBSTITUTE(IF(COUNTIF(I$2:I500,I500)&gt;1,"",1)," ","")</f>
        <v/>
      </c>
    </row>
    <row r="501" spans="1:10" x14ac:dyDescent="0.2">
      <c r="A501" s="51" t="str">
        <f>IFERROR(VLOOKUP(B501,點上線資訊!A:R,18,0),"")</f>
        <v/>
      </c>
      <c r="B501" s="41">
        <f>'MB51'!A501</f>
        <v>0</v>
      </c>
      <c r="C501" s="60" t="str">
        <f>IFERROR(VLOOKUP(B501,'MB51'!A:I,9,0),"")</f>
        <v/>
      </c>
      <c r="D501" s="61" t="str">
        <f>IFERROR(VLOOKUP(B501,'MB51'!A:J,10,0),"")</f>
        <v/>
      </c>
      <c r="E501" s="62" t="str">
        <f>IFERROR(VLOOKUP(B501,'MB51'!A:K,11,0),"")</f>
        <v/>
      </c>
      <c r="F501" s="42" t="str">
        <f>IFERROR(VLOOKUP(B501,'MB51'!A:F,6,0),"")</f>
        <v/>
      </c>
      <c r="G501" s="17" t="str">
        <f t="shared" si="21"/>
        <v>點揀料單</v>
      </c>
      <c r="H501" s="17">
        <f t="shared" si="22"/>
        <v>0</v>
      </c>
      <c r="I501" t="str">
        <f t="shared" si="23"/>
        <v/>
      </c>
      <c r="J501" t="str">
        <f>SUBSTITUTE(IF(COUNTIF(I$2:I501,I501)&gt;1,"",1)," ","")</f>
        <v/>
      </c>
    </row>
    <row r="502" spans="1:10" x14ac:dyDescent="0.2">
      <c r="A502" s="51" t="str">
        <f>IFERROR(VLOOKUP(B502,點上線資訊!A:R,18,0),"")</f>
        <v/>
      </c>
      <c r="B502" s="41">
        <f>'MB51'!A502</f>
        <v>0</v>
      </c>
      <c r="C502" s="60" t="str">
        <f>IFERROR(VLOOKUP(B502,'MB51'!A:I,9,0),"")</f>
        <v/>
      </c>
      <c r="D502" s="61" t="str">
        <f>IFERROR(VLOOKUP(B502,'MB51'!A:J,10,0),"")</f>
        <v/>
      </c>
      <c r="E502" s="62" t="str">
        <f>IFERROR(VLOOKUP(B502,'MB51'!A:K,11,0),"")</f>
        <v/>
      </c>
      <c r="F502" s="42" t="str">
        <f>IFERROR(VLOOKUP(B502,'MB51'!A:F,6,0),"")</f>
        <v/>
      </c>
      <c r="G502" s="17" t="str">
        <f t="shared" si="21"/>
        <v>點揀料單</v>
      </c>
      <c r="H502" s="17">
        <f t="shared" si="22"/>
        <v>0</v>
      </c>
      <c r="I502" t="str">
        <f t="shared" si="23"/>
        <v/>
      </c>
      <c r="J502" t="str">
        <f>SUBSTITUTE(IF(COUNTIF(I$2:I502,I502)&gt;1,"",1)," ","")</f>
        <v/>
      </c>
    </row>
    <row r="503" spans="1:10" x14ac:dyDescent="0.2">
      <c r="A503" s="51" t="str">
        <f>IFERROR(VLOOKUP(B503,點上線資訊!A:R,18,0),"")</f>
        <v/>
      </c>
      <c r="B503" s="41">
        <f>'MB51'!A503</f>
        <v>0</v>
      </c>
      <c r="C503" s="60" t="str">
        <f>IFERROR(VLOOKUP(B503,'MB51'!A:I,9,0),"")</f>
        <v/>
      </c>
      <c r="D503" s="61" t="str">
        <f>IFERROR(VLOOKUP(B503,'MB51'!A:J,10,0),"")</f>
        <v/>
      </c>
      <c r="E503" s="62" t="str">
        <f>IFERROR(VLOOKUP(B503,'MB51'!A:K,11,0),"")</f>
        <v/>
      </c>
      <c r="F503" s="42" t="str">
        <f>IFERROR(VLOOKUP(B503,'MB51'!A:F,6,0),"")</f>
        <v/>
      </c>
      <c r="G503" s="17" t="str">
        <f t="shared" si="21"/>
        <v>點揀料單</v>
      </c>
      <c r="H503" s="17">
        <f t="shared" si="22"/>
        <v>0</v>
      </c>
      <c r="I503" t="str">
        <f t="shared" si="23"/>
        <v/>
      </c>
      <c r="J503" t="str">
        <f>SUBSTITUTE(IF(COUNTIF(I$2:I503,I503)&gt;1,"",1)," ","")</f>
        <v/>
      </c>
    </row>
    <row r="504" spans="1:10" x14ac:dyDescent="0.2">
      <c r="A504" s="51" t="str">
        <f>IFERROR(VLOOKUP(B504,點上線資訊!A:R,18,0),"")</f>
        <v/>
      </c>
      <c r="B504" s="41">
        <f>'MB51'!A504</f>
        <v>0</v>
      </c>
      <c r="C504" s="60" t="str">
        <f>IFERROR(VLOOKUP(B504,'MB51'!A:I,9,0),"")</f>
        <v/>
      </c>
      <c r="D504" s="61" t="str">
        <f>IFERROR(VLOOKUP(B504,'MB51'!A:J,10,0),"")</f>
        <v/>
      </c>
      <c r="E504" s="62" t="str">
        <f>IFERROR(VLOOKUP(B504,'MB51'!A:K,11,0),"")</f>
        <v/>
      </c>
      <c r="F504" s="42" t="str">
        <f>IFERROR(VLOOKUP(B504,'MB51'!A:F,6,0),"")</f>
        <v/>
      </c>
      <c r="G504" s="17" t="str">
        <f t="shared" si="21"/>
        <v>點揀料單</v>
      </c>
      <c r="H504" s="17">
        <f t="shared" si="22"/>
        <v>0</v>
      </c>
      <c r="I504" t="str">
        <f t="shared" si="23"/>
        <v/>
      </c>
      <c r="J504" t="str">
        <f>SUBSTITUTE(IF(COUNTIF(I$2:I504,I504)&gt;1,"",1)," ","")</f>
        <v/>
      </c>
    </row>
    <row r="505" spans="1:10" x14ac:dyDescent="0.2">
      <c r="A505" s="51" t="str">
        <f>IFERROR(VLOOKUP(B505,點上線資訊!A:R,18,0),"")</f>
        <v/>
      </c>
      <c r="B505" s="41">
        <f>'MB51'!A505</f>
        <v>0</v>
      </c>
      <c r="C505" s="60" t="str">
        <f>IFERROR(VLOOKUP(B505,'MB51'!A:I,9,0),"")</f>
        <v/>
      </c>
      <c r="D505" s="61" t="str">
        <f>IFERROR(VLOOKUP(B505,'MB51'!A:J,10,0),"")</f>
        <v/>
      </c>
      <c r="E505" s="62" t="str">
        <f>IFERROR(VLOOKUP(B505,'MB51'!A:K,11,0),"")</f>
        <v/>
      </c>
      <c r="F505" s="42" t="str">
        <f>IFERROR(VLOOKUP(B505,'MB51'!A:F,6,0),"")</f>
        <v/>
      </c>
      <c r="G505" s="17" t="str">
        <f t="shared" si="21"/>
        <v>點揀料單</v>
      </c>
      <c r="H505" s="17">
        <f t="shared" si="22"/>
        <v>0</v>
      </c>
      <c r="I505" t="str">
        <f t="shared" si="23"/>
        <v/>
      </c>
      <c r="J505" t="str">
        <f>SUBSTITUTE(IF(COUNTIF(I$2:I505,I505)&gt;1,"",1)," ","")</f>
        <v/>
      </c>
    </row>
    <row r="506" spans="1:10" x14ac:dyDescent="0.2">
      <c r="A506" s="51" t="str">
        <f>IFERROR(VLOOKUP(B506,點上線資訊!A:R,18,0),"")</f>
        <v/>
      </c>
      <c r="B506" s="41">
        <f>'MB51'!A506</f>
        <v>0</v>
      </c>
      <c r="C506" s="60" t="str">
        <f>IFERROR(VLOOKUP(B506,'MB51'!A:I,9,0),"")</f>
        <v/>
      </c>
      <c r="D506" s="61" t="str">
        <f>IFERROR(VLOOKUP(B506,'MB51'!A:J,10,0),"")</f>
        <v/>
      </c>
      <c r="E506" s="62" t="str">
        <f>IFERROR(VLOOKUP(B506,'MB51'!A:K,11,0),"")</f>
        <v/>
      </c>
      <c r="F506" s="42" t="str">
        <f>IFERROR(VLOOKUP(B506,'MB51'!A:F,6,0),"")</f>
        <v/>
      </c>
      <c r="G506" s="17" t="str">
        <f t="shared" si="21"/>
        <v>點揀料單</v>
      </c>
      <c r="H506" s="17">
        <f t="shared" si="22"/>
        <v>0</v>
      </c>
      <c r="I506" t="str">
        <f t="shared" si="23"/>
        <v/>
      </c>
      <c r="J506" t="str">
        <f>SUBSTITUTE(IF(COUNTIF(I$2:I506,I506)&gt;1,"",1)," ","")</f>
        <v/>
      </c>
    </row>
    <row r="507" spans="1:10" x14ac:dyDescent="0.2">
      <c r="A507" s="51" t="str">
        <f>IFERROR(VLOOKUP(B507,點上線資訊!A:R,18,0),"")</f>
        <v/>
      </c>
      <c r="B507" s="41">
        <f>'MB51'!A507</f>
        <v>0</v>
      </c>
      <c r="C507" s="60" t="str">
        <f>IFERROR(VLOOKUP(B507,'MB51'!A:I,9,0),"")</f>
        <v/>
      </c>
      <c r="D507" s="61" t="str">
        <f>IFERROR(VLOOKUP(B507,'MB51'!A:J,10,0),"")</f>
        <v/>
      </c>
      <c r="E507" s="62" t="str">
        <f>IFERROR(VLOOKUP(B507,'MB51'!A:K,11,0),"")</f>
        <v/>
      </c>
      <c r="F507" s="42" t="str">
        <f>IFERROR(VLOOKUP(B507,'MB51'!A:F,6,0),"")</f>
        <v/>
      </c>
      <c r="G507" s="17" t="str">
        <f t="shared" si="21"/>
        <v>點揀料單</v>
      </c>
      <c r="H507" s="17">
        <f t="shared" si="22"/>
        <v>0</v>
      </c>
      <c r="I507" t="str">
        <f t="shared" si="23"/>
        <v/>
      </c>
      <c r="J507" t="str">
        <f>SUBSTITUTE(IF(COUNTIF(I$2:I507,I507)&gt;1,"",1)," ","")</f>
        <v/>
      </c>
    </row>
    <row r="508" spans="1:10" x14ac:dyDescent="0.2">
      <c r="A508" s="51" t="str">
        <f>IFERROR(VLOOKUP(B508,點上線資訊!A:R,18,0),"")</f>
        <v/>
      </c>
      <c r="B508" s="41">
        <f>'MB51'!A508</f>
        <v>0</v>
      </c>
      <c r="C508" s="60" t="str">
        <f>IFERROR(VLOOKUP(B508,'MB51'!A:I,9,0),"")</f>
        <v/>
      </c>
      <c r="D508" s="61" t="str">
        <f>IFERROR(VLOOKUP(B508,'MB51'!A:J,10,0),"")</f>
        <v/>
      </c>
      <c r="E508" s="62" t="str">
        <f>IFERROR(VLOOKUP(B508,'MB51'!A:K,11,0),"")</f>
        <v/>
      </c>
      <c r="F508" s="42" t="str">
        <f>IFERROR(VLOOKUP(B508,'MB51'!A:F,6,0),"")</f>
        <v/>
      </c>
      <c r="G508" s="17" t="str">
        <f t="shared" si="21"/>
        <v>點揀料單</v>
      </c>
      <c r="H508" s="17">
        <f t="shared" si="22"/>
        <v>0</v>
      </c>
      <c r="I508" t="str">
        <f t="shared" si="23"/>
        <v/>
      </c>
      <c r="J508" t="str">
        <f>SUBSTITUTE(IF(COUNTIF(I$2:I508,I508)&gt;1,"",1)," ","")</f>
        <v/>
      </c>
    </row>
    <row r="509" spans="1:10" x14ac:dyDescent="0.2">
      <c r="A509" s="51" t="str">
        <f>IFERROR(VLOOKUP(B509,點上線資訊!A:R,18,0),"")</f>
        <v/>
      </c>
      <c r="B509" s="41">
        <f>'MB51'!A509</f>
        <v>0</v>
      </c>
      <c r="C509" s="60" t="str">
        <f>IFERROR(VLOOKUP(B509,'MB51'!A:I,9,0),"")</f>
        <v/>
      </c>
      <c r="D509" s="61" t="str">
        <f>IFERROR(VLOOKUP(B509,'MB51'!A:J,10,0),"")</f>
        <v/>
      </c>
      <c r="E509" s="62" t="str">
        <f>IFERROR(VLOOKUP(B509,'MB51'!A:K,11,0),"")</f>
        <v/>
      </c>
      <c r="F509" s="42" t="str">
        <f>IFERROR(VLOOKUP(B509,'MB51'!A:F,6,0),"")</f>
        <v/>
      </c>
      <c r="G509" s="17" t="str">
        <f t="shared" si="21"/>
        <v>點揀料單</v>
      </c>
      <c r="H509" s="17">
        <f t="shared" si="22"/>
        <v>0</v>
      </c>
      <c r="I509" t="str">
        <f t="shared" si="23"/>
        <v/>
      </c>
      <c r="J509" t="str">
        <f>SUBSTITUTE(IF(COUNTIF(I$2:I509,I509)&gt;1,"",1)," ","")</f>
        <v/>
      </c>
    </row>
    <row r="510" spans="1:10" x14ac:dyDescent="0.2">
      <c r="A510" s="51" t="str">
        <f>IFERROR(VLOOKUP(B510,點上線資訊!A:R,18,0),"")</f>
        <v/>
      </c>
      <c r="B510" s="41">
        <f>'MB51'!A510</f>
        <v>0</v>
      </c>
      <c r="C510" s="60" t="str">
        <f>IFERROR(VLOOKUP(B510,'MB51'!A:I,9,0),"")</f>
        <v/>
      </c>
      <c r="D510" s="61" t="str">
        <f>IFERROR(VLOOKUP(B510,'MB51'!A:J,10,0),"")</f>
        <v/>
      </c>
      <c r="E510" s="62" t="str">
        <f>IFERROR(VLOOKUP(B510,'MB51'!A:K,11,0),"")</f>
        <v/>
      </c>
      <c r="F510" s="42" t="str">
        <f>IFERROR(VLOOKUP(B510,'MB51'!A:F,6,0),"")</f>
        <v/>
      </c>
      <c r="G510" s="17" t="str">
        <f t="shared" si="21"/>
        <v>點揀料單</v>
      </c>
      <c r="H510" s="17">
        <f t="shared" si="22"/>
        <v>0</v>
      </c>
      <c r="I510" t="str">
        <f t="shared" si="23"/>
        <v/>
      </c>
      <c r="J510" t="str">
        <f>SUBSTITUTE(IF(COUNTIF(I$2:I510,I510)&gt;1,"",1)," ","")</f>
        <v/>
      </c>
    </row>
    <row r="511" spans="1:10" x14ac:dyDescent="0.2">
      <c r="A511" s="51" t="str">
        <f>IFERROR(VLOOKUP(B511,點上線資訊!A:R,18,0),"")</f>
        <v/>
      </c>
      <c r="B511" s="41">
        <f>'MB51'!A511</f>
        <v>0</v>
      </c>
      <c r="C511" s="60" t="str">
        <f>IFERROR(VLOOKUP(B511,'MB51'!A:I,9,0),"")</f>
        <v/>
      </c>
      <c r="D511" s="61" t="str">
        <f>IFERROR(VLOOKUP(B511,'MB51'!A:J,10,0),"")</f>
        <v/>
      </c>
      <c r="E511" s="62" t="str">
        <f>IFERROR(VLOOKUP(B511,'MB51'!A:K,11,0),"")</f>
        <v/>
      </c>
      <c r="F511" s="42" t="str">
        <f>IFERROR(VLOOKUP(B511,'MB51'!A:F,6,0),"")</f>
        <v/>
      </c>
      <c r="G511" s="17" t="str">
        <f t="shared" si="21"/>
        <v>點揀料單</v>
      </c>
      <c r="H511" s="17">
        <f t="shared" si="22"/>
        <v>0</v>
      </c>
      <c r="I511" t="str">
        <f t="shared" si="23"/>
        <v/>
      </c>
      <c r="J511" t="str">
        <f>SUBSTITUTE(IF(COUNTIF(I$2:I511,I511)&gt;1,"",1)," ","")</f>
        <v/>
      </c>
    </row>
    <row r="512" spans="1:10" x14ac:dyDescent="0.2">
      <c r="A512" s="51" t="str">
        <f>IFERROR(VLOOKUP(B512,點上線資訊!A:R,18,0),"")</f>
        <v/>
      </c>
      <c r="B512" s="41">
        <f>'MB51'!A512</f>
        <v>0</v>
      </c>
      <c r="C512" s="60" t="str">
        <f>IFERROR(VLOOKUP(B512,'MB51'!A:I,9,0),"")</f>
        <v/>
      </c>
      <c r="D512" s="61" t="str">
        <f>IFERROR(VLOOKUP(B512,'MB51'!A:J,10,0),"")</f>
        <v/>
      </c>
      <c r="E512" s="62" t="str">
        <f>IFERROR(VLOOKUP(B512,'MB51'!A:K,11,0),"")</f>
        <v/>
      </c>
      <c r="F512" s="42" t="str">
        <f>IFERROR(VLOOKUP(B512,'MB51'!A:F,6,0),"")</f>
        <v/>
      </c>
      <c r="G512" s="17" t="str">
        <f t="shared" si="21"/>
        <v>點揀料單</v>
      </c>
      <c r="H512" s="17">
        <f t="shared" si="22"/>
        <v>0</v>
      </c>
      <c r="I512" t="str">
        <f t="shared" si="23"/>
        <v/>
      </c>
      <c r="J512" t="str">
        <f>SUBSTITUTE(IF(COUNTIF(I$2:I512,I512)&gt;1,"",1)," ","")</f>
        <v/>
      </c>
    </row>
    <row r="513" spans="1:10" x14ac:dyDescent="0.2">
      <c r="A513" s="51" t="str">
        <f>IFERROR(VLOOKUP(B513,點上線資訊!A:R,18,0),"")</f>
        <v/>
      </c>
      <c r="B513" s="41">
        <f>'MB51'!A513</f>
        <v>0</v>
      </c>
      <c r="C513" s="60" t="str">
        <f>IFERROR(VLOOKUP(B513,'MB51'!A:I,9,0),"")</f>
        <v/>
      </c>
      <c r="D513" s="61" t="str">
        <f>IFERROR(VLOOKUP(B513,'MB51'!A:J,10,0),"")</f>
        <v/>
      </c>
      <c r="E513" s="62" t="str">
        <f>IFERROR(VLOOKUP(B513,'MB51'!A:K,11,0),"")</f>
        <v/>
      </c>
      <c r="F513" s="42" t="str">
        <f>IFERROR(VLOOKUP(B513,'MB51'!A:F,6,0),"")</f>
        <v/>
      </c>
      <c r="G513" s="17" t="str">
        <f t="shared" si="21"/>
        <v>點揀料單</v>
      </c>
      <c r="H513" s="17">
        <f t="shared" si="22"/>
        <v>0</v>
      </c>
      <c r="I513" t="str">
        <f t="shared" si="23"/>
        <v/>
      </c>
      <c r="J513" t="str">
        <f>SUBSTITUTE(IF(COUNTIF(I$2:I513,I513)&gt;1,"",1)," ","")</f>
        <v/>
      </c>
    </row>
    <row r="514" spans="1:10" x14ac:dyDescent="0.2">
      <c r="A514" s="51" t="str">
        <f>IFERROR(VLOOKUP(B514,點上線資訊!A:R,18,0),"")</f>
        <v/>
      </c>
      <c r="B514" s="41">
        <f>'MB51'!A514</f>
        <v>0</v>
      </c>
      <c r="C514" s="60" t="str">
        <f>IFERROR(VLOOKUP(B514,'MB51'!A:I,9,0),"")</f>
        <v/>
      </c>
      <c r="D514" s="61" t="str">
        <f>IFERROR(VLOOKUP(B514,'MB51'!A:J,10,0),"")</f>
        <v/>
      </c>
      <c r="E514" s="62" t="str">
        <f>IFERROR(VLOOKUP(B514,'MB51'!A:K,11,0),"")</f>
        <v/>
      </c>
      <c r="F514" s="42" t="str">
        <f>IFERROR(VLOOKUP(B514,'MB51'!A:F,6,0),"")</f>
        <v/>
      </c>
      <c r="G514" s="17" t="str">
        <f t="shared" si="21"/>
        <v>點揀料單</v>
      </c>
      <c r="H514" s="17">
        <f t="shared" si="22"/>
        <v>0</v>
      </c>
      <c r="I514" t="str">
        <f t="shared" si="23"/>
        <v/>
      </c>
      <c r="J514" t="str">
        <f>SUBSTITUTE(IF(COUNTIF(I$2:I514,I514)&gt;1,"",1)," ","")</f>
        <v/>
      </c>
    </row>
    <row r="515" spans="1:10" x14ac:dyDescent="0.2">
      <c r="A515" s="51" t="str">
        <f>IFERROR(VLOOKUP(B515,點上線資訊!A:R,18,0),"")</f>
        <v/>
      </c>
      <c r="B515" s="41">
        <f>'MB51'!A515</f>
        <v>0</v>
      </c>
      <c r="C515" s="60" t="str">
        <f>IFERROR(VLOOKUP(B515,'MB51'!A:I,9,0),"")</f>
        <v/>
      </c>
      <c r="D515" s="61" t="str">
        <f>IFERROR(VLOOKUP(B515,'MB51'!A:J,10,0),"")</f>
        <v/>
      </c>
      <c r="E515" s="62" t="str">
        <f>IFERROR(VLOOKUP(B515,'MB51'!A:K,11,0),"")</f>
        <v/>
      </c>
      <c r="F515" s="42" t="str">
        <f>IFERROR(VLOOKUP(B515,'MB51'!A:F,6,0),"")</f>
        <v/>
      </c>
      <c r="G515" s="17" t="str">
        <f t="shared" ref="G515:G578" si="24">TEXT(D515,"MM/DD")&amp;TEXT(E515,"  HH")&amp;"點揀料單"</f>
        <v>點揀料單</v>
      </c>
      <c r="H515" s="17">
        <f t="shared" ref="H515:H578" si="25">ABS(SUMIF(C:C,C515,F:F))</f>
        <v>0</v>
      </c>
      <c r="I515" t="str">
        <f t="shared" ref="I515:I578" si="26">RIGHTB(C515,10)</f>
        <v/>
      </c>
      <c r="J515" t="str">
        <f>SUBSTITUTE(IF(COUNTIF(I$2:I515,I515)&gt;1,"",1)," ","")</f>
        <v/>
      </c>
    </row>
    <row r="516" spans="1:10" x14ac:dyDescent="0.2">
      <c r="A516" s="51" t="str">
        <f>IFERROR(VLOOKUP(B516,點上線資訊!A:R,18,0),"")</f>
        <v/>
      </c>
      <c r="B516" s="41">
        <f>'MB51'!A516</f>
        <v>0</v>
      </c>
      <c r="C516" s="60" t="str">
        <f>IFERROR(VLOOKUP(B516,'MB51'!A:I,9,0),"")</f>
        <v/>
      </c>
      <c r="D516" s="61" t="str">
        <f>IFERROR(VLOOKUP(B516,'MB51'!A:J,10,0),"")</f>
        <v/>
      </c>
      <c r="E516" s="62" t="str">
        <f>IFERROR(VLOOKUP(B516,'MB51'!A:K,11,0),"")</f>
        <v/>
      </c>
      <c r="F516" s="42" t="str">
        <f>IFERROR(VLOOKUP(B516,'MB51'!A:F,6,0),"")</f>
        <v/>
      </c>
      <c r="G516" s="17" t="str">
        <f t="shared" si="24"/>
        <v>點揀料單</v>
      </c>
      <c r="H516" s="17">
        <f t="shared" si="25"/>
        <v>0</v>
      </c>
      <c r="I516" t="str">
        <f t="shared" si="26"/>
        <v/>
      </c>
      <c r="J516" t="str">
        <f>SUBSTITUTE(IF(COUNTIF(I$2:I516,I516)&gt;1,"",1)," ","")</f>
        <v/>
      </c>
    </row>
    <row r="517" spans="1:10" x14ac:dyDescent="0.2">
      <c r="A517" s="51" t="str">
        <f>IFERROR(VLOOKUP(B517,點上線資訊!A:R,18,0),"")</f>
        <v/>
      </c>
      <c r="B517" s="41">
        <f>'MB51'!A517</f>
        <v>0</v>
      </c>
      <c r="C517" s="60" t="str">
        <f>IFERROR(VLOOKUP(B517,'MB51'!A:I,9,0),"")</f>
        <v/>
      </c>
      <c r="D517" s="61" t="str">
        <f>IFERROR(VLOOKUP(B517,'MB51'!A:J,10,0),"")</f>
        <v/>
      </c>
      <c r="E517" s="62" t="str">
        <f>IFERROR(VLOOKUP(B517,'MB51'!A:K,11,0),"")</f>
        <v/>
      </c>
      <c r="F517" s="42" t="str">
        <f>IFERROR(VLOOKUP(B517,'MB51'!A:F,6,0),"")</f>
        <v/>
      </c>
      <c r="G517" s="17" t="str">
        <f t="shared" si="24"/>
        <v>點揀料單</v>
      </c>
      <c r="H517" s="17">
        <f t="shared" si="25"/>
        <v>0</v>
      </c>
      <c r="I517" t="str">
        <f t="shared" si="26"/>
        <v/>
      </c>
      <c r="J517" t="str">
        <f>SUBSTITUTE(IF(COUNTIF(I$2:I517,I517)&gt;1,"",1)," ","")</f>
        <v/>
      </c>
    </row>
    <row r="518" spans="1:10" x14ac:dyDescent="0.2">
      <c r="A518" s="51" t="str">
        <f>IFERROR(VLOOKUP(B518,點上線資訊!A:R,18,0),"")</f>
        <v/>
      </c>
      <c r="B518" s="41">
        <f>'MB51'!A518</f>
        <v>0</v>
      </c>
      <c r="C518" s="60" t="str">
        <f>IFERROR(VLOOKUP(B518,'MB51'!A:I,9,0),"")</f>
        <v/>
      </c>
      <c r="D518" s="61" t="str">
        <f>IFERROR(VLOOKUP(B518,'MB51'!A:J,10,0),"")</f>
        <v/>
      </c>
      <c r="E518" s="62" t="str">
        <f>IFERROR(VLOOKUP(B518,'MB51'!A:K,11,0),"")</f>
        <v/>
      </c>
      <c r="F518" s="42" t="str">
        <f>IFERROR(VLOOKUP(B518,'MB51'!A:F,6,0),"")</f>
        <v/>
      </c>
      <c r="G518" s="17" t="str">
        <f t="shared" si="24"/>
        <v>點揀料單</v>
      </c>
      <c r="H518" s="17">
        <f t="shared" si="25"/>
        <v>0</v>
      </c>
      <c r="I518" t="str">
        <f t="shared" si="26"/>
        <v/>
      </c>
      <c r="J518" t="str">
        <f>SUBSTITUTE(IF(COUNTIF(I$2:I518,I518)&gt;1,"",1)," ","")</f>
        <v/>
      </c>
    </row>
    <row r="519" spans="1:10" x14ac:dyDescent="0.2">
      <c r="A519" s="51" t="str">
        <f>IFERROR(VLOOKUP(B519,點上線資訊!A:R,18,0),"")</f>
        <v/>
      </c>
      <c r="B519" s="41">
        <f>'MB51'!A519</f>
        <v>0</v>
      </c>
      <c r="C519" s="60" t="str">
        <f>IFERROR(VLOOKUP(B519,'MB51'!A:I,9,0),"")</f>
        <v/>
      </c>
      <c r="D519" s="61" t="str">
        <f>IFERROR(VLOOKUP(B519,'MB51'!A:J,10,0),"")</f>
        <v/>
      </c>
      <c r="E519" s="62" t="str">
        <f>IFERROR(VLOOKUP(B519,'MB51'!A:K,11,0),"")</f>
        <v/>
      </c>
      <c r="F519" s="42" t="str">
        <f>IFERROR(VLOOKUP(B519,'MB51'!A:F,6,0),"")</f>
        <v/>
      </c>
      <c r="G519" s="17" t="str">
        <f t="shared" si="24"/>
        <v>點揀料單</v>
      </c>
      <c r="H519" s="17">
        <f t="shared" si="25"/>
        <v>0</v>
      </c>
      <c r="I519" t="str">
        <f t="shared" si="26"/>
        <v/>
      </c>
      <c r="J519" t="str">
        <f>SUBSTITUTE(IF(COUNTIF(I$2:I519,I519)&gt;1,"",1)," ","")</f>
        <v/>
      </c>
    </row>
    <row r="520" spans="1:10" x14ac:dyDescent="0.2">
      <c r="A520" s="51" t="str">
        <f>IFERROR(VLOOKUP(B520,點上線資訊!A:R,18,0),"")</f>
        <v/>
      </c>
      <c r="B520" s="41">
        <f>'MB51'!A520</f>
        <v>0</v>
      </c>
      <c r="C520" s="60" t="str">
        <f>IFERROR(VLOOKUP(B520,'MB51'!A:I,9,0),"")</f>
        <v/>
      </c>
      <c r="D520" s="61" t="str">
        <f>IFERROR(VLOOKUP(B520,'MB51'!A:J,10,0),"")</f>
        <v/>
      </c>
      <c r="E520" s="62" t="str">
        <f>IFERROR(VLOOKUP(B520,'MB51'!A:K,11,0),"")</f>
        <v/>
      </c>
      <c r="F520" s="42" t="str">
        <f>IFERROR(VLOOKUP(B520,'MB51'!A:F,6,0),"")</f>
        <v/>
      </c>
      <c r="G520" s="17" t="str">
        <f t="shared" si="24"/>
        <v>點揀料單</v>
      </c>
      <c r="H520" s="17">
        <f t="shared" si="25"/>
        <v>0</v>
      </c>
      <c r="I520" t="str">
        <f t="shared" si="26"/>
        <v/>
      </c>
      <c r="J520" t="str">
        <f>SUBSTITUTE(IF(COUNTIF(I$2:I520,I520)&gt;1,"",1)," ","")</f>
        <v/>
      </c>
    </row>
    <row r="521" spans="1:10" x14ac:dyDescent="0.2">
      <c r="A521" s="51" t="str">
        <f>IFERROR(VLOOKUP(B521,點上線資訊!A:R,18,0),"")</f>
        <v/>
      </c>
      <c r="B521" s="41">
        <f>'MB51'!A521</f>
        <v>0</v>
      </c>
      <c r="C521" s="60" t="str">
        <f>IFERROR(VLOOKUP(B521,'MB51'!A:I,9,0),"")</f>
        <v/>
      </c>
      <c r="D521" s="61" t="str">
        <f>IFERROR(VLOOKUP(B521,'MB51'!A:J,10,0),"")</f>
        <v/>
      </c>
      <c r="E521" s="62" t="str">
        <f>IFERROR(VLOOKUP(B521,'MB51'!A:K,11,0),"")</f>
        <v/>
      </c>
      <c r="F521" s="42" t="str">
        <f>IFERROR(VLOOKUP(B521,'MB51'!A:F,6,0),"")</f>
        <v/>
      </c>
      <c r="G521" s="17" t="str">
        <f t="shared" si="24"/>
        <v>點揀料單</v>
      </c>
      <c r="H521" s="17">
        <f t="shared" si="25"/>
        <v>0</v>
      </c>
      <c r="I521" t="str">
        <f t="shared" si="26"/>
        <v/>
      </c>
      <c r="J521" t="str">
        <f>SUBSTITUTE(IF(COUNTIF(I$2:I521,I521)&gt;1,"",1)," ","")</f>
        <v/>
      </c>
    </row>
    <row r="522" spans="1:10" x14ac:dyDescent="0.2">
      <c r="A522" s="51" t="str">
        <f>IFERROR(VLOOKUP(B522,點上線資訊!A:R,18,0),"")</f>
        <v/>
      </c>
      <c r="B522" s="41">
        <f>'MB51'!A522</f>
        <v>0</v>
      </c>
      <c r="C522" s="60" t="str">
        <f>IFERROR(VLOOKUP(B522,'MB51'!A:I,9,0),"")</f>
        <v/>
      </c>
      <c r="D522" s="61" t="str">
        <f>IFERROR(VLOOKUP(B522,'MB51'!A:J,10,0),"")</f>
        <v/>
      </c>
      <c r="E522" s="62" t="str">
        <f>IFERROR(VLOOKUP(B522,'MB51'!A:K,11,0),"")</f>
        <v/>
      </c>
      <c r="F522" s="42" t="str">
        <f>IFERROR(VLOOKUP(B522,'MB51'!A:F,6,0),"")</f>
        <v/>
      </c>
      <c r="G522" s="17" t="str">
        <f t="shared" si="24"/>
        <v>點揀料單</v>
      </c>
      <c r="H522" s="17">
        <f t="shared" si="25"/>
        <v>0</v>
      </c>
      <c r="I522" t="str">
        <f t="shared" si="26"/>
        <v/>
      </c>
      <c r="J522" t="str">
        <f>SUBSTITUTE(IF(COUNTIF(I$2:I522,I522)&gt;1,"",1)," ","")</f>
        <v/>
      </c>
    </row>
    <row r="523" spans="1:10" x14ac:dyDescent="0.2">
      <c r="A523" s="51" t="str">
        <f>IFERROR(VLOOKUP(B523,點上線資訊!A:R,18,0),"")</f>
        <v/>
      </c>
      <c r="B523" s="41">
        <f>'MB51'!A523</f>
        <v>0</v>
      </c>
      <c r="C523" s="60" t="str">
        <f>IFERROR(VLOOKUP(B523,'MB51'!A:I,9,0),"")</f>
        <v/>
      </c>
      <c r="D523" s="61" t="str">
        <f>IFERROR(VLOOKUP(B523,'MB51'!A:J,10,0),"")</f>
        <v/>
      </c>
      <c r="E523" s="62" t="str">
        <f>IFERROR(VLOOKUP(B523,'MB51'!A:K,11,0),"")</f>
        <v/>
      </c>
      <c r="F523" s="42" t="str">
        <f>IFERROR(VLOOKUP(B523,'MB51'!A:F,6,0),"")</f>
        <v/>
      </c>
      <c r="G523" s="17" t="str">
        <f t="shared" si="24"/>
        <v>點揀料單</v>
      </c>
      <c r="H523" s="17">
        <f t="shared" si="25"/>
        <v>0</v>
      </c>
      <c r="I523" t="str">
        <f t="shared" si="26"/>
        <v/>
      </c>
      <c r="J523" t="str">
        <f>SUBSTITUTE(IF(COUNTIF(I$2:I523,I523)&gt;1,"",1)," ","")</f>
        <v/>
      </c>
    </row>
    <row r="524" spans="1:10" x14ac:dyDescent="0.2">
      <c r="A524" s="51" t="str">
        <f>IFERROR(VLOOKUP(B524,點上線資訊!A:R,18,0),"")</f>
        <v/>
      </c>
      <c r="B524" s="41">
        <f>'MB51'!A524</f>
        <v>0</v>
      </c>
      <c r="C524" s="60" t="str">
        <f>IFERROR(VLOOKUP(B524,'MB51'!A:I,9,0),"")</f>
        <v/>
      </c>
      <c r="D524" s="61" t="str">
        <f>IFERROR(VLOOKUP(B524,'MB51'!A:J,10,0),"")</f>
        <v/>
      </c>
      <c r="E524" s="62" t="str">
        <f>IFERROR(VLOOKUP(B524,'MB51'!A:K,11,0),"")</f>
        <v/>
      </c>
      <c r="F524" s="42" t="str">
        <f>IFERROR(VLOOKUP(B524,'MB51'!A:F,6,0),"")</f>
        <v/>
      </c>
      <c r="G524" s="17" t="str">
        <f t="shared" si="24"/>
        <v>點揀料單</v>
      </c>
      <c r="H524" s="17">
        <f t="shared" si="25"/>
        <v>0</v>
      </c>
      <c r="I524" t="str">
        <f t="shared" si="26"/>
        <v/>
      </c>
      <c r="J524" t="str">
        <f>SUBSTITUTE(IF(COUNTIF(I$2:I524,I524)&gt;1,"",1)," ","")</f>
        <v/>
      </c>
    </row>
    <row r="525" spans="1:10" x14ac:dyDescent="0.2">
      <c r="A525" s="51" t="str">
        <f>IFERROR(VLOOKUP(B525,點上線資訊!A:R,18,0),"")</f>
        <v/>
      </c>
      <c r="B525" s="41">
        <f>'MB51'!A525</f>
        <v>0</v>
      </c>
      <c r="C525" s="60" t="str">
        <f>IFERROR(VLOOKUP(B525,'MB51'!A:I,9,0),"")</f>
        <v/>
      </c>
      <c r="D525" s="61" t="str">
        <f>IFERROR(VLOOKUP(B525,'MB51'!A:J,10,0),"")</f>
        <v/>
      </c>
      <c r="E525" s="62" t="str">
        <f>IFERROR(VLOOKUP(B525,'MB51'!A:K,11,0),"")</f>
        <v/>
      </c>
      <c r="F525" s="42" t="str">
        <f>IFERROR(VLOOKUP(B525,'MB51'!A:F,6,0),"")</f>
        <v/>
      </c>
      <c r="G525" s="17" t="str">
        <f t="shared" si="24"/>
        <v>點揀料單</v>
      </c>
      <c r="H525" s="17">
        <f t="shared" si="25"/>
        <v>0</v>
      </c>
      <c r="I525" t="str">
        <f t="shared" si="26"/>
        <v/>
      </c>
      <c r="J525" t="str">
        <f>SUBSTITUTE(IF(COUNTIF(I$2:I525,I525)&gt;1,"",1)," ","")</f>
        <v/>
      </c>
    </row>
    <row r="526" spans="1:10" x14ac:dyDescent="0.2">
      <c r="A526" s="51" t="str">
        <f>IFERROR(VLOOKUP(B526,點上線資訊!A:R,18,0),"")</f>
        <v/>
      </c>
      <c r="B526" s="41">
        <f>'MB51'!A526</f>
        <v>0</v>
      </c>
      <c r="C526" s="60" t="str">
        <f>IFERROR(VLOOKUP(B526,'MB51'!A:I,9,0),"")</f>
        <v/>
      </c>
      <c r="D526" s="61" t="str">
        <f>IFERROR(VLOOKUP(B526,'MB51'!A:J,10,0),"")</f>
        <v/>
      </c>
      <c r="E526" s="62" t="str">
        <f>IFERROR(VLOOKUP(B526,'MB51'!A:K,11,0),"")</f>
        <v/>
      </c>
      <c r="F526" s="42" t="str">
        <f>IFERROR(VLOOKUP(B526,'MB51'!A:F,6,0),"")</f>
        <v/>
      </c>
      <c r="G526" s="17" t="str">
        <f t="shared" si="24"/>
        <v>點揀料單</v>
      </c>
      <c r="H526" s="17">
        <f t="shared" si="25"/>
        <v>0</v>
      </c>
      <c r="I526" t="str">
        <f t="shared" si="26"/>
        <v/>
      </c>
      <c r="J526" t="str">
        <f>SUBSTITUTE(IF(COUNTIF(I$2:I526,I526)&gt;1,"",1)," ","")</f>
        <v/>
      </c>
    </row>
    <row r="527" spans="1:10" x14ac:dyDescent="0.2">
      <c r="A527" s="51" t="str">
        <f>IFERROR(VLOOKUP(B527,點上線資訊!A:R,18,0),"")</f>
        <v/>
      </c>
      <c r="B527" s="41">
        <f>'MB51'!A527</f>
        <v>0</v>
      </c>
      <c r="C527" s="60" t="str">
        <f>IFERROR(VLOOKUP(B527,'MB51'!A:I,9,0),"")</f>
        <v/>
      </c>
      <c r="D527" s="61" t="str">
        <f>IFERROR(VLOOKUP(B527,'MB51'!A:J,10,0),"")</f>
        <v/>
      </c>
      <c r="E527" s="62" t="str">
        <f>IFERROR(VLOOKUP(B527,'MB51'!A:K,11,0),"")</f>
        <v/>
      </c>
      <c r="F527" s="42" t="str">
        <f>IFERROR(VLOOKUP(B527,'MB51'!A:F,6,0),"")</f>
        <v/>
      </c>
      <c r="G527" s="17" t="str">
        <f t="shared" si="24"/>
        <v>點揀料單</v>
      </c>
      <c r="H527" s="17">
        <f t="shared" si="25"/>
        <v>0</v>
      </c>
      <c r="I527" t="str">
        <f t="shared" si="26"/>
        <v/>
      </c>
      <c r="J527" t="str">
        <f>SUBSTITUTE(IF(COUNTIF(I$2:I527,I527)&gt;1,"",1)," ","")</f>
        <v/>
      </c>
    </row>
    <row r="528" spans="1:10" x14ac:dyDescent="0.2">
      <c r="A528" s="51" t="str">
        <f>IFERROR(VLOOKUP(B528,點上線資訊!A:R,18,0),"")</f>
        <v/>
      </c>
      <c r="B528" s="41">
        <f>'MB51'!A528</f>
        <v>0</v>
      </c>
      <c r="C528" s="60" t="str">
        <f>IFERROR(VLOOKUP(B528,'MB51'!A:I,9,0),"")</f>
        <v/>
      </c>
      <c r="D528" s="61" t="str">
        <f>IFERROR(VLOOKUP(B528,'MB51'!A:J,10,0),"")</f>
        <v/>
      </c>
      <c r="E528" s="62" t="str">
        <f>IFERROR(VLOOKUP(B528,'MB51'!A:K,11,0),"")</f>
        <v/>
      </c>
      <c r="F528" s="42" t="str">
        <f>IFERROR(VLOOKUP(B528,'MB51'!A:F,6,0),"")</f>
        <v/>
      </c>
      <c r="G528" s="17" t="str">
        <f t="shared" si="24"/>
        <v>點揀料單</v>
      </c>
      <c r="H528" s="17">
        <f t="shared" si="25"/>
        <v>0</v>
      </c>
      <c r="I528" t="str">
        <f t="shared" si="26"/>
        <v/>
      </c>
      <c r="J528" t="str">
        <f>SUBSTITUTE(IF(COUNTIF(I$2:I528,I528)&gt;1,"",1)," ","")</f>
        <v/>
      </c>
    </row>
    <row r="529" spans="1:10" x14ac:dyDescent="0.2">
      <c r="A529" s="51" t="str">
        <f>IFERROR(VLOOKUP(B529,點上線資訊!A:R,18,0),"")</f>
        <v/>
      </c>
      <c r="B529" s="41">
        <f>'MB51'!A529</f>
        <v>0</v>
      </c>
      <c r="C529" s="60" t="str">
        <f>IFERROR(VLOOKUP(B529,'MB51'!A:I,9,0),"")</f>
        <v/>
      </c>
      <c r="D529" s="61" t="str">
        <f>IFERROR(VLOOKUP(B529,'MB51'!A:J,10,0),"")</f>
        <v/>
      </c>
      <c r="E529" s="62" t="str">
        <f>IFERROR(VLOOKUP(B529,'MB51'!A:K,11,0),"")</f>
        <v/>
      </c>
      <c r="F529" s="42" t="str">
        <f>IFERROR(VLOOKUP(B529,'MB51'!A:F,6,0),"")</f>
        <v/>
      </c>
      <c r="G529" s="17" t="str">
        <f t="shared" si="24"/>
        <v>點揀料單</v>
      </c>
      <c r="H529" s="17">
        <f t="shared" si="25"/>
        <v>0</v>
      </c>
      <c r="I529" t="str">
        <f t="shared" si="26"/>
        <v/>
      </c>
      <c r="J529" t="str">
        <f>SUBSTITUTE(IF(COUNTIF(I$2:I529,I529)&gt;1,"",1)," ","")</f>
        <v/>
      </c>
    </row>
    <row r="530" spans="1:10" x14ac:dyDescent="0.2">
      <c r="A530" s="51" t="str">
        <f>IFERROR(VLOOKUP(B530,點上線資訊!A:R,18,0),"")</f>
        <v/>
      </c>
      <c r="B530" s="41">
        <f>'MB51'!A530</f>
        <v>0</v>
      </c>
      <c r="C530" s="60" t="str">
        <f>IFERROR(VLOOKUP(B530,'MB51'!A:I,9,0),"")</f>
        <v/>
      </c>
      <c r="D530" s="61" t="str">
        <f>IFERROR(VLOOKUP(B530,'MB51'!A:J,10,0),"")</f>
        <v/>
      </c>
      <c r="E530" s="62" t="str">
        <f>IFERROR(VLOOKUP(B530,'MB51'!A:K,11,0),"")</f>
        <v/>
      </c>
      <c r="F530" s="42" t="str">
        <f>IFERROR(VLOOKUP(B530,'MB51'!A:F,6,0),"")</f>
        <v/>
      </c>
      <c r="G530" s="17" t="str">
        <f t="shared" si="24"/>
        <v>點揀料單</v>
      </c>
      <c r="H530" s="17">
        <f t="shared" si="25"/>
        <v>0</v>
      </c>
      <c r="I530" t="str">
        <f t="shared" si="26"/>
        <v/>
      </c>
      <c r="J530" t="str">
        <f>SUBSTITUTE(IF(COUNTIF(I$2:I530,I530)&gt;1,"",1)," ","")</f>
        <v/>
      </c>
    </row>
    <row r="531" spans="1:10" x14ac:dyDescent="0.2">
      <c r="A531" s="51" t="str">
        <f>IFERROR(VLOOKUP(B531,點上線資訊!A:R,18,0),"")</f>
        <v/>
      </c>
      <c r="B531" s="41">
        <f>'MB51'!A531</f>
        <v>0</v>
      </c>
      <c r="C531" s="60" t="str">
        <f>IFERROR(VLOOKUP(B531,'MB51'!A:I,9,0),"")</f>
        <v/>
      </c>
      <c r="D531" s="61" t="str">
        <f>IFERROR(VLOOKUP(B531,'MB51'!A:J,10,0),"")</f>
        <v/>
      </c>
      <c r="E531" s="62" t="str">
        <f>IFERROR(VLOOKUP(B531,'MB51'!A:K,11,0),"")</f>
        <v/>
      </c>
      <c r="F531" s="42" t="str">
        <f>IFERROR(VLOOKUP(B531,'MB51'!A:F,6,0),"")</f>
        <v/>
      </c>
      <c r="G531" s="17" t="str">
        <f t="shared" si="24"/>
        <v>點揀料單</v>
      </c>
      <c r="H531" s="17">
        <f t="shared" si="25"/>
        <v>0</v>
      </c>
      <c r="I531" t="str">
        <f t="shared" si="26"/>
        <v/>
      </c>
      <c r="J531" t="str">
        <f>SUBSTITUTE(IF(COUNTIF(I$2:I531,I531)&gt;1,"",1)," ","")</f>
        <v/>
      </c>
    </row>
    <row r="532" spans="1:10" x14ac:dyDescent="0.2">
      <c r="A532" s="51" t="str">
        <f>IFERROR(VLOOKUP(B532,點上線資訊!A:R,18,0),"")</f>
        <v/>
      </c>
      <c r="B532" s="41">
        <f>'MB51'!A532</f>
        <v>0</v>
      </c>
      <c r="C532" s="60" t="str">
        <f>IFERROR(VLOOKUP(B532,'MB51'!A:I,9,0),"")</f>
        <v/>
      </c>
      <c r="D532" s="61" t="str">
        <f>IFERROR(VLOOKUP(B532,'MB51'!A:J,10,0),"")</f>
        <v/>
      </c>
      <c r="E532" s="62" t="str">
        <f>IFERROR(VLOOKUP(B532,'MB51'!A:K,11,0),"")</f>
        <v/>
      </c>
      <c r="F532" s="42" t="str">
        <f>IFERROR(VLOOKUP(B532,'MB51'!A:F,6,0),"")</f>
        <v/>
      </c>
      <c r="G532" s="17" t="str">
        <f t="shared" si="24"/>
        <v>點揀料單</v>
      </c>
      <c r="H532" s="17">
        <f t="shared" si="25"/>
        <v>0</v>
      </c>
      <c r="I532" t="str">
        <f t="shared" si="26"/>
        <v/>
      </c>
      <c r="J532" t="str">
        <f>SUBSTITUTE(IF(COUNTIF(I$2:I532,I532)&gt;1,"",1)," ","")</f>
        <v/>
      </c>
    </row>
    <row r="533" spans="1:10" x14ac:dyDescent="0.2">
      <c r="A533" s="51" t="str">
        <f>IFERROR(VLOOKUP(B533,點上線資訊!A:R,18,0),"")</f>
        <v/>
      </c>
      <c r="B533" s="41">
        <f>'MB51'!A533</f>
        <v>0</v>
      </c>
      <c r="C533" s="60" t="str">
        <f>IFERROR(VLOOKUP(B533,'MB51'!A:I,9,0),"")</f>
        <v/>
      </c>
      <c r="D533" s="61" t="str">
        <f>IFERROR(VLOOKUP(B533,'MB51'!A:J,10,0),"")</f>
        <v/>
      </c>
      <c r="E533" s="62" t="str">
        <f>IFERROR(VLOOKUP(B533,'MB51'!A:K,11,0),"")</f>
        <v/>
      </c>
      <c r="F533" s="42" t="str">
        <f>IFERROR(VLOOKUP(B533,'MB51'!A:F,6,0),"")</f>
        <v/>
      </c>
      <c r="G533" s="17" t="str">
        <f t="shared" si="24"/>
        <v>點揀料單</v>
      </c>
      <c r="H533" s="17">
        <f t="shared" si="25"/>
        <v>0</v>
      </c>
      <c r="I533" t="str">
        <f t="shared" si="26"/>
        <v/>
      </c>
      <c r="J533" t="str">
        <f>SUBSTITUTE(IF(COUNTIF(I$2:I533,I533)&gt;1,"",1)," ","")</f>
        <v/>
      </c>
    </row>
    <row r="534" spans="1:10" x14ac:dyDescent="0.2">
      <c r="A534" s="51" t="str">
        <f>IFERROR(VLOOKUP(B534,點上線資訊!A:R,18,0),"")</f>
        <v/>
      </c>
      <c r="B534" s="41">
        <f>'MB51'!A534</f>
        <v>0</v>
      </c>
      <c r="C534" s="60" t="str">
        <f>IFERROR(VLOOKUP(B534,'MB51'!A:I,9,0),"")</f>
        <v/>
      </c>
      <c r="D534" s="61" t="str">
        <f>IFERROR(VLOOKUP(B534,'MB51'!A:J,10,0),"")</f>
        <v/>
      </c>
      <c r="E534" s="62" t="str">
        <f>IFERROR(VLOOKUP(B534,'MB51'!A:K,11,0),"")</f>
        <v/>
      </c>
      <c r="F534" s="42" t="str">
        <f>IFERROR(VLOOKUP(B534,'MB51'!A:F,6,0),"")</f>
        <v/>
      </c>
      <c r="G534" s="17" t="str">
        <f t="shared" si="24"/>
        <v>點揀料單</v>
      </c>
      <c r="H534" s="17">
        <f t="shared" si="25"/>
        <v>0</v>
      </c>
      <c r="I534" t="str">
        <f t="shared" si="26"/>
        <v/>
      </c>
      <c r="J534" t="str">
        <f>SUBSTITUTE(IF(COUNTIF(I$2:I534,I534)&gt;1,"",1)," ","")</f>
        <v/>
      </c>
    </row>
    <row r="535" spans="1:10" x14ac:dyDescent="0.2">
      <c r="A535" s="51" t="str">
        <f>IFERROR(VLOOKUP(B535,點上線資訊!A:R,18,0),"")</f>
        <v/>
      </c>
      <c r="B535" s="41">
        <f>'MB51'!A535</f>
        <v>0</v>
      </c>
      <c r="C535" s="60" t="str">
        <f>IFERROR(VLOOKUP(B535,'MB51'!A:I,9,0),"")</f>
        <v/>
      </c>
      <c r="D535" s="61" t="str">
        <f>IFERROR(VLOOKUP(B535,'MB51'!A:J,10,0),"")</f>
        <v/>
      </c>
      <c r="E535" s="62" t="str">
        <f>IFERROR(VLOOKUP(B535,'MB51'!A:K,11,0),"")</f>
        <v/>
      </c>
      <c r="F535" s="42" t="str">
        <f>IFERROR(VLOOKUP(B535,'MB51'!A:F,6,0),"")</f>
        <v/>
      </c>
      <c r="G535" s="17" t="str">
        <f t="shared" si="24"/>
        <v>點揀料單</v>
      </c>
      <c r="H535" s="17">
        <f t="shared" si="25"/>
        <v>0</v>
      </c>
      <c r="I535" t="str">
        <f t="shared" si="26"/>
        <v/>
      </c>
      <c r="J535" t="str">
        <f>SUBSTITUTE(IF(COUNTIF(I$2:I535,I535)&gt;1,"",1)," ","")</f>
        <v/>
      </c>
    </row>
    <row r="536" spans="1:10" x14ac:dyDescent="0.2">
      <c r="A536" s="51" t="str">
        <f>IFERROR(VLOOKUP(B536,點上線資訊!A:R,18,0),"")</f>
        <v/>
      </c>
      <c r="B536" s="41">
        <f>'MB51'!A536</f>
        <v>0</v>
      </c>
      <c r="C536" s="60" t="str">
        <f>IFERROR(VLOOKUP(B536,'MB51'!A:I,9,0),"")</f>
        <v/>
      </c>
      <c r="D536" s="61" t="str">
        <f>IFERROR(VLOOKUP(B536,'MB51'!A:J,10,0),"")</f>
        <v/>
      </c>
      <c r="E536" s="62" t="str">
        <f>IFERROR(VLOOKUP(B536,'MB51'!A:K,11,0),"")</f>
        <v/>
      </c>
      <c r="F536" s="42" t="str">
        <f>IFERROR(VLOOKUP(B536,'MB51'!A:F,6,0),"")</f>
        <v/>
      </c>
      <c r="G536" s="17" t="str">
        <f t="shared" si="24"/>
        <v>點揀料單</v>
      </c>
      <c r="H536" s="17">
        <f t="shared" si="25"/>
        <v>0</v>
      </c>
      <c r="I536" t="str">
        <f t="shared" si="26"/>
        <v/>
      </c>
      <c r="J536" t="str">
        <f>SUBSTITUTE(IF(COUNTIF(I$2:I536,I536)&gt;1,"",1)," ","")</f>
        <v/>
      </c>
    </row>
    <row r="537" spans="1:10" x14ac:dyDescent="0.2">
      <c r="A537" s="51" t="str">
        <f>IFERROR(VLOOKUP(B537,點上線資訊!A:R,18,0),"")</f>
        <v/>
      </c>
      <c r="B537" s="41">
        <f>'MB51'!A537</f>
        <v>0</v>
      </c>
      <c r="C537" s="60" t="str">
        <f>IFERROR(VLOOKUP(B537,'MB51'!A:I,9,0),"")</f>
        <v/>
      </c>
      <c r="D537" s="61" t="str">
        <f>IFERROR(VLOOKUP(B537,'MB51'!A:J,10,0),"")</f>
        <v/>
      </c>
      <c r="E537" s="62" t="str">
        <f>IFERROR(VLOOKUP(B537,'MB51'!A:K,11,0),"")</f>
        <v/>
      </c>
      <c r="F537" s="42" t="str">
        <f>IFERROR(VLOOKUP(B537,'MB51'!A:F,6,0),"")</f>
        <v/>
      </c>
      <c r="G537" s="17" t="str">
        <f t="shared" si="24"/>
        <v>點揀料單</v>
      </c>
      <c r="H537" s="17">
        <f t="shared" si="25"/>
        <v>0</v>
      </c>
      <c r="I537" t="str">
        <f t="shared" si="26"/>
        <v/>
      </c>
      <c r="J537" t="str">
        <f>SUBSTITUTE(IF(COUNTIF(I$2:I537,I537)&gt;1,"",1)," ","")</f>
        <v/>
      </c>
    </row>
    <row r="538" spans="1:10" x14ac:dyDescent="0.2">
      <c r="A538" s="51" t="str">
        <f>IFERROR(VLOOKUP(B538,點上線資訊!A:R,18,0),"")</f>
        <v/>
      </c>
      <c r="B538" s="41">
        <f>'MB51'!A538</f>
        <v>0</v>
      </c>
      <c r="C538" s="60" t="str">
        <f>IFERROR(VLOOKUP(B538,'MB51'!A:I,9,0),"")</f>
        <v/>
      </c>
      <c r="D538" s="61" t="str">
        <f>IFERROR(VLOOKUP(B538,'MB51'!A:J,10,0),"")</f>
        <v/>
      </c>
      <c r="E538" s="62" t="str">
        <f>IFERROR(VLOOKUP(B538,'MB51'!A:K,11,0),"")</f>
        <v/>
      </c>
      <c r="F538" s="42" t="str">
        <f>IFERROR(VLOOKUP(B538,'MB51'!A:F,6,0),"")</f>
        <v/>
      </c>
      <c r="G538" s="17" t="str">
        <f t="shared" si="24"/>
        <v>點揀料單</v>
      </c>
      <c r="H538" s="17">
        <f t="shared" si="25"/>
        <v>0</v>
      </c>
      <c r="I538" t="str">
        <f t="shared" si="26"/>
        <v/>
      </c>
      <c r="J538" t="str">
        <f>SUBSTITUTE(IF(COUNTIF(I$2:I538,I538)&gt;1,"",1)," ","")</f>
        <v/>
      </c>
    </row>
    <row r="539" spans="1:10" x14ac:dyDescent="0.2">
      <c r="A539" s="51" t="str">
        <f>IFERROR(VLOOKUP(B539,點上線資訊!A:R,18,0),"")</f>
        <v/>
      </c>
      <c r="B539" s="41">
        <f>'MB51'!A539</f>
        <v>0</v>
      </c>
      <c r="C539" s="60" t="str">
        <f>IFERROR(VLOOKUP(B539,'MB51'!A:I,9,0),"")</f>
        <v/>
      </c>
      <c r="D539" s="61" t="str">
        <f>IFERROR(VLOOKUP(B539,'MB51'!A:J,10,0),"")</f>
        <v/>
      </c>
      <c r="E539" s="62" t="str">
        <f>IFERROR(VLOOKUP(B539,'MB51'!A:K,11,0),"")</f>
        <v/>
      </c>
      <c r="F539" s="42" t="str">
        <f>IFERROR(VLOOKUP(B539,'MB51'!A:F,6,0),"")</f>
        <v/>
      </c>
      <c r="G539" s="17" t="str">
        <f t="shared" si="24"/>
        <v>點揀料單</v>
      </c>
      <c r="H539" s="17">
        <f t="shared" si="25"/>
        <v>0</v>
      </c>
      <c r="I539" t="str">
        <f t="shared" si="26"/>
        <v/>
      </c>
      <c r="J539" t="str">
        <f>SUBSTITUTE(IF(COUNTIF(I$2:I539,I539)&gt;1,"",1)," ","")</f>
        <v/>
      </c>
    </row>
    <row r="540" spans="1:10" x14ac:dyDescent="0.2">
      <c r="A540" s="51" t="str">
        <f>IFERROR(VLOOKUP(B540,點上線資訊!A:R,18,0),"")</f>
        <v/>
      </c>
      <c r="B540" s="41">
        <f>'MB51'!A540</f>
        <v>0</v>
      </c>
      <c r="C540" s="60" t="str">
        <f>IFERROR(VLOOKUP(B540,'MB51'!A:I,9,0),"")</f>
        <v/>
      </c>
      <c r="D540" s="61" t="str">
        <f>IFERROR(VLOOKUP(B540,'MB51'!A:J,10,0),"")</f>
        <v/>
      </c>
      <c r="E540" s="62" t="str">
        <f>IFERROR(VLOOKUP(B540,'MB51'!A:K,11,0),"")</f>
        <v/>
      </c>
      <c r="F540" s="42" t="str">
        <f>IFERROR(VLOOKUP(B540,'MB51'!A:F,6,0),"")</f>
        <v/>
      </c>
      <c r="G540" s="17" t="str">
        <f t="shared" si="24"/>
        <v>點揀料單</v>
      </c>
      <c r="H540" s="17">
        <f t="shared" si="25"/>
        <v>0</v>
      </c>
      <c r="I540" t="str">
        <f t="shared" si="26"/>
        <v/>
      </c>
      <c r="J540" t="str">
        <f>SUBSTITUTE(IF(COUNTIF(I$2:I540,I540)&gt;1,"",1)," ","")</f>
        <v/>
      </c>
    </row>
    <row r="541" spans="1:10" x14ac:dyDescent="0.2">
      <c r="A541" s="51" t="str">
        <f>IFERROR(VLOOKUP(B541,點上線資訊!A:R,18,0),"")</f>
        <v/>
      </c>
      <c r="B541" s="41">
        <f>'MB51'!A541</f>
        <v>0</v>
      </c>
      <c r="C541" s="60" t="str">
        <f>IFERROR(VLOOKUP(B541,'MB51'!A:I,9,0),"")</f>
        <v/>
      </c>
      <c r="D541" s="61" t="str">
        <f>IFERROR(VLOOKUP(B541,'MB51'!A:J,10,0),"")</f>
        <v/>
      </c>
      <c r="E541" s="62" t="str">
        <f>IFERROR(VLOOKUP(B541,'MB51'!A:K,11,0),"")</f>
        <v/>
      </c>
      <c r="F541" s="42" t="str">
        <f>IFERROR(VLOOKUP(B541,'MB51'!A:F,6,0),"")</f>
        <v/>
      </c>
      <c r="G541" s="17" t="str">
        <f t="shared" si="24"/>
        <v>點揀料單</v>
      </c>
      <c r="H541" s="17">
        <f t="shared" si="25"/>
        <v>0</v>
      </c>
      <c r="I541" t="str">
        <f t="shared" si="26"/>
        <v/>
      </c>
      <c r="J541" t="str">
        <f>SUBSTITUTE(IF(COUNTIF(I$2:I541,I541)&gt;1,"",1)," ","")</f>
        <v/>
      </c>
    </row>
    <row r="542" spans="1:10" x14ac:dyDescent="0.2">
      <c r="A542" s="51" t="str">
        <f>IFERROR(VLOOKUP(B542,點上線資訊!A:R,18,0),"")</f>
        <v/>
      </c>
      <c r="B542" s="41">
        <f>'MB51'!A542</f>
        <v>0</v>
      </c>
      <c r="C542" s="60" t="str">
        <f>IFERROR(VLOOKUP(B542,'MB51'!A:I,9,0),"")</f>
        <v/>
      </c>
      <c r="D542" s="61" t="str">
        <f>IFERROR(VLOOKUP(B542,'MB51'!A:J,10,0),"")</f>
        <v/>
      </c>
      <c r="E542" s="62" t="str">
        <f>IFERROR(VLOOKUP(B542,'MB51'!A:K,11,0),"")</f>
        <v/>
      </c>
      <c r="F542" s="42" t="str">
        <f>IFERROR(VLOOKUP(B542,'MB51'!A:F,6,0),"")</f>
        <v/>
      </c>
      <c r="G542" s="17" t="str">
        <f t="shared" si="24"/>
        <v>點揀料單</v>
      </c>
      <c r="H542" s="17">
        <f t="shared" si="25"/>
        <v>0</v>
      </c>
      <c r="I542" t="str">
        <f t="shared" si="26"/>
        <v/>
      </c>
      <c r="J542" t="str">
        <f>SUBSTITUTE(IF(COUNTIF(I$2:I542,I542)&gt;1,"",1)," ","")</f>
        <v/>
      </c>
    </row>
    <row r="543" spans="1:10" x14ac:dyDescent="0.2">
      <c r="A543" s="51" t="str">
        <f>IFERROR(VLOOKUP(B543,點上線資訊!A:R,18,0),"")</f>
        <v/>
      </c>
      <c r="B543" s="41">
        <f>'MB51'!A543</f>
        <v>0</v>
      </c>
      <c r="C543" s="60" t="str">
        <f>IFERROR(VLOOKUP(B543,'MB51'!A:I,9,0),"")</f>
        <v/>
      </c>
      <c r="D543" s="61" t="str">
        <f>IFERROR(VLOOKUP(B543,'MB51'!A:J,10,0),"")</f>
        <v/>
      </c>
      <c r="E543" s="62" t="str">
        <f>IFERROR(VLOOKUP(B543,'MB51'!A:K,11,0),"")</f>
        <v/>
      </c>
      <c r="F543" s="42" t="str">
        <f>IFERROR(VLOOKUP(B543,'MB51'!A:F,6,0),"")</f>
        <v/>
      </c>
      <c r="G543" s="17" t="str">
        <f t="shared" si="24"/>
        <v>點揀料單</v>
      </c>
      <c r="H543" s="17">
        <f t="shared" si="25"/>
        <v>0</v>
      </c>
      <c r="I543" t="str">
        <f t="shared" si="26"/>
        <v/>
      </c>
      <c r="J543" t="str">
        <f>SUBSTITUTE(IF(COUNTIF(I$2:I543,I543)&gt;1,"",1)," ","")</f>
        <v/>
      </c>
    </row>
    <row r="544" spans="1:10" x14ac:dyDescent="0.2">
      <c r="A544" s="51" t="str">
        <f>IFERROR(VLOOKUP(B544,點上線資訊!A:R,18,0),"")</f>
        <v/>
      </c>
      <c r="B544" s="41">
        <f>'MB51'!A544</f>
        <v>0</v>
      </c>
      <c r="C544" s="60" t="str">
        <f>IFERROR(VLOOKUP(B544,'MB51'!A:I,9,0),"")</f>
        <v/>
      </c>
      <c r="D544" s="61" t="str">
        <f>IFERROR(VLOOKUP(B544,'MB51'!A:J,10,0),"")</f>
        <v/>
      </c>
      <c r="E544" s="62" t="str">
        <f>IFERROR(VLOOKUP(B544,'MB51'!A:K,11,0),"")</f>
        <v/>
      </c>
      <c r="F544" s="42" t="str">
        <f>IFERROR(VLOOKUP(B544,'MB51'!A:F,6,0),"")</f>
        <v/>
      </c>
      <c r="G544" s="17" t="str">
        <f t="shared" si="24"/>
        <v>點揀料單</v>
      </c>
      <c r="H544" s="17">
        <f t="shared" si="25"/>
        <v>0</v>
      </c>
      <c r="I544" t="str">
        <f t="shared" si="26"/>
        <v/>
      </c>
      <c r="J544" t="str">
        <f>SUBSTITUTE(IF(COUNTIF(I$2:I544,I544)&gt;1,"",1)," ","")</f>
        <v/>
      </c>
    </row>
    <row r="545" spans="1:10" x14ac:dyDescent="0.2">
      <c r="A545" s="51" t="str">
        <f>IFERROR(VLOOKUP(B545,點上線資訊!A:R,18,0),"")</f>
        <v/>
      </c>
      <c r="B545" s="41">
        <f>'MB51'!A545</f>
        <v>0</v>
      </c>
      <c r="C545" s="60" t="str">
        <f>IFERROR(VLOOKUP(B545,'MB51'!A:I,9,0),"")</f>
        <v/>
      </c>
      <c r="D545" s="61" t="str">
        <f>IFERROR(VLOOKUP(B545,'MB51'!A:J,10,0),"")</f>
        <v/>
      </c>
      <c r="E545" s="62" t="str">
        <f>IFERROR(VLOOKUP(B545,'MB51'!A:K,11,0),"")</f>
        <v/>
      </c>
      <c r="F545" s="42" t="str">
        <f>IFERROR(VLOOKUP(B545,'MB51'!A:F,6,0),"")</f>
        <v/>
      </c>
      <c r="G545" s="17" t="str">
        <f t="shared" si="24"/>
        <v>點揀料單</v>
      </c>
      <c r="H545" s="17">
        <f t="shared" si="25"/>
        <v>0</v>
      </c>
      <c r="I545" t="str">
        <f t="shared" si="26"/>
        <v/>
      </c>
      <c r="J545" t="str">
        <f>SUBSTITUTE(IF(COUNTIF(I$2:I545,I545)&gt;1,"",1)," ","")</f>
        <v/>
      </c>
    </row>
    <row r="546" spans="1:10" x14ac:dyDescent="0.2">
      <c r="A546" s="51" t="str">
        <f>IFERROR(VLOOKUP(B546,點上線資訊!A:R,18,0),"")</f>
        <v/>
      </c>
      <c r="B546" s="41">
        <f>'MB51'!A546</f>
        <v>0</v>
      </c>
      <c r="C546" s="60" t="str">
        <f>IFERROR(VLOOKUP(B546,'MB51'!A:I,9,0),"")</f>
        <v/>
      </c>
      <c r="D546" s="61" t="str">
        <f>IFERROR(VLOOKUP(B546,'MB51'!A:J,10,0),"")</f>
        <v/>
      </c>
      <c r="E546" s="62" t="str">
        <f>IFERROR(VLOOKUP(B546,'MB51'!A:K,11,0),"")</f>
        <v/>
      </c>
      <c r="F546" s="42" t="str">
        <f>IFERROR(VLOOKUP(B546,'MB51'!A:F,6,0),"")</f>
        <v/>
      </c>
      <c r="G546" s="17" t="str">
        <f t="shared" si="24"/>
        <v>點揀料單</v>
      </c>
      <c r="H546" s="17">
        <f t="shared" si="25"/>
        <v>0</v>
      </c>
      <c r="I546" t="str">
        <f t="shared" si="26"/>
        <v/>
      </c>
      <c r="J546" t="str">
        <f>SUBSTITUTE(IF(COUNTIF(I$2:I546,I546)&gt;1,"",1)," ","")</f>
        <v/>
      </c>
    </row>
    <row r="547" spans="1:10" x14ac:dyDescent="0.2">
      <c r="A547" s="51" t="str">
        <f>IFERROR(VLOOKUP(B547,點上線資訊!A:R,18,0),"")</f>
        <v/>
      </c>
      <c r="B547" s="41">
        <f>'MB51'!A547</f>
        <v>0</v>
      </c>
      <c r="C547" s="60" t="str">
        <f>IFERROR(VLOOKUP(B547,'MB51'!A:I,9,0),"")</f>
        <v/>
      </c>
      <c r="D547" s="61" t="str">
        <f>IFERROR(VLOOKUP(B547,'MB51'!A:J,10,0),"")</f>
        <v/>
      </c>
      <c r="E547" s="62" t="str">
        <f>IFERROR(VLOOKUP(B547,'MB51'!A:K,11,0),"")</f>
        <v/>
      </c>
      <c r="F547" s="42" t="str">
        <f>IFERROR(VLOOKUP(B547,'MB51'!A:F,6,0),"")</f>
        <v/>
      </c>
      <c r="G547" s="17" t="str">
        <f t="shared" si="24"/>
        <v>點揀料單</v>
      </c>
      <c r="H547" s="17">
        <f t="shared" si="25"/>
        <v>0</v>
      </c>
      <c r="I547" t="str">
        <f t="shared" si="26"/>
        <v/>
      </c>
      <c r="J547" t="str">
        <f>SUBSTITUTE(IF(COUNTIF(I$2:I547,I547)&gt;1,"",1)," ","")</f>
        <v/>
      </c>
    </row>
    <row r="548" spans="1:10" x14ac:dyDescent="0.2">
      <c r="A548" s="51" t="str">
        <f>IFERROR(VLOOKUP(B548,點上線資訊!A:R,18,0),"")</f>
        <v/>
      </c>
      <c r="B548" s="41">
        <f>'MB51'!A548</f>
        <v>0</v>
      </c>
      <c r="C548" s="60" t="str">
        <f>IFERROR(VLOOKUP(B548,'MB51'!A:I,9,0),"")</f>
        <v/>
      </c>
      <c r="D548" s="61" t="str">
        <f>IFERROR(VLOOKUP(B548,'MB51'!A:J,10,0),"")</f>
        <v/>
      </c>
      <c r="E548" s="62" t="str">
        <f>IFERROR(VLOOKUP(B548,'MB51'!A:K,11,0),"")</f>
        <v/>
      </c>
      <c r="F548" s="42" t="str">
        <f>IFERROR(VLOOKUP(B548,'MB51'!A:F,6,0),"")</f>
        <v/>
      </c>
      <c r="G548" s="17" t="str">
        <f t="shared" si="24"/>
        <v>點揀料單</v>
      </c>
      <c r="H548" s="17">
        <f t="shared" si="25"/>
        <v>0</v>
      </c>
      <c r="I548" t="str">
        <f t="shared" si="26"/>
        <v/>
      </c>
      <c r="J548" t="str">
        <f>SUBSTITUTE(IF(COUNTIF(I$2:I548,I548)&gt;1,"",1)," ","")</f>
        <v/>
      </c>
    </row>
    <row r="549" spans="1:10" x14ac:dyDescent="0.2">
      <c r="A549" s="51" t="str">
        <f>IFERROR(VLOOKUP(B549,點上線資訊!A:R,18,0),"")</f>
        <v/>
      </c>
      <c r="B549" s="41">
        <f>'MB51'!A549</f>
        <v>0</v>
      </c>
      <c r="C549" s="60" t="str">
        <f>IFERROR(VLOOKUP(B549,'MB51'!A:I,9,0),"")</f>
        <v/>
      </c>
      <c r="D549" s="61" t="str">
        <f>IFERROR(VLOOKUP(B549,'MB51'!A:J,10,0),"")</f>
        <v/>
      </c>
      <c r="E549" s="62" t="str">
        <f>IFERROR(VLOOKUP(B549,'MB51'!A:K,11,0),"")</f>
        <v/>
      </c>
      <c r="F549" s="42" t="str">
        <f>IFERROR(VLOOKUP(B549,'MB51'!A:F,6,0),"")</f>
        <v/>
      </c>
      <c r="G549" s="17" t="str">
        <f t="shared" si="24"/>
        <v>點揀料單</v>
      </c>
      <c r="H549" s="17">
        <f t="shared" si="25"/>
        <v>0</v>
      </c>
      <c r="I549" t="str">
        <f t="shared" si="26"/>
        <v/>
      </c>
      <c r="J549" t="str">
        <f>SUBSTITUTE(IF(COUNTIF(I$2:I549,I549)&gt;1,"",1)," ","")</f>
        <v/>
      </c>
    </row>
    <row r="550" spans="1:10" x14ac:dyDescent="0.2">
      <c r="A550" s="51" t="str">
        <f>IFERROR(VLOOKUP(B550,點上線資訊!A:R,18,0),"")</f>
        <v/>
      </c>
      <c r="B550" s="41">
        <f>'MB51'!A550</f>
        <v>0</v>
      </c>
      <c r="C550" s="60" t="str">
        <f>IFERROR(VLOOKUP(B550,'MB51'!A:I,9,0),"")</f>
        <v/>
      </c>
      <c r="D550" s="61" t="str">
        <f>IFERROR(VLOOKUP(B550,'MB51'!A:J,10,0),"")</f>
        <v/>
      </c>
      <c r="E550" s="62" t="str">
        <f>IFERROR(VLOOKUP(B550,'MB51'!A:K,11,0),"")</f>
        <v/>
      </c>
      <c r="F550" s="42" t="str">
        <f>IFERROR(VLOOKUP(B550,'MB51'!A:F,6,0),"")</f>
        <v/>
      </c>
      <c r="G550" s="17" t="str">
        <f t="shared" si="24"/>
        <v>點揀料單</v>
      </c>
      <c r="H550" s="17">
        <f t="shared" si="25"/>
        <v>0</v>
      </c>
      <c r="I550" t="str">
        <f t="shared" si="26"/>
        <v/>
      </c>
      <c r="J550" t="str">
        <f>SUBSTITUTE(IF(COUNTIF(I$2:I550,I550)&gt;1,"",1)," ","")</f>
        <v/>
      </c>
    </row>
    <row r="551" spans="1:10" x14ac:dyDescent="0.2">
      <c r="A551" s="51" t="str">
        <f>IFERROR(VLOOKUP(B551,點上線資訊!A:R,18,0),"")</f>
        <v/>
      </c>
      <c r="B551" s="41">
        <f>'MB51'!A551</f>
        <v>0</v>
      </c>
      <c r="C551" s="60" t="str">
        <f>IFERROR(VLOOKUP(B551,'MB51'!A:I,9,0),"")</f>
        <v/>
      </c>
      <c r="D551" s="61" t="str">
        <f>IFERROR(VLOOKUP(B551,'MB51'!A:J,10,0),"")</f>
        <v/>
      </c>
      <c r="E551" s="62" t="str">
        <f>IFERROR(VLOOKUP(B551,'MB51'!A:K,11,0),"")</f>
        <v/>
      </c>
      <c r="F551" s="42" t="str">
        <f>IFERROR(VLOOKUP(B551,'MB51'!A:F,6,0),"")</f>
        <v/>
      </c>
      <c r="G551" s="17" t="str">
        <f t="shared" si="24"/>
        <v>點揀料單</v>
      </c>
      <c r="H551" s="17">
        <f t="shared" si="25"/>
        <v>0</v>
      </c>
      <c r="I551" t="str">
        <f t="shared" si="26"/>
        <v/>
      </c>
      <c r="J551" t="str">
        <f>SUBSTITUTE(IF(COUNTIF(I$2:I551,I551)&gt;1,"",1)," ","")</f>
        <v/>
      </c>
    </row>
    <row r="552" spans="1:10" x14ac:dyDescent="0.2">
      <c r="A552" s="51" t="str">
        <f>IFERROR(VLOOKUP(B552,點上線資訊!A:R,18,0),"")</f>
        <v/>
      </c>
      <c r="B552" s="41">
        <f>'MB51'!A552</f>
        <v>0</v>
      </c>
      <c r="C552" s="60" t="str">
        <f>IFERROR(VLOOKUP(B552,'MB51'!A:I,9,0),"")</f>
        <v/>
      </c>
      <c r="D552" s="61" t="str">
        <f>IFERROR(VLOOKUP(B552,'MB51'!A:J,10,0),"")</f>
        <v/>
      </c>
      <c r="E552" s="62" t="str">
        <f>IFERROR(VLOOKUP(B552,'MB51'!A:K,11,0),"")</f>
        <v/>
      </c>
      <c r="F552" s="42" t="str">
        <f>IFERROR(VLOOKUP(B552,'MB51'!A:F,6,0),"")</f>
        <v/>
      </c>
      <c r="G552" s="17" t="str">
        <f t="shared" si="24"/>
        <v>點揀料單</v>
      </c>
      <c r="H552" s="17">
        <f t="shared" si="25"/>
        <v>0</v>
      </c>
      <c r="I552" t="str">
        <f t="shared" si="26"/>
        <v/>
      </c>
      <c r="J552" t="str">
        <f>SUBSTITUTE(IF(COUNTIF(I$2:I552,I552)&gt;1,"",1)," ","")</f>
        <v/>
      </c>
    </row>
    <row r="553" spans="1:10" x14ac:dyDescent="0.2">
      <c r="A553" s="51" t="str">
        <f>IFERROR(VLOOKUP(B553,點上線資訊!A:R,18,0),"")</f>
        <v/>
      </c>
      <c r="B553" s="41">
        <f>'MB51'!A553</f>
        <v>0</v>
      </c>
      <c r="C553" s="60" t="str">
        <f>IFERROR(VLOOKUP(B553,'MB51'!A:I,9,0),"")</f>
        <v/>
      </c>
      <c r="D553" s="61" t="str">
        <f>IFERROR(VLOOKUP(B553,'MB51'!A:J,10,0),"")</f>
        <v/>
      </c>
      <c r="E553" s="62" t="str">
        <f>IFERROR(VLOOKUP(B553,'MB51'!A:K,11,0),"")</f>
        <v/>
      </c>
      <c r="F553" s="42" t="str">
        <f>IFERROR(VLOOKUP(B553,'MB51'!A:F,6,0),"")</f>
        <v/>
      </c>
      <c r="G553" s="17" t="str">
        <f t="shared" si="24"/>
        <v>點揀料單</v>
      </c>
      <c r="H553" s="17">
        <f t="shared" si="25"/>
        <v>0</v>
      </c>
      <c r="I553" t="str">
        <f t="shared" si="26"/>
        <v/>
      </c>
      <c r="J553" t="str">
        <f>SUBSTITUTE(IF(COUNTIF(I$2:I553,I553)&gt;1,"",1)," ","")</f>
        <v/>
      </c>
    </row>
    <row r="554" spans="1:10" x14ac:dyDescent="0.2">
      <c r="A554" s="51" t="str">
        <f>IFERROR(VLOOKUP(B554,點上線資訊!A:R,18,0),"")</f>
        <v/>
      </c>
      <c r="B554" s="41">
        <f>'MB51'!A554</f>
        <v>0</v>
      </c>
      <c r="C554" s="60" t="str">
        <f>IFERROR(VLOOKUP(B554,'MB51'!A:I,9,0),"")</f>
        <v/>
      </c>
      <c r="D554" s="61" t="str">
        <f>IFERROR(VLOOKUP(B554,'MB51'!A:J,10,0),"")</f>
        <v/>
      </c>
      <c r="E554" s="62" t="str">
        <f>IFERROR(VLOOKUP(B554,'MB51'!A:K,11,0),"")</f>
        <v/>
      </c>
      <c r="F554" s="42" t="str">
        <f>IFERROR(VLOOKUP(B554,'MB51'!A:F,6,0),"")</f>
        <v/>
      </c>
      <c r="G554" s="17" t="str">
        <f t="shared" si="24"/>
        <v>點揀料單</v>
      </c>
      <c r="H554" s="17">
        <f t="shared" si="25"/>
        <v>0</v>
      </c>
      <c r="I554" t="str">
        <f t="shared" si="26"/>
        <v/>
      </c>
      <c r="J554" t="str">
        <f>SUBSTITUTE(IF(COUNTIF(I$2:I554,I554)&gt;1,"",1)," ","")</f>
        <v/>
      </c>
    </row>
    <row r="555" spans="1:10" x14ac:dyDescent="0.2">
      <c r="A555" s="51" t="str">
        <f>IFERROR(VLOOKUP(B555,點上線資訊!A:R,18,0),"")</f>
        <v/>
      </c>
      <c r="B555" s="41">
        <f>'MB51'!A555</f>
        <v>0</v>
      </c>
      <c r="C555" s="60" t="str">
        <f>IFERROR(VLOOKUP(B555,'MB51'!A:I,9,0),"")</f>
        <v/>
      </c>
      <c r="D555" s="61" t="str">
        <f>IFERROR(VLOOKUP(B555,'MB51'!A:J,10,0),"")</f>
        <v/>
      </c>
      <c r="E555" s="62" t="str">
        <f>IFERROR(VLOOKUP(B555,'MB51'!A:K,11,0),"")</f>
        <v/>
      </c>
      <c r="F555" s="42" t="str">
        <f>IFERROR(VLOOKUP(B555,'MB51'!A:F,6,0),"")</f>
        <v/>
      </c>
      <c r="G555" s="17" t="str">
        <f t="shared" si="24"/>
        <v>點揀料單</v>
      </c>
      <c r="H555" s="17">
        <f t="shared" si="25"/>
        <v>0</v>
      </c>
      <c r="I555" t="str">
        <f t="shared" si="26"/>
        <v/>
      </c>
      <c r="J555" t="str">
        <f>SUBSTITUTE(IF(COUNTIF(I$2:I555,I555)&gt;1,"",1)," ","")</f>
        <v/>
      </c>
    </row>
    <row r="556" spans="1:10" x14ac:dyDescent="0.2">
      <c r="A556" s="51" t="str">
        <f>IFERROR(VLOOKUP(B556,點上線資訊!A:R,18,0),"")</f>
        <v/>
      </c>
      <c r="B556" s="41">
        <f>'MB51'!A556</f>
        <v>0</v>
      </c>
      <c r="C556" s="60" t="str">
        <f>IFERROR(VLOOKUP(B556,'MB51'!A:I,9,0),"")</f>
        <v/>
      </c>
      <c r="D556" s="61" t="str">
        <f>IFERROR(VLOOKUP(B556,'MB51'!A:J,10,0),"")</f>
        <v/>
      </c>
      <c r="E556" s="62" t="str">
        <f>IFERROR(VLOOKUP(B556,'MB51'!A:K,11,0),"")</f>
        <v/>
      </c>
      <c r="F556" s="42" t="str">
        <f>IFERROR(VLOOKUP(B556,'MB51'!A:F,6,0),"")</f>
        <v/>
      </c>
      <c r="G556" s="17" t="str">
        <f t="shared" si="24"/>
        <v>點揀料單</v>
      </c>
      <c r="H556" s="17">
        <f t="shared" si="25"/>
        <v>0</v>
      </c>
      <c r="I556" t="str">
        <f t="shared" si="26"/>
        <v/>
      </c>
      <c r="J556" t="str">
        <f>SUBSTITUTE(IF(COUNTIF(I$2:I556,I556)&gt;1,"",1)," ","")</f>
        <v/>
      </c>
    </row>
    <row r="557" spans="1:10" x14ac:dyDescent="0.2">
      <c r="A557" s="51" t="str">
        <f>IFERROR(VLOOKUP(B557,點上線資訊!A:R,18,0),"")</f>
        <v/>
      </c>
      <c r="B557" s="41">
        <f>'MB51'!A557</f>
        <v>0</v>
      </c>
      <c r="C557" s="60" t="str">
        <f>IFERROR(VLOOKUP(B557,'MB51'!A:I,9,0),"")</f>
        <v/>
      </c>
      <c r="D557" s="61" t="str">
        <f>IFERROR(VLOOKUP(B557,'MB51'!A:J,10,0),"")</f>
        <v/>
      </c>
      <c r="E557" s="62" t="str">
        <f>IFERROR(VLOOKUP(B557,'MB51'!A:K,11,0),"")</f>
        <v/>
      </c>
      <c r="F557" s="42" t="str">
        <f>IFERROR(VLOOKUP(B557,'MB51'!A:F,6,0),"")</f>
        <v/>
      </c>
      <c r="G557" s="17" t="str">
        <f t="shared" si="24"/>
        <v>點揀料單</v>
      </c>
      <c r="H557" s="17">
        <f t="shared" si="25"/>
        <v>0</v>
      </c>
      <c r="I557" t="str">
        <f t="shared" si="26"/>
        <v/>
      </c>
      <c r="J557" t="str">
        <f>SUBSTITUTE(IF(COUNTIF(I$2:I557,I557)&gt;1,"",1)," ","")</f>
        <v/>
      </c>
    </row>
    <row r="558" spans="1:10" x14ac:dyDescent="0.2">
      <c r="A558" s="51" t="str">
        <f>IFERROR(VLOOKUP(B558,點上線資訊!A:R,18,0),"")</f>
        <v/>
      </c>
      <c r="B558" s="41">
        <f>'MB51'!A558</f>
        <v>0</v>
      </c>
      <c r="C558" s="60" t="str">
        <f>IFERROR(VLOOKUP(B558,'MB51'!A:I,9,0),"")</f>
        <v/>
      </c>
      <c r="D558" s="61" t="str">
        <f>IFERROR(VLOOKUP(B558,'MB51'!A:J,10,0),"")</f>
        <v/>
      </c>
      <c r="E558" s="62" t="str">
        <f>IFERROR(VLOOKUP(B558,'MB51'!A:K,11,0),"")</f>
        <v/>
      </c>
      <c r="F558" s="42" t="str">
        <f>IFERROR(VLOOKUP(B558,'MB51'!A:F,6,0),"")</f>
        <v/>
      </c>
      <c r="G558" s="17" t="str">
        <f t="shared" si="24"/>
        <v>點揀料單</v>
      </c>
      <c r="H558" s="17">
        <f t="shared" si="25"/>
        <v>0</v>
      </c>
      <c r="I558" t="str">
        <f t="shared" si="26"/>
        <v/>
      </c>
      <c r="J558" t="str">
        <f>SUBSTITUTE(IF(COUNTIF(I$2:I558,I558)&gt;1,"",1)," ","")</f>
        <v/>
      </c>
    </row>
    <row r="559" spans="1:10" x14ac:dyDescent="0.2">
      <c r="A559" s="51" t="str">
        <f>IFERROR(VLOOKUP(B559,點上線資訊!A:R,18,0),"")</f>
        <v/>
      </c>
      <c r="B559" s="41">
        <f>'MB51'!A559</f>
        <v>0</v>
      </c>
      <c r="C559" s="60" t="str">
        <f>IFERROR(VLOOKUP(B559,'MB51'!A:I,9,0),"")</f>
        <v/>
      </c>
      <c r="D559" s="61" t="str">
        <f>IFERROR(VLOOKUP(B559,'MB51'!A:J,10,0),"")</f>
        <v/>
      </c>
      <c r="E559" s="62" t="str">
        <f>IFERROR(VLOOKUP(B559,'MB51'!A:K,11,0),"")</f>
        <v/>
      </c>
      <c r="F559" s="42" t="str">
        <f>IFERROR(VLOOKUP(B559,'MB51'!A:F,6,0),"")</f>
        <v/>
      </c>
      <c r="G559" s="17" t="str">
        <f t="shared" si="24"/>
        <v>點揀料單</v>
      </c>
      <c r="H559" s="17">
        <f t="shared" si="25"/>
        <v>0</v>
      </c>
      <c r="I559" t="str">
        <f t="shared" si="26"/>
        <v/>
      </c>
      <c r="J559" t="str">
        <f>SUBSTITUTE(IF(COUNTIF(I$2:I559,I559)&gt;1,"",1)," ","")</f>
        <v/>
      </c>
    </row>
    <row r="560" spans="1:10" x14ac:dyDescent="0.2">
      <c r="A560" s="51" t="str">
        <f>IFERROR(VLOOKUP(B560,點上線資訊!A:R,18,0),"")</f>
        <v/>
      </c>
      <c r="B560" s="41">
        <f>'MB51'!A560</f>
        <v>0</v>
      </c>
      <c r="C560" s="60" t="str">
        <f>IFERROR(VLOOKUP(B560,'MB51'!A:I,9,0),"")</f>
        <v/>
      </c>
      <c r="D560" s="61" t="str">
        <f>IFERROR(VLOOKUP(B560,'MB51'!A:J,10,0),"")</f>
        <v/>
      </c>
      <c r="E560" s="62" t="str">
        <f>IFERROR(VLOOKUP(B560,'MB51'!A:K,11,0),"")</f>
        <v/>
      </c>
      <c r="F560" s="42" t="str">
        <f>IFERROR(VLOOKUP(B560,'MB51'!A:F,6,0),"")</f>
        <v/>
      </c>
      <c r="G560" s="17" t="str">
        <f t="shared" si="24"/>
        <v>點揀料單</v>
      </c>
      <c r="H560" s="17">
        <f t="shared" si="25"/>
        <v>0</v>
      </c>
      <c r="I560" t="str">
        <f t="shared" si="26"/>
        <v/>
      </c>
      <c r="J560" t="str">
        <f>SUBSTITUTE(IF(COUNTIF(I$2:I560,I560)&gt;1,"",1)," ","")</f>
        <v/>
      </c>
    </row>
    <row r="561" spans="1:10" x14ac:dyDescent="0.2">
      <c r="A561" s="51" t="str">
        <f>IFERROR(VLOOKUP(B561,點上線資訊!A:R,18,0),"")</f>
        <v/>
      </c>
      <c r="B561" s="41">
        <f>'MB51'!A561</f>
        <v>0</v>
      </c>
      <c r="C561" s="60" t="str">
        <f>IFERROR(VLOOKUP(B561,'MB51'!A:I,9,0),"")</f>
        <v/>
      </c>
      <c r="D561" s="61" t="str">
        <f>IFERROR(VLOOKUP(B561,'MB51'!A:J,10,0),"")</f>
        <v/>
      </c>
      <c r="E561" s="62" t="str">
        <f>IFERROR(VLOOKUP(B561,'MB51'!A:K,11,0),"")</f>
        <v/>
      </c>
      <c r="F561" s="42" t="str">
        <f>IFERROR(VLOOKUP(B561,'MB51'!A:F,6,0),"")</f>
        <v/>
      </c>
      <c r="G561" s="17" t="str">
        <f t="shared" si="24"/>
        <v>點揀料單</v>
      </c>
      <c r="H561" s="17">
        <f t="shared" si="25"/>
        <v>0</v>
      </c>
      <c r="I561" t="str">
        <f t="shared" si="26"/>
        <v/>
      </c>
      <c r="J561" t="str">
        <f>SUBSTITUTE(IF(COUNTIF(I$2:I561,I561)&gt;1,"",1)," ","")</f>
        <v/>
      </c>
    </row>
    <row r="562" spans="1:10" x14ac:dyDescent="0.2">
      <c r="A562" s="51" t="str">
        <f>IFERROR(VLOOKUP(B562,點上線資訊!A:R,18,0),"")</f>
        <v/>
      </c>
      <c r="B562" s="41">
        <f>'MB51'!A562</f>
        <v>0</v>
      </c>
      <c r="C562" s="60" t="str">
        <f>IFERROR(VLOOKUP(B562,'MB51'!A:I,9,0),"")</f>
        <v/>
      </c>
      <c r="D562" s="61" t="str">
        <f>IFERROR(VLOOKUP(B562,'MB51'!A:J,10,0),"")</f>
        <v/>
      </c>
      <c r="E562" s="62" t="str">
        <f>IFERROR(VLOOKUP(B562,'MB51'!A:K,11,0),"")</f>
        <v/>
      </c>
      <c r="F562" s="42" t="str">
        <f>IFERROR(VLOOKUP(B562,'MB51'!A:F,6,0),"")</f>
        <v/>
      </c>
      <c r="G562" s="17" t="str">
        <f t="shared" si="24"/>
        <v>點揀料單</v>
      </c>
      <c r="H562" s="17">
        <f t="shared" si="25"/>
        <v>0</v>
      </c>
      <c r="I562" t="str">
        <f t="shared" si="26"/>
        <v/>
      </c>
      <c r="J562" t="str">
        <f>SUBSTITUTE(IF(COUNTIF(I$2:I562,I562)&gt;1,"",1)," ","")</f>
        <v/>
      </c>
    </row>
    <row r="563" spans="1:10" x14ac:dyDescent="0.2">
      <c r="A563" s="51" t="str">
        <f>IFERROR(VLOOKUP(B563,點上線資訊!A:R,18,0),"")</f>
        <v/>
      </c>
      <c r="B563" s="41">
        <f>'MB51'!A563</f>
        <v>0</v>
      </c>
      <c r="C563" s="60" t="str">
        <f>IFERROR(VLOOKUP(B563,'MB51'!A:I,9,0),"")</f>
        <v/>
      </c>
      <c r="D563" s="61" t="str">
        <f>IFERROR(VLOOKUP(B563,'MB51'!A:J,10,0),"")</f>
        <v/>
      </c>
      <c r="E563" s="62" t="str">
        <f>IFERROR(VLOOKUP(B563,'MB51'!A:K,11,0),"")</f>
        <v/>
      </c>
      <c r="F563" s="42" t="str">
        <f>IFERROR(VLOOKUP(B563,'MB51'!A:F,6,0),"")</f>
        <v/>
      </c>
      <c r="G563" s="17" t="str">
        <f t="shared" si="24"/>
        <v>點揀料單</v>
      </c>
      <c r="H563" s="17">
        <f t="shared" si="25"/>
        <v>0</v>
      </c>
      <c r="I563" t="str">
        <f t="shared" si="26"/>
        <v/>
      </c>
      <c r="J563" t="str">
        <f>SUBSTITUTE(IF(COUNTIF(I$2:I563,I563)&gt;1,"",1)," ","")</f>
        <v/>
      </c>
    </row>
    <row r="564" spans="1:10" x14ac:dyDescent="0.2">
      <c r="A564" s="51" t="str">
        <f>IFERROR(VLOOKUP(B564,點上線資訊!A:R,18,0),"")</f>
        <v/>
      </c>
      <c r="B564" s="41">
        <f>'MB51'!A564</f>
        <v>0</v>
      </c>
      <c r="C564" s="60" t="str">
        <f>IFERROR(VLOOKUP(B564,'MB51'!A:I,9,0),"")</f>
        <v/>
      </c>
      <c r="D564" s="61" t="str">
        <f>IFERROR(VLOOKUP(B564,'MB51'!A:J,10,0),"")</f>
        <v/>
      </c>
      <c r="E564" s="62" t="str">
        <f>IFERROR(VLOOKUP(B564,'MB51'!A:K,11,0),"")</f>
        <v/>
      </c>
      <c r="F564" s="42" t="str">
        <f>IFERROR(VLOOKUP(B564,'MB51'!A:F,6,0),"")</f>
        <v/>
      </c>
      <c r="G564" s="17" t="str">
        <f t="shared" si="24"/>
        <v>點揀料單</v>
      </c>
      <c r="H564" s="17">
        <f t="shared" si="25"/>
        <v>0</v>
      </c>
      <c r="I564" t="str">
        <f t="shared" si="26"/>
        <v/>
      </c>
      <c r="J564" t="str">
        <f>SUBSTITUTE(IF(COUNTIF(I$2:I564,I564)&gt;1,"",1)," ","")</f>
        <v/>
      </c>
    </row>
    <row r="565" spans="1:10" x14ac:dyDescent="0.2">
      <c r="A565" s="51" t="str">
        <f>IFERROR(VLOOKUP(B565,點上線資訊!A:R,18,0),"")</f>
        <v/>
      </c>
      <c r="B565" s="41">
        <f>'MB51'!A565</f>
        <v>0</v>
      </c>
      <c r="C565" s="60" t="str">
        <f>IFERROR(VLOOKUP(B565,'MB51'!A:I,9,0),"")</f>
        <v/>
      </c>
      <c r="D565" s="61" t="str">
        <f>IFERROR(VLOOKUP(B565,'MB51'!A:J,10,0),"")</f>
        <v/>
      </c>
      <c r="E565" s="62" t="str">
        <f>IFERROR(VLOOKUP(B565,'MB51'!A:K,11,0),"")</f>
        <v/>
      </c>
      <c r="F565" s="42" t="str">
        <f>IFERROR(VLOOKUP(B565,'MB51'!A:F,6,0),"")</f>
        <v/>
      </c>
      <c r="G565" s="17" t="str">
        <f t="shared" si="24"/>
        <v>點揀料單</v>
      </c>
      <c r="H565" s="17">
        <f t="shared" si="25"/>
        <v>0</v>
      </c>
      <c r="I565" t="str">
        <f t="shared" si="26"/>
        <v/>
      </c>
      <c r="J565" t="str">
        <f>SUBSTITUTE(IF(COUNTIF(I$2:I565,I565)&gt;1,"",1)," ","")</f>
        <v/>
      </c>
    </row>
    <row r="566" spans="1:10" x14ac:dyDescent="0.2">
      <c r="A566" s="51" t="str">
        <f>IFERROR(VLOOKUP(B566,點上線資訊!A:R,18,0),"")</f>
        <v/>
      </c>
      <c r="B566" s="41">
        <f>'MB51'!A566</f>
        <v>0</v>
      </c>
      <c r="C566" s="60" t="str">
        <f>IFERROR(VLOOKUP(B566,'MB51'!A:I,9,0),"")</f>
        <v/>
      </c>
      <c r="D566" s="61" t="str">
        <f>IFERROR(VLOOKUP(B566,'MB51'!A:J,10,0),"")</f>
        <v/>
      </c>
      <c r="E566" s="62" t="str">
        <f>IFERROR(VLOOKUP(B566,'MB51'!A:K,11,0),"")</f>
        <v/>
      </c>
      <c r="F566" s="42" t="str">
        <f>IFERROR(VLOOKUP(B566,'MB51'!A:F,6,0),"")</f>
        <v/>
      </c>
      <c r="G566" s="17" t="str">
        <f t="shared" si="24"/>
        <v>點揀料單</v>
      </c>
      <c r="H566" s="17">
        <f t="shared" si="25"/>
        <v>0</v>
      </c>
      <c r="I566" t="str">
        <f t="shared" si="26"/>
        <v/>
      </c>
      <c r="J566" t="str">
        <f>SUBSTITUTE(IF(COUNTIF(I$2:I566,I566)&gt;1,"",1)," ","")</f>
        <v/>
      </c>
    </row>
    <row r="567" spans="1:10" x14ac:dyDescent="0.2">
      <c r="A567" s="51" t="str">
        <f>IFERROR(VLOOKUP(B567,點上線資訊!A:R,18,0),"")</f>
        <v/>
      </c>
      <c r="B567" s="41">
        <f>'MB51'!A567</f>
        <v>0</v>
      </c>
      <c r="C567" s="60" t="str">
        <f>IFERROR(VLOOKUP(B567,'MB51'!A:I,9,0),"")</f>
        <v/>
      </c>
      <c r="D567" s="61" t="str">
        <f>IFERROR(VLOOKUP(B567,'MB51'!A:J,10,0),"")</f>
        <v/>
      </c>
      <c r="E567" s="62" t="str">
        <f>IFERROR(VLOOKUP(B567,'MB51'!A:K,11,0),"")</f>
        <v/>
      </c>
      <c r="F567" s="42" t="str">
        <f>IFERROR(VLOOKUP(B567,'MB51'!A:F,6,0),"")</f>
        <v/>
      </c>
      <c r="G567" s="17" t="str">
        <f t="shared" si="24"/>
        <v>點揀料單</v>
      </c>
      <c r="H567" s="17">
        <f t="shared" si="25"/>
        <v>0</v>
      </c>
      <c r="I567" t="str">
        <f t="shared" si="26"/>
        <v/>
      </c>
      <c r="J567" t="str">
        <f>SUBSTITUTE(IF(COUNTIF(I$2:I567,I567)&gt;1,"",1)," ","")</f>
        <v/>
      </c>
    </row>
    <row r="568" spans="1:10" x14ac:dyDescent="0.2">
      <c r="A568" s="51" t="str">
        <f>IFERROR(VLOOKUP(B568,點上線資訊!A:R,18,0),"")</f>
        <v/>
      </c>
      <c r="B568" s="41">
        <f>'MB51'!A568</f>
        <v>0</v>
      </c>
      <c r="C568" s="60" t="str">
        <f>IFERROR(VLOOKUP(B568,'MB51'!A:I,9,0),"")</f>
        <v/>
      </c>
      <c r="D568" s="61" t="str">
        <f>IFERROR(VLOOKUP(B568,'MB51'!A:J,10,0),"")</f>
        <v/>
      </c>
      <c r="E568" s="62" t="str">
        <f>IFERROR(VLOOKUP(B568,'MB51'!A:K,11,0),"")</f>
        <v/>
      </c>
      <c r="F568" s="42" t="str">
        <f>IFERROR(VLOOKUP(B568,'MB51'!A:F,6,0),"")</f>
        <v/>
      </c>
      <c r="G568" s="17" t="str">
        <f t="shared" si="24"/>
        <v>點揀料單</v>
      </c>
      <c r="H568" s="17">
        <f t="shared" si="25"/>
        <v>0</v>
      </c>
      <c r="I568" t="str">
        <f t="shared" si="26"/>
        <v/>
      </c>
      <c r="J568" t="str">
        <f>SUBSTITUTE(IF(COUNTIF(I$2:I568,I568)&gt;1,"",1)," ","")</f>
        <v/>
      </c>
    </row>
    <row r="569" spans="1:10" x14ac:dyDescent="0.2">
      <c r="A569" s="51" t="str">
        <f>IFERROR(VLOOKUP(B569,點上線資訊!A:R,18,0),"")</f>
        <v/>
      </c>
      <c r="B569" s="41">
        <f>'MB51'!A569</f>
        <v>0</v>
      </c>
      <c r="C569" s="60" t="str">
        <f>IFERROR(VLOOKUP(B569,'MB51'!A:I,9,0),"")</f>
        <v/>
      </c>
      <c r="D569" s="61" t="str">
        <f>IFERROR(VLOOKUP(B569,'MB51'!A:J,10,0),"")</f>
        <v/>
      </c>
      <c r="E569" s="62" t="str">
        <f>IFERROR(VLOOKUP(B569,'MB51'!A:K,11,0),"")</f>
        <v/>
      </c>
      <c r="F569" s="42" t="str">
        <f>IFERROR(VLOOKUP(B569,'MB51'!A:F,6,0),"")</f>
        <v/>
      </c>
      <c r="G569" s="17" t="str">
        <f t="shared" si="24"/>
        <v>點揀料單</v>
      </c>
      <c r="H569" s="17">
        <f t="shared" si="25"/>
        <v>0</v>
      </c>
      <c r="I569" t="str">
        <f t="shared" si="26"/>
        <v/>
      </c>
      <c r="J569" t="str">
        <f>SUBSTITUTE(IF(COUNTIF(I$2:I569,I569)&gt;1,"",1)," ","")</f>
        <v/>
      </c>
    </row>
    <row r="570" spans="1:10" x14ac:dyDescent="0.2">
      <c r="A570" s="51" t="str">
        <f>IFERROR(VLOOKUP(B570,點上線資訊!A:R,18,0),"")</f>
        <v/>
      </c>
      <c r="B570" s="41">
        <f>'MB51'!A570</f>
        <v>0</v>
      </c>
      <c r="C570" s="60" t="str">
        <f>IFERROR(VLOOKUP(B570,'MB51'!A:I,9,0),"")</f>
        <v/>
      </c>
      <c r="D570" s="61" t="str">
        <f>IFERROR(VLOOKUP(B570,'MB51'!A:J,10,0),"")</f>
        <v/>
      </c>
      <c r="E570" s="62" t="str">
        <f>IFERROR(VLOOKUP(B570,'MB51'!A:K,11,0),"")</f>
        <v/>
      </c>
      <c r="F570" s="42" t="str">
        <f>IFERROR(VLOOKUP(B570,'MB51'!A:F,6,0),"")</f>
        <v/>
      </c>
      <c r="G570" s="17" t="str">
        <f t="shared" si="24"/>
        <v>點揀料單</v>
      </c>
      <c r="H570" s="17">
        <f t="shared" si="25"/>
        <v>0</v>
      </c>
      <c r="I570" t="str">
        <f t="shared" si="26"/>
        <v/>
      </c>
      <c r="J570" t="str">
        <f>SUBSTITUTE(IF(COUNTIF(I$2:I570,I570)&gt;1,"",1)," ","")</f>
        <v/>
      </c>
    </row>
    <row r="571" spans="1:10" x14ac:dyDescent="0.2">
      <c r="A571" s="51" t="str">
        <f>IFERROR(VLOOKUP(B571,點上線資訊!A:R,18,0),"")</f>
        <v/>
      </c>
      <c r="B571" s="41">
        <f>'MB51'!A571</f>
        <v>0</v>
      </c>
      <c r="C571" s="60" t="str">
        <f>IFERROR(VLOOKUP(B571,'MB51'!A:I,9,0),"")</f>
        <v/>
      </c>
      <c r="D571" s="61" t="str">
        <f>IFERROR(VLOOKUP(B571,'MB51'!A:J,10,0),"")</f>
        <v/>
      </c>
      <c r="E571" s="62" t="str">
        <f>IFERROR(VLOOKUP(B571,'MB51'!A:K,11,0),"")</f>
        <v/>
      </c>
      <c r="F571" s="42" t="str">
        <f>IFERROR(VLOOKUP(B571,'MB51'!A:F,6,0),"")</f>
        <v/>
      </c>
      <c r="G571" s="17" t="str">
        <f t="shared" si="24"/>
        <v>點揀料單</v>
      </c>
      <c r="H571" s="17">
        <f t="shared" si="25"/>
        <v>0</v>
      </c>
      <c r="I571" t="str">
        <f t="shared" si="26"/>
        <v/>
      </c>
      <c r="J571" t="str">
        <f>SUBSTITUTE(IF(COUNTIF(I$2:I571,I571)&gt;1,"",1)," ","")</f>
        <v/>
      </c>
    </row>
    <row r="572" spans="1:10" x14ac:dyDescent="0.2">
      <c r="A572" s="51" t="str">
        <f>IFERROR(VLOOKUP(B572,點上線資訊!A:R,18,0),"")</f>
        <v/>
      </c>
      <c r="B572" s="41">
        <f>'MB51'!A572</f>
        <v>0</v>
      </c>
      <c r="C572" s="60" t="str">
        <f>IFERROR(VLOOKUP(B572,'MB51'!A:I,9,0),"")</f>
        <v/>
      </c>
      <c r="D572" s="61" t="str">
        <f>IFERROR(VLOOKUP(B572,'MB51'!A:J,10,0),"")</f>
        <v/>
      </c>
      <c r="E572" s="62" t="str">
        <f>IFERROR(VLOOKUP(B572,'MB51'!A:K,11,0),"")</f>
        <v/>
      </c>
      <c r="F572" s="42" t="str">
        <f>IFERROR(VLOOKUP(B572,'MB51'!A:F,6,0),"")</f>
        <v/>
      </c>
      <c r="G572" s="17" t="str">
        <f t="shared" si="24"/>
        <v>點揀料單</v>
      </c>
      <c r="H572" s="17">
        <f t="shared" si="25"/>
        <v>0</v>
      </c>
      <c r="I572" t="str">
        <f t="shared" si="26"/>
        <v/>
      </c>
      <c r="J572" t="str">
        <f>SUBSTITUTE(IF(COUNTIF(I$2:I572,I572)&gt;1,"",1)," ","")</f>
        <v/>
      </c>
    </row>
    <row r="573" spans="1:10" x14ac:dyDescent="0.2">
      <c r="A573" s="51" t="str">
        <f>IFERROR(VLOOKUP(B573,點上線資訊!A:R,18,0),"")</f>
        <v/>
      </c>
      <c r="B573" s="41">
        <f>'MB51'!A573</f>
        <v>0</v>
      </c>
      <c r="C573" s="60" t="str">
        <f>IFERROR(VLOOKUP(B573,'MB51'!A:I,9,0),"")</f>
        <v/>
      </c>
      <c r="D573" s="61" t="str">
        <f>IFERROR(VLOOKUP(B573,'MB51'!A:J,10,0),"")</f>
        <v/>
      </c>
      <c r="E573" s="62" t="str">
        <f>IFERROR(VLOOKUP(B573,'MB51'!A:K,11,0),"")</f>
        <v/>
      </c>
      <c r="F573" s="42" t="str">
        <f>IFERROR(VLOOKUP(B573,'MB51'!A:F,6,0),"")</f>
        <v/>
      </c>
      <c r="G573" s="17" t="str">
        <f t="shared" si="24"/>
        <v>點揀料單</v>
      </c>
      <c r="H573" s="17">
        <f t="shared" si="25"/>
        <v>0</v>
      </c>
      <c r="I573" t="str">
        <f t="shared" si="26"/>
        <v/>
      </c>
      <c r="J573" t="str">
        <f>SUBSTITUTE(IF(COUNTIF(I$2:I573,I573)&gt;1,"",1)," ","")</f>
        <v/>
      </c>
    </row>
    <row r="574" spans="1:10" x14ac:dyDescent="0.2">
      <c r="A574" s="51" t="str">
        <f>IFERROR(VLOOKUP(B574,點上線資訊!A:R,18,0),"")</f>
        <v/>
      </c>
      <c r="B574" s="41">
        <f>'MB51'!A574</f>
        <v>0</v>
      </c>
      <c r="C574" s="60" t="str">
        <f>IFERROR(VLOOKUP(B574,'MB51'!A:I,9,0),"")</f>
        <v/>
      </c>
      <c r="D574" s="61" t="str">
        <f>IFERROR(VLOOKUP(B574,'MB51'!A:J,10,0),"")</f>
        <v/>
      </c>
      <c r="E574" s="62" t="str">
        <f>IFERROR(VLOOKUP(B574,'MB51'!A:K,11,0),"")</f>
        <v/>
      </c>
      <c r="F574" s="42" t="str">
        <f>IFERROR(VLOOKUP(B574,'MB51'!A:F,6,0),"")</f>
        <v/>
      </c>
      <c r="G574" s="17" t="str">
        <f t="shared" si="24"/>
        <v>點揀料單</v>
      </c>
      <c r="H574" s="17">
        <f t="shared" si="25"/>
        <v>0</v>
      </c>
      <c r="I574" t="str">
        <f t="shared" si="26"/>
        <v/>
      </c>
      <c r="J574" t="str">
        <f>SUBSTITUTE(IF(COUNTIF(I$2:I574,I574)&gt;1,"",1)," ","")</f>
        <v/>
      </c>
    </row>
    <row r="575" spans="1:10" x14ac:dyDescent="0.2">
      <c r="A575" s="51" t="str">
        <f>IFERROR(VLOOKUP(B575,點上線資訊!A:R,18,0),"")</f>
        <v/>
      </c>
      <c r="B575" s="41">
        <f>'MB51'!A575</f>
        <v>0</v>
      </c>
      <c r="C575" s="60" t="str">
        <f>IFERROR(VLOOKUP(B575,'MB51'!A:I,9,0),"")</f>
        <v/>
      </c>
      <c r="D575" s="61" t="str">
        <f>IFERROR(VLOOKUP(B575,'MB51'!A:J,10,0),"")</f>
        <v/>
      </c>
      <c r="E575" s="62" t="str">
        <f>IFERROR(VLOOKUP(B575,'MB51'!A:K,11,0),"")</f>
        <v/>
      </c>
      <c r="F575" s="42" t="str">
        <f>IFERROR(VLOOKUP(B575,'MB51'!A:F,6,0),"")</f>
        <v/>
      </c>
      <c r="G575" s="17" t="str">
        <f t="shared" si="24"/>
        <v>點揀料單</v>
      </c>
      <c r="H575" s="17">
        <f t="shared" si="25"/>
        <v>0</v>
      </c>
      <c r="I575" t="str">
        <f t="shared" si="26"/>
        <v/>
      </c>
      <c r="J575" t="str">
        <f>SUBSTITUTE(IF(COUNTIF(I$2:I575,I575)&gt;1,"",1)," ","")</f>
        <v/>
      </c>
    </row>
    <row r="576" spans="1:10" x14ac:dyDescent="0.2">
      <c r="A576" s="51" t="str">
        <f>IFERROR(VLOOKUP(B576,點上線資訊!A:R,18,0),"")</f>
        <v/>
      </c>
      <c r="B576" s="41">
        <f>'MB51'!A576</f>
        <v>0</v>
      </c>
      <c r="C576" s="60" t="str">
        <f>IFERROR(VLOOKUP(B576,'MB51'!A:I,9,0),"")</f>
        <v/>
      </c>
      <c r="D576" s="61" t="str">
        <f>IFERROR(VLOOKUP(B576,'MB51'!A:J,10,0),"")</f>
        <v/>
      </c>
      <c r="E576" s="62" t="str">
        <f>IFERROR(VLOOKUP(B576,'MB51'!A:K,11,0),"")</f>
        <v/>
      </c>
      <c r="F576" s="42" t="str">
        <f>IFERROR(VLOOKUP(B576,'MB51'!A:F,6,0),"")</f>
        <v/>
      </c>
      <c r="G576" s="17" t="str">
        <f t="shared" si="24"/>
        <v>點揀料單</v>
      </c>
      <c r="H576" s="17">
        <f t="shared" si="25"/>
        <v>0</v>
      </c>
      <c r="I576" t="str">
        <f t="shared" si="26"/>
        <v/>
      </c>
      <c r="J576" t="str">
        <f>SUBSTITUTE(IF(COUNTIF(I$2:I576,I576)&gt;1,"",1)," ","")</f>
        <v/>
      </c>
    </row>
    <row r="577" spans="1:10" x14ac:dyDescent="0.2">
      <c r="A577" s="51" t="str">
        <f>IFERROR(VLOOKUP(B577,點上線資訊!A:R,18,0),"")</f>
        <v/>
      </c>
      <c r="B577" s="41">
        <f>'MB51'!A577</f>
        <v>0</v>
      </c>
      <c r="C577" s="60" t="str">
        <f>IFERROR(VLOOKUP(B577,'MB51'!A:I,9,0),"")</f>
        <v/>
      </c>
      <c r="D577" s="61" t="str">
        <f>IFERROR(VLOOKUP(B577,'MB51'!A:J,10,0),"")</f>
        <v/>
      </c>
      <c r="E577" s="62" t="str">
        <f>IFERROR(VLOOKUP(B577,'MB51'!A:K,11,0),"")</f>
        <v/>
      </c>
      <c r="F577" s="42" t="str">
        <f>IFERROR(VLOOKUP(B577,'MB51'!A:F,6,0),"")</f>
        <v/>
      </c>
      <c r="G577" s="17" t="str">
        <f t="shared" si="24"/>
        <v>點揀料單</v>
      </c>
      <c r="H577" s="17">
        <f t="shared" si="25"/>
        <v>0</v>
      </c>
      <c r="I577" t="str">
        <f t="shared" si="26"/>
        <v/>
      </c>
      <c r="J577" t="str">
        <f>SUBSTITUTE(IF(COUNTIF(I$2:I577,I577)&gt;1,"",1)," ","")</f>
        <v/>
      </c>
    </row>
    <row r="578" spans="1:10" x14ac:dyDescent="0.2">
      <c r="A578" s="51" t="str">
        <f>IFERROR(VLOOKUP(B578,點上線資訊!A:R,18,0),"")</f>
        <v/>
      </c>
      <c r="B578" s="41">
        <f>'MB51'!A578</f>
        <v>0</v>
      </c>
      <c r="C578" s="60" t="str">
        <f>IFERROR(VLOOKUP(B578,'MB51'!A:I,9,0),"")</f>
        <v/>
      </c>
      <c r="D578" s="61" t="str">
        <f>IFERROR(VLOOKUP(B578,'MB51'!A:J,10,0),"")</f>
        <v/>
      </c>
      <c r="E578" s="62" t="str">
        <f>IFERROR(VLOOKUP(B578,'MB51'!A:K,11,0),"")</f>
        <v/>
      </c>
      <c r="F578" s="42" t="str">
        <f>IFERROR(VLOOKUP(B578,'MB51'!A:F,6,0),"")</f>
        <v/>
      </c>
      <c r="G578" s="17" t="str">
        <f t="shared" si="24"/>
        <v>點揀料單</v>
      </c>
      <c r="H578" s="17">
        <f t="shared" si="25"/>
        <v>0</v>
      </c>
      <c r="I578" t="str">
        <f t="shared" si="26"/>
        <v/>
      </c>
      <c r="J578" t="str">
        <f>SUBSTITUTE(IF(COUNTIF(I$2:I578,I578)&gt;1,"",1)," ","")</f>
        <v/>
      </c>
    </row>
    <row r="579" spans="1:10" x14ac:dyDescent="0.2">
      <c r="A579" s="51" t="str">
        <f>IFERROR(VLOOKUP(B579,點上線資訊!A:R,18,0),"")</f>
        <v/>
      </c>
      <c r="B579" s="41">
        <f>'MB51'!A579</f>
        <v>0</v>
      </c>
      <c r="C579" s="60" t="str">
        <f>IFERROR(VLOOKUP(B579,'MB51'!A:I,9,0),"")</f>
        <v/>
      </c>
      <c r="D579" s="61" t="str">
        <f>IFERROR(VLOOKUP(B579,'MB51'!A:J,10,0),"")</f>
        <v/>
      </c>
      <c r="E579" s="62" t="str">
        <f>IFERROR(VLOOKUP(B579,'MB51'!A:K,11,0),"")</f>
        <v/>
      </c>
      <c r="F579" s="42" t="str">
        <f>IFERROR(VLOOKUP(B579,'MB51'!A:F,6,0),"")</f>
        <v/>
      </c>
      <c r="G579" s="17" t="str">
        <f t="shared" ref="G579:G642" si="27">TEXT(D579,"MM/DD")&amp;TEXT(E579,"  HH")&amp;"點揀料單"</f>
        <v>點揀料單</v>
      </c>
      <c r="H579" s="17">
        <f t="shared" ref="H579:H642" si="28">ABS(SUMIF(C:C,C579,F:F))</f>
        <v>0</v>
      </c>
      <c r="I579" t="str">
        <f t="shared" ref="I579:I642" si="29">RIGHTB(C579,10)</f>
        <v/>
      </c>
      <c r="J579" t="str">
        <f>SUBSTITUTE(IF(COUNTIF(I$2:I579,I579)&gt;1,"",1)," ","")</f>
        <v/>
      </c>
    </row>
    <row r="580" spans="1:10" x14ac:dyDescent="0.2">
      <c r="A580" s="51" t="str">
        <f>IFERROR(VLOOKUP(B580,點上線資訊!A:R,18,0),"")</f>
        <v/>
      </c>
      <c r="B580" s="41">
        <f>'MB51'!A580</f>
        <v>0</v>
      </c>
      <c r="C580" s="60" t="str">
        <f>IFERROR(VLOOKUP(B580,'MB51'!A:I,9,0),"")</f>
        <v/>
      </c>
      <c r="D580" s="61" t="str">
        <f>IFERROR(VLOOKUP(B580,'MB51'!A:J,10,0),"")</f>
        <v/>
      </c>
      <c r="E580" s="62" t="str">
        <f>IFERROR(VLOOKUP(B580,'MB51'!A:K,11,0),"")</f>
        <v/>
      </c>
      <c r="F580" s="42" t="str">
        <f>IFERROR(VLOOKUP(B580,'MB51'!A:F,6,0),"")</f>
        <v/>
      </c>
      <c r="G580" s="17" t="str">
        <f t="shared" si="27"/>
        <v>點揀料單</v>
      </c>
      <c r="H580" s="17">
        <f t="shared" si="28"/>
        <v>0</v>
      </c>
      <c r="I580" t="str">
        <f t="shared" si="29"/>
        <v/>
      </c>
      <c r="J580" t="str">
        <f>SUBSTITUTE(IF(COUNTIF(I$2:I580,I580)&gt;1,"",1)," ","")</f>
        <v/>
      </c>
    </row>
    <row r="581" spans="1:10" x14ac:dyDescent="0.2">
      <c r="A581" s="51" t="str">
        <f>IFERROR(VLOOKUP(B581,點上線資訊!A:R,18,0),"")</f>
        <v/>
      </c>
      <c r="B581" s="41">
        <f>'MB51'!A581</f>
        <v>0</v>
      </c>
      <c r="C581" s="60" t="str">
        <f>IFERROR(VLOOKUP(B581,'MB51'!A:I,9,0),"")</f>
        <v/>
      </c>
      <c r="D581" s="61" t="str">
        <f>IFERROR(VLOOKUP(B581,'MB51'!A:J,10,0),"")</f>
        <v/>
      </c>
      <c r="E581" s="62" t="str">
        <f>IFERROR(VLOOKUP(B581,'MB51'!A:K,11,0),"")</f>
        <v/>
      </c>
      <c r="F581" s="42" t="str">
        <f>IFERROR(VLOOKUP(B581,'MB51'!A:F,6,0),"")</f>
        <v/>
      </c>
      <c r="G581" s="17" t="str">
        <f t="shared" si="27"/>
        <v>點揀料單</v>
      </c>
      <c r="H581" s="17">
        <f t="shared" si="28"/>
        <v>0</v>
      </c>
      <c r="I581" t="str">
        <f t="shared" si="29"/>
        <v/>
      </c>
      <c r="J581" t="str">
        <f>SUBSTITUTE(IF(COUNTIF(I$2:I581,I581)&gt;1,"",1)," ","")</f>
        <v/>
      </c>
    </row>
    <row r="582" spans="1:10" x14ac:dyDescent="0.2">
      <c r="A582" s="51" t="str">
        <f>IFERROR(VLOOKUP(B582,點上線資訊!A:R,18,0),"")</f>
        <v/>
      </c>
      <c r="B582" s="41">
        <f>'MB51'!A582</f>
        <v>0</v>
      </c>
      <c r="C582" s="60" t="str">
        <f>IFERROR(VLOOKUP(B582,'MB51'!A:I,9,0),"")</f>
        <v/>
      </c>
      <c r="D582" s="61" t="str">
        <f>IFERROR(VLOOKUP(B582,'MB51'!A:J,10,0),"")</f>
        <v/>
      </c>
      <c r="E582" s="62" t="str">
        <f>IFERROR(VLOOKUP(B582,'MB51'!A:K,11,0),"")</f>
        <v/>
      </c>
      <c r="F582" s="42" t="str">
        <f>IFERROR(VLOOKUP(B582,'MB51'!A:F,6,0),"")</f>
        <v/>
      </c>
      <c r="G582" s="17" t="str">
        <f t="shared" si="27"/>
        <v>點揀料單</v>
      </c>
      <c r="H582" s="17">
        <f t="shared" si="28"/>
        <v>0</v>
      </c>
      <c r="I582" t="str">
        <f t="shared" si="29"/>
        <v/>
      </c>
      <c r="J582" t="str">
        <f>SUBSTITUTE(IF(COUNTIF(I$2:I582,I582)&gt;1,"",1)," ","")</f>
        <v/>
      </c>
    </row>
    <row r="583" spans="1:10" x14ac:dyDescent="0.2">
      <c r="A583" s="51" t="str">
        <f>IFERROR(VLOOKUP(B583,點上線資訊!A:R,18,0),"")</f>
        <v/>
      </c>
      <c r="B583" s="41">
        <f>'MB51'!A583</f>
        <v>0</v>
      </c>
      <c r="C583" s="60" t="str">
        <f>IFERROR(VLOOKUP(B583,'MB51'!A:I,9,0),"")</f>
        <v/>
      </c>
      <c r="D583" s="61" t="str">
        <f>IFERROR(VLOOKUP(B583,'MB51'!A:J,10,0),"")</f>
        <v/>
      </c>
      <c r="E583" s="62" t="str">
        <f>IFERROR(VLOOKUP(B583,'MB51'!A:K,11,0),"")</f>
        <v/>
      </c>
      <c r="F583" s="42" t="str">
        <f>IFERROR(VLOOKUP(B583,'MB51'!A:F,6,0),"")</f>
        <v/>
      </c>
      <c r="G583" s="17" t="str">
        <f t="shared" si="27"/>
        <v>點揀料單</v>
      </c>
      <c r="H583" s="17">
        <f t="shared" si="28"/>
        <v>0</v>
      </c>
      <c r="I583" t="str">
        <f t="shared" si="29"/>
        <v/>
      </c>
      <c r="J583" t="str">
        <f>SUBSTITUTE(IF(COUNTIF(I$2:I583,I583)&gt;1,"",1)," ","")</f>
        <v/>
      </c>
    </row>
    <row r="584" spans="1:10" x14ac:dyDescent="0.2">
      <c r="A584" s="51" t="str">
        <f>IFERROR(VLOOKUP(B584,點上線資訊!A:R,18,0),"")</f>
        <v/>
      </c>
      <c r="B584" s="41">
        <f>'MB51'!A584</f>
        <v>0</v>
      </c>
      <c r="C584" s="60" t="str">
        <f>IFERROR(VLOOKUP(B584,'MB51'!A:I,9,0),"")</f>
        <v/>
      </c>
      <c r="D584" s="61" t="str">
        <f>IFERROR(VLOOKUP(B584,'MB51'!A:J,10,0),"")</f>
        <v/>
      </c>
      <c r="E584" s="62" t="str">
        <f>IFERROR(VLOOKUP(B584,'MB51'!A:K,11,0),"")</f>
        <v/>
      </c>
      <c r="F584" s="42" t="str">
        <f>IFERROR(VLOOKUP(B584,'MB51'!A:F,6,0),"")</f>
        <v/>
      </c>
      <c r="G584" s="17" t="str">
        <f t="shared" si="27"/>
        <v>點揀料單</v>
      </c>
      <c r="H584" s="17">
        <f t="shared" si="28"/>
        <v>0</v>
      </c>
      <c r="I584" t="str">
        <f t="shared" si="29"/>
        <v/>
      </c>
      <c r="J584" t="str">
        <f>SUBSTITUTE(IF(COUNTIF(I$2:I584,I584)&gt;1,"",1)," ","")</f>
        <v/>
      </c>
    </row>
    <row r="585" spans="1:10" x14ac:dyDescent="0.2">
      <c r="A585" s="51" t="str">
        <f>IFERROR(VLOOKUP(B585,點上線資訊!A:R,18,0),"")</f>
        <v/>
      </c>
      <c r="B585" s="41">
        <f>'MB51'!A585</f>
        <v>0</v>
      </c>
      <c r="C585" s="60" t="str">
        <f>IFERROR(VLOOKUP(B585,'MB51'!A:I,9,0),"")</f>
        <v/>
      </c>
      <c r="D585" s="61" t="str">
        <f>IFERROR(VLOOKUP(B585,'MB51'!A:J,10,0),"")</f>
        <v/>
      </c>
      <c r="E585" s="62" t="str">
        <f>IFERROR(VLOOKUP(B585,'MB51'!A:K,11,0),"")</f>
        <v/>
      </c>
      <c r="F585" s="42" t="str">
        <f>IFERROR(VLOOKUP(B585,'MB51'!A:F,6,0),"")</f>
        <v/>
      </c>
      <c r="G585" s="17" t="str">
        <f t="shared" si="27"/>
        <v>點揀料單</v>
      </c>
      <c r="H585" s="17">
        <f t="shared" si="28"/>
        <v>0</v>
      </c>
      <c r="I585" t="str">
        <f t="shared" si="29"/>
        <v/>
      </c>
      <c r="J585" t="str">
        <f>SUBSTITUTE(IF(COUNTIF(I$2:I585,I585)&gt;1,"",1)," ","")</f>
        <v/>
      </c>
    </row>
    <row r="586" spans="1:10" x14ac:dyDescent="0.2">
      <c r="A586" s="51" t="str">
        <f>IFERROR(VLOOKUP(B586,點上線資訊!A:R,18,0),"")</f>
        <v/>
      </c>
      <c r="B586" s="41">
        <f>'MB51'!A586</f>
        <v>0</v>
      </c>
      <c r="C586" s="60" t="str">
        <f>IFERROR(VLOOKUP(B586,'MB51'!A:I,9,0),"")</f>
        <v/>
      </c>
      <c r="D586" s="61" t="str">
        <f>IFERROR(VLOOKUP(B586,'MB51'!A:J,10,0),"")</f>
        <v/>
      </c>
      <c r="E586" s="62" t="str">
        <f>IFERROR(VLOOKUP(B586,'MB51'!A:K,11,0),"")</f>
        <v/>
      </c>
      <c r="F586" s="42" t="str">
        <f>IFERROR(VLOOKUP(B586,'MB51'!A:F,6,0),"")</f>
        <v/>
      </c>
      <c r="G586" s="17" t="str">
        <f t="shared" si="27"/>
        <v>點揀料單</v>
      </c>
      <c r="H586" s="17">
        <f t="shared" si="28"/>
        <v>0</v>
      </c>
      <c r="I586" t="str">
        <f t="shared" si="29"/>
        <v/>
      </c>
      <c r="J586" t="str">
        <f>SUBSTITUTE(IF(COUNTIF(I$2:I586,I586)&gt;1,"",1)," ","")</f>
        <v/>
      </c>
    </row>
    <row r="587" spans="1:10" x14ac:dyDescent="0.2">
      <c r="A587" s="51" t="str">
        <f>IFERROR(VLOOKUP(B587,點上線資訊!A:R,18,0),"")</f>
        <v/>
      </c>
      <c r="B587" s="41">
        <f>'MB51'!A587</f>
        <v>0</v>
      </c>
      <c r="C587" s="60" t="str">
        <f>IFERROR(VLOOKUP(B587,'MB51'!A:I,9,0),"")</f>
        <v/>
      </c>
      <c r="D587" s="61" t="str">
        <f>IFERROR(VLOOKUP(B587,'MB51'!A:J,10,0),"")</f>
        <v/>
      </c>
      <c r="E587" s="62" t="str">
        <f>IFERROR(VLOOKUP(B587,'MB51'!A:K,11,0),"")</f>
        <v/>
      </c>
      <c r="F587" s="42" t="str">
        <f>IFERROR(VLOOKUP(B587,'MB51'!A:F,6,0),"")</f>
        <v/>
      </c>
      <c r="G587" s="17" t="str">
        <f t="shared" si="27"/>
        <v>點揀料單</v>
      </c>
      <c r="H587" s="17">
        <f t="shared" si="28"/>
        <v>0</v>
      </c>
      <c r="I587" t="str">
        <f t="shared" si="29"/>
        <v/>
      </c>
      <c r="J587" t="str">
        <f>SUBSTITUTE(IF(COUNTIF(I$2:I587,I587)&gt;1,"",1)," ","")</f>
        <v/>
      </c>
    </row>
    <row r="588" spans="1:10" x14ac:dyDescent="0.2">
      <c r="A588" s="51" t="str">
        <f>IFERROR(VLOOKUP(B588,點上線資訊!A:R,18,0),"")</f>
        <v/>
      </c>
      <c r="B588" s="41">
        <f>'MB51'!A588</f>
        <v>0</v>
      </c>
      <c r="C588" s="60" t="str">
        <f>IFERROR(VLOOKUP(B588,'MB51'!A:I,9,0),"")</f>
        <v/>
      </c>
      <c r="D588" s="61" t="str">
        <f>IFERROR(VLOOKUP(B588,'MB51'!A:J,10,0),"")</f>
        <v/>
      </c>
      <c r="E588" s="62" t="str">
        <f>IFERROR(VLOOKUP(B588,'MB51'!A:K,11,0),"")</f>
        <v/>
      </c>
      <c r="F588" s="42" t="str">
        <f>IFERROR(VLOOKUP(B588,'MB51'!A:F,6,0),"")</f>
        <v/>
      </c>
      <c r="G588" s="17" t="str">
        <f t="shared" si="27"/>
        <v>點揀料單</v>
      </c>
      <c r="H588" s="17">
        <f t="shared" si="28"/>
        <v>0</v>
      </c>
      <c r="I588" t="str">
        <f t="shared" si="29"/>
        <v/>
      </c>
      <c r="J588" t="str">
        <f>SUBSTITUTE(IF(COUNTIF(I$2:I588,I588)&gt;1,"",1)," ","")</f>
        <v/>
      </c>
    </row>
    <row r="589" spans="1:10" x14ac:dyDescent="0.2">
      <c r="A589" s="51" t="str">
        <f>IFERROR(VLOOKUP(B589,點上線資訊!A:R,18,0),"")</f>
        <v/>
      </c>
      <c r="B589" s="41">
        <f>'MB51'!A589</f>
        <v>0</v>
      </c>
      <c r="C589" s="60" t="str">
        <f>IFERROR(VLOOKUP(B589,'MB51'!A:I,9,0),"")</f>
        <v/>
      </c>
      <c r="D589" s="61" t="str">
        <f>IFERROR(VLOOKUP(B589,'MB51'!A:J,10,0),"")</f>
        <v/>
      </c>
      <c r="E589" s="62" t="str">
        <f>IFERROR(VLOOKUP(B589,'MB51'!A:K,11,0),"")</f>
        <v/>
      </c>
      <c r="F589" s="42" t="str">
        <f>IFERROR(VLOOKUP(B589,'MB51'!A:F,6,0),"")</f>
        <v/>
      </c>
      <c r="G589" s="17" t="str">
        <f t="shared" si="27"/>
        <v>點揀料單</v>
      </c>
      <c r="H589" s="17">
        <f t="shared" si="28"/>
        <v>0</v>
      </c>
      <c r="I589" t="str">
        <f t="shared" si="29"/>
        <v/>
      </c>
      <c r="J589" t="str">
        <f>SUBSTITUTE(IF(COUNTIF(I$2:I589,I589)&gt;1,"",1)," ","")</f>
        <v/>
      </c>
    </row>
    <row r="590" spans="1:10" x14ac:dyDescent="0.2">
      <c r="A590" s="51" t="str">
        <f>IFERROR(VLOOKUP(B590,點上線資訊!A:R,18,0),"")</f>
        <v/>
      </c>
      <c r="B590" s="41">
        <f>'MB51'!A590</f>
        <v>0</v>
      </c>
      <c r="C590" s="60" t="str">
        <f>IFERROR(VLOOKUP(B590,'MB51'!A:I,9,0),"")</f>
        <v/>
      </c>
      <c r="D590" s="61" t="str">
        <f>IFERROR(VLOOKUP(B590,'MB51'!A:J,10,0),"")</f>
        <v/>
      </c>
      <c r="E590" s="62" t="str">
        <f>IFERROR(VLOOKUP(B590,'MB51'!A:K,11,0),"")</f>
        <v/>
      </c>
      <c r="F590" s="42" t="str">
        <f>IFERROR(VLOOKUP(B590,'MB51'!A:F,6,0),"")</f>
        <v/>
      </c>
      <c r="G590" s="17" t="str">
        <f t="shared" si="27"/>
        <v>點揀料單</v>
      </c>
      <c r="H590" s="17">
        <f t="shared" si="28"/>
        <v>0</v>
      </c>
      <c r="I590" t="str">
        <f t="shared" si="29"/>
        <v/>
      </c>
      <c r="J590" t="str">
        <f>SUBSTITUTE(IF(COUNTIF(I$2:I590,I590)&gt;1,"",1)," ","")</f>
        <v/>
      </c>
    </row>
    <row r="591" spans="1:10" x14ac:dyDescent="0.2">
      <c r="A591" s="51" t="str">
        <f>IFERROR(VLOOKUP(B591,點上線資訊!A:R,18,0),"")</f>
        <v/>
      </c>
      <c r="B591" s="41">
        <f>'MB51'!A591</f>
        <v>0</v>
      </c>
      <c r="C591" s="60" t="str">
        <f>IFERROR(VLOOKUP(B591,'MB51'!A:I,9,0),"")</f>
        <v/>
      </c>
      <c r="D591" s="61" t="str">
        <f>IFERROR(VLOOKUP(B591,'MB51'!A:J,10,0),"")</f>
        <v/>
      </c>
      <c r="E591" s="62" t="str">
        <f>IFERROR(VLOOKUP(B591,'MB51'!A:K,11,0),"")</f>
        <v/>
      </c>
      <c r="F591" s="42" t="str">
        <f>IFERROR(VLOOKUP(B591,'MB51'!A:F,6,0),"")</f>
        <v/>
      </c>
      <c r="G591" s="17" t="str">
        <f t="shared" si="27"/>
        <v>點揀料單</v>
      </c>
      <c r="H591" s="17">
        <f t="shared" si="28"/>
        <v>0</v>
      </c>
      <c r="I591" t="str">
        <f t="shared" si="29"/>
        <v/>
      </c>
      <c r="J591" t="str">
        <f>SUBSTITUTE(IF(COUNTIF(I$2:I591,I591)&gt;1,"",1)," ","")</f>
        <v/>
      </c>
    </row>
    <row r="592" spans="1:10" x14ac:dyDescent="0.2">
      <c r="A592" s="51" t="str">
        <f>IFERROR(VLOOKUP(B592,點上線資訊!A:R,18,0),"")</f>
        <v/>
      </c>
      <c r="B592" s="41">
        <f>'MB51'!A592</f>
        <v>0</v>
      </c>
      <c r="C592" s="60" t="str">
        <f>IFERROR(VLOOKUP(B592,'MB51'!A:I,9,0),"")</f>
        <v/>
      </c>
      <c r="D592" s="61" t="str">
        <f>IFERROR(VLOOKUP(B592,'MB51'!A:J,10,0),"")</f>
        <v/>
      </c>
      <c r="E592" s="62" t="str">
        <f>IFERROR(VLOOKUP(B592,'MB51'!A:K,11,0),"")</f>
        <v/>
      </c>
      <c r="F592" s="42" t="str">
        <f>IFERROR(VLOOKUP(B592,'MB51'!A:F,6,0),"")</f>
        <v/>
      </c>
      <c r="G592" s="17" t="str">
        <f t="shared" si="27"/>
        <v>點揀料單</v>
      </c>
      <c r="H592" s="17">
        <f t="shared" si="28"/>
        <v>0</v>
      </c>
      <c r="I592" t="str">
        <f t="shared" si="29"/>
        <v/>
      </c>
      <c r="J592" t="str">
        <f>SUBSTITUTE(IF(COUNTIF(I$2:I592,I592)&gt;1,"",1)," ","")</f>
        <v/>
      </c>
    </row>
    <row r="593" spans="1:10" x14ac:dyDescent="0.2">
      <c r="A593" s="51" t="str">
        <f>IFERROR(VLOOKUP(B593,點上線資訊!A:R,18,0),"")</f>
        <v/>
      </c>
      <c r="B593" s="41">
        <f>'MB51'!A593</f>
        <v>0</v>
      </c>
      <c r="C593" s="60" t="str">
        <f>IFERROR(VLOOKUP(B593,'MB51'!A:I,9,0),"")</f>
        <v/>
      </c>
      <c r="D593" s="61" t="str">
        <f>IFERROR(VLOOKUP(B593,'MB51'!A:J,10,0),"")</f>
        <v/>
      </c>
      <c r="E593" s="62" t="str">
        <f>IFERROR(VLOOKUP(B593,'MB51'!A:K,11,0),"")</f>
        <v/>
      </c>
      <c r="F593" s="42" t="str">
        <f>IFERROR(VLOOKUP(B593,'MB51'!A:F,6,0),"")</f>
        <v/>
      </c>
      <c r="G593" s="17" t="str">
        <f t="shared" si="27"/>
        <v>點揀料單</v>
      </c>
      <c r="H593" s="17">
        <f t="shared" si="28"/>
        <v>0</v>
      </c>
      <c r="I593" t="str">
        <f t="shared" si="29"/>
        <v/>
      </c>
      <c r="J593" t="str">
        <f>SUBSTITUTE(IF(COUNTIF(I$2:I593,I593)&gt;1,"",1)," ","")</f>
        <v/>
      </c>
    </row>
    <row r="594" spans="1:10" x14ac:dyDescent="0.2">
      <c r="A594" s="51" t="str">
        <f>IFERROR(VLOOKUP(B594,點上線資訊!A:R,18,0),"")</f>
        <v/>
      </c>
      <c r="B594" s="41">
        <f>'MB51'!A594</f>
        <v>0</v>
      </c>
      <c r="C594" s="60" t="str">
        <f>IFERROR(VLOOKUP(B594,'MB51'!A:I,9,0),"")</f>
        <v/>
      </c>
      <c r="D594" s="61" t="str">
        <f>IFERROR(VLOOKUP(B594,'MB51'!A:J,10,0),"")</f>
        <v/>
      </c>
      <c r="E594" s="62" t="str">
        <f>IFERROR(VLOOKUP(B594,'MB51'!A:K,11,0),"")</f>
        <v/>
      </c>
      <c r="F594" s="42" t="str">
        <f>IFERROR(VLOOKUP(B594,'MB51'!A:F,6,0),"")</f>
        <v/>
      </c>
      <c r="G594" s="17" t="str">
        <f t="shared" si="27"/>
        <v>點揀料單</v>
      </c>
      <c r="H594" s="17">
        <f t="shared" si="28"/>
        <v>0</v>
      </c>
      <c r="I594" t="str">
        <f t="shared" si="29"/>
        <v/>
      </c>
      <c r="J594" t="str">
        <f>SUBSTITUTE(IF(COUNTIF(I$2:I594,I594)&gt;1,"",1)," ","")</f>
        <v/>
      </c>
    </row>
    <row r="595" spans="1:10" x14ac:dyDescent="0.2">
      <c r="A595" s="51" t="str">
        <f>IFERROR(VLOOKUP(B595,點上線資訊!A:R,18,0),"")</f>
        <v/>
      </c>
      <c r="B595" s="41">
        <f>'MB51'!A595</f>
        <v>0</v>
      </c>
      <c r="C595" s="60" t="str">
        <f>IFERROR(VLOOKUP(B595,'MB51'!A:I,9,0),"")</f>
        <v/>
      </c>
      <c r="D595" s="61" t="str">
        <f>IFERROR(VLOOKUP(B595,'MB51'!A:J,10,0),"")</f>
        <v/>
      </c>
      <c r="E595" s="62" t="str">
        <f>IFERROR(VLOOKUP(B595,'MB51'!A:K,11,0),"")</f>
        <v/>
      </c>
      <c r="F595" s="42" t="str">
        <f>IFERROR(VLOOKUP(B595,'MB51'!A:F,6,0),"")</f>
        <v/>
      </c>
      <c r="G595" s="17" t="str">
        <f t="shared" si="27"/>
        <v>點揀料單</v>
      </c>
      <c r="H595" s="17">
        <f t="shared" si="28"/>
        <v>0</v>
      </c>
      <c r="I595" t="str">
        <f t="shared" si="29"/>
        <v/>
      </c>
      <c r="J595" t="str">
        <f>SUBSTITUTE(IF(COUNTIF(I$2:I595,I595)&gt;1,"",1)," ","")</f>
        <v/>
      </c>
    </row>
    <row r="596" spans="1:10" x14ac:dyDescent="0.2">
      <c r="A596" s="51" t="str">
        <f>IFERROR(VLOOKUP(B596,點上線資訊!A:R,18,0),"")</f>
        <v/>
      </c>
      <c r="B596" s="41">
        <f>'MB51'!A596</f>
        <v>0</v>
      </c>
      <c r="C596" s="60" t="str">
        <f>IFERROR(VLOOKUP(B596,'MB51'!A:I,9,0),"")</f>
        <v/>
      </c>
      <c r="D596" s="61" t="str">
        <f>IFERROR(VLOOKUP(B596,'MB51'!A:J,10,0),"")</f>
        <v/>
      </c>
      <c r="E596" s="62" t="str">
        <f>IFERROR(VLOOKUP(B596,'MB51'!A:K,11,0),"")</f>
        <v/>
      </c>
      <c r="F596" s="42" t="str">
        <f>IFERROR(VLOOKUP(B596,'MB51'!A:F,6,0),"")</f>
        <v/>
      </c>
      <c r="G596" s="17" t="str">
        <f t="shared" si="27"/>
        <v>點揀料單</v>
      </c>
      <c r="H596" s="17">
        <f t="shared" si="28"/>
        <v>0</v>
      </c>
      <c r="I596" t="str">
        <f t="shared" si="29"/>
        <v/>
      </c>
      <c r="J596" t="str">
        <f>SUBSTITUTE(IF(COUNTIF(I$2:I596,I596)&gt;1,"",1)," ","")</f>
        <v/>
      </c>
    </row>
    <row r="597" spans="1:10" x14ac:dyDescent="0.2">
      <c r="A597" s="51" t="str">
        <f>IFERROR(VLOOKUP(B597,點上線資訊!A:R,18,0),"")</f>
        <v/>
      </c>
      <c r="B597" s="41">
        <f>'MB51'!A597</f>
        <v>0</v>
      </c>
      <c r="C597" s="60" t="str">
        <f>IFERROR(VLOOKUP(B597,'MB51'!A:I,9,0),"")</f>
        <v/>
      </c>
      <c r="D597" s="61" t="str">
        <f>IFERROR(VLOOKUP(B597,'MB51'!A:J,10,0),"")</f>
        <v/>
      </c>
      <c r="E597" s="62" t="str">
        <f>IFERROR(VLOOKUP(B597,'MB51'!A:K,11,0),"")</f>
        <v/>
      </c>
      <c r="F597" s="42" t="str">
        <f>IFERROR(VLOOKUP(B597,'MB51'!A:F,6,0),"")</f>
        <v/>
      </c>
      <c r="G597" s="17" t="str">
        <f t="shared" si="27"/>
        <v>點揀料單</v>
      </c>
      <c r="H597" s="17">
        <f t="shared" si="28"/>
        <v>0</v>
      </c>
      <c r="I597" t="str">
        <f t="shared" si="29"/>
        <v/>
      </c>
      <c r="J597" t="str">
        <f>SUBSTITUTE(IF(COUNTIF(I$2:I597,I597)&gt;1,"",1)," ","")</f>
        <v/>
      </c>
    </row>
    <row r="598" spans="1:10" x14ac:dyDescent="0.2">
      <c r="A598" s="51" t="str">
        <f>IFERROR(VLOOKUP(B598,點上線資訊!A:R,18,0),"")</f>
        <v/>
      </c>
      <c r="B598" s="41">
        <f>'MB51'!A598</f>
        <v>0</v>
      </c>
      <c r="C598" s="60" t="str">
        <f>IFERROR(VLOOKUP(B598,'MB51'!A:I,9,0),"")</f>
        <v/>
      </c>
      <c r="D598" s="61" t="str">
        <f>IFERROR(VLOOKUP(B598,'MB51'!A:J,10,0),"")</f>
        <v/>
      </c>
      <c r="E598" s="62" t="str">
        <f>IFERROR(VLOOKUP(B598,'MB51'!A:K,11,0),"")</f>
        <v/>
      </c>
      <c r="F598" s="42" t="str">
        <f>IFERROR(VLOOKUP(B598,'MB51'!A:F,6,0),"")</f>
        <v/>
      </c>
      <c r="G598" s="17" t="str">
        <f t="shared" si="27"/>
        <v>點揀料單</v>
      </c>
      <c r="H598" s="17">
        <f t="shared" si="28"/>
        <v>0</v>
      </c>
      <c r="I598" t="str">
        <f t="shared" si="29"/>
        <v/>
      </c>
      <c r="J598" t="str">
        <f>SUBSTITUTE(IF(COUNTIF(I$2:I598,I598)&gt;1,"",1)," ","")</f>
        <v/>
      </c>
    </row>
    <row r="599" spans="1:10" x14ac:dyDescent="0.2">
      <c r="A599" s="51" t="str">
        <f>IFERROR(VLOOKUP(B599,點上線資訊!A:R,18,0),"")</f>
        <v/>
      </c>
      <c r="B599" s="41">
        <f>'MB51'!A599</f>
        <v>0</v>
      </c>
      <c r="C599" s="60" t="str">
        <f>IFERROR(VLOOKUP(B599,'MB51'!A:I,9,0),"")</f>
        <v/>
      </c>
      <c r="D599" s="61" t="str">
        <f>IFERROR(VLOOKUP(B599,'MB51'!A:J,10,0),"")</f>
        <v/>
      </c>
      <c r="E599" s="62" t="str">
        <f>IFERROR(VLOOKUP(B599,'MB51'!A:K,11,0),"")</f>
        <v/>
      </c>
      <c r="F599" s="42" t="str">
        <f>IFERROR(VLOOKUP(B599,'MB51'!A:F,6,0),"")</f>
        <v/>
      </c>
      <c r="G599" s="17" t="str">
        <f t="shared" si="27"/>
        <v>點揀料單</v>
      </c>
      <c r="H599" s="17">
        <f t="shared" si="28"/>
        <v>0</v>
      </c>
      <c r="I599" t="str">
        <f t="shared" si="29"/>
        <v/>
      </c>
      <c r="J599" t="str">
        <f>SUBSTITUTE(IF(COUNTIF(I$2:I599,I599)&gt;1,"",1)," ","")</f>
        <v/>
      </c>
    </row>
    <row r="600" spans="1:10" x14ac:dyDescent="0.2">
      <c r="A600" s="51" t="str">
        <f>IFERROR(VLOOKUP(B600,點上線資訊!A:R,18,0),"")</f>
        <v/>
      </c>
      <c r="B600" s="41">
        <f>'MB51'!A600</f>
        <v>0</v>
      </c>
      <c r="C600" s="60" t="str">
        <f>IFERROR(VLOOKUP(B600,'MB51'!A:I,9,0),"")</f>
        <v/>
      </c>
      <c r="D600" s="61" t="str">
        <f>IFERROR(VLOOKUP(B600,'MB51'!A:J,10,0),"")</f>
        <v/>
      </c>
      <c r="E600" s="62" t="str">
        <f>IFERROR(VLOOKUP(B600,'MB51'!A:K,11,0),"")</f>
        <v/>
      </c>
      <c r="F600" s="42" t="str">
        <f>IFERROR(VLOOKUP(B600,'MB51'!A:F,6,0),"")</f>
        <v/>
      </c>
      <c r="G600" s="17" t="str">
        <f t="shared" si="27"/>
        <v>點揀料單</v>
      </c>
      <c r="H600" s="17">
        <f t="shared" si="28"/>
        <v>0</v>
      </c>
      <c r="I600" t="str">
        <f t="shared" si="29"/>
        <v/>
      </c>
      <c r="J600" t="str">
        <f>SUBSTITUTE(IF(COUNTIF(I$2:I600,I600)&gt;1,"",1)," ","")</f>
        <v/>
      </c>
    </row>
    <row r="601" spans="1:10" x14ac:dyDescent="0.2">
      <c r="A601" s="51" t="str">
        <f>IFERROR(VLOOKUP(B601,點上線資訊!A:R,18,0),"")</f>
        <v/>
      </c>
      <c r="B601" s="41">
        <f>'MB51'!A601</f>
        <v>0</v>
      </c>
      <c r="C601" s="60" t="str">
        <f>IFERROR(VLOOKUP(B601,'MB51'!A:I,9,0),"")</f>
        <v/>
      </c>
      <c r="D601" s="61" t="str">
        <f>IFERROR(VLOOKUP(B601,'MB51'!A:J,10,0),"")</f>
        <v/>
      </c>
      <c r="E601" s="62" t="str">
        <f>IFERROR(VLOOKUP(B601,'MB51'!A:K,11,0),"")</f>
        <v/>
      </c>
      <c r="F601" s="42" t="str">
        <f>IFERROR(VLOOKUP(B601,'MB51'!A:F,6,0),"")</f>
        <v/>
      </c>
      <c r="G601" s="17" t="str">
        <f t="shared" si="27"/>
        <v>點揀料單</v>
      </c>
      <c r="H601" s="17">
        <f t="shared" si="28"/>
        <v>0</v>
      </c>
      <c r="I601" t="str">
        <f t="shared" si="29"/>
        <v/>
      </c>
      <c r="J601" t="str">
        <f>SUBSTITUTE(IF(COUNTIF(I$2:I601,I601)&gt;1,"",1)," ","")</f>
        <v/>
      </c>
    </row>
    <row r="602" spans="1:10" x14ac:dyDescent="0.2">
      <c r="A602" s="51" t="str">
        <f>IFERROR(VLOOKUP(B602,點上線資訊!A:R,18,0),"")</f>
        <v/>
      </c>
      <c r="B602" s="41">
        <f>'MB51'!A602</f>
        <v>0</v>
      </c>
      <c r="C602" s="60" t="str">
        <f>IFERROR(VLOOKUP(B602,'MB51'!A:I,9,0),"")</f>
        <v/>
      </c>
      <c r="D602" s="61" t="str">
        <f>IFERROR(VLOOKUP(B602,'MB51'!A:J,10,0),"")</f>
        <v/>
      </c>
      <c r="E602" s="62" t="str">
        <f>IFERROR(VLOOKUP(B602,'MB51'!A:K,11,0),"")</f>
        <v/>
      </c>
      <c r="F602" s="42" t="str">
        <f>IFERROR(VLOOKUP(B602,'MB51'!A:F,6,0),"")</f>
        <v/>
      </c>
      <c r="G602" s="17" t="str">
        <f t="shared" si="27"/>
        <v>點揀料單</v>
      </c>
      <c r="H602" s="17">
        <f t="shared" si="28"/>
        <v>0</v>
      </c>
      <c r="I602" t="str">
        <f t="shared" si="29"/>
        <v/>
      </c>
      <c r="J602" t="str">
        <f>SUBSTITUTE(IF(COUNTIF(I$2:I602,I602)&gt;1,"",1)," ","")</f>
        <v/>
      </c>
    </row>
    <row r="603" spans="1:10" x14ac:dyDescent="0.2">
      <c r="A603" s="51" t="str">
        <f>IFERROR(VLOOKUP(B603,點上線資訊!A:R,18,0),"")</f>
        <v/>
      </c>
      <c r="B603" s="41">
        <f>'MB51'!A603</f>
        <v>0</v>
      </c>
      <c r="C603" s="60" t="str">
        <f>IFERROR(VLOOKUP(B603,'MB51'!A:I,9,0),"")</f>
        <v/>
      </c>
      <c r="D603" s="61" t="str">
        <f>IFERROR(VLOOKUP(B603,'MB51'!A:J,10,0),"")</f>
        <v/>
      </c>
      <c r="E603" s="62" t="str">
        <f>IFERROR(VLOOKUP(B603,'MB51'!A:K,11,0),"")</f>
        <v/>
      </c>
      <c r="F603" s="42" t="str">
        <f>IFERROR(VLOOKUP(B603,'MB51'!A:F,6,0),"")</f>
        <v/>
      </c>
      <c r="G603" s="17" t="str">
        <f t="shared" si="27"/>
        <v>點揀料單</v>
      </c>
      <c r="H603" s="17">
        <f t="shared" si="28"/>
        <v>0</v>
      </c>
      <c r="I603" t="str">
        <f t="shared" si="29"/>
        <v/>
      </c>
      <c r="J603" t="str">
        <f>SUBSTITUTE(IF(COUNTIF(I$2:I603,I603)&gt;1,"",1)," ","")</f>
        <v/>
      </c>
    </row>
    <row r="604" spans="1:10" x14ac:dyDescent="0.2">
      <c r="A604" s="51" t="str">
        <f>IFERROR(VLOOKUP(B604,點上線資訊!A:R,18,0),"")</f>
        <v/>
      </c>
      <c r="B604" s="41">
        <f>'MB51'!A604</f>
        <v>0</v>
      </c>
      <c r="C604" s="60" t="str">
        <f>IFERROR(VLOOKUP(B604,'MB51'!A:I,9,0),"")</f>
        <v/>
      </c>
      <c r="D604" s="61" t="str">
        <f>IFERROR(VLOOKUP(B604,'MB51'!A:J,10,0),"")</f>
        <v/>
      </c>
      <c r="E604" s="62" t="str">
        <f>IFERROR(VLOOKUP(B604,'MB51'!A:K,11,0),"")</f>
        <v/>
      </c>
      <c r="F604" s="42" t="str">
        <f>IFERROR(VLOOKUP(B604,'MB51'!A:F,6,0),"")</f>
        <v/>
      </c>
      <c r="G604" s="17" t="str">
        <f t="shared" si="27"/>
        <v>點揀料單</v>
      </c>
      <c r="H604" s="17">
        <f t="shared" si="28"/>
        <v>0</v>
      </c>
      <c r="I604" t="str">
        <f t="shared" si="29"/>
        <v/>
      </c>
      <c r="J604" t="str">
        <f>SUBSTITUTE(IF(COUNTIF(I$2:I604,I604)&gt;1,"",1)," ","")</f>
        <v/>
      </c>
    </row>
    <row r="605" spans="1:10" x14ac:dyDescent="0.2">
      <c r="A605" s="51" t="str">
        <f>IFERROR(VLOOKUP(B605,點上線資訊!A:R,18,0),"")</f>
        <v/>
      </c>
      <c r="B605" s="41">
        <f>'MB51'!A605</f>
        <v>0</v>
      </c>
      <c r="C605" s="60" t="str">
        <f>IFERROR(VLOOKUP(B605,'MB51'!A:I,9,0),"")</f>
        <v/>
      </c>
      <c r="D605" s="61" t="str">
        <f>IFERROR(VLOOKUP(B605,'MB51'!A:J,10,0),"")</f>
        <v/>
      </c>
      <c r="E605" s="62" t="str">
        <f>IFERROR(VLOOKUP(B605,'MB51'!A:K,11,0),"")</f>
        <v/>
      </c>
      <c r="F605" s="42" t="str">
        <f>IFERROR(VLOOKUP(B605,'MB51'!A:F,6,0),"")</f>
        <v/>
      </c>
      <c r="G605" s="17" t="str">
        <f t="shared" si="27"/>
        <v>點揀料單</v>
      </c>
      <c r="H605" s="17">
        <f t="shared" si="28"/>
        <v>0</v>
      </c>
      <c r="I605" t="str">
        <f t="shared" si="29"/>
        <v/>
      </c>
      <c r="J605" t="str">
        <f>SUBSTITUTE(IF(COUNTIF(I$2:I605,I605)&gt;1,"",1)," ","")</f>
        <v/>
      </c>
    </row>
    <row r="606" spans="1:10" x14ac:dyDescent="0.2">
      <c r="A606" s="51" t="str">
        <f>IFERROR(VLOOKUP(B606,點上線資訊!A:R,18,0),"")</f>
        <v/>
      </c>
      <c r="B606" s="41">
        <f>'MB51'!A606</f>
        <v>0</v>
      </c>
      <c r="C606" s="60" t="str">
        <f>IFERROR(VLOOKUP(B606,'MB51'!A:I,9,0),"")</f>
        <v/>
      </c>
      <c r="D606" s="61" t="str">
        <f>IFERROR(VLOOKUP(B606,'MB51'!A:J,10,0),"")</f>
        <v/>
      </c>
      <c r="E606" s="62" t="str">
        <f>IFERROR(VLOOKUP(B606,'MB51'!A:K,11,0),"")</f>
        <v/>
      </c>
      <c r="F606" s="42" t="str">
        <f>IFERROR(VLOOKUP(B606,'MB51'!A:F,6,0),"")</f>
        <v/>
      </c>
      <c r="G606" s="17" t="str">
        <f t="shared" si="27"/>
        <v>點揀料單</v>
      </c>
      <c r="H606" s="17">
        <f t="shared" si="28"/>
        <v>0</v>
      </c>
      <c r="I606" t="str">
        <f t="shared" si="29"/>
        <v/>
      </c>
      <c r="J606" t="str">
        <f>SUBSTITUTE(IF(COUNTIF(I$2:I606,I606)&gt;1,"",1)," ","")</f>
        <v/>
      </c>
    </row>
    <row r="607" spans="1:10" x14ac:dyDescent="0.2">
      <c r="A607" s="51" t="str">
        <f>IFERROR(VLOOKUP(B607,點上線資訊!A:R,18,0),"")</f>
        <v/>
      </c>
      <c r="B607" s="41">
        <f>'MB51'!A607</f>
        <v>0</v>
      </c>
      <c r="C607" s="60" t="str">
        <f>IFERROR(VLOOKUP(B607,'MB51'!A:I,9,0),"")</f>
        <v/>
      </c>
      <c r="D607" s="61" t="str">
        <f>IFERROR(VLOOKUP(B607,'MB51'!A:J,10,0),"")</f>
        <v/>
      </c>
      <c r="E607" s="62" t="str">
        <f>IFERROR(VLOOKUP(B607,'MB51'!A:K,11,0),"")</f>
        <v/>
      </c>
      <c r="F607" s="42" t="str">
        <f>IFERROR(VLOOKUP(B607,'MB51'!A:F,6,0),"")</f>
        <v/>
      </c>
      <c r="G607" s="17" t="str">
        <f t="shared" si="27"/>
        <v>點揀料單</v>
      </c>
      <c r="H607" s="17">
        <f t="shared" si="28"/>
        <v>0</v>
      </c>
      <c r="I607" t="str">
        <f t="shared" si="29"/>
        <v/>
      </c>
      <c r="J607" t="str">
        <f>SUBSTITUTE(IF(COUNTIF(I$2:I607,I607)&gt;1,"",1)," ","")</f>
        <v/>
      </c>
    </row>
    <row r="608" spans="1:10" x14ac:dyDescent="0.2">
      <c r="A608" s="51" t="str">
        <f>IFERROR(VLOOKUP(B608,點上線資訊!A:R,18,0),"")</f>
        <v/>
      </c>
      <c r="B608" s="41">
        <f>'MB51'!A608</f>
        <v>0</v>
      </c>
      <c r="C608" s="60" t="str">
        <f>IFERROR(VLOOKUP(B608,'MB51'!A:I,9,0),"")</f>
        <v/>
      </c>
      <c r="D608" s="61" t="str">
        <f>IFERROR(VLOOKUP(B608,'MB51'!A:J,10,0),"")</f>
        <v/>
      </c>
      <c r="E608" s="62" t="str">
        <f>IFERROR(VLOOKUP(B608,'MB51'!A:K,11,0),"")</f>
        <v/>
      </c>
      <c r="F608" s="42" t="str">
        <f>IFERROR(VLOOKUP(B608,'MB51'!A:F,6,0),"")</f>
        <v/>
      </c>
      <c r="G608" s="17" t="str">
        <f t="shared" si="27"/>
        <v>點揀料單</v>
      </c>
      <c r="H608" s="17">
        <f t="shared" si="28"/>
        <v>0</v>
      </c>
      <c r="I608" t="str">
        <f t="shared" si="29"/>
        <v/>
      </c>
      <c r="J608" t="str">
        <f>SUBSTITUTE(IF(COUNTIF(I$2:I608,I608)&gt;1,"",1)," ","")</f>
        <v/>
      </c>
    </row>
    <row r="609" spans="1:10" x14ac:dyDescent="0.2">
      <c r="A609" s="51" t="str">
        <f>IFERROR(VLOOKUP(B609,點上線資訊!A:R,18,0),"")</f>
        <v/>
      </c>
      <c r="B609" s="41">
        <f>'MB51'!A609</f>
        <v>0</v>
      </c>
      <c r="C609" s="60" t="str">
        <f>IFERROR(VLOOKUP(B609,'MB51'!A:I,9,0),"")</f>
        <v/>
      </c>
      <c r="D609" s="61" t="str">
        <f>IFERROR(VLOOKUP(B609,'MB51'!A:J,10,0),"")</f>
        <v/>
      </c>
      <c r="E609" s="62" t="str">
        <f>IFERROR(VLOOKUP(B609,'MB51'!A:K,11,0),"")</f>
        <v/>
      </c>
      <c r="F609" s="42" t="str">
        <f>IFERROR(VLOOKUP(B609,'MB51'!A:F,6,0),"")</f>
        <v/>
      </c>
      <c r="G609" s="17" t="str">
        <f t="shared" si="27"/>
        <v>點揀料單</v>
      </c>
      <c r="H609" s="17">
        <f t="shared" si="28"/>
        <v>0</v>
      </c>
      <c r="I609" t="str">
        <f t="shared" si="29"/>
        <v/>
      </c>
      <c r="J609" t="str">
        <f>SUBSTITUTE(IF(COUNTIF(I$2:I609,I609)&gt;1,"",1)," ","")</f>
        <v/>
      </c>
    </row>
    <row r="610" spans="1:10" x14ac:dyDescent="0.2">
      <c r="A610" s="51" t="str">
        <f>IFERROR(VLOOKUP(B610,點上線資訊!A:R,18,0),"")</f>
        <v/>
      </c>
      <c r="B610" s="41">
        <f>'MB51'!A610</f>
        <v>0</v>
      </c>
      <c r="C610" s="60" t="str">
        <f>IFERROR(VLOOKUP(B610,'MB51'!A:I,9,0),"")</f>
        <v/>
      </c>
      <c r="D610" s="61" t="str">
        <f>IFERROR(VLOOKUP(B610,'MB51'!A:J,10,0),"")</f>
        <v/>
      </c>
      <c r="E610" s="62" t="str">
        <f>IFERROR(VLOOKUP(B610,'MB51'!A:K,11,0),"")</f>
        <v/>
      </c>
      <c r="F610" s="42" t="str">
        <f>IFERROR(VLOOKUP(B610,'MB51'!A:F,6,0),"")</f>
        <v/>
      </c>
      <c r="G610" s="17" t="str">
        <f t="shared" si="27"/>
        <v>點揀料單</v>
      </c>
      <c r="H610" s="17">
        <f t="shared" si="28"/>
        <v>0</v>
      </c>
      <c r="I610" t="str">
        <f t="shared" si="29"/>
        <v/>
      </c>
      <c r="J610" t="str">
        <f>SUBSTITUTE(IF(COUNTIF(I$2:I610,I610)&gt;1,"",1)," ","")</f>
        <v/>
      </c>
    </row>
    <row r="611" spans="1:10" x14ac:dyDescent="0.2">
      <c r="A611" s="51" t="str">
        <f>IFERROR(VLOOKUP(B611,點上線資訊!A:R,18,0),"")</f>
        <v/>
      </c>
      <c r="B611" s="41">
        <f>'MB51'!A611</f>
        <v>0</v>
      </c>
      <c r="C611" s="60" t="str">
        <f>IFERROR(VLOOKUP(B611,'MB51'!A:I,9,0),"")</f>
        <v/>
      </c>
      <c r="D611" s="61" t="str">
        <f>IFERROR(VLOOKUP(B611,'MB51'!A:J,10,0),"")</f>
        <v/>
      </c>
      <c r="E611" s="62" t="str">
        <f>IFERROR(VLOOKUP(B611,'MB51'!A:K,11,0),"")</f>
        <v/>
      </c>
      <c r="F611" s="42" t="str">
        <f>IFERROR(VLOOKUP(B611,'MB51'!A:F,6,0),"")</f>
        <v/>
      </c>
      <c r="G611" s="17" t="str">
        <f t="shared" si="27"/>
        <v>點揀料單</v>
      </c>
      <c r="H611" s="17">
        <f t="shared" si="28"/>
        <v>0</v>
      </c>
      <c r="I611" t="str">
        <f t="shared" si="29"/>
        <v/>
      </c>
      <c r="J611" t="str">
        <f>SUBSTITUTE(IF(COUNTIF(I$2:I611,I611)&gt;1,"",1)," ","")</f>
        <v/>
      </c>
    </row>
    <row r="612" spans="1:10" x14ac:dyDescent="0.2">
      <c r="A612" s="51" t="str">
        <f>IFERROR(VLOOKUP(B612,點上線資訊!A:R,18,0),"")</f>
        <v/>
      </c>
      <c r="B612" s="41">
        <f>'MB51'!A612</f>
        <v>0</v>
      </c>
      <c r="C612" s="60" t="str">
        <f>IFERROR(VLOOKUP(B612,'MB51'!A:I,9,0),"")</f>
        <v/>
      </c>
      <c r="D612" s="61" t="str">
        <f>IFERROR(VLOOKUP(B612,'MB51'!A:J,10,0),"")</f>
        <v/>
      </c>
      <c r="E612" s="62" t="str">
        <f>IFERROR(VLOOKUP(B612,'MB51'!A:K,11,0),"")</f>
        <v/>
      </c>
      <c r="F612" s="42" t="str">
        <f>IFERROR(VLOOKUP(B612,'MB51'!A:F,6,0),"")</f>
        <v/>
      </c>
      <c r="G612" s="17" t="str">
        <f t="shared" si="27"/>
        <v>點揀料單</v>
      </c>
      <c r="H612" s="17">
        <f t="shared" si="28"/>
        <v>0</v>
      </c>
      <c r="I612" t="str">
        <f t="shared" si="29"/>
        <v/>
      </c>
      <c r="J612" t="str">
        <f>SUBSTITUTE(IF(COUNTIF(I$2:I612,I612)&gt;1,"",1)," ","")</f>
        <v/>
      </c>
    </row>
    <row r="613" spans="1:10" x14ac:dyDescent="0.2">
      <c r="A613" s="51" t="str">
        <f>IFERROR(VLOOKUP(B613,點上線資訊!A:R,18,0),"")</f>
        <v/>
      </c>
      <c r="B613" s="41">
        <f>'MB51'!A613</f>
        <v>0</v>
      </c>
      <c r="C613" s="60" t="str">
        <f>IFERROR(VLOOKUP(B613,'MB51'!A:I,9,0),"")</f>
        <v/>
      </c>
      <c r="D613" s="61" t="str">
        <f>IFERROR(VLOOKUP(B613,'MB51'!A:J,10,0),"")</f>
        <v/>
      </c>
      <c r="E613" s="62" t="str">
        <f>IFERROR(VLOOKUP(B613,'MB51'!A:K,11,0),"")</f>
        <v/>
      </c>
      <c r="F613" s="42" t="str">
        <f>IFERROR(VLOOKUP(B613,'MB51'!A:F,6,0),"")</f>
        <v/>
      </c>
      <c r="G613" s="17" t="str">
        <f t="shared" si="27"/>
        <v>點揀料單</v>
      </c>
      <c r="H613" s="17">
        <f t="shared" si="28"/>
        <v>0</v>
      </c>
      <c r="I613" t="str">
        <f t="shared" si="29"/>
        <v/>
      </c>
      <c r="J613" t="str">
        <f>SUBSTITUTE(IF(COUNTIF(I$2:I613,I613)&gt;1,"",1)," ","")</f>
        <v/>
      </c>
    </row>
    <row r="614" spans="1:10" x14ac:dyDescent="0.2">
      <c r="A614" s="51" t="str">
        <f>IFERROR(VLOOKUP(B614,點上線資訊!A:R,18,0),"")</f>
        <v/>
      </c>
      <c r="B614" s="41">
        <f>'MB51'!A614</f>
        <v>0</v>
      </c>
      <c r="C614" s="60" t="str">
        <f>IFERROR(VLOOKUP(B614,'MB51'!A:I,9,0),"")</f>
        <v/>
      </c>
      <c r="D614" s="61" t="str">
        <f>IFERROR(VLOOKUP(B614,'MB51'!A:J,10,0),"")</f>
        <v/>
      </c>
      <c r="E614" s="62" t="str">
        <f>IFERROR(VLOOKUP(B614,'MB51'!A:K,11,0),"")</f>
        <v/>
      </c>
      <c r="F614" s="42" t="str">
        <f>IFERROR(VLOOKUP(B614,'MB51'!A:F,6,0),"")</f>
        <v/>
      </c>
      <c r="G614" s="17" t="str">
        <f t="shared" si="27"/>
        <v>點揀料單</v>
      </c>
      <c r="H614" s="17">
        <f t="shared" si="28"/>
        <v>0</v>
      </c>
      <c r="I614" t="str">
        <f t="shared" si="29"/>
        <v/>
      </c>
      <c r="J614" t="str">
        <f>SUBSTITUTE(IF(COUNTIF(I$2:I614,I614)&gt;1,"",1)," ","")</f>
        <v/>
      </c>
    </row>
    <row r="615" spans="1:10" x14ac:dyDescent="0.2">
      <c r="A615" s="51" t="str">
        <f>IFERROR(VLOOKUP(B615,點上線資訊!A:R,18,0),"")</f>
        <v/>
      </c>
      <c r="B615" s="41">
        <f>'MB51'!A615</f>
        <v>0</v>
      </c>
      <c r="C615" s="60" t="str">
        <f>IFERROR(VLOOKUP(B615,'MB51'!A:I,9,0),"")</f>
        <v/>
      </c>
      <c r="D615" s="61" t="str">
        <f>IFERROR(VLOOKUP(B615,'MB51'!A:J,10,0),"")</f>
        <v/>
      </c>
      <c r="E615" s="62" t="str">
        <f>IFERROR(VLOOKUP(B615,'MB51'!A:K,11,0),"")</f>
        <v/>
      </c>
      <c r="F615" s="42" t="str">
        <f>IFERROR(VLOOKUP(B615,'MB51'!A:F,6,0),"")</f>
        <v/>
      </c>
      <c r="G615" s="17" t="str">
        <f t="shared" si="27"/>
        <v>點揀料單</v>
      </c>
      <c r="H615" s="17">
        <f t="shared" si="28"/>
        <v>0</v>
      </c>
      <c r="I615" t="str">
        <f t="shared" si="29"/>
        <v/>
      </c>
      <c r="J615" t="str">
        <f>SUBSTITUTE(IF(COUNTIF(I$2:I615,I615)&gt;1,"",1)," ","")</f>
        <v/>
      </c>
    </row>
    <row r="616" spans="1:10" x14ac:dyDescent="0.2">
      <c r="A616" s="51" t="str">
        <f>IFERROR(VLOOKUP(B616,點上線資訊!A:R,18,0),"")</f>
        <v/>
      </c>
      <c r="B616" s="41">
        <f>'MB51'!A616</f>
        <v>0</v>
      </c>
      <c r="C616" s="60" t="str">
        <f>IFERROR(VLOOKUP(B616,'MB51'!A:I,9,0),"")</f>
        <v/>
      </c>
      <c r="D616" s="61" t="str">
        <f>IFERROR(VLOOKUP(B616,'MB51'!A:J,10,0),"")</f>
        <v/>
      </c>
      <c r="E616" s="62" t="str">
        <f>IFERROR(VLOOKUP(B616,'MB51'!A:K,11,0),"")</f>
        <v/>
      </c>
      <c r="F616" s="42" t="str">
        <f>IFERROR(VLOOKUP(B616,'MB51'!A:F,6,0),"")</f>
        <v/>
      </c>
      <c r="G616" s="17" t="str">
        <f t="shared" si="27"/>
        <v>點揀料單</v>
      </c>
      <c r="H616" s="17">
        <f t="shared" si="28"/>
        <v>0</v>
      </c>
      <c r="I616" t="str">
        <f t="shared" si="29"/>
        <v/>
      </c>
      <c r="J616" t="str">
        <f>SUBSTITUTE(IF(COUNTIF(I$2:I616,I616)&gt;1,"",1)," ","")</f>
        <v/>
      </c>
    </row>
    <row r="617" spans="1:10" x14ac:dyDescent="0.2">
      <c r="A617" s="51" t="str">
        <f>IFERROR(VLOOKUP(B617,點上線資訊!A:R,18,0),"")</f>
        <v/>
      </c>
      <c r="B617" s="41">
        <f>'MB51'!A617</f>
        <v>0</v>
      </c>
      <c r="C617" s="60" t="str">
        <f>IFERROR(VLOOKUP(B617,'MB51'!A:I,9,0),"")</f>
        <v/>
      </c>
      <c r="D617" s="61" t="str">
        <f>IFERROR(VLOOKUP(B617,'MB51'!A:J,10,0),"")</f>
        <v/>
      </c>
      <c r="E617" s="62" t="str">
        <f>IFERROR(VLOOKUP(B617,'MB51'!A:K,11,0),"")</f>
        <v/>
      </c>
      <c r="F617" s="42" t="str">
        <f>IFERROR(VLOOKUP(B617,'MB51'!A:F,6,0),"")</f>
        <v/>
      </c>
      <c r="G617" s="17" t="str">
        <f t="shared" si="27"/>
        <v>點揀料單</v>
      </c>
      <c r="H617" s="17">
        <f t="shared" si="28"/>
        <v>0</v>
      </c>
      <c r="I617" t="str">
        <f t="shared" si="29"/>
        <v/>
      </c>
      <c r="J617" t="str">
        <f>SUBSTITUTE(IF(COUNTIF(I$2:I617,I617)&gt;1,"",1)," ","")</f>
        <v/>
      </c>
    </row>
    <row r="618" spans="1:10" x14ac:dyDescent="0.2">
      <c r="A618" s="51" t="str">
        <f>IFERROR(VLOOKUP(B618,點上線資訊!A:R,18,0),"")</f>
        <v/>
      </c>
      <c r="B618" s="41">
        <f>'MB51'!A618</f>
        <v>0</v>
      </c>
      <c r="C618" s="60" t="str">
        <f>IFERROR(VLOOKUP(B618,'MB51'!A:I,9,0),"")</f>
        <v/>
      </c>
      <c r="D618" s="61" t="str">
        <f>IFERROR(VLOOKUP(B618,'MB51'!A:J,10,0),"")</f>
        <v/>
      </c>
      <c r="E618" s="62" t="str">
        <f>IFERROR(VLOOKUP(B618,'MB51'!A:K,11,0),"")</f>
        <v/>
      </c>
      <c r="F618" s="42" t="str">
        <f>IFERROR(VLOOKUP(B618,'MB51'!A:F,6,0),"")</f>
        <v/>
      </c>
      <c r="G618" s="17" t="str">
        <f t="shared" si="27"/>
        <v>點揀料單</v>
      </c>
      <c r="H618" s="17">
        <f t="shared" si="28"/>
        <v>0</v>
      </c>
      <c r="I618" t="str">
        <f t="shared" si="29"/>
        <v/>
      </c>
      <c r="J618" t="str">
        <f>SUBSTITUTE(IF(COUNTIF(I$2:I618,I618)&gt;1,"",1)," ","")</f>
        <v/>
      </c>
    </row>
    <row r="619" spans="1:10" x14ac:dyDescent="0.2">
      <c r="A619" s="51" t="str">
        <f>IFERROR(VLOOKUP(B619,點上線資訊!A:R,18,0),"")</f>
        <v/>
      </c>
      <c r="B619" s="41">
        <f>'MB51'!A619</f>
        <v>0</v>
      </c>
      <c r="C619" s="60" t="str">
        <f>IFERROR(VLOOKUP(B619,'MB51'!A:I,9,0),"")</f>
        <v/>
      </c>
      <c r="D619" s="61" t="str">
        <f>IFERROR(VLOOKUP(B619,'MB51'!A:J,10,0),"")</f>
        <v/>
      </c>
      <c r="E619" s="62" t="str">
        <f>IFERROR(VLOOKUP(B619,'MB51'!A:K,11,0),"")</f>
        <v/>
      </c>
      <c r="F619" s="42" t="str">
        <f>IFERROR(VLOOKUP(B619,'MB51'!A:F,6,0),"")</f>
        <v/>
      </c>
      <c r="G619" s="17" t="str">
        <f t="shared" si="27"/>
        <v>點揀料單</v>
      </c>
      <c r="H619" s="17">
        <f t="shared" si="28"/>
        <v>0</v>
      </c>
      <c r="I619" t="str">
        <f t="shared" si="29"/>
        <v/>
      </c>
      <c r="J619" t="str">
        <f>SUBSTITUTE(IF(COUNTIF(I$2:I619,I619)&gt;1,"",1)," ","")</f>
        <v/>
      </c>
    </row>
    <row r="620" spans="1:10" x14ac:dyDescent="0.2">
      <c r="A620" s="51" t="str">
        <f>IFERROR(VLOOKUP(B620,點上線資訊!A:R,18,0),"")</f>
        <v/>
      </c>
      <c r="B620" s="41">
        <f>'MB51'!A620</f>
        <v>0</v>
      </c>
      <c r="C620" s="60" t="str">
        <f>IFERROR(VLOOKUP(B620,'MB51'!A:I,9,0),"")</f>
        <v/>
      </c>
      <c r="D620" s="61" t="str">
        <f>IFERROR(VLOOKUP(B620,'MB51'!A:J,10,0),"")</f>
        <v/>
      </c>
      <c r="E620" s="62" t="str">
        <f>IFERROR(VLOOKUP(B620,'MB51'!A:K,11,0),"")</f>
        <v/>
      </c>
      <c r="F620" s="42" t="str">
        <f>IFERROR(VLOOKUP(B620,'MB51'!A:F,6,0),"")</f>
        <v/>
      </c>
      <c r="G620" s="17" t="str">
        <f t="shared" si="27"/>
        <v>點揀料單</v>
      </c>
      <c r="H620" s="17">
        <f t="shared" si="28"/>
        <v>0</v>
      </c>
      <c r="I620" t="str">
        <f t="shared" si="29"/>
        <v/>
      </c>
      <c r="J620" t="str">
        <f>SUBSTITUTE(IF(COUNTIF(I$2:I620,I620)&gt;1,"",1)," ","")</f>
        <v/>
      </c>
    </row>
    <row r="621" spans="1:10" x14ac:dyDescent="0.2">
      <c r="A621" s="51" t="str">
        <f>IFERROR(VLOOKUP(B621,點上線資訊!A:R,18,0),"")</f>
        <v/>
      </c>
      <c r="B621" s="41">
        <f>'MB51'!A621</f>
        <v>0</v>
      </c>
      <c r="C621" s="60" t="str">
        <f>IFERROR(VLOOKUP(B621,'MB51'!A:I,9,0),"")</f>
        <v/>
      </c>
      <c r="D621" s="61" t="str">
        <f>IFERROR(VLOOKUP(B621,'MB51'!A:J,10,0),"")</f>
        <v/>
      </c>
      <c r="E621" s="62" t="str">
        <f>IFERROR(VLOOKUP(B621,'MB51'!A:K,11,0),"")</f>
        <v/>
      </c>
      <c r="F621" s="42" t="str">
        <f>IFERROR(VLOOKUP(B621,'MB51'!A:F,6,0),"")</f>
        <v/>
      </c>
      <c r="G621" s="17" t="str">
        <f t="shared" si="27"/>
        <v>點揀料單</v>
      </c>
      <c r="H621" s="17">
        <f t="shared" si="28"/>
        <v>0</v>
      </c>
      <c r="I621" t="str">
        <f t="shared" si="29"/>
        <v/>
      </c>
      <c r="J621" t="str">
        <f>SUBSTITUTE(IF(COUNTIF(I$2:I621,I621)&gt;1,"",1)," ","")</f>
        <v/>
      </c>
    </row>
    <row r="622" spans="1:10" x14ac:dyDescent="0.2">
      <c r="A622" s="51" t="str">
        <f>IFERROR(VLOOKUP(B622,點上線資訊!A:R,18,0),"")</f>
        <v/>
      </c>
      <c r="B622" s="41">
        <f>'MB51'!A622</f>
        <v>0</v>
      </c>
      <c r="C622" s="60" t="str">
        <f>IFERROR(VLOOKUP(B622,'MB51'!A:I,9,0),"")</f>
        <v/>
      </c>
      <c r="D622" s="61" t="str">
        <f>IFERROR(VLOOKUP(B622,'MB51'!A:J,10,0),"")</f>
        <v/>
      </c>
      <c r="E622" s="62" t="str">
        <f>IFERROR(VLOOKUP(B622,'MB51'!A:K,11,0),"")</f>
        <v/>
      </c>
      <c r="F622" s="42" t="str">
        <f>IFERROR(VLOOKUP(B622,'MB51'!A:F,6,0),"")</f>
        <v/>
      </c>
      <c r="G622" s="17" t="str">
        <f t="shared" si="27"/>
        <v>點揀料單</v>
      </c>
      <c r="H622" s="17">
        <f t="shared" si="28"/>
        <v>0</v>
      </c>
      <c r="I622" t="str">
        <f t="shared" si="29"/>
        <v/>
      </c>
      <c r="J622" t="str">
        <f>SUBSTITUTE(IF(COUNTIF(I$2:I622,I622)&gt;1,"",1)," ","")</f>
        <v/>
      </c>
    </row>
    <row r="623" spans="1:10" x14ac:dyDescent="0.2">
      <c r="A623" s="51" t="str">
        <f>IFERROR(VLOOKUP(B623,點上線資訊!A:R,18,0),"")</f>
        <v/>
      </c>
      <c r="B623" s="41">
        <f>'MB51'!A623</f>
        <v>0</v>
      </c>
      <c r="C623" s="60" t="str">
        <f>IFERROR(VLOOKUP(B623,'MB51'!A:I,9,0),"")</f>
        <v/>
      </c>
      <c r="D623" s="61" t="str">
        <f>IFERROR(VLOOKUP(B623,'MB51'!A:J,10,0),"")</f>
        <v/>
      </c>
      <c r="E623" s="62" t="str">
        <f>IFERROR(VLOOKUP(B623,'MB51'!A:K,11,0),"")</f>
        <v/>
      </c>
      <c r="F623" s="42" t="str">
        <f>IFERROR(VLOOKUP(B623,'MB51'!A:F,6,0),"")</f>
        <v/>
      </c>
      <c r="G623" s="17" t="str">
        <f t="shared" si="27"/>
        <v>點揀料單</v>
      </c>
      <c r="H623" s="17">
        <f t="shared" si="28"/>
        <v>0</v>
      </c>
      <c r="I623" t="str">
        <f t="shared" si="29"/>
        <v/>
      </c>
      <c r="J623" t="str">
        <f>SUBSTITUTE(IF(COUNTIF(I$2:I623,I623)&gt;1,"",1)," ","")</f>
        <v/>
      </c>
    </row>
    <row r="624" spans="1:10" x14ac:dyDescent="0.2">
      <c r="A624" s="51" t="str">
        <f>IFERROR(VLOOKUP(B624,點上線資訊!A:R,18,0),"")</f>
        <v/>
      </c>
      <c r="B624" s="41">
        <f>'MB51'!A624</f>
        <v>0</v>
      </c>
      <c r="C624" s="60" t="str">
        <f>IFERROR(VLOOKUP(B624,'MB51'!A:I,9,0),"")</f>
        <v/>
      </c>
      <c r="D624" s="61" t="str">
        <f>IFERROR(VLOOKUP(B624,'MB51'!A:J,10,0),"")</f>
        <v/>
      </c>
      <c r="E624" s="62" t="str">
        <f>IFERROR(VLOOKUP(B624,'MB51'!A:K,11,0),"")</f>
        <v/>
      </c>
      <c r="F624" s="42" t="str">
        <f>IFERROR(VLOOKUP(B624,'MB51'!A:F,6,0),"")</f>
        <v/>
      </c>
      <c r="G624" s="17" t="str">
        <f t="shared" si="27"/>
        <v>點揀料單</v>
      </c>
      <c r="H624" s="17">
        <f t="shared" si="28"/>
        <v>0</v>
      </c>
      <c r="I624" t="str">
        <f t="shared" si="29"/>
        <v/>
      </c>
      <c r="J624" t="str">
        <f>SUBSTITUTE(IF(COUNTIF(I$2:I624,I624)&gt;1,"",1)," ","")</f>
        <v/>
      </c>
    </row>
    <row r="625" spans="1:10" x14ac:dyDescent="0.2">
      <c r="A625" s="51" t="str">
        <f>IFERROR(VLOOKUP(B625,點上線資訊!A:R,18,0),"")</f>
        <v/>
      </c>
      <c r="B625" s="41">
        <f>'MB51'!A625</f>
        <v>0</v>
      </c>
      <c r="C625" s="60" t="str">
        <f>IFERROR(VLOOKUP(B625,'MB51'!A:I,9,0),"")</f>
        <v/>
      </c>
      <c r="D625" s="61" t="str">
        <f>IFERROR(VLOOKUP(B625,'MB51'!A:J,10,0),"")</f>
        <v/>
      </c>
      <c r="E625" s="62" t="str">
        <f>IFERROR(VLOOKUP(B625,'MB51'!A:K,11,0),"")</f>
        <v/>
      </c>
      <c r="F625" s="42" t="str">
        <f>IFERROR(VLOOKUP(B625,'MB51'!A:F,6,0),"")</f>
        <v/>
      </c>
      <c r="G625" s="17" t="str">
        <f t="shared" si="27"/>
        <v>點揀料單</v>
      </c>
      <c r="H625" s="17">
        <f t="shared" si="28"/>
        <v>0</v>
      </c>
      <c r="I625" t="str">
        <f t="shared" si="29"/>
        <v/>
      </c>
      <c r="J625" t="str">
        <f>SUBSTITUTE(IF(COUNTIF(I$2:I625,I625)&gt;1,"",1)," ","")</f>
        <v/>
      </c>
    </row>
    <row r="626" spans="1:10" x14ac:dyDescent="0.2">
      <c r="A626" s="51" t="str">
        <f>IFERROR(VLOOKUP(B626,點上線資訊!A:R,18,0),"")</f>
        <v/>
      </c>
      <c r="B626" s="41">
        <f>'MB51'!A626</f>
        <v>0</v>
      </c>
      <c r="C626" s="60" t="str">
        <f>IFERROR(VLOOKUP(B626,'MB51'!A:I,9,0),"")</f>
        <v/>
      </c>
      <c r="D626" s="61" t="str">
        <f>IFERROR(VLOOKUP(B626,'MB51'!A:J,10,0),"")</f>
        <v/>
      </c>
      <c r="E626" s="62" t="str">
        <f>IFERROR(VLOOKUP(B626,'MB51'!A:K,11,0),"")</f>
        <v/>
      </c>
      <c r="F626" s="42" t="str">
        <f>IFERROR(VLOOKUP(B626,'MB51'!A:F,6,0),"")</f>
        <v/>
      </c>
      <c r="G626" s="17" t="str">
        <f t="shared" si="27"/>
        <v>點揀料單</v>
      </c>
      <c r="H626" s="17">
        <f t="shared" si="28"/>
        <v>0</v>
      </c>
      <c r="I626" t="str">
        <f t="shared" si="29"/>
        <v/>
      </c>
      <c r="J626" t="str">
        <f>SUBSTITUTE(IF(COUNTIF(I$2:I626,I626)&gt;1,"",1)," ","")</f>
        <v/>
      </c>
    </row>
    <row r="627" spans="1:10" x14ac:dyDescent="0.2">
      <c r="A627" s="51" t="str">
        <f>IFERROR(VLOOKUP(B627,點上線資訊!A:R,18,0),"")</f>
        <v/>
      </c>
      <c r="B627" s="41">
        <f>'MB51'!A627</f>
        <v>0</v>
      </c>
      <c r="C627" s="60" t="str">
        <f>IFERROR(VLOOKUP(B627,'MB51'!A:I,9,0),"")</f>
        <v/>
      </c>
      <c r="D627" s="61" t="str">
        <f>IFERROR(VLOOKUP(B627,'MB51'!A:J,10,0),"")</f>
        <v/>
      </c>
      <c r="E627" s="62" t="str">
        <f>IFERROR(VLOOKUP(B627,'MB51'!A:K,11,0),"")</f>
        <v/>
      </c>
      <c r="F627" s="42" t="str">
        <f>IFERROR(VLOOKUP(B627,'MB51'!A:F,6,0),"")</f>
        <v/>
      </c>
      <c r="G627" s="17" t="str">
        <f t="shared" si="27"/>
        <v>點揀料單</v>
      </c>
      <c r="H627" s="17">
        <f t="shared" si="28"/>
        <v>0</v>
      </c>
      <c r="I627" t="str">
        <f t="shared" si="29"/>
        <v/>
      </c>
      <c r="J627" t="str">
        <f>SUBSTITUTE(IF(COUNTIF(I$2:I627,I627)&gt;1,"",1)," ","")</f>
        <v/>
      </c>
    </row>
    <row r="628" spans="1:10" x14ac:dyDescent="0.2">
      <c r="A628" s="51" t="str">
        <f>IFERROR(VLOOKUP(B628,點上線資訊!A:R,18,0),"")</f>
        <v/>
      </c>
      <c r="B628" s="41">
        <f>'MB51'!A628</f>
        <v>0</v>
      </c>
      <c r="C628" s="60" t="str">
        <f>IFERROR(VLOOKUP(B628,'MB51'!A:I,9,0),"")</f>
        <v/>
      </c>
      <c r="D628" s="61" t="str">
        <f>IFERROR(VLOOKUP(B628,'MB51'!A:J,10,0),"")</f>
        <v/>
      </c>
      <c r="E628" s="62" t="str">
        <f>IFERROR(VLOOKUP(B628,'MB51'!A:K,11,0),"")</f>
        <v/>
      </c>
      <c r="F628" s="42" t="str">
        <f>IFERROR(VLOOKUP(B628,'MB51'!A:F,6,0),"")</f>
        <v/>
      </c>
      <c r="G628" s="17" t="str">
        <f t="shared" si="27"/>
        <v>點揀料單</v>
      </c>
      <c r="H628" s="17">
        <f t="shared" si="28"/>
        <v>0</v>
      </c>
      <c r="I628" t="str">
        <f t="shared" si="29"/>
        <v/>
      </c>
      <c r="J628" t="str">
        <f>SUBSTITUTE(IF(COUNTIF(I$2:I628,I628)&gt;1,"",1)," ","")</f>
        <v/>
      </c>
    </row>
    <row r="629" spans="1:10" x14ac:dyDescent="0.2">
      <c r="A629" s="51" t="str">
        <f>IFERROR(VLOOKUP(B629,點上線資訊!A:R,18,0),"")</f>
        <v/>
      </c>
      <c r="B629" s="41">
        <f>'MB51'!A629</f>
        <v>0</v>
      </c>
      <c r="C629" s="60" t="str">
        <f>IFERROR(VLOOKUP(B629,'MB51'!A:I,9,0),"")</f>
        <v/>
      </c>
      <c r="D629" s="61" t="str">
        <f>IFERROR(VLOOKUP(B629,'MB51'!A:J,10,0),"")</f>
        <v/>
      </c>
      <c r="E629" s="62" t="str">
        <f>IFERROR(VLOOKUP(B629,'MB51'!A:K,11,0),"")</f>
        <v/>
      </c>
      <c r="F629" s="42" t="str">
        <f>IFERROR(VLOOKUP(B629,'MB51'!A:F,6,0),"")</f>
        <v/>
      </c>
      <c r="G629" s="17" t="str">
        <f t="shared" si="27"/>
        <v>點揀料單</v>
      </c>
      <c r="H629" s="17">
        <f t="shared" si="28"/>
        <v>0</v>
      </c>
      <c r="I629" t="str">
        <f t="shared" si="29"/>
        <v/>
      </c>
      <c r="J629" t="str">
        <f>SUBSTITUTE(IF(COUNTIF(I$2:I629,I629)&gt;1,"",1)," ","")</f>
        <v/>
      </c>
    </row>
    <row r="630" spans="1:10" x14ac:dyDescent="0.2">
      <c r="A630" s="51" t="str">
        <f>IFERROR(VLOOKUP(B630,點上線資訊!A:R,18,0),"")</f>
        <v/>
      </c>
      <c r="B630" s="41">
        <f>'MB51'!A630</f>
        <v>0</v>
      </c>
      <c r="C630" s="60" t="str">
        <f>IFERROR(VLOOKUP(B630,'MB51'!A:I,9,0),"")</f>
        <v/>
      </c>
      <c r="D630" s="61" t="str">
        <f>IFERROR(VLOOKUP(B630,'MB51'!A:J,10,0),"")</f>
        <v/>
      </c>
      <c r="E630" s="62" t="str">
        <f>IFERROR(VLOOKUP(B630,'MB51'!A:K,11,0),"")</f>
        <v/>
      </c>
      <c r="F630" s="42" t="str">
        <f>IFERROR(VLOOKUP(B630,'MB51'!A:F,6,0),"")</f>
        <v/>
      </c>
      <c r="G630" s="17" t="str">
        <f t="shared" si="27"/>
        <v>點揀料單</v>
      </c>
      <c r="H630" s="17">
        <f t="shared" si="28"/>
        <v>0</v>
      </c>
      <c r="I630" t="str">
        <f t="shared" si="29"/>
        <v/>
      </c>
      <c r="J630" t="str">
        <f>SUBSTITUTE(IF(COUNTIF(I$2:I630,I630)&gt;1,"",1)," ","")</f>
        <v/>
      </c>
    </row>
    <row r="631" spans="1:10" x14ac:dyDescent="0.2">
      <c r="A631" s="51" t="str">
        <f>IFERROR(VLOOKUP(B631,點上線資訊!A:R,18,0),"")</f>
        <v/>
      </c>
      <c r="B631" s="41">
        <f>'MB51'!A631</f>
        <v>0</v>
      </c>
      <c r="C631" s="60" t="str">
        <f>IFERROR(VLOOKUP(B631,'MB51'!A:I,9,0),"")</f>
        <v/>
      </c>
      <c r="D631" s="61" t="str">
        <f>IFERROR(VLOOKUP(B631,'MB51'!A:J,10,0),"")</f>
        <v/>
      </c>
      <c r="E631" s="62" t="str">
        <f>IFERROR(VLOOKUP(B631,'MB51'!A:K,11,0),"")</f>
        <v/>
      </c>
      <c r="F631" s="42" t="str">
        <f>IFERROR(VLOOKUP(B631,'MB51'!A:F,6,0),"")</f>
        <v/>
      </c>
      <c r="G631" s="17" t="str">
        <f t="shared" si="27"/>
        <v>點揀料單</v>
      </c>
      <c r="H631" s="17">
        <f t="shared" si="28"/>
        <v>0</v>
      </c>
      <c r="I631" t="str">
        <f t="shared" si="29"/>
        <v/>
      </c>
      <c r="J631" t="str">
        <f>SUBSTITUTE(IF(COUNTIF(I$2:I631,I631)&gt;1,"",1)," ","")</f>
        <v/>
      </c>
    </row>
    <row r="632" spans="1:10" x14ac:dyDescent="0.2">
      <c r="A632" s="51" t="str">
        <f>IFERROR(VLOOKUP(B632,點上線資訊!A:R,18,0),"")</f>
        <v/>
      </c>
      <c r="B632" s="41">
        <f>'MB51'!A632</f>
        <v>0</v>
      </c>
      <c r="C632" s="60" t="str">
        <f>IFERROR(VLOOKUP(B632,'MB51'!A:I,9,0),"")</f>
        <v/>
      </c>
      <c r="D632" s="61" t="str">
        <f>IFERROR(VLOOKUP(B632,'MB51'!A:J,10,0),"")</f>
        <v/>
      </c>
      <c r="E632" s="62" t="str">
        <f>IFERROR(VLOOKUP(B632,'MB51'!A:K,11,0),"")</f>
        <v/>
      </c>
      <c r="F632" s="42" t="str">
        <f>IFERROR(VLOOKUP(B632,'MB51'!A:F,6,0),"")</f>
        <v/>
      </c>
      <c r="G632" s="17" t="str">
        <f t="shared" si="27"/>
        <v>點揀料單</v>
      </c>
      <c r="H632" s="17">
        <f t="shared" si="28"/>
        <v>0</v>
      </c>
      <c r="I632" t="str">
        <f t="shared" si="29"/>
        <v/>
      </c>
      <c r="J632" t="str">
        <f>SUBSTITUTE(IF(COUNTIF(I$2:I632,I632)&gt;1,"",1)," ","")</f>
        <v/>
      </c>
    </row>
    <row r="633" spans="1:10" x14ac:dyDescent="0.2">
      <c r="A633" s="51" t="str">
        <f>IFERROR(VLOOKUP(B633,點上線資訊!A:R,18,0),"")</f>
        <v/>
      </c>
      <c r="B633" s="41">
        <f>'MB51'!A633</f>
        <v>0</v>
      </c>
      <c r="C633" s="60" t="str">
        <f>IFERROR(VLOOKUP(B633,'MB51'!A:I,9,0),"")</f>
        <v/>
      </c>
      <c r="D633" s="61" t="str">
        <f>IFERROR(VLOOKUP(B633,'MB51'!A:J,10,0),"")</f>
        <v/>
      </c>
      <c r="E633" s="62" t="str">
        <f>IFERROR(VLOOKUP(B633,'MB51'!A:K,11,0),"")</f>
        <v/>
      </c>
      <c r="F633" s="42" t="str">
        <f>IFERROR(VLOOKUP(B633,'MB51'!A:F,6,0),"")</f>
        <v/>
      </c>
      <c r="G633" s="17" t="str">
        <f t="shared" si="27"/>
        <v>點揀料單</v>
      </c>
      <c r="H633" s="17">
        <f t="shared" si="28"/>
        <v>0</v>
      </c>
      <c r="I633" t="str">
        <f t="shared" si="29"/>
        <v/>
      </c>
      <c r="J633" t="str">
        <f>SUBSTITUTE(IF(COUNTIF(I$2:I633,I633)&gt;1,"",1)," ","")</f>
        <v/>
      </c>
    </row>
    <row r="634" spans="1:10" x14ac:dyDescent="0.2">
      <c r="A634" s="51" t="str">
        <f>IFERROR(VLOOKUP(B634,點上線資訊!A:R,18,0),"")</f>
        <v/>
      </c>
      <c r="B634" s="41">
        <f>'MB51'!A634</f>
        <v>0</v>
      </c>
      <c r="C634" s="60" t="str">
        <f>IFERROR(VLOOKUP(B634,'MB51'!A:I,9,0),"")</f>
        <v/>
      </c>
      <c r="D634" s="61" t="str">
        <f>IFERROR(VLOOKUP(B634,'MB51'!A:J,10,0),"")</f>
        <v/>
      </c>
      <c r="E634" s="62" t="str">
        <f>IFERROR(VLOOKUP(B634,'MB51'!A:K,11,0),"")</f>
        <v/>
      </c>
      <c r="F634" s="42" t="str">
        <f>IFERROR(VLOOKUP(B634,'MB51'!A:F,6,0),"")</f>
        <v/>
      </c>
      <c r="G634" s="17" t="str">
        <f t="shared" si="27"/>
        <v>點揀料單</v>
      </c>
      <c r="H634" s="17">
        <f t="shared" si="28"/>
        <v>0</v>
      </c>
      <c r="I634" t="str">
        <f t="shared" si="29"/>
        <v/>
      </c>
      <c r="J634" t="str">
        <f>SUBSTITUTE(IF(COUNTIF(I$2:I634,I634)&gt;1,"",1)," ","")</f>
        <v/>
      </c>
    </row>
    <row r="635" spans="1:10" x14ac:dyDescent="0.2">
      <c r="A635" s="51" t="str">
        <f>IFERROR(VLOOKUP(B635,點上線資訊!A:R,18,0),"")</f>
        <v/>
      </c>
      <c r="B635" s="41">
        <f>'MB51'!A635</f>
        <v>0</v>
      </c>
      <c r="C635" s="60" t="str">
        <f>IFERROR(VLOOKUP(B635,'MB51'!A:I,9,0),"")</f>
        <v/>
      </c>
      <c r="D635" s="61" t="str">
        <f>IFERROR(VLOOKUP(B635,'MB51'!A:J,10,0),"")</f>
        <v/>
      </c>
      <c r="E635" s="62" t="str">
        <f>IFERROR(VLOOKUP(B635,'MB51'!A:K,11,0),"")</f>
        <v/>
      </c>
      <c r="F635" s="42" t="str">
        <f>IFERROR(VLOOKUP(B635,'MB51'!A:F,6,0),"")</f>
        <v/>
      </c>
      <c r="G635" s="17" t="str">
        <f t="shared" si="27"/>
        <v>點揀料單</v>
      </c>
      <c r="H635" s="17">
        <f t="shared" si="28"/>
        <v>0</v>
      </c>
      <c r="I635" t="str">
        <f t="shared" si="29"/>
        <v/>
      </c>
      <c r="J635" t="str">
        <f>SUBSTITUTE(IF(COUNTIF(I$2:I635,I635)&gt;1,"",1)," ","")</f>
        <v/>
      </c>
    </row>
    <row r="636" spans="1:10" x14ac:dyDescent="0.2">
      <c r="A636" s="51" t="str">
        <f>IFERROR(VLOOKUP(B636,點上線資訊!A:R,18,0),"")</f>
        <v/>
      </c>
      <c r="B636" s="41">
        <f>'MB51'!A636</f>
        <v>0</v>
      </c>
      <c r="C636" s="60" t="str">
        <f>IFERROR(VLOOKUP(B636,'MB51'!A:I,9,0),"")</f>
        <v/>
      </c>
      <c r="D636" s="61" t="str">
        <f>IFERROR(VLOOKUP(B636,'MB51'!A:J,10,0),"")</f>
        <v/>
      </c>
      <c r="E636" s="62" t="str">
        <f>IFERROR(VLOOKUP(B636,'MB51'!A:K,11,0),"")</f>
        <v/>
      </c>
      <c r="F636" s="42" t="str">
        <f>IFERROR(VLOOKUP(B636,'MB51'!A:F,6,0),"")</f>
        <v/>
      </c>
      <c r="G636" s="17" t="str">
        <f t="shared" si="27"/>
        <v>點揀料單</v>
      </c>
      <c r="H636" s="17">
        <f t="shared" si="28"/>
        <v>0</v>
      </c>
      <c r="I636" t="str">
        <f t="shared" si="29"/>
        <v/>
      </c>
      <c r="J636" t="str">
        <f>SUBSTITUTE(IF(COUNTIF(I$2:I636,I636)&gt;1,"",1)," ","")</f>
        <v/>
      </c>
    </row>
    <row r="637" spans="1:10" x14ac:dyDescent="0.2">
      <c r="A637" s="51" t="str">
        <f>IFERROR(VLOOKUP(B637,點上線資訊!A:R,18,0),"")</f>
        <v/>
      </c>
      <c r="B637" s="41">
        <f>'MB51'!A637</f>
        <v>0</v>
      </c>
      <c r="C637" s="60" t="str">
        <f>IFERROR(VLOOKUP(B637,'MB51'!A:I,9,0),"")</f>
        <v/>
      </c>
      <c r="D637" s="61" t="str">
        <f>IFERROR(VLOOKUP(B637,'MB51'!A:J,10,0),"")</f>
        <v/>
      </c>
      <c r="E637" s="62" t="str">
        <f>IFERROR(VLOOKUP(B637,'MB51'!A:K,11,0),"")</f>
        <v/>
      </c>
      <c r="F637" s="42" t="str">
        <f>IFERROR(VLOOKUP(B637,'MB51'!A:F,6,0),"")</f>
        <v/>
      </c>
      <c r="G637" s="17" t="str">
        <f t="shared" si="27"/>
        <v>點揀料單</v>
      </c>
      <c r="H637" s="17">
        <f t="shared" si="28"/>
        <v>0</v>
      </c>
      <c r="I637" t="str">
        <f t="shared" si="29"/>
        <v/>
      </c>
      <c r="J637" t="str">
        <f>SUBSTITUTE(IF(COUNTIF(I$2:I637,I637)&gt;1,"",1)," ","")</f>
        <v/>
      </c>
    </row>
    <row r="638" spans="1:10" x14ac:dyDescent="0.2">
      <c r="A638" s="51" t="str">
        <f>IFERROR(VLOOKUP(B638,點上線資訊!A:R,18,0),"")</f>
        <v/>
      </c>
      <c r="B638" s="41">
        <f>'MB51'!A638</f>
        <v>0</v>
      </c>
      <c r="C638" s="60" t="str">
        <f>IFERROR(VLOOKUP(B638,'MB51'!A:I,9,0),"")</f>
        <v/>
      </c>
      <c r="D638" s="61" t="str">
        <f>IFERROR(VLOOKUP(B638,'MB51'!A:J,10,0),"")</f>
        <v/>
      </c>
      <c r="E638" s="62" t="str">
        <f>IFERROR(VLOOKUP(B638,'MB51'!A:K,11,0),"")</f>
        <v/>
      </c>
      <c r="F638" s="42" t="str">
        <f>IFERROR(VLOOKUP(B638,'MB51'!A:F,6,0),"")</f>
        <v/>
      </c>
      <c r="G638" s="17" t="str">
        <f t="shared" si="27"/>
        <v>點揀料單</v>
      </c>
      <c r="H638" s="17">
        <f t="shared" si="28"/>
        <v>0</v>
      </c>
      <c r="I638" t="str">
        <f t="shared" si="29"/>
        <v/>
      </c>
      <c r="J638" t="str">
        <f>SUBSTITUTE(IF(COUNTIF(I$2:I638,I638)&gt;1,"",1)," ","")</f>
        <v/>
      </c>
    </row>
    <row r="639" spans="1:10" x14ac:dyDescent="0.2">
      <c r="A639" s="51" t="str">
        <f>IFERROR(VLOOKUP(B639,點上線資訊!A:R,18,0),"")</f>
        <v/>
      </c>
      <c r="B639" s="41">
        <f>'MB51'!A639</f>
        <v>0</v>
      </c>
      <c r="C639" s="60" t="str">
        <f>IFERROR(VLOOKUP(B639,'MB51'!A:I,9,0),"")</f>
        <v/>
      </c>
      <c r="D639" s="61" t="str">
        <f>IFERROR(VLOOKUP(B639,'MB51'!A:J,10,0),"")</f>
        <v/>
      </c>
      <c r="E639" s="62" t="str">
        <f>IFERROR(VLOOKUP(B639,'MB51'!A:K,11,0),"")</f>
        <v/>
      </c>
      <c r="F639" s="42" t="str">
        <f>IFERROR(VLOOKUP(B639,'MB51'!A:F,6,0),"")</f>
        <v/>
      </c>
      <c r="G639" s="17" t="str">
        <f t="shared" si="27"/>
        <v>點揀料單</v>
      </c>
      <c r="H639" s="17">
        <f t="shared" si="28"/>
        <v>0</v>
      </c>
      <c r="I639" t="str">
        <f t="shared" si="29"/>
        <v/>
      </c>
      <c r="J639" t="str">
        <f>SUBSTITUTE(IF(COUNTIF(I$2:I639,I639)&gt;1,"",1)," ","")</f>
        <v/>
      </c>
    </row>
    <row r="640" spans="1:10" x14ac:dyDescent="0.2">
      <c r="A640" s="51" t="str">
        <f>IFERROR(VLOOKUP(B640,點上線資訊!A:R,18,0),"")</f>
        <v/>
      </c>
      <c r="B640" s="41">
        <f>'MB51'!A640</f>
        <v>0</v>
      </c>
      <c r="C640" s="60" t="str">
        <f>IFERROR(VLOOKUP(B640,'MB51'!A:I,9,0),"")</f>
        <v/>
      </c>
      <c r="D640" s="61" t="str">
        <f>IFERROR(VLOOKUP(B640,'MB51'!A:J,10,0),"")</f>
        <v/>
      </c>
      <c r="E640" s="62" t="str">
        <f>IFERROR(VLOOKUP(B640,'MB51'!A:K,11,0),"")</f>
        <v/>
      </c>
      <c r="F640" s="42" t="str">
        <f>IFERROR(VLOOKUP(B640,'MB51'!A:F,6,0),"")</f>
        <v/>
      </c>
      <c r="G640" s="17" t="str">
        <f t="shared" si="27"/>
        <v>點揀料單</v>
      </c>
      <c r="H640" s="17">
        <f t="shared" si="28"/>
        <v>0</v>
      </c>
      <c r="I640" t="str">
        <f t="shared" si="29"/>
        <v/>
      </c>
      <c r="J640" t="str">
        <f>SUBSTITUTE(IF(COUNTIF(I$2:I640,I640)&gt;1,"",1)," ","")</f>
        <v/>
      </c>
    </row>
    <row r="641" spans="1:10" x14ac:dyDescent="0.2">
      <c r="A641" s="51" t="str">
        <f>IFERROR(VLOOKUP(B641,點上線資訊!A:R,18,0),"")</f>
        <v/>
      </c>
      <c r="B641" s="41">
        <f>'MB51'!A641</f>
        <v>0</v>
      </c>
      <c r="C641" s="60" t="str">
        <f>IFERROR(VLOOKUP(B641,'MB51'!A:I,9,0),"")</f>
        <v/>
      </c>
      <c r="D641" s="61" t="str">
        <f>IFERROR(VLOOKUP(B641,'MB51'!A:J,10,0),"")</f>
        <v/>
      </c>
      <c r="E641" s="62" t="str">
        <f>IFERROR(VLOOKUP(B641,'MB51'!A:K,11,0),"")</f>
        <v/>
      </c>
      <c r="F641" s="42" t="str">
        <f>IFERROR(VLOOKUP(B641,'MB51'!A:F,6,0),"")</f>
        <v/>
      </c>
      <c r="G641" s="17" t="str">
        <f t="shared" si="27"/>
        <v>點揀料單</v>
      </c>
      <c r="H641" s="17">
        <f t="shared" si="28"/>
        <v>0</v>
      </c>
      <c r="I641" t="str">
        <f t="shared" si="29"/>
        <v/>
      </c>
      <c r="J641" t="str">
        <f>SUBSTITUTE(IF(COUNTIF(I$2:I641,I641)&gt;1,"",1)," ","")</f>
        <v/>
      </c>
    </row>
    <row r="642" spans="1:10" x14ac:dyDescent="0.2">
      <c r="A642" s="51" t="str">
        <f>IFERROR(VLOOKUP(B642,點上線資訊!A:R,18,0),"")</f>
        <v/>
      </c>
      <c r="B642" s="41">
        <f>'MB51'!A642</f>
        <v>0</v>
      </c>
      <c r="C642" s="60" t="str">
        <f>IFERROR(VLOOKUP(B642,'MB51'!A:I,9,0),"")</f>
        <v/>
      </c>
      <c r="D642" s="61" t="str">
        <f>IFERROR(VLOOKUP(B642,'MB51'!A:J,10,0),"")</f>
        <v/>
      </c>
      <c r="E642" s="62" t="str">
        <f>IFERROR(VLOOKUP(B642,'MB51'!A:K,11,0),"")</f>
        <v/>
      </c>
      <c r="F642" s="42" t="str">
        <f>IFERROR(VLOOKUP(B642,'MB51'!A:F,6,0),"")</f>
        <v/>
      </c>
      <c r="G642" s="17" t="str">
        <f t="shared" si="27"/>
        <v>點揀料單</v>
      </c>
      <c r="H642" s="17">
        <f t="shared" si="28"/>
        <v>0</v>
      </c>
      <c r="I642" t="str">
        <f t="shared" si="29"/>
        <v/>
      </c>
      <c r="J642" t="str">
        <f>SUBSTITUTE(IF(COUNTIF(I$2:I642,I642)&gt;1,"",1)," ","")</f>
        <v/>
      </c>
    </row>
    <row r="643" spans="1:10" x14ac:dyDescent="0.2">
      <c r="A643" s="51" t="str">
        <f>IFERROR(VLOOKUP(B643,點上線資訊!A:R,18,0),"")</f>
        <v/>
      </c>
      <c r="B643" s="41">
        <f>'MB51'!A643</f>
        <v>0</v>
      </c>
      <c r="C643" s="60" t="str">
        <f>IFERROR(VLOOKUP(B643,'MB51'!A:I,9,0),"")</f>
        <v/>
      </c>
      <c r="D643" s="61" t="str">
        <f>IFERROR(VLOOKUP(B643,'MB51'!A:J,10,0),"")</f>
        <v/>
      </c>
      <c r="E643" s="62" t="str">
        <f>IFERROR(VLOOKUP(B643,'MB51'!A:K,11,0),"")</f>
        <v/>
      </c>
      <c r="F643" s="42" t="str">
        <f>IFERROR(VLOOKUP(B643,'MB51'!A:F,6,0),"")</f>
        <v/>
      </c>
      <c r="G643" s="17" t="str">
        <f t="shared" ref="G643:G706" si="30">TEXT(D643,"MM/DD")&amp;TEXT(E643,"  HH")&amp;"點揀料單"</f>
        <v>點揀料單</v>
      </c>
      <c r="H643" s="17">
        <f t="shared" ref="H643:H706" si="31">ABS(SUMIF(C:C,C643,F:F))</f>
        <v>0</v>
      </c>
      <c r="I643" t="str">
        <f t="shared" ref="I643:I706" si="32">RIGHTB(C643,10)</f>
        <v/>
      </c>
      <c r="J643" t="str">
        <f>SUBSTITUTE(IF(COUNTIF(I$2:I643,I643)&gt;1,"",1)," ","")</f>
        <v/>
      </c>
    </row>
    <row r="644" spans="1:10" x14ac:dyDescent="0.2">
      <c r="A644" s="51" t="str">
        <f>IFERROR(VLOOKUP(B644,點上線資訊!A:R,18,0),"")</f>
        <v/>
      </c>
      <c r="B644" s="41">
        <f>'MB51'!A644</f>
        <v>0</v>
      </c>
      <c r="C644" s="60" t="str">
        <f>IFERROR(VLOOKUP(B644,'MB51'!A:I,9,0),"")</f>
        <v/>
      </c>
      <c r="D644" s="61" t="str">
        <f>IFERROR(VLOOKUP(B644,'MB51'!A:J,10,0),"")</f>
        <v/>
      </c>
      <c r="E644" s="62" t="str">
        <f>IFERROR(VLOOKUP(B644,'MB51'!A:K,11,0),"")</f>
        <v/>
      </c>
      <c r="F644" s="42" t="str">
        <f>IFERROR(VLOOKUP(B644,'MB51'!A:F,6,0),"")</f>
        <v/>
      </c>
      <c r="G644" s="17" t="str">
        <f t="shared" si="30"/>
        <v>點揀料單</v>
      </c>
      <c r="H644" s="17">
        <f t="shared" si="31"/>
        <v>0</v>
      </c>
      <c r="I644" t="str">
        <f t="shared" si="32"/>
        <v/>
      </c>
      <c r="J644" t="str">
        <f>SUBSTITUTE(IF(COUNTIF(I$2:I644,I644)&gt;1,"",1)," ","")</f>
        <v/>
      </c>
    </row>
    <row r="645" spans="1:10" x14ac:dyDescent="0.2">
      <c r="A645" s="51" t="str">
        <f>IFERROR(VLOOKUP(B645,點上線資訊!A:R,18,0),"")</f>
        <v/>
      </c>
      <c r="B645" s="41">
        <f>'MB51'!A645</f>
        <v>0</v>
      </c>
      <c r="C645" s="60" t="str">
        <f>IFERROR(VLOOKUP(B645,'MB51'!A:I,9,0),"")</f>
        <v/>
      </c>
      <c r="D645" s="61" t="str">
        <f>IFERROR(VLOOKUP(B645,'MB51'!A:J,10,0),"")</f>
        <v/>
      </c>
      <c r="E645" s="62" t="str">
        <f>IFERROR(VLOOKUP(B645,'MB51'!A:K,11,0),"")</f>
        <v/>
      </c>
      <c r="F645" s="42" t="str">
        <f>IFERROR(VLOOKUP(B645,'MB51'!A:F,6,0),"")</f>
        <v/>
      </c>
      <c r="G645" s="17" t="str">
        <f t="shared" si="30"/>
        <v>點揀料單</v>
      </c>
      <c r="H645" s="17">
        <f t="shared" si="31"/>
        <v>0</v>
      </c>
      <c r="I645" t="str">
        <f t="shared" si="32"/>
        <v/>
      </c>
      <c r="J645" t="str">
        <f>SUBSTITUTE(IF(COUNTIF(I$2:I645,I645)&gt;1,"",1)," ","")</f>
        <v/>
      </c>
    </row>
    <row r="646" spans="1:10" x14ac:dyDescent="0.2">
      <c r="A646" s="51" t="str">
        <f>IFERROR(VLOOKUP(B646,點上線資訊!A:R,18,0),"")</f>
        <v/>
      </c>
      <c r="B646" s="41">
        <f>'MB51'!A646</f>
        <v>0</v>
      </c>
      <c r="C646" s="60" t="str">
        <f>IFERROR(VLOOKUP(B646,'MB51'!A:I,9,0),"")</f>
        <v/>
      </c>
      <c r="D646" s="61" t="str">
        <f>IFERROR(VLOOKUP(B646,'MB51'!A:J,10,0),"")</f>
        <v/>
      </c>
      <c r="E646" s="62" t="str">
        <f>IFERROR(VLOOKUP(B646,'MB51'!A:K,11,0),"")</f>
        <v/>
      </c>
      <c r="F646" s="42" t="str">
        <f>IFERROR(VLOOKUP(B646,'MB51'!A:F,6,0),"")</f>
        <v/>
      </c>
      <c r="G646" s="17" t="str">
        <f t="shared" si="30"/>
        <v>點揀料單</v>
      </c>
      <c r="H646" s="17">
        <f t="shared" si="31"/>
        <v>0</v>
      </c>
      <c r="I646" t="str">
        <f t="shared" si="32"/>
        <v/>
      </c>
      <c r="J646" t="str">
        <f>SUBSTITUTE(IF(COUNTIF(I$2:I646,I646)&gt;1,"",1)," ","")</f>
        <v/>
      </c>
    </row>
    <row r="647" spans="1:10" x14ac:dyDescent="0.2">
      <c r="A647" s="51" t="str">
        <f>IFERROR(VLOOKUP(B647,點上線資訊!A:R,18,0),"")</f>
        <v/>
      </c>
      <c r="B647" s="41">
        <f>'MB51'!A647</f>
        <v>0</v>
      </c>
      <c r="C647" s="60" t="str">
        <f>IFERROR(VLOOKUP(B647,'MB51'!A:I,9,0),"")</f>
        <v/>
      </c>
      <c r="D647" s="61" t="str">
        <f>IFERROR(VLOOKUP(B647,'MB51'!A:J,10,0),"")</f>
        <v/>
      </c>
      <c r="E647" s="62" t="str">
        <f>IFERROR(VLOOKUP(B647,'MB51'!A:K,11,0),"")</f>
        <v/>
      </c>
      <c r="F647" s="42" t="str">
        <f>IFERROR(VLOOKUP(B647,'MB51'!A:F,6,0),"")</f>
        <v/>
      </c>
      <c r="G647" s="17" t="str">
        <f t="shared" si="30"/>
        <v>點揀料單</v>
      </c>
      <c r="H647" s="17">
        <f t="shared" si="31"/>
        <v>0</v>
      </c>
      <c r="I647" t="str">
        <f t="shared" si="32"/>
        <v/>
      </c>
      <c r="J647" t="str">
        <f>SUBSTITUTE(IF(COUNTIF(I$2:I647,I647)&gt;1,"",1)," ","")</f>
        <v/>
      </c>
    </row>
    <row r="648" spans="1:10" x14ac:dyDescent="0.2">
      <c r="A648" s="51" t="str">
        <f>IFERROR(VLOOKUP(B648,點上線資訊!A:R,18,0),"")</f>
        <v/>
      </c>
      <c r="B648" s="41">
        <f>'MB51'!A648</f>
        <v>0</v>
      </c>
      <c r="C648" s="60" t="str">
        <f>IFERROR(VLOOKUP(B648,'MB51'!A:I,9,0),"")</f>
        <v/>
      </c>
      <c r="D648" s="61" t="str">
        <f>IFERROR(VLOOKUP(B648,'MB51'!A:J,10,0),"")</f>
        <v/>
      </c>
      <c r="E648" s="62" t="str">
        <f>IFERROR(VLOOKUP(B648,'MB51'!A:K,11,0),"")</f>
        <v/>
      </c>
      <c r="F648" s="42" t="str">
        <f>IFERROR(VLOOKUP(B648,'MB51'!A:F,6,0),"")</f>
        <v/>
      </c>
      <c r="G648" s="17" t="str">
        <f t="shared" si="30"/>
        <v>點揀料單</v>
      </c>
      <c r="H648" s="17">
        <f t="shared" si="31"/>
        <v>0</v>
      </c>
      <c r="I648" t="str">
        <f t="shared" si="32"/>
        <v/>
      </c>
      <c r="J648" t="str">
        <f>SUBSTITUTE(IF(COUNTIF(I$2:I648,I648)&gt;1,"",1)," ","")</f>
        <v/>
      </c>
    </row>
    <row r="649" spans="1:10" x14ac:dyDescent="0.2">
      <c r="A649" s="51" t="str">
        <f>IFERROR(VLOOKUP(B649,點上線資訊!A:R,18,0),"")</f>
        <v/>
      </c>
      <c r="B649" s="41">
        <f>'MB51'!A649</f>
        <v>0</v>
      </c>
      <c r="C649" s="60" t="str">
        <f>IFERROR(VLOOKUP(B649,'MB51'!A:I,9,0),"")</f>
        <v/>
      </c>
      <c r="D649" s="61" t="str">
        <f>IFERROR(VLOOKUP(B649,'MB51'!A:J,10,0),"")</f>
        <v/>
      </c>
      <c r="E649" s="62" t="str">
        <f>IFERROR(VLOOKUP(B649,'MB51'!A:K,11,0),"")</f>
        <v/>
      </c>
      <c r="F649" s="42" t="str">
        <f>IFERROR(VLOOKUP(B649,'MB51'!A:F,6,0),"")</f>
        <v/>
      </c>
      <c r="G649" s="17" t="str">
        <f t="shared" si="30"/>
        <v>點揀料單</v>
      </c>
      <c r="H649" s="17">
        <f t="shared" si="31"/>
        <v>0</v>
      </c>
      <c r="I649" t="str">
        <f t="shared" si="32"/>
        <v/>
      </c>
      <c r="J649" t="str">
        <f>SUBSTITUTE(IF(COUNTIF(I$2:I649,I649)&gt;1,"",1)," ","")</f>
        <v/>
      </c>
    </row>
    <row r="650" spans="1:10" x14ac:dyDescent="0.2">
      <c r="A650" s="51" t="str">
        <f>IFERROR(VLOOKUP(B650,點上線資訊!A:R,18,0),"")</f>
        <v/>
      </c>
      <c r="B650" s="41">
        <f>'MB51'!A650</f>
        <v>0</v>
      </c>
      <c r="C650" s="60" t="str">
        <f>IFERROR(VLOOKUP(B650,'MB51'!A:I,9,0),"")</f>
        <v/>
      </c>
      <c r="D650" s="61" t="str">
        <f>IFERROR(VLOOKUP(B650,'MB51'!A:J,10,0),"")</f>
        <v/>
      </c>
      <c r="E650" s="62" t="str">
        <f>IFERROR(VLOOKUP(B650,'MB51'!A:K,11,0),"")</f>
        <v/>
      </c>
      <c r="F650" s="42" t="str">
        <f>IFERROR(VLOOKUP(B650,'MB51'!A:F,6,0),"")</f>
        <v/>
      </c>
      <c r="G650" s="17" t="str">
        <f t="shared" si="30"/>
        <v>點揀料單</v>
      </c>
      <c r="H650" s="17">
        <f t="shared" si="31"/>
        <v>0</v>
      </c>
      <c r="I650" t="str">
        <f t="shared" si="32"/>
        <v/>
      </c>
      <c r="J650" t="str">
        <f>SUBSTITUTE(IF(COUNTIF(I$2:I650,I650)&gt;1,"",1)," ","")</f>
        <v/>
      </c>
    </row>
    <row r="651" spans="1:10" x14ac:dyDescent="0.2">
      <c r="A651" s="51" t="str">
        <f>IFERROR(VLOOKUP(B651,點上線資訊!A:R,18,0),"")</f>
        <v/>
      </c>
      <c r="B651" s="41">
        <f>'MB51'!A651</f>
        <v>0</v>
      </c>
      <c r="C651" s="60" t="str">
        <f>IFERROR(VLOOKUP(B651,'MB51'!A:I,9,0),"")</f>
        <v/>
      </c>
      <c r="D651" s="61" t="str">
        <f>IFERROR(VLOOKUP(B651,'MB51'!A:J,10,0),"")</f>
        <v/>
      </c>
      <c r="E651" s="62" t="str">
        <f>IFERROR(VLOOKUP(B651,'MB51'!A:K,11,0),"")</f>
        <v/>
      </c>
      <c r="F651" s="42" t="str">
        <f>IFERROR(VLOOKUP(B651,'MB51'!A:F,6,0),"")</f>
        <v/>
      </c>
      <c r="G651" s="17" t="str">
        <f t="shared" si="30"/>
        <v>點揀料單</v>
      </c>
      <c r="H651" s="17">
        <f t="shared" si="31"/>
        <v>0</v>
      </c>
      <c r="I651" t="str">
        <f t="shared" si="32"/>
        <v/>
      </c>
      <c r="J651" t="str">
        <f>SUBSTITUTE(IF(COUNTIF(I$2:I651,I651)&gt;1,"",1)," ","")</f>
        <v/>
      </c>
    </row>
    <row r="652" spans="1:10" x14ac:dyDescent="0.2">
      <c r="A652" s="51" t="str">
        <f>IFERROR(VLOOKUP(B652,點上線資訊!A:R,18,0),"")</f>
        <v/>
      </c>
      <c r="B652" s="41">
        <f>'MB51'!A652</f>
        <v>0</v>
      </c>
      <c r="C652" s="60" t="str">
        <f>IFERROR(VLOOKUP(B652,'MB51'!A:I,9,0),"")</f>
        <v/>
      </c>
      <c r="D652" s="61" t="str">
        <f>IFERROR(VLOOKUP(B652,'MB51'!A:J,10,0),"")</f>
        <v/>
      </c>
      <c r="E652" s="62" t="str">
        <f>IFERROR(VLOOKUP(B652,'MB51'!A:K,11,0),"")</f>
        <v/>
      </c>
      <c r="F652" s="42" t="str">
        <f>IFERROR(VLOOKUP(B652,'MB51'!A:F,6,0),"")</f>
        <v/>
      </c>
      <c r="G652" s="17" t="str">
        <f t="shared" si="30"/>
        <v>點揀料單</v>
      </c>
      <c r="H652" s="17">
        <f t="shared" si="31"/>
        <v>0</v>
      </c>
      <c r="I652" t="str">
        <f t="shared" si="32"/>
        <v/>
      </c>
      <c r="J652" t="str">
        <f>SUBSTITUTE(IF(COUNTIF(I$2:I652,I652)&gt;1,"",1)," ","")</f>
        <v/>
      </c>
    </row>
    <row r="653" spans="1:10" x14ac:dyDescent="0.2">
      <c r="A653" s="51" t="str">
        <f>IFERROR(VLOOKUP(B653,點上線資訊!A:R,18,0),"")</f>
        <v/>
      </c>
      <c r="B653" s="41">
        <f>'MB51'!A653</f>
        <v>0</v>
      </c>
      <c r="C653" s="60" t="str">
        <f>IFERROR(VLOOKUP(B653,'MB51'!A:I,9,0),"")</f>
        <v/>
      </c>
      <c r="D653" s="61" t="str">
        <f>IFERROR(VLOOKUP(B653,'MB51'!A:J,10,0),"")</f>
        <v/>
      </c>
      <c r="E653" s="62" t="str">
        <f>IFERROR(VLOOKUP(B653,'MB51'!A:K,11,0),"")</f>
        <v/>
      </c>
      <c r="F653" s="42" t="str">
        <f>IFERROR(VLOOKUP(B653,'MB51'!A:F,6,0),"")</f>
        <v/>
      </c>
      <c r="G653" s="17" t="str">
        <f t="shared" si="30"/>
        <v>點揀料單</v>
      </c>
      <c r="H653" s="17">
        <f t="shared" si="31"/>
        <v>0</v>
      </c>
      <c r="I653" t="str">
        <f t="shared" si="32"/>
        <v/>
      </c>
      <c r="J653" t="str">
        <f>SUBSTITUTE(IF(COUNTIF(I$2:I653,I653)&gt;1,"",1)," ","")</f>
        <v/>
      </c>
    </row>
    <row r="654" spans="1:10" x14ac:dyDescent="0.2">
      <c r="A654" s="51" t="str">
        <f>IFERROR(VLOOKUP(B654,點上線資訊!A:R,18,0),"")</f>
        <v/>
      </c>
      <c r="B654" s="41">
        <f>'MB51'!A654</f>
        <v>0</v>
      </c>
      <c r="C654" s="60" t="str">
        <f>IFERROR(VLOOKUP(B654,'MB51'!A:I,9,0),"")</f>
        <v/>
      </c>
      <c r="D654" s="61" t="str">
        <f>IFERROR(VLOOKUP(B654,'MB51'!A:J,10,0),"")</f>
        <v/>
      </c>
      <c r="E654" s="62" t="str">
        <f>IFERROR(VLOOKUP(B654,'MB51'!A:K,11,0),"")</f>
        <v/>
      </c>
      <c r="F654" s="42" t="str">
        <f>IFERROR(VLOOKUP(B654,'MB51'!A:F,6,0),"")</f>
        <v/>
      </c>
      <c r="G654" s="17" t="str">
        <f t="shared" si="30"/>
        <v>點揀料單</v>
      </c>
      <c r="H654" s="17">
        <f t="shared" si="31"/>
        <v>0</v>
      </c>
      <c r="I654" t="str">
        <f t="shared" si="32"/>
        <v/>
      </c>
      <c r="J654" t="str">
        <f>SUBSTITUTE(IF(COUNTIF(I$2:I654,I654)&gt;1,"",1)," ","")</f>
        <v/>
      </c>
    </row>
    <row r="655" spans="1:10" x14ac:dyDescent="0.2">
      <c r="A655" s="51" t="str">
        <f>IFERROR(VLOOKUP(B655,點上線資訊!A:R,18,0),"")</f>
        <v/>
      </c>
      <c r="B655" s="41">
        <f>'MB51'!A655</f>
        <v>0</v>
      </c>
      <c r="C655" s="60" t="str">
        <f>IFERROR(VLOOKUP(B655,'MB51'!A:I,9,0),"")</f>
        <v/>
      </c>
      <c r="D655" s="61" t="str">
        <f>IFERROR(VLOOKUP(B655,'MB51'!A:J,10,0),"")</f>
        <v/>
      </c>
      <c r="E655" s="62" t="str">
        <f>IFERROR(VLOOKUP(B655,'MB51'!A:K,11,0),"")</f>
        <v/>
      </c>
      <c r="F655" s="42" t="str">
        <f>IFERROR(VLOOKUP(B655,'MB51'!A:F,6,0),"")</f>
        <v/>
      </c>
      <c r="G655" s="17" t="str">
        <f t="shared" si="30"/>
        <v>點揀料單</v>
      </c>
      <c r="H655" s="17">
        <f t="shared" si="31"/>
        <v>0</v>
      </c>
      <c r="I655" t="str">
        <f t="shared" si="32"/>
        <v/>
      </c>
      <c r="J655" t="str">
        <f>SUBSTITUTE(IF(COUNTIF(I$2:I655,I655)&gt;1,"",1)," ","")</f>
        <v/>
      </c>
    </row>
    <row r="656" spans="1:10" x14ac:dyDescent="0.2">
      <c r="A656" s="51" t="str">
        <f>IFERROR(VLOOKUP(B656,點上線資訊!A:R,18,0),"")</f>
        <v/>
      </c>
      <c r="B656" s="41">
        <f>'MB51'!A656</f>
        <v>0</v>
      </c>
      <c r="C656" s="60" t="str">
        <f>IFERROR(VLOOKUP(B656,'MB51'!A:I,9,0),"")</f>
        <v/>
      </c>
      <c r="D656" s="61" t="str">
        <f>IFERROR(VLOOKUP(B656,'MB51'!A:J,10,0),"")</f>
        <v/>
      </c>
      <c r="E656" s="62" t="str">
        <f>IFERROR(VLOOKUP(B656,'MB51'!A:K,11,0),"")</f>
        <v/>
      </c>
      <c r="F656" s="42" t="str">
        <f>IFERROR(VLOOKUP(B656,'MB51'!A:F,6,0),"")</f>
        <v/>
      </c>
      <c r="G656" s="17" t="str">
        <f t="shared" si="30"/>
        <v>點揀料單</v>
      </c>
      <c r="H656" s="17">
        <f t="shared" si="31"/>
        <v>0</v>
      </c>
      <c r="I656" t="str">
        <f t="shared" si="32"/>
        <v/>
      </c>
      <c r="J656" t="str">
        <f>SUBSTITUTE(IF(COUNTIF(I$2:I656,I656)&gt;1,"",1)," ","")</f>
        <v/>
      </c>
    </row>
    <row r="657" spans="1:10" x14ac:dyDescent="0.2">
      <c r="A657" s="51" t="str">
        <f>IFERROR(VLOOKUP(B657,點上線資訊!A:R,18,0),"")</f>
        <v/>
      </c>
      <c r="B657" s="41">
        <f>'MB51'!A657</f>
        <v>0</v>
      </c>
      <c r="C657" s="60" t="str">
        <f>IFERROR(VLOOKUP(B657,'MB51'!A:I,9,0),"")</f>
        <v/>
      </c>
      <c r="D657" s="61" t="str">
        <f>IFERROR(VLOOKUP(B657,'MB51'!A:J,10,0),"")</f>
        <v/>
      </c>
      <c r="E657" s="62" t="str">
        <f>IFERROR(VLOOKUP(B657,'MB51'!A:K,11,0),"")</f>
        <v/>
      </c>
      <c r="F657" s="42" t="str">
        <f>IFERROR(VLOOKUP(B657,'MB51'!A:F,6,0),"")</f>
        <v/>
      </c>
      <c r="G657" s="17" t="str">
        <f t="shared" si="30"/>
        <v>點揀料單</v>
      </c>
      <c r="H657" s="17">
        <f t="shared" si="31"/>
        <v>0</v>
      </c>
      <c r="I657" t="str">
        <f t="shared" si="32"/>
        <v/>
      </c>
      <c r="J657" t="str">
        <f>SUBSTITUTE(IF(COUNTIF(I$2:I657,I657)&gt;1,"",1)," ","")</f>
        <v/>
      </c>
    </row>
    <row r="658" spans="1:10" x14ac:dyDescent="0.2">
      <c r="A658" s="51" t="str">
        <f>IFERROR(VLOOKUP(B658,點上線資訊!A:R,18,0),"")</f>
        <v/>
      </c>
      <c r="B658" s="41">
        <f>'MB51'!A658</f>
        <v>0</v>
      </c>
      <c r="C658" s="60" t="str">
        <f>IFERROR(VLOOKUP(B658,'MB51'!A:I,9,0),"")</f>
        <v/>
      </c>
      <c r="D658" s="61" t="str">
        <f>IFERROR(VLOOKUP(B658,'MB51'!A:J,10,0),"")</f>
        <v/>
      </c>
      <c r="E658" s="62" t="str">
        <f>IFERROR(VLOOKUP(B658,'MB51'!A:K,11,0),"")</f>
        <v/>
      </c>
      <c r="F658" s="42" t="str">
        <f>IFERROR(VLOOKUP(B658,'MB51'!A:F,6,0),"")</f>
        <v/>
      </c>
      <c r="G658" s="17" t="str">
        <f t="shared" si="30"/>
        <v>點揀料單</v>
      </c>
      <c r="H658" s="17">
        <f t="shared" si="31"/>
        <v>0</v>
      </c>
      <c r="I658" t="str">
        <f t="shared" si="32"/>
        <v/>
      </c>
      <c r="J658" t="str">
        <f>SUBSTITUTE(IF(COUNTIF(I$2:I658,I658)&gt;1,"",1)," ","")</f>
        <v/>
      </c>
    </row>
    <row r="659" spans="1:10" x14ac:dyDescent="0.2">
      <c r="A659" s="51" t="str">
        <f>IFERROR(VLOOKUP(B659,點上線資訊!A:R,18,0),"")</f>
        <v/>
      </c>
      <c r="B659" s="41">
        <f>'MB51'!A659</f>
        <v>0</v>
      </c>
      <c r="C659" s="60" t="str">
        <f>IFERROR(VLOOKUP(B659,'MB51'!A:I,9,0),"")</f>
        <v/>
      </c>
      <c r="D659" s="61" t="str">
        <f>IFERROR(VLOOKUP(B659,'MB51'!A:J,10,0),"")</f>
        <v/>
      </c>
      <c r="E659" s="62" t="str">
        <f>IFERROR(VLOOKUP(B659,'MB51'!A:K,11,0),"")</f>
        <v/>
      </c>
      <c r="F659" s="42" t="str">
        <f>IFERROR(VLOOKUP(B659,'MB51'!A:F,6,0),"")</f>
        <v/>
      </c>
      <c r="G659" s="17" t="str">
        <f t="shared" si="30"/>
        <v>點揀料單</v>
      </c>
      <c r="H659" s="17">
        <f t="shared" si="31"/>
        <v>0</v>
      </c>
      <c r="I659" t="str">
        <f t="shared" si="32"/>
        <v/>
      </c>
      <c r="J659" t="str">
        <f>SUBSTITUTE(IF(COUNTIF(I$2:I659,I659)&gt;1,"",1)," ","")</f>
        <v/>
      </c>
    </row>
    <row r="660" spans="1:10" x14ac:dyDescent="0.2">
      <c r="A660" s="51" t="str">
        <f>IFERROR(VLOOKUP(B660,點上線資訊!A:R,18,0),"")</f>
        <v/>
      </c>
      <c r="B660" s="41">
        <f>'MB51'!A660</f>
        <v>0</v>
      </c>
      <c r="C660" s="60" t="str">
        <f>IFERROR(VLOOKUP(B660,'MB51'!A:I,9,0),"")</f>
        <v/>
      </c>
      <c r="D660" s="61" t="str">
        <f>IFERROR(VLOOKUP(B660,'MB51'!A:J,10,0),"")</f>
        <v/>
      </c>
      <c r="E660" s="62" t="str">
        <f>IFERROR(VLOOKUP(B660,'MB51'!A:K,11,0),"")</f>
        <v/>
      </c>
      <c r="F660" s="42" t="str">
        <f>IFERROR(VLOOKUP(B660,'MB51'!A:F,6,0),"")</f>
        <v/>
      </c>
      <c r="G660" s="17" t="str">
        <f t="shared" si="30"/>
        <v>點揀料單</v>
      </c>
      <c r="H660" s="17">
        <f t="shared" si="31"/>
        <v>0</v>
      </c>
      <c r="I660" t="str">
        <f t="shared" si="32"/>
        <v/>
      </c>
      <c r="J660" t="str">
        <f>SUBSTITUTE(IF(COUNTIF(I$2:I660,I660)&gt;1,"",1)," ","")</f>
        <v/>
      </c>
    </row>
    <row r="661" spans="1:10" x14ac:dyDescent="0.2">
      <c r="A661" s="51" t="str">
        <f>IFERROR(VLOOKUP(B661,點上線資訊!A:R,18,0),"")</f>
        <v/>
      </c>
      <c r="B661" s="41">
        <f>'MB51'!A661</f>
        <v>0</v>
      </c>
      <c r="C661" s="60" t="str">
        <f>IFERROR(VLOOKUP(B661,'MB51'!A:I,9,0),"")</f>
        <v/>
      </c>
      <c r="D661" s="61" t="str">
        <f>IFERROR(VLOOKUP(B661,'MB51'!A:J,10,0),"")</f>
        <v/>
      </c>
      <c r="E661" s="62" t="str">
        <f>IFERROR(VLOOKUP(B661,'MB51'!A:K,11,0),"")</f>
        <v/>
      </c>
      <c r="F661" s="42" t="str">
        <f>IFERROR(VLOOKUP(B661,'MB51'!A:F,6,0),"")</f>
        <v/>
      </c>
      <c r="G661" s="17" t="str">
        <f t="shared" si="30"/>
        <v>點揀料單</v>
      </c>
      <c r="H661" s="17">
        <f t="shared" si="31"/>
        <v>0</v>
      </c>
      <c r="I661" t="str">
        <f t="shared" si="32"/>
        <v/>
      </c>
      <c r="J661" t="str">
        <f>SUBSTITUTE(IF(COUNTIF(I$2:I661,I661)&gt;1,"",1)," ","")</f>
        <v/>
      </c>
    </row>
    <row r="662" spans="1:10" x14ac:dyDescent="0.2">
      <c r="A662" s="51" t="str">
        <f>IFERROR(VLOOKUP(B662,點上線資訊!A:R,18,0),"")</f>
        <v/>
      </c>
      <c r="B662" s="41">
        <f>'MB51'!A662</f>
        <v>0</v>
      </c>
      <c r="C662" s="60" t="str">
        <f>IFERROR(VLOOKUP(B662,'MB51'!A:I,9,0),"")</f>
        <v/>
      </c>
      <c r="D662" s="61" t="str">
        <f>IFERROR(VLOOKUP(B662,'MB51'!A:J,10,0),"")</f>
        <v/>
      </c>
      <c r="E662" s="62" t="str">
        <f>IFERROR(VLOOKUP(B662,'MB51'!A:K,11,0),"")</f>
        <v/>
      </c>
      <c r="F662" s="42" t="str">
        <f>IFERROR(VLOOKUP(B662,'MB51'!A:F,6,0),"")</f>
        <v/>
      </c>
      <c r="G662" s="17" t="str">
        <f t="shared" si="30"/>
        <v>點揀料單</v>
      </c>
      <c r="H662" s="17">
        <f t="shared" si="31"/>
        <v>0</v>
      </c>
      <c r="I662" t="str">
        <f t="shared" si="32"/>
        <v/>
      </c>
      <c r="J662" t="str">
        <f>SUBSTITUTE(IF(COUNTIF(I$2:I662,I662)&gt;1,"",1)," ","")</f>
        <v/>
      </c>
    </row>
    <row r="663" spans="1:10" x14ac:dyDescent="0.2">
      <c r="A663" s="51" t="str">
        <f>IFERROR(VLOOKUP(B663,點上線資訊!A:R,18,0),"")</f>
        <v/>
      </c>
      <c r="B663" s="41">
        <f>'MB51'!A663</f>
        <v>0</v>
      </c>
      <c r="C663" s="60" t="str">
        <f>IFERROR(VLOOKUP(B663,'MB51'!A:I,9,0),"")</f>
        <v/>
      </c>
      <c r="D663" s="61" t="str">
        <f>IFERROR(VLOOKUP(B663,'MB51'!A:J,10,0),"")</f>
        <v/>
      </c>
      <c r="E663" s="62" t="str">
        <f>IFERROR(VLOOKUP(B663,'MB51'!A:K,11,0),"")</f>
        <v/>
      </c>
      <c r="F663" s="42" t="str">
        <f>IFERROR(VLOOKUP(B663,'MB51'!A:F,6,0),"")</f>
        <v/>
      </c>
      <c r="G663" s="17" t="str">
        <f t="shared" si="30"/>
        <v>點揀料單</v>
      </c>
      <c r="H663" s="17">
        <f t="shared" si="31"/>
        <v>0</v>
      </c>
      <c r="I663" t="str">
        <f t="shared" si="32"/>
        <v/>
      </c>
      <c r="J663" t="str">
        <f>SUBSTITUTE(IF(COUNTIF(I$2:I663,I663)&gt;1,"",1)," ","")</f>
        <v/>
      </c>
    </row>
    <row r="664" spans="1:10" x14ac:dyDescent="0.2">
      <c r="A664" s="51" t="str">
        <f>IFERROR(VLOOKUP(B664,點上線資訊!A:R,18,0),"")</f>
        <v/>
      </c>
      <c r="B664" s="41">
        <f>'MB51'!A664</f>
        <v>0</v>
      </c>
      <c r="C664" s="60" t="str">
        <f>IFERROR(VLOOKUP(B664,'MB51'!A:I,9,0),"")</f>
        <v/>
      </c>
      <c r="D664" s="61" t="str">
        <f>IFERROR(VLOOKUP(B664,'MB51'!A:J,10,0),"")</f>
        <v/>
      </c>
      <c r="E664" s="62" t="str">
        <f>IFERROR(VLOOKUP(B664,'MB51'!A:K,11,0),"")</f>
        <v/>
      </c>
      <c r="F664" s="42" t="str">
        <f>IFERROR(VLOOKUP(B664,'MB51'!A:F,6,0),"")</f>
        <v/>
      </c>
      <c r="G664" s="17" t="str">
        <f t="shared" si="30"/>
        <v>點揀料單</v>
      </c>
      <c r="H664" s="17">
        <f t="shared" si="31"/>
        <v>0</v>
      </c>
      <c r="I664" t="str">
        <f t="shared" si="32"/>
        <v/>
      </c>
      <c r="J664" t="str">
        <f>SUBSTITUTE(IF(COUNTIF(I$2:I664,I664)&gt;1,"",1)," ","")</f>
        <v/>
      </c>
    </row>
    <row r="665" spans="1:10" x14ac:dyDescent="0.2">
      <c r="A665" s="51" t="str">
        <f>IFERROR(VLOOKUP(B665,點上線資訊!A:R,18,0),"")</f>
        <v/>
      </c>
      <c r="B665" s="41">
        <f>'MB51'!A665</f>
        <v>0</v>
      </c>
      <c r="C665" s="60" t="str">
        <f>IFERROR(VLOOKUP(B665,'MB51'!A:I,9,0),"")</f>
        <v/>
      </c>
      <c r="D665" s="61" t="str">
        <f>IFERROR(VLOOKUP(B665,'MB51'!A:J,10,0),"")</f>
        <v/>
      </c>
      <c r="E665" s="62" t="str">
        <f>IFERROR(VLOOKUP(B665,'MB51'!A:K,11,0),"")</f>
        <v/>
      </c>
      <c r="F665" s="42" t="str">
        <f>IFERROR(VLOOKUP(B665,'MB51'!A:F,6,0),"")</f>
        <v/>
      </c>
      <c r="G665" s="17" t="str">
        <f t="shared" si="30"/>
        <v>點揀料單</v>
      </c>
      <c r="H665" s="17">
        <f t="shared" si="31"/>
        <v>0</v>
      </c>
      <c r="I665" t="str">
        <f t="shared" si="32"/>
        <v/>
      </c>
      <c r="J665" t="str">
        <f>SUBSTITUTE(IF(COUNTIF(I$2:I665,I665)&gt;1,"",1)," ","")</f>
        <v/>
      </c>
    </row>
    <row r="666" spans="1:10" x14ac:dyDescent="0.2">
      <c r="A666" s="51" t="str">
        <f>IFERROR(VLOOKUP(B666,點上線資訊!A:R,18,0),"")</f>
        <v/>
      </c>
      <c r="B666" s="41">
        <f>'MB51'!A666</f>
        <v>0</v>
      </c>
      <c r="C666" s="60" t="str">
        <f>IFERROR(VLOOKUP(B666,'MB51'!A:I,9,0),"")</f>
        <v/>
      </c>
      <c r="D666" s="61" t="str">
        <f>IFERROR(VLOOKUP(B666,'MB51'!A:J,10,0),"")</f>
        <v/>
      </c>
      <c r="E666" s="62" t="str">
        <f>IFERROR(VLOOKUP(B666,'MB51'!A:K,11,0),"")</f>
        <v/>
      </c>
      <c r="F666" s="42" t="str">
        <f>IFERROR(VLOOKUP(B666,'MB51'!A:F,6,0),"")</f>
        <v/>
      </c>
      <c r="G666" s="17" t="str">
        <f t="shared" si="30"/>
        <v>點揀料單</v>
      </c>
      <c r="H666" s="17">
        <f t="shared" si="31"/>
        <v>0</v>
      </c>
      <c r="I666" t="str">
        <f t="shared" si="32"/>
        <v/>
      </c>
      <c r="J666" t="str">
        <f>SUBSTITUTE(IF(COUNTIF(I$2:I666,I666)&gt;1,"",1)," ","")</f>
        <v/>
      </c>
    </row>
    <row r="667" spans="1:10" x14ac:dyDescent="0.2">
      <c r="A667" s="51" t="str">
        <f>IFERROR(VLOOKUP(B667,點上線資訊!A:R,18,0),"")</f>
        <v/>
      </c>
      <c r="B667" s="41">
        <f>'MB51'!A667</f>
        <v>0</v>
      </c>
      <c r="C667" s="60" t="str">
        <f>IFERROR(VLOOKUP(B667,'MB51'!A:I,9,0),"")</f>
        <v/>
      </c>
      <c r="D667" s="61" t="str">
        <f>IFERROR(VLOOKUP(B667,'MB51'!A:J,10,0),"")</f>
        <v/>
      </c>
      <c r="E667" s="62" t="str">
        <f>IFERROR(VLOOKUP(B667,'MB51'!A:K,11,0),"")</f>
        <v/>
      </c>
      <c r="F667" s="42" t="str">
        <f>IFERROR(VLOOKUP(B667,'MB51'!A:F,6,0),"")</f>
        <v/>
      </c>
      <c r="G667" s="17" t="str">
        <f t="shared" si="30"/>
        <v>點揀料單</v>
      </c>
      <c r="H667" s="17">
        <f t="shared" si="31"/>
        <v>0</v>
      </c>
      <c r="I667" t="str">
        <f t="shared" si="32"/>
        <v/>
      </c>
      <c r="J667" t="str">
        <f>SUBSTITUTE(IF(COUNTIF(I$2:I667,I667)&gt;1,"",1)," ","")</f>
        <v/>
      </c>
    </row>
    <row r="668" spans="1:10" x14ac:dyDescent="0.2">
      <c r="A668" s="51" t="str">
        <f>IFERROR(VLOOKUP(B668,點上線資訊!A:R,18,0),"")</f>
        <v/>
      </c>
      <c r="B668" s="41">
        <f>'MB51'!A668</f>
        <v>0</v>
      </c>
      <c r="C668" s="60" t="str">
        <f>IFERROR(VLOOKUP(B668,'MB51'!A:I,9,0),"")</f>
        <v/>
      </c>
      <c r="D668" s="61" t="str">
        <f>IFERROR(VLOOKUP(B668,'MB51'!A:J,10,0),"")</f>
        <v/>
      </c>
      <c r="E668" s="62" t="str">
        <f>IFERROR(VLOOKUP(B668,'MB51'!A:K,11,0),"")</f>
        <v/>
      </c>
      <c r="F668" s="42" t="str">
        <f>IFERROR(VLOOKUP(B668,'MB51'!A:F,6,0),"")</f>
        <v/>
      </c>
      <c r="G668" s="17" t="str">
        <f t="shared" si="30"/>
        <v>點揀料單</v>
      </c>
      <c r="H668" s="17">
        <f t="shared" si="31"/>
        <v>0</v>
      </c>
      <c r="I668" t="str">
        <f t="shared" si="32"/>
        <v/>
      </c>
      <c r="J668" t="str">
        <f>SUBSTITUTE(IF(COUNTIF(I$2:I668,I668)&gt;1,"",1)," ","")</f>
        <v/>
      </c>
    </row>
    <row r="669" spans="1:10" x14ac:dyDescent="0.2">
      <c r="A669" s="51" t="str">
        <f>IFERROR(VLOOKUP(B669,點上線資訊!A:R,18,0),"")</f>
        <v/>
      </c>
      <c r="B669" s="41">
        <f>'MB51'!A669</f>
        <v>0</v>
      </c>
      <c r="C669" s="60" t="str">
        <f>IFERROR(VLOOKUP(B669,'MB51'!A:I,9,0),"")</f>
        <v/>
      </c>
      <c r="D669" s="61" t="str">
        <f>IFERROR(VLOOKUP(B669,'MB51'!A:J,10,0),"")</f>
        <v/>
      </c>
      <c r="E669" s="62" t="str">
        <f>IFERROR(VLOOKUP(B669,'MB51'!A:K,11,0),"")</f>
        <v/>
      </c>
      <c r="F669" s="42" t="str">
        <f>IFERROR(VLOOKUP(B669,'MB51'!A:F,6,0),"")</f>
        <v/>
      </c>
      <c r="G669" s="17" t="str">
        <f t="shared" si="30"/>
        <v>點揀料單</v>
      </c>
      <c r="H669" s="17">
        <f t="shared" si="31"/>
        <v>0</v>
      </c>
      <c r="I669" t="str">
        <f t="shared" si="32"/>
        <v/>
      </c>
      <c r="J669" t="str">
        <f>SUBSTITUTE(IF(COUNTIF(I$2:I669,I669)&gt;1,"",1)," ","")</f>
        <v/>
      </c>
    </row>
    <row r="670" spans="1:10" x14ac:dyDescent="0.2">
      <c r="A670" s="51" t="str">
        <f>IFERROR(VLOOKUP(B670,點上線資訊!A:R,18,0),"")</f>
        <v/>
      </c>
      <c r="B670" s="41">
        <f>'MB51'!A670</f>
        <v>0</v>
      </c>
      <c r="C670" s="60" t="str">
        <f>IFERROR(VLOOKUP(B670,'MB51'!A:I,9,0),"")</f>
        <v/>
      </c>
      <c r="D670" s="61" t="str">
        <f>IFERROR(VLOOKUP(B670,'MB51'!A:J,10,0),"")</f>
        <v/>
      </c>
      <c r="E670" s="62" t="str">
        <f>IFERROR(VLOOKUP(B670,'MB51'!A:K,11,0),"")</f>
        <v/>
      </c>
      <c r="F670" s="42" t="str">
        <f>IFERROR(VLOOKUP(B670,'MB51'!A:F,6,0),"")</f>
        <v/>
      </c>
      <c r="G670" s="17" t="str">
        <f t="shared" si="30"/>
        <v>點揀料單</v>
      </c>
      <c r="H670" s="17">
        <f t="shared" si="31"/>
        <v>0</v>
      </c>
      <c r="I670" t="str">
        <f t="shared" si="32"/>
        <v/>
      </c>
      <c r="J670" t="str">
        <f>SUBSTITUTE(IF(COUNTIF(I$2:I670,I670)&gt;1,"",1)," ","")</f>
        <v/>
      </c>
    </row>
    <row r="671" spans="1:10" x14ac:dyDescent="0.2">
      <c r="A671" s="51" t="str">
        <f>IFERROR(VLOOKUP(B671,點上線資訊!A:R,18,0),"")</f>
        <v/>
      </c>
      <c r="B671" s="41">
        <f>'MB51'!A671</f>
        <v>0</v>
      </c>
      <c r="C671" s="60" t="str">
        <f>IFERROR(VLOOKUP(B671,'MB51'!A:I,9,0),"")</f>
        <v/>
      </c>
      <c r="D671" s="61" t="str">
        <f>IFERROR(VLOOKUP(B671,'MB51'!A:J,10,0),"")</f>
        <v/>
      </c>
      <c r="E671" s="62" t="str">
        <f>IFERROR(VLOOKUP(B671,'MB51'!A:K,11,0),"")</f>
        <v/>
      </c>
      <c r="F671" s="42" t="str">
        <f>IFERROR(VLOOKUP(B671,'MB51'!A:F,6,0),"")</f>
        <v/>
      </c>
      <c r="G671" s="17" t="str">
        <f t="shared" si="30"/>
        <v>點揀料單</v>
      </c>
      <c r="H671" s="17">
        <f t="shared" si="31"/>
        <v>0</v>
      </c>
      <c r="I671" t="str">
        <f t="shared" si="32"/>
        <v/>
      </c>
      <c r="J671" t="str">
        <f>SUBSTITUTE(IF(COUNTIF(I$2:I671,I671)&gt;1,"",1)," ","")</f>
        <v/>
      </c>
    </row>
    <row r="672" spans="1:10" x14ac:dyDescent="0.2">
      <c r="A672" s="51" t="str">
        <f>IFERROR(VLOOKUP(B672,點上線資訊!A:R,18,0),"")</f>
        <v/>
      </c>
      <c r="B672" s="41">
        <f>'MB51'!A672</f>
        <v>0</v>
      </c>
      <c r="C672" s="60" t="str">
        <f>IFERROR(VLOOKUP(B672,'MB51'!A:I,9,0),"")</f>
        <v/>
      </c>
      <c r="D672" s="61" t="str">
        <f>IFERROR(VLOOKUP(B672,'MB51'!A:J,10,0),"")</f>
        <v/>
      </c>
      <c r="E672" s="62" t="str">
        <f>IFERROR(VLOOKUP(B672,'MB51'!A:K,11,0),"")</f>
        <v/>
      </c>
      <c r="F672" s="42" t="str">
        <f>IFERROR(VLOOKUP(B672,'MB51'!A:F,6,0),"")</f>
        <v/>
      </c>
      <c r="G672" s="17" t="str">
        <f t="shared" si="30"/>
        <v>點揀料單</v>
      </c>
      <c r="H672" s="17">
        <f t="shared" si="31"/>
        <v>0</v>
      </c>
      <c r="I672" t="str">
        <f t="shared" si="32"/>
        <v/>
      </c>
      <c r="J672" t="str">
        <f>SUBSTITUTE(IF(COUNTIF(I$2:I672,I672)&gt;1,"",1)," ","")</f>
        <v/>
      </c>
    </row>
    <row r="673" spans="1:10" x14ac:dyDescent="0.2">
      <c r="A673" s="51" t="str">
        <f>IFERROR(VLOOKUP(B673,點上線資訊!A:R,18,0),"")</f>
        <v/>
      </c>
      <c r="B673" s="41">
        <f>'MB51'!A673</f>
        <v>0</v>
      </c>
      <c r="C673" s="60" t="str">
        <f>IFERROR(VLOOKUP(B673,'MB51'!A:I,9,0),"")</f>
        <v/>
      </c>
      <c r="D673" s="61" t="str">
        <f>IFERROR(VLOOKUP(B673,'MB51'!A:J,10,0),"")</f>
        <v/>
      </c>
      <c r="E673" s="62" t="str">
        <f>IFERROR(VLOOKUP(B673,'MB51'!A:K,11,0),"")</f>
        <v/>
      </c>
      <c r="F673" s="42" t="str">
        <f>IFERROR(VLOOKUP(B673,'MB51'!A:F,6,0),"")</f>
        <v/>
      </c>
      <c r="G673" s="17" t="str">
        <f t="shared" si="30"/>
        <v>點揀料單</v>
      </c>
      <c r="H673" s="17">
        <f t="shared" si="31"/>
        <v>0</v>
      </c>
      <c r="I673" t="str">
        <f t="shared" si="32"/>
        <v/>
      </c>
      <c r="J673" t="str">
        <f>SUBSTITUTE(IF(COUNTIF(I$2:I673,I673)&gt;1,"",1)," ","")</f>
        <v/>
      </c>
    </row>
    <row r="674" spans="1:10" x14ac:dyDescent="0.2">
      <c r="A674" s="51" t="str">
        <f>IFERROR(VLOOKUP(B674,點上線資訊!A:R,18,0),"")</f>
        <v/>
      </c>
      <c r="B674" s="41">
        <f>'MB51'!A674</f>
        <v>0</v>
      </c>
      <c r="C674" s="60" t="str">
        <f>IFERROR(VLOOKUP(B674,'MB51'!A:I,9,0),"")</f>
        <v/>
      </c>
      <c r="D674" s="61" t="str">
        <f>IFERROR(VLOOKUP(B674,'MB51'!A:J,10,0),"")</f>
        <v/>
      </c>
      <c r="E674" s="62" t="str">
        <f>IFERROR(VLOOKUP(B674,'MB51'!A:K,11,0),"")</f>
        <v/>
      </c>
      <c r="F674" s="42" t="str">
        <f>IFERROR(VLOOKUP(B674,'MB51'!A:F,6,0),"")</f>
        <v/>
      </c>
      <c r="G674" s="17" t="str">
        <f t="shared" si="30"/>
        <v>點揀料單</v>
      </c>
      <c r="H674" s="17">
        <f t="shared" si="31"/>
        <v>0</v>
      </c>
      <c r="I674" t="str">
        <f t="shared" si="32"/>
        <v/>
      </c>
      <c r="J674" t="str">
        <f>SUBSTITUTE(IF(COUNTIF(I$2:I674,I674)&gt;1,"",1)," ","")</f>
        <v/>
      </c>
    </row>
    <row r="675" spans="1:10" x14ac:dyDescent="0.2">
      <c r="A675" s="51" t="str">
        <f>IFERROR(VLOOKUP(B675,點上線資訊!A:R,18,0),"")</f>
        <v/>
      </c>
      <c r="B675" s="41">
        <f>'MB51'!A675</f>
        <v>0</v>
      </c>
      <c r="C675" s="60" t="str">
        <f>IFERROR(VLOOKUP(B675,'MB51'!A:I,9,0),"")</f>
        <v/>
      </c>
      <c r="D675" s="61" t="str">
        <f>IFERROR(VLOOKUP(B675,'MB51'!A:J,10,0),"")</f>
        <v/>
      </c>
      <c r="E675" s="62" t="str">
        <f>IFERROR(VLOOKUP(B675,'MB51'!A:K,11,0),"")</f>
        <v/>
      </c>
      <c r="F675" s="42" t="str">
        <f>IFERROR(VLOOKUP(B675,'MB51'!A:F,6,0),"")</f>
        <v/>
      </c>
      <c r="G675" s="17" t="str">
        <f t="shared" si="30"/>
        <v>點揀料單</v>
      </c>
      <c r="H675" s="17">
        <f t="shared" si="31"/>
        <v>0</v>
      </c>
      <c r="I675" t="str">
        <f t="shared" si="32"/>
        <v/>
      </c>
      <c r="J675" t="str">
        <f>SUBSTITUTE(IF(COUNTIF(I$2:I675,I675)&gt;1,"",1)," ","")</f>
        <v/>
      </c>
    </row>
    <row r="676" spans="1:10" x14ac:dyDescent="0.2">
      <c r="A676" s="51" t="str">
        <f>IFERROR(VLOOKUP(B676,點上線資訊!A:R,18,0),"")</f>
        <v/>
      </c>
      <c r="B676" s="41">
        <f>'MB51'!A676</f>
        <v>0</v>
      </c>
      <c r="C676" s="60" t="str">
        <f>IFERROR(VLOOKUP(B676,'MB51'!A:I,9,0),"")</f>
        <v/>
      </c>
      <c r="D676" s="61" t="str">
        <f>IFERROR(VLOOKUP(B676,'MB51'!A:J,10,0),"")</f>
        <v/>
      </c>
      <c r="E676" s="62" t="str">
        <f>IFERROR(VLOOKUP(B676,'MB51'!A:K,11,0),"")</f>
        <v/>
      </c>
      <c r="F676" s="42" t="str">
        <f>IFERROR(VLOOKUP(B676,'MB51'!A:F,6,0),"")</f>
        <v/>
      </c>
      <c r="G676" s="17" t="str">
        <f t="shared" si="30"/>
        <v>點揀料單</v>
      </c>
      <c r="H676" s="17">
        <f t="shared" si="31"/>
        <v>0</v>
      </c>
      <c r="I676" t="str">
        <f t="shared" si="32"/>
        <v/>
      </c>
      <c r="J676" t="str">
        <f>SUBSTITUTE(IF(COUNTIF(I$2:I676,I676)&gt;1,"",1)," ","")</f>
        <v/>
      </c>
    </row>
    <row r="677" spans="1:10" x14ac:dyDescent="0.2">
      <c r="A677" s="51" t="str">
        <f>IFERROR(VLOOKUP(B677,點上線資訊!A:R,18,0),"")</f>
        <v/>
      </c>
      <c r="B677" s="41">
        <f>'MB51'!A677</f>
        <v>0</v>
      </c>
      <c r="C677" s="60" t="str">
        <f>IFERROR(VLOOKUP(B677,'MB51'!A:I,9,0),"")</f>
        <v/>
      </c>
      <c r="D677" s="61" t="str">
        <f>IFERROR(VLOOKUP(B677,'MB51'!A:J,10,0),"")</f>
        <v/>
      </c>
      <c r="E677" s="62" t="str">
        <f>IFERROR(VLOOKUP(B677,'MB51'!A:K,11,0),"")</f>
        <v/>
      </c>
      <c r="F677" s="42" t="str">
        <f>IFERROR(VLOOKUP(B677,'MB51'!A:F,6,0),"")</f>
        <v/>
      </c>
      <c r="G677" s="17" t="str">
        <f t="shared" si="30"/>
        <v>點揀料單</v>
      </c>
      <c r="H677" s="17">
        <f t="shared" si="31"/>
        <v>0</v>
      </c>
      <c r="I677" t="str">
        <f t="shared" si="32"/>
        <v/>
      </c>
      <c r="J677" t="str">
        <f>SUBSTITUTE(IF(COUNTIF(I$2:I677,I677)&gt;1,"",1)," ","")</f>
        <v/>
      </c>
    </row>
    <row r="678" spans="1:10" x14ac:dyDescent="0.2">
      <c r="A678" s="51" t="str">
        <f>IFERROR(VLOOKUP(B678,點上線資訊!A:R,18,0),"")</f>
        <v/>
      </c>
      <c r="B678" s="41">
        <f>'MB51'!A678</f>
        <v>0</v>
      </c>
      <c r="C678" s="60" t="str">
        <f>IFERROR(VLOOKUP(B678,'MB51'!A:I,9,0),"")</f>
        <v/>
      </c>
      <c r="D678" s="61" t="str">
        <f>IFERROR(VLOOKUP(B678,'MB51'!A:J,10,0),"")</f>
        <v/>
      </c>
      <c r="E678" s="62" t="str">
        <f>IFERROR(VLOOKUP(B678,'MB51'!A:K,11,0),"")</f>
        <v/>
      </c>
      <c r="F678" s="42" t="str">
        <f>IFERROR(VLOOKUP(B678,'MB51'!A:F,6,0),"")</f>
        <v/>
      </c>
      <c r="G678" s="17" t="str">
        <f t="shared" si="30"/>
        <v>點揀料單</v>
      </c>
      <c r="H678" s="17">
        <f t="shared" si="31"/>
        <v>0</v>
      </c>
      <c r="I678" t="str">
        <f t="shared" si="32"/>
        <v/>
      </c>
      <c r="J678" t="str">
        <f>SUBSTITUTE(IF(COUNTIF(I$2:I678,I678)&gt;1,"",1)," ","")</f>
        <v/>
      </c>
    </row>
    <row r="679" spans="1:10" x14ac:dyDescent="0.2">
      <c r="A679" s="51" t="str">
        <f>IFERROR(VLOOKUP(B679,點上線資訊!A:R,18,0),"")</f>
        <v/>
      </c>
      <c r="B679" s="41">
        <f>'MB51'!A679</f>
        <v>0</v>
      </c>
      <c r="C679" s="60" t="str">
        <f>IFERROR(VLOOKUP(B679,'MB51'!A:I,9,0),"")</f>
        <v/>
      </c>
      <c r="D679" s="61" t="str">
        <f>IFERROR(VLOOKUP(B679,'MB51'!A:J,10,0),"")</f>
        <v/>
      </c>
      <c r="E679" s="62" t="str">
        <f>IFERROR(VLOOKUP(B679,'MB51'!A:K,11,0),"")</f>
        <v/>
      </c>
      <c r="F679" s="42" t="str">
        <f>IFERROR(VLOOKUP(B679,'MB51'!A:F,6,0),"")</f>
        <v/>
      </c>
      <c r="G679" s="17" t="str">
        <f t="shared" si="30"/>
        <v>點揀料單</v>
      </c>
      <c r="H679" s="17">
        <f t="shared" si="31"/>
        <v>0</v>
      </c>
      <c r="I679" t="str">
        <f t="shared" si="32"/>
        <v/>
      </c>
      <c r="J679" t="str">
        <f>SUBSTITUTE(IF(COUNTIF(I$2:I679,I679)&gt;1,"",1)," ","")</f>
        <v/>
      </c>
    </row>
    <row r="680" spans="1:10" x14ac:dyDescent="0.2">
      <c r="A680" s="51" t="str">
        <f>IFERROR(VLOOKUP(B680,點上線資訊!A:R,18,0),"")</f>
        <v/>
      </c>
      <c r="B680" s="41">
        <f>'MB51'!A680</f>
        <v>0</v>
      </c>
      <c r="C680" s="60" t="str">
        <f>IFERROR(VLOOKUP(B680,'MB51'!A:I,9,0),"")</f>
        <v/>
      </c>
      <c r="D680" s="61" t="str">
        <f>IFERROR(VLOOKUP(B680,'MB51'!A:J,10,0),"")</f>
        <v/>
      </c>
      <c r="E680" s="62" t="str">
        <f>IFERROR(VLOOKUP(B680,'MB51'!A:K,11,0),"")</f>
        <v/>
      </c>
      <c r="F680" s="42" t="str">
        <f>IFERROR(VLOOKUP(B680,'MB51'!A:F,6,0),"")</f>
        <v/>
      </c>
      <c r="G680" s="17" t="str">
        <f t="shared" si="30"/>
        <v>點揀料單</v>
      </c>
      <c r="H680" s="17">
        <f t="shared" si="31"/>
        <v>0</v>
      </c>
      <c r="I680" t="str">
        <f t="shared" si="32"/>
        <v/>
      </c>
      <c r="J680" t="str">
        <f>SUBSTITUTE(IF(COUNTIF(I$2:I680,I680)&gt;1,"",1)," ","")</f>
        <v/>
      </c>
    </row>
    <row r="681" spans="1:10" x14ac:dyDescent="0.2">
      <c r="A681" s="51" t="str">
        <f>IFERROR(VLOOKUP(B681,點上線資訊!A:R,18,0),"")</f>
        <v/>
      </c>
      <c r="B681" s="41">
        <f>'MB51'!A681</f>
        <v>0</v>
      </c>
      <c r="C681" s="60" t="str">
        <f>IFERROR(VLOOKUP(B681,'MB51'!A:I,9,0),"")</f>
        <v/>
      </c>
      <c r="D681" s="61" t="str">
        <f>IFERROR(VLOOKUP(B681,'MB51'!A:J,10,0),"")</f>
        <v/>
      </c>
      <c r="E681" s="62" t="str">
        <f>IFERROR(VLOOKUP(B681,'MB51'!A:K,11,0),"")</f>
        <v/>
      </c>
      <c r="F681" s="42" t="str">
        <f>IFERROR(VLOOKUP(B681,'MB51'!A:F,6,0),"")</f>
        <v/>
      </c>
      <c r="G681" s="17" t="str">
        <f t="shared" si="30"/>
        <v>點揀料單</v>
      </c>
      <c r="H681" s="17">
        <f t="shared" si="31"/>
        <v>0</v>
      </c>
      <c r="I681" t="str">
        <f t="shared" si="32"/>
        <v/>
      </c>
      <c r="J681" t="str">
        <f>SUBSTITUTE(IF(COUNTIF(I$2:I681,I681)&gt;1,"",1)," ","")</f>
        <v/>
      </c>
    </row>
    <row r="682" spans="1:10" x14ac:dyDescent="0.2">
      <c r="A682" s="51" t="str">
        <f>IFERROR(VLOOKUP(B682,點上線資訊!A:R,18,0),"")</f>
        <v/>
      </c>
      <c r="B682" s="41">
        <f>'MB51'!A682</f>
        <v>0</v>
      </c>
      <c r="C682" s="60" t="str">
        <f>IFERROR(VLOOKUP(B682,'MB51'!A:I,9,0),"")</f>
        <v/>
      </c>
      <c r="D682" s="61" t="str">
        <f>IFERROR(VLOOKUP(B682,'MB51'!A:J,10,0),"")</f>
        <v/>
      </c>
      <c r="E682" s="62" t="str">
        <f>IFERROR(VLOOKUP(B682,'MB51'!A:K,11,0),"")</f>
        <v/>
      </c>
      <c r="F682" s="42" t="str">
        <f>IFERROR(VLOOKUP(B682,'MB51'!A:F,6,0),"")</f>
        <v/>
      </c>
      <c r="G682" s="17" t="str">
        <f t="shared" si="30"/>
        <v>點揀料單</v>
      </c>
      <c r="H682" s="17">
        <f t="shared" si="31"/>
        <v>0</v>
      </c>
      <c r="I682" t="str">
        <f t="shared" si="32"/>
        <v/>
      </c>
      <c r="J682" t="str">
        <f>SUBSTITUTE(IF(COUNTIF(I$2:I682,I682)&gt;1,"",1)," ","")</f>
        <v/>
      </c>
    </row>
    <row r="683" spans="1:10" x14ac:dyDescent="0.2">
      <c r="A683" s="51" t="str">
        <f>IFERROR(VLOOKUP(B683,點上線資訊!A:R,18,0),"")</f>
        <v/>
      </c>
      <c r="B683" s="41">
        <f>'MB51'!A683</f>
        <v>0</v>
      </c>
      <c r="C683" s="60" t="str">
        <f>IFERROR(VLOOKUP(B683,'MB51'!A:I,9,0),"")</f>
        <v/>
      </c>
      <c r="D683" s="61" t="str">
        <f>IFERROR(VLOOKUP(B683,'MB51'!A:J,10,0),"")</f>
        <v/>
      </c>
      <c r="E683" s="62" t="str">
        <f>IFERROR(VLOOKUP(B683,'MB51'!A:K,11,0),"")</f>
        <v/>
      </c>
      <c r="F683" s="42" t="str">
        <f>IFERROR(VLOOKUP(B683,'MB51'!A:F,6,0),"")</f>
        <v/>
      </c>
      <c r="G683" s="17" t="str">
        <f t="shared" si="30"/>
        <v>點揀料單</v>
      </c>
      <c r="H683" s="17">
        <f t="shared" si="31"/>
        <v>0</v>
      </c>
      <c r="I683" t="str">
        <f t="shared" si="32"/>
        <v/>
      </c>
      <c r="J683" t="str">
        <f>SUBSTITUTE(IF(COUNTIF(I$2:I683,I683)&gt;1,"",1)," ","")</f>
        <v/>
      </c>
    </row>
    <row r="684" spans="1:10" x14ac:dyDescent="0.2">
      <c r="A684" s="51" t="str">
        <f>IFERROR(VLOOKUP(B684,點上線資訊!A:R,18,0),"")</f>
        <v/>
      </c>
      <c r="B684" s="41">
        <f>'MB51'!A684</f>
        <v>0</v>
      </c>
      <c r="C684" s="60" t="str">
        <f>IFERROR(VLOOKUP(B684,'MB51'!A:I,9,0),"")</f>
        <v/>
      </c>
      <c r="D684" s="61" t="str">
        <f>IFERROR(VLOOKUP(B684,'MB51'!A:J,10,0),"")</f>
        <v/>
      </c>
      <c r="E684" s="62" t="str">
        <f>IFERROR(VLOOKUP(B684,'MB51'!A:K,11,0),"")</f>
        <v/>
      </c>
      <c r="F684" s="42" t="str">
        <f>IFERROR(VLOOKUP(B684,'MB51'!A:F,6,0),"")</f>
        <v/>
      </c>
      <c r="G684" s="17" t="str">
        <f t="shared" si="30"/>
        <v>點揀料單</v>
      </c>
      <c r="H684" s="17">
        <f t="shared" si="31"/>
        <v>0</v>
      </c>
      <c r="I684" t="str">
        <f t="shared" si="32"/>
        <v/>
      </c>
      <c r="J684" t="str">
        <f>SUBSTITUTE(IF(COUNTIF(I$2:I684,I684)&gt;1,"",1)," ","")</f>
        <v/>
      </c>
    </row>
    <row r="685" spans="1:10" x14ac:dyDescent="0.2">
      <c r="A685" s="51" t="str">
        <f>IFERROR(VLOOKUP(B685,點上線資訊!A:R,18,0),"")</f>
        <v/>
      </c>
      <c r="B685" s="41">
        <f>'MB51'!A685</f>
        <v>0</v>
      </c>
      <c r="C685" s="60" t="str">
        <f>IFERROR(VLOOKUP(B685,'MB51'!A:I,9,0),"")</f>
        <v/>
      </c>
      <c r="D685" s="61" t="str">
        <f>IFERROR(VLOOKUP(B685,'MB51'!A:J,10,0),"")</f>
        <v/>
      </c>
      <c r="E685" s="62" t="str">
        <f>IFERROR(VLOOKUP(B685,'MB51'!A:K,11,0),"")</f>
        <v/>
      </c>
      <c r="F685" s="42" t="str">
        <f>IFERROR(VLOOKUP(B685,'MB51'!A:F,6,0),"")</f>
        <v/>
      </c>
      <c r="G685" s="17" t="str">
        <f t="shared" si="30"/>
        <v>點揀料單</v>
      </c>
      <c r="H685" s="17">
        <f t="shared" si="31"/>
        <v>0</v>
      </c>
      <c r="I685" t="str">
        <f t="shared" si="32"/>
        <v/>
      </c>
      <c r="J685" t="str">
        <f>SUBSTITUTE(IF(COUNTIF(I$2:I685,I685)&gt;1,"",1)," ","")</f>
        <v/>
      </c>
    </row>
    <row r="686" spans="1:10" x14ac:dyDescent="0.2">
      <c r="A686" s="51" t="str">
        <f>IFERROR(VLOOKUP(B686,點上線資訊!A:R,18,0),"")</f>
        <v/>
      </c>
      <c r="B686" s="41">
        <f>'MB51'!A686</f>
        <v>0</v>
      </c>
      <c r="C686" s="60" t="str">
        <f>IFERROR(VLOOKUP(B686,'MB51'!A:I,9,0),"")</f>
        <v/>
      </c>
      <c r="D686" s="61" t="str">
        <f>IFERROR(VLOOKUP(B686,'MB51'!A:J,10,0),"")</f>
        <v/>
      </c>
      <c r="E686" s="62" t="str">
        <f>IFERROR(VLOOKUP(B686,'MB51'!A:K,11,0),"")</f>
        <v/>
      </c>
      <c r="F686" s="42" t="str">
        <f>IFERROR(VLOOKUP(B686,'MB51'!A:F,6,0),"")</f>
        <v/>
      </c>
      <c r="G686" s="17" t="str">
        <f t="shared" si="30"/>
        <v>點揀料單</v>
      </c>
      <c r="H686" s="17">
        <f t="shared" si="31"/>
        <v>0</v>
      </c>
      <c r="I686" t="str">
        <f t="shared" si="32"/>
        <v/>
      </c>
      <c r="J686" t="str">
        <f>SUBSTITUTE(IF(COUNTIF(I$2:I686,I686)&gt;1,"",1)," ","")</f>
        <v/>
      </c>
    </row>
    <row r="687" spans="1:10" x14ac:dyDescent="0.2">
      <c r="A687" s="51" t="str">
        <f>IFERROR(VLOOKUP(B687,點上線資訊!A:R,18,0),"")</f>
        <v/>
      </c>
      <c r="B687" s="41">
        <f>'MB51'!A687</f>
        <v>0</v>
      </c>
      <c r="C687" s="60" t="str">
        <f>IFERROR(VLOOKUP(B687,'MB51'!A:I,9,0),"")</f>
        <v/>
      </c>
      <c r="D687" s="61" t="str">
        <f>IFERROR(VLOOKUP(B687,'MB51'!A:J,10,0),"")</f>
        <v/>
      </c>
      <c r="E687" s="62" t="str">
        <f>IFERROR(VLOOKUP(B687,'MB51'!A:K,11,0),"")</f>
        <v/>
      </c>
      <c r="F687" s="42" t="str">
        <f>IFERROR(VLOOKUP(B687,'MB51'!A:F,6,0),"")</f>
        <v/>
      </c>
      <c r="G687" s="17" t="str">
        <f t="shared" si="30"/>
        <v>點揀料單</v>
      </c>
      <c r="H687" s="17">
        <f t="shared" si="31"/>
        <v>0</v>
      </c>
      <c r="I687" t="str">
        <f t="shared" si="32"/>
        <v/>
      </c>
      <c r="J687" t="str">
        <f>SUBSTITUTE(IF(COUNTIF(I$2:I687,I687)&gt;1,"",1)," ","")</f>
        <v/>
      </c>
    </row>
    <row r="688" spans="1:10" x14ac:dyDescent="0.2">
      <c r="A688" s="51" t="str">
        <f>IFERROR(VLOOKUP(B688,點上線資訊!A:R,18,0),"")</f>
        <v/>
      </c>
      <c r="B688" s="41">
        <f>'MB51'!A688</f>
        <v>0</v>
      </c>
      <c r="C688" s="60" t="str">
        <f>IFERROR(VLOOKUP(B688,'MB51'!A:I,9,0),"")</f>
        <v/>
      </c>
      <c r="D688" s="61" t="str">
        <f>IFERROR(VLOOKUP(B688,'MB51'!A:J,10,0),"")</f>
        <v/>
      </c>
      <c r="E688" s="62" t="str">
        <f>IFERROR(VLOOKUP(B688,'MB51'!A:K,11,0),"")</f>
        <v/>
      </c>
      <c r="F688" s="42" t="str">
        <f>IFERROR(VLOOKUP(B688,'MB51'!A:F,6,0),"")</f>
        <v/>
      </c>
      <c r="G688" s="17" t="str">
        <f t="shared" si="30"/>
        <v>點揀料單</v>
      </c>
      <c r="H688" s="17">
        <f t="shared" si="31"/>
        <v>0</v>
      </c>
      <c r="I688" t="str">
        <f t="shared" si="32"/>
        <v/>
      </c>
      <c r="J688" t="str">
        <f>SUBSTITUTE(IF(COUNTIF(I$2:I688,I688)&gt;1,"",1)," ","")</f>
        <v/>
      </c>
    </row>
    <row r="689" spans="1:10" x14ac:dyDescent="0.2">
      <c r="A689" s="51" t="str">
        <f>IFERROR(VLOOKUP(B689,點上線資訊!A:R,18,0),"")</f>
        <v/>
      </c>
      <c r="B689" s="41">
        <f>'MB51'!A689</f>
        <v>0</v>
      </c>
      <c r="C689" s="60" t="str">
        <f>IFERROR(VLOOKUP(B689,'MB51'!A:I,9,0),"")</f>
        <v/>
      </c>
      <c r="D689" s="61" t="str">
        <f>IFERROR(VLOOKUP(B689,'MB51'!A:J,10,0),"")</f>
        <v/>
      </c>
      <c r="E689" s="62" t="str">
        <f>IFERROR(VLOOKUP(B689,'MB51'!A:K,11,0),"")</f>
        <v/>
      </c>
      <c r="F689" s="42" t="str">
        <f>IFERROR(VLOOKUP(B689,'MB51'!A:F,6,0),"")</f>
        <v/>
      </c>
      <c r="G689" s="17" t="str">
        <f t="shared" si="30"/>
        <v>點揀料單</v>
      </c>
      <c r="H689" s="17">
        <f t="shared" si="31"/>
        <v>0</v>
      </c>
      <c r="I689" t="str">
        <f t="shared" si="32"/>
        <v/>
      </c>
      <c r="J689" t="str">
        <f>SUBSTITUTE(IF(COUNTIF(I$2:I689,I689)&gt;1,"",1)," ","")</f>
        <v/>
      </c>
    </row>
    <row r="690" spans="1:10" x14ac:dyDescent="0.2">
      <c r="A690" s="51" t="str">
        <f>IFERROR(VLOOKUP(B690,點上線資訊!A:R,18,0),"")</f>
        <v/>
      </c>
      <c r="B690" s="41">
        <f>'MB51'!A690</f>
        <v>0</v>
      </c>
      <c r="C690" s="60" t="str">
        <f>IFERROR(VLOOKUP(B690,'MB51'!A:I,9,0),"")</f>
        <v/>
      </c>
      <c r="D690" s="61" t="str">
        <f>IFERROR(VLOOKUP(B690,'MB51'!A:J,10,0),"")</f>
        <v/>
      </c>
      <c r="E690" s="62" t="str">
        <f>IFERROR(VLOOKUP(B690,'MB51'!A:K,11,0),"")</f>
        <v/>
      </c>
      <c r="F690" s="42" t="str">
        <f>IFERROR(VLOOKUP(B690,'MB51'!A:F,6,0),"")</f>
        <v/>
      </c>
      <c r="G690" s="17" t="str">
        <f t="shared" si="30"/>
        <v>點揀料單</v>
      </c>
      <c r="H690" s="17">
        <f t="shared" si="31"/>
        <v>0</v>
      </c>
      <c r="I690" t="str">
        <f t="shared" si="32"/>
        <v/>
      </c>
      <c r="J690" t="str">
        <f>SUBSTITUTE(IF(COUNTIF(I$2:I690,I690)&gt;1,"",1)," ","")</f>
        <v/>
      </c>
    </row>
    <row r="691" spans="1:10" x14ac:dyDescent="0.2">
      <c r="A691" s="51" t="str">
        <f>IFERROR(VLOOKUP(B691,點上線資訊!A:R,18,0),"")</f>
        <v/>
      </c>
      <c r="B691" s="41">
        <f>'MB51'!A691</f>
        <v>0</v>
      </c>
      <c r="C691" s="60" t="str">
        <f>IFERROR(VLOOKUP(B691,'MB51'!A:I,9,0),"")</f>
        <v/>
      </c>
      <c r="D691" s="61" t="str">
        <f>IFERROR(VLOOKUP(B691,'MB51'!A:J,10,0),"")</f>
        <v/>
      </c>
      <c r="E691" s="62" t="str">
        <f>IFERROR(VLOOKUP(B691,'MB51'!A:K,11,0),"")</f>
        <v/>
      </c>
      <c r="F691" s="42" t="str">
        <f>IFERROR(VLOOKUP(B691,'MB51'!A:F,6,0),"")</f>
        <v/>
      </c>
      <c r="G691" s="17" t="str">
        <f t="shared" si="30"/>
        <v>點揀料單</v>
      </c>
      <c r="H691" s="17">
        <f t="shared" si="31"/>
        <v>0</v>
      </c>
      <c r="I691" t="str">
        <f t="shared" si="32"/>
        <v/>
      </c>
      <c r="J691" t="str">
        <f>SUBSTITUTE(IF(COUNTIF(I$2:I691,I691)&gt;1,"",1)," ","")</f>
        <v/>
      </c>
    </row>
    <row r="692" spans="1:10" x14ac:dyDescent="0.2">
      <c r="A692" s="51" t="str">
        <f>IFERROR(VLOOKUP(B692,點上線資訊!A:R,18,0),"")</f>
        <v/>
      </c>
      <c r="B692" s="41">
        <f>'MB51'!A692</f>
        <v>0</v>
      </c>
      <c r="C692" s="60" t="str">
        <f>IFERROR(VLOOKUP(B692,'MB51'!A:I,9,0),"")</f>
        <v/>
      </c>
      <c r="D692" s="61" t="str">
        <f>IFERROR(VLOOKUP(B692,'MB51'!A:J,10,0),"")</f>
        <v/>
      </c>
      <c r="E692" s="62" t="str">
        <f>IFERROR(VLOOKUP(B692,'MB51'!A:K,11,0),"")</f>
        <v/>
      </c>
      <c r="F692" s="42" t="str">
        <f>IFERROR(VLOOKUP(B692,'MB51'!A:F,6,0),"")</f>
        <v/>
      </c>
      <c r="G692" s="17" t="str">
        <f t="shared" si="30"/>
        <v>點揀料單</v>
      </c>
      <c r="H692" s="17">
        <f t="shared" si="31"/>
        <v>0</v>
      </c>
      <c r="I692" t="str">
        <f t="shared" si="32"/>
        <v/>
      </c>
      <c r="J692" t="str">
        <f>SUBSTITUTE(IF(COUNTIF(I$2:I692,I692)&gt;1,"",1)," ","")</f>
        <v/>
      </c>
    </row>
    <row r="693" spans="1:10" x14ac:dyDescent="0.2">
      <c r="A693" s="51" t="str">
        <f>IFERROR(VLOOKUP(B693,點上線資訊!A:R,18,0),"")</f>
        <v/>
      </c>
      <c r="B693" s="41">
        <f>'MB51'!A693</f>
        <v>0</v>
      </c>
      <c r="C693" s="60" t="str">
        <f>IFERROR(VLOOKUP(B693,'MB51'!A:I,9,0),"")</f>
        <v/>
      </c>
      <c r="D693" s="61" t="str">
        <f>IFERROR(VLOOKUP(B693,'MB51'!A:J,10,0),"")</f>
        <v/>
      </c>
      <c r="E693" s="62" t="str">
        <f>IFERROR(VLOOKUP(B693,'MB51'!A:K,11,0),"")</f>
        <v/>
      </c>
      <c r="F693" s="42" t="str">
        <f>IFERROR(VLOOKUP(B693,'MB51'!A:F,6,0),"")</f>
        <v/>
      </c>
      <c r="G693" s="17" t="str">
        <f t="shared" si="30"/>
        <v>點揀料單</v>
      </c>
      <c r="H693" s="17">
        <f t="shared" si="31"/>
        <v>0</v>
      </c>
      <c r="I693" t="str">
        <f t="shared" si="32"/>
        <v/>
      </c>
      <c r="J693" t="str">
        <f>SUBSTITUTE(IF(COUNTIF(I$2:I693,I693)&gt;1,"",1)," ","")</f>
        <v/>
      </c>
    </row>
    <row r="694" spans="1:10" x14ac:dyDescent="0.2">
      <c r="A694" s="51" t="str">
        <f>IFERROR(VLOOKUP(B694,點上線資訊!A:R,18,0),"")</f>
        <v/>
      </c>
      <c r="B694" s="41">
        <f>'MB51'!A694</f>
        <v>0</v>
      </c>
      <c r="C694" s="60" t="str">
        <f>IFERROR(VLOOKUP(B694,'MB51'!A:I,9,0),"")</f>
        <v/>
      </c>
      <c r="D694" s="61" t="str">
        <f>IFERROR(VLOOKUP(B694,'MB51'!A:J,10,0),"")</f>
        <v/>
      </c>
      <c r="E694" s="62" t="str">
        <f>IFERROR(VLOOKUP(B694,'MB51'!A:K,11,0),"")</f>
        <v/>
      </c>
      <c r="F694" s="42" t="str">
        <f>IFERROR(VLOOKUP(B694,'MB51'!A:F,6,0),"")</f>
        <v/>
      </c>
      <c r="G694" s="17" t="str">
        <f t="shared" si="30"/>
        <v>點揀料單</v>
      </c>
      <c r="H694" s="17">
        <f t="shared" si="31"/>
        <v>0</v>
      </c>
      <c r="I694" t="str">
        <f t="shared" si="32"/>
        <v/>
      </c>
      <c r="J694" t="str">
        <f>SUBSTITUTE(IF(COUNTIF(I$2:I694,I694)&gt;1,"",1)," ","")</f>
        <v/>
      </c>
    </row>
    <row r="695" spans="1:10" x14ac:dyDescent="0.2">
      <c r="A695" s="51" t="str">
        <f>IFERROR(VLOOKUP(B695,點上線資訊!A:R,18,0),"")</f>
        <v/>
      </c>
      <c r="B695" s="41">
        <f>'MB51'!A695</f>
        <v>0</v>
      </c>
      <c r="C695" s="60" t="str">
        <f>IFERROR(VLOOKUP(B695,'MB51'!A:I,9,0),"")</f>
        <v/>
      </c>
      <c r="D695" s="61" t="str">
        <f>IFERROR(VLOOKUP(B695,'MB51'!A:J,10,0),"")</f>
        <v/>
      </c>
      <c r="E695" s="62" t="str">
        <f>IFERROR(VLOOKUP(B695,'MB51'!A:K,11,0),"")</f>
        <v/>
      </c>
      <c r="F695" s="42" t="str">
        <f>IFERROR(VLOOKUP(B695,'MB51'!A:F,6,0),"")</f>
        <v/>
      </c>
      <c r="G695" s="17" t="str">
        <f t="shared" si="30"/>
        <v>點揀料單</v>
      </c>
      <c r="H695" s="17">
        <f t="shared" si="31"/>
        <v>0</v>
      </c>
      <c r="I695" t="str">
        <f t="shared" si="32"/>
        <v/>
      </c>
      <c r="J695" t="str">
        <f>SUBSTITUTE(IF(COUNTIF(I$2:I695,I695)&gt;1,"",1)," ","")</f>
        <v/>
      </c>
    </row>
    <row r="696" spans="1:10" x14ac:dyDescent="0.2">
      <c r="A696" s="51" t="str">
        <f>IFERROR(VLOOKUP(B696,點上線資訊!A:R,18,0),"")</f>
        <v/>
      </c>
      <c r="B696" s="41">
        <f>'MB51'!A696</f>
        <v>0</v>
      </c>
      <c r="C696" s="60" t="str">
        <f>IFERROR(VLOOKUP(B696,'MB51'!A:I,9,0),"")</f>
        <v/>
      </c>
      <c r="D696" s="61" t="str">
        <f>IFERROR(VLOOKUP(B696,'MB51'!A:J,10,0),"")</f>
        <v/>
      </c>
      <c r="E696" s="62" t="str">
        <f>IFERROR(VLOOKUP(B696,'MB51'!A:K,11,0),"")</f>
        <v/>
      </c>
      <c r="F696" s="42" t="str">
        <f>IFERROR(VLOOKUP(B696,'MB51'!A:F,6,0),"")</f>
        <v/>
      </c>
      <c r="G696" s="17" t="str">
        <f t="shared" si="30"/>
        <v>點揀料單</v>
      </c>
      <c r="H696" s="17">
        <f t="shared" si="31"/>
        <v>0</v>
      </c>
      <c r="I696" t="str">
        <f t="shared" si="32"/>
        <v/>
      </c>
      <c r="J696" t="str">
        <f>SUBSTITUTE(IF(COUNTIF(I$2:I696,I696)&gt;1,"",1)," ","")</f>
        <v/>
      </c>
    </row>
    <row r="697" spans="1:10" x14ac:dyDescent="0.2">
      <c r="A697" s="51" t="str">
        <f>IFERROR(VLOOKUP(B697,點上線資訊!A:R,18,0),"")</f>
        <v/>
      </c>
      <c r="B697" s="41">
        <f>'MB51'!A697</f>
        <v>0</v>
      </c>
      <c r="C697" s="60" t="str">
        <f>IFERROR(VLOOKUP(B697,'MB51'!A:I,9,0),"")</f>
        <v/>
      </c>
      <c r="D697" s="61" t="str">
        <f>IFERROR(VLOOKUP(B697,'MB51'!A:J,10,0),"")</f>
        <v/>
      </c>
      <c r="E697" s="62" t="str">
        <f>IFERROR(VLOOKUP(B697,'MB51'!A:K,11,0),"")</f>
        <v/>
      </c>
      <c r="F697" s="42" t="str">
        <f>IFERROR(VLOOKUP(B697,'MB51'!A:F,6,0),"")</f>
        <v/>
      </c>
      <c r="G697" s="17" t="str">
        <f t="shared" si="30"/>
        <v>點揀料單</v>
      </c>
      <c r="H697" s="17">
        <f t="shared" si="31"/>
        <v>0</v>
      </c>
      <c r="I697" t="str">
        <f t="shared" si="32"/>
        <v/>
      </c>
      <c r="J697" t="str">
        <f>SUBSTITUTE(IF(COUNTIF(I$2:I697,I697)&gt;1,"",1)," ","")</f>
        <v/>
      </c>
    </row>
    <row r="698" spans="1:10" x14ac:dyDescent="0.2">
      <c r="A698" s="51" t="str">
        <f>IFERROR(VLOOKUP(B698,點上線資訊!A:R,18,0),"")</f>
        <v/>
      </c>
      <c r="B698" s="41">
        <f>'MB51'!A698</f>
        <v>0</v>
      </c>
      <c r="C698" s="60" t="str">
        <f>IFERROR(VLOOKUP(B698,'MB51'!A:I,9,0),"")</f>
        <v/>
      </c>
      <c r="D698" s="61" t="str">
        <f>IFERROR(VLOOKUP(B698,'MB51'!A:J,10,0),"")</f>
        <v/>
      </c>
      <c r="E698" s="62" t="str">
        <f>IFERROR(VLOOKUP(B698,'MB51'!A:K,11,0),"")</f>
        <v/>
      </c>
      <c r="F698" s="42" t="str">
        <f>IFERROR(VLOOKUP(B698,'MB51'!A:F,6,0),"")</f>
        <v/>
      </c>
      <c r="G698" s="17" t="str">
        <f t="shared" si="30"/>
        <v>點揀料單</v>
      </c>
      <c r="H698" s="17">
        <f t="shared" si="31"/>
        <v>0</v>
      </c>
      <c r="I698" t="str">
        <f t="shared" si="32"/>
        <v/>
      </c>
      <c r="J698" t="str">
        <f>SUBSTITUTE(IF(COUNTIF(I$2:I698,I698)&gt;1,"",1)," ","")</f>
        <v/>
      </c>
    </row>
    <row r="699" spans="1:10" x14ac:dyDescent="0.2">
      <c r="A699" s="51" t="str">
        <f>IFERROR(VLOOKUP(B699,點上線資訊!A:R,18,0),"")</f>
        <v/>
      </c>
      <c r="B699" s="41">
        <f>'MB51'!A699</f>
        <v>0</v>
      </c>
      <c r="C699" s="60" t="str">
        <f>IFERROR(VLOOKUP(B699,'MB51'!A:I,9,0),"")</f>
        <v/>
      </c>
      <c r="D699" s="61" t="str">
        <f>IFERROR(VLOOKUP(B699,'MB51'!A:J,10,0),"")</f>
        <v/>
      </c>
      <c r="E699" s="62" t="str">
        <f>IFERROR(VLOOKUP(B699,'MB51'!A:K,11,0),"")</f>
        <v/>
      </c>
      <c r="F699" s="42" t="str">
        <f>IFERROR(VLOOKUP(B699,'MB51'!A:F,6,0),"")</f>
        <v/>
      </c>
      <c r="G699" s="17" t="str">
        <f t="shared" si="30"/>
        <v>點揀料單</v>
      </c>
      <c r="H699" s="17">
        <f t="shared" si="31"/>
        <v>0</v>
      </c>
      <c r="I699" t="str">
        <f t="shared" si="32"/>
        <v/>
      </c>
      <c r="J699" t="str">
        <f>SUBSTITUTE(IF(COUNTIF(I$2:I699,I699)&gt;1,"",1)," ","")</f>
        <v/>
      </c>
    </row>
    <row r="700" spans="1:10" x14ac:dyDescent="0.2">
      <c r="A700" s="51" t="str">
        <f>IFERROR(VLOOKUP(B700,點上線資訊!A:R,18,0),"")</f>
        <v/>
      </c>
      <c r="B700" s="41">
        <f>'MB51'!A700</f>
        <v>0</v>
      </c>
      <c r="C700" s="60" t="str">
        <f>IFERROR(VLOOKUP(B700,'MB51'!A:I,9,0),"")</f>
        <v/>
      </c>
      <c r="D700" s="61" t="str">
        <f>IFERROR(VLOOKUP(B700,'MB51'!A:J,10,0),"")</f>
        <v/>
      </c>
      <c r="E700" s="62" t="str">
        <f>IFERROR(VLOOKUP(B700,'MB51'!A:K,11,0),"")</f>
        <v/>
      </c>
      <c r="F700" s="42" t="str">
        <f>IFERROR(VLOOKUP(B700,'MB51'!A:F,6,0),"")</f>
        <v/>
      </c>
      <c r="G700" s="17" t="str">
        <f t="shared" si="30"/>
        <v>點揀料單</v>
      </c>
      <c r="H700" s="17">
        <f t="shared" si="31"/>
        <v>0</v>
      </c>
      <c r="I700" t="str">
        <f t="shared" si="32"/>
        <v/>
      </c>
      <c r="J700" t="str">
        <f>SUBSTITUTE(IF(COUNTIF(I$2:I700,I700)&gt;1,"",1)," ","")</f>
        <v/>
      </c>
    </row>
    <row r="701" spans="1:10" x14ac:dyDescent="0.2">
      <c r="A701" s="51" t="str">
        <f>IFERROR(VLOOKUP(B701,點上線資訊!A:R,18,0),"")</f>
        <v/>
      </c>
      <c r="B701" s="41">
        <f>'MB51'!A701</f>
        <v>0</v>
      </c>
      <c r="C701" s="60" t="str">
        <f>IFERROR(VLOOKUP(B701,'MB51'!A:I,9,0),"")</f>
        <v/>
      </c>
      <c r="D701" s="61" t="str">
        <f>IFERROR(VLOOKUP(B701,'MB51'!A:J,10,0),"")</f>
        <v/>
      </c>
      <c r="E701" s="62" t="str">
        <f>IFERROR(VLOOKUP(B701,'MB51'!A:K,11,0),"")</f>
        <v/>
      </c>
      <c r="F701" s="42" t="str">
        <f>IFERROR(VLOOKUP(B701,'MB51'!A:F,6,0),"")</f>
        <v/>
      </c>
      <c r="G701" s="17" t="str">
        <f t="shared" si="30"/>
        <v>點揀料單</v>
      </c>
      <c r="H701" s="17">
        <f t="shared" si="31"/>
        <v>0</v>
      </c>
      <c r="I701" t="str">
        <f t="shared" si="32"/>
        <v/>
      </c>
      <c r="J701" t="str">
        <f>SUBSTITUTE(IF(COUNTIF(I$2:I701,I701)&gt;1,"",1)," ","")</f>
        <v/>
      </c>
    </row>
    <row r="702" spans="1:10" x14ac:dyDescent="0.2">
      <c r="A702" s="51" t="str">
        <f>IFERROR(VLOOKUP(B702,點上線資訊!A:R,18,0),"")</f>
        <v/>
      </c>
      <c r="B702" s="41">
        <f>'MB51'!A702</f>
        <v>0</v>
      </c>
      <c r="C702" s="60" t="str">
        <f>IFERROR(VLOOKUP(B702,'MB51'!A:I,9,0),"")</f>
        <v/>
      </c>
      <c r="D702" s="61" t="str">
        <f>IFERROR(VLOOKUP(B702,'MB51'!A:J,10,0),"")</f>
        <v/>
      </c>
      <c r="E702" s="62" t="str">
        <f>IFERROR(VLOOKUP(B702,'MB51'!A:K,11,0),"")</f>
        <v/>
      </c>
      <c r="F702" s="42" t="str">
        <f>IFERROR(VLOOKUP(B702,'MB51'!A:F,6,0),"")</f>
        <v/>
      </c>
      <c r="G702" s="17" t="str">
        <f t="shared" si="30"/>
        <v>點揀料單</v>
      </c>
      <c r="H702" s="17">
        <f t="shared" si="31"/>
        <v>0</v>
      </c>
      <c r="I702" t="str">
        <f t="shared" si="32"/>
        <v/>
      </c>
      <c r="J702" t="str">
        <f>SUBSTITUTE(IF(COUNTIF(I$2:I702,I702)&gt;1,"",1)," ","")</f>
        <v/>
      </c>
    </row>
    <row r="703" spans="1:10" x14ac:dyDescent="0.2">
      <c r="A703" s="51" t="str">
        <f>IFERROR(VLOOKUP(B703,點上線資訊!A:R,18,0),"")</f>
        <v/>
      </c>
      <c r="B703" s="41">
        <f>'MB51'!A703</f>
        <v>0</v>
      </c>
      <c r="C703" s="60" t="str">
        <f>IFERROR(VLOOKUP(B703,'MB51'!A:I,9,0),"")</f>
        <v/>
      </c>
      <c r="D703" s="61" t="str">
        <f>IFERROR(VLOOKUP(B703,'MB51'!A:J,10,0),"")</f>
        <v/>
      </c>
      <c r="E703" s="62" t="str">
        <f>IFERROR(VLOOKUP(B703,'MB51'!A:K,11,0),"")</f>
        <v/>
      </c>
      <c r="F703" s="42" t="str">
        <f>IFERROR(VLOOKUP(B703,'MB51'!A:F,6,0),"")</f>
        <v/>
      </c>
      <c r="G703" s="17" t="str">
        <f t="shared" si="30"/>
        <v>點揀料單</v>
      </c>
      <c r="H703" s="17">
        <f t="shared" si="31"/>
        <v>0</v>
      </c>
      <c r="I703" t="str">
        <f t="shared" si="32"/>
        <v/>
      </c>
      <c r="J703" t="str">
        <f>SUBSTITUTE(IF(COUNTIF(I$2:I703,I703)&gt;1,"",1)," ","")</f>
        <v/>
      </c>
    </row>
    <row r="704" spans="1:10" x14ac:dyDescent="0.2">
      <c r="A704" s="51" t="str">
        <f>IFERROR(VLOOKUP(B704,點上線資訊!A:R,18,0),"")</f>
        <v/>
      </c>
      <c r="B704" s="41">
        <f>'MB51'!A704</f>
        <v>0</v>
      </c>
      <c r="C704" s="60" t="str">
        <f>IFERROR(VLOOKUP(B704,'MB51'!A:I,9,0),"")</f>
        <v/>
      </c>
      <c r="D704" s="61" t="str">
        <f>IFERROR(VLOOKUP(B704,'MB51'!A:J,10,0),"")</f>
        <v/>
      </c>
      <c r="E704" s="62" t="str">
        <f>IFERROR(VLOOKUP(B704,'MB51'!A:K,11,0),"")</f>
        <v/>
      </c>
      <c r="F704" s="42" t="str">
        <f>IFERROR(VLOOKUP(B704,'MB51'!A:F,6,0),"")</f>
        <v/>
      </c>
      <c r="G704" s="17" t="str">
        <f t="shared" si="30"/>
        <v>點揀料單</v>
      </c>
      <c r="H704" s="17">
        <f t="shared" si="31"/>
        <v>0</v>
      </c>
      <c r="I704" t="str">
        <f t="shared" si="32"/>
        <v/>
      </c>
      <c r="J704" t="str">
        <f>SUBSTITUTE(IF(COUNTIF(I$2:I704,I704)&gt;1,"",1)," ","")</f>
        <v/>
      </c>
    </row>
    <row r="705" spans="1:10" x14ac:dyDescent="0.2">
      <c r="A705" s="51" t="str">
        <f>IFERROR(VLOOKUP(B705,點上線資訊!A:R,18,0),"")</f>
        <v/>
      </c>
      <c r="B705" s="41">
        <f>'MB51'!A705</f>
        <v>0</v>
      </c>
      <c r="C705" s="60" t="str">
        <f>IFERROR(VLOOKUP(B705,'MB51'!A:I,9,0),"")</f>
        <v/>
      </c>
      <c r="D705" s="61" t="str">
        <f>IFERROR(VLOOKUP(B705,'MB51'!A:J,10,0),"")</f>
        <v/>
      </c>
      <c r="E705" s="62" t="str">
        <f>IFERROR(VLOOKUP(B705,'MB51'!A:K,11,0),"")</f>
        <v/>
      </c>
      <c r="F705" s="42" t="str">
        <f>IFERROR(VLOOKUP(B705,'MB51'!A:F,6,0),"")</f>
        <v/>
      </c>
      <c r="G705" s="17" t="str">
        <f t="shared" si="30"/>
        <v>點揀料單</v>
      </c>
      <c r="H705" s="17">
        <f t="shared" si="31"/>
        <v>0</v>
      </c>
      <c r="I705" t="str">
        <f t="shared" si="32"/>
        <v/>
      </c>
      <c r="J705" t="str">
        <f>SUBSTITUTE(IF(COUNTIF(I$2:I705,I705)&gt;1,"",1)," ","")</f>
        <v/>
      </c>
    </row>
    <row r="706" spans="1:10" x14ac:dyDescent="0.2">
      <c r="A706" s="51" t="str">
        <f>IFERROR(VLOOKUP(B706,點上線資訊!A:R,18,0),"")</f>
        <v/>
      </c>
      <c r="B706" s="41">
        <f>'MB51'!A706</f>
        <v>0</v>
      </c>
      <c r="C706" s="60" t="str">
        <f>IFERROR(VLOOKUP(B706,'MB51'!A:I,9,0),"")</f>
        <v/>
      </c>
      <c r="D706" s="61" t="str">
        <f>IFERROR(VLOOKUP(B706,'MB51'!A:J,10,0),"")</f>
        <v/>
      </c>
      <c r="E706" s="62" t="str">
        <f>IFERROR(VLOOKUP(B706,'MB51'!A:K,11,0),"")</f>
        <v/>
      </c>
      <c r="F706" s="42" t="str">
        <f>IFERROR(VLOOKUP(B706,'MB51'!A:F,6,0),"")</f>
        <v/>
      </c>
      <c r="G706" s="17" t="str">
        <f t="shared" si="30"/>
        <v>點揀料單</v>
      </c>
      <c r="H706" s="17">
        <f t="shared" si="31"/>
        <v>0</v>
      </c>
      <c r="I706" t="str">
        <f t="shared" si="32"/>
        <v/>
      </c>
      <c r="J706" t="str">
        <f>SUBSTITUTE(IF(COUNTIF(I$2:I706,I706)&gt;1,"",1)," ","")</f>
        <v/>
      </c>
    </row>
    <row r="707" spans="1:10" x14ac:dyDescent="0.2">
      <c r="A707" s="51" t="str">
        <f>IFERROR(VLOOKUP(B707,點上線資訊!A:R,18,0),"")</f>
        <v/>
      </c>
      <c r="B707" s="41">
        <f>'MB51'!A707</f>
        <v>0</v>
      </c>
      <c r="C707" s="60" t="str">
        <f>IFERROR(VLOOKUP(B707,'MB51'!A:I,9,0),"")</f>
        <v/>
      </c>
      <c r="D707" s="61" t="str">
        <f>IFERROR(VLOOKUP(B707,'MB51'!A:J,10,0),"")</f>
        <v/>
      </c>
      <c r="E707" s="62" t="str">
        <f>IFERROR(VLOOKUP(B707,'MB51'!A:K,11,0),"")</f>
        <v/>
      </c>
      <c r="F707" s="42" t="str">
        <f>IFERROR(VLOOKUP(B707,'MB51'!A:F,6,0),"")</f>
        <v/>
      </c>
      <c r="G707" s="17" t="str">
        <f t="shared" ref="G707:G770" si="33">TEXT(D707,"MM/DD")&amp;TEXT(E707,"  HH")&amp;"點揀料單"</f>
        <v>點揀料單</v>
      </c>
      <c r="H707" s="17">
        <f t="shared" ref="H707:H770" si="34">ABS(SUMIF(C:C,C707,F:F))</f>
        <v>0</v>
      </c>
      <c r="I707" t="str">
        <f t="shared" ref="I707:I770" si="35">RIGHTB(C707,10)</f>
        <v/>
      </c>
      <c r="J707" t="str">
        <f>SUBSTITUTE(IF(COUNTIF(I$2:I707,I707)&gt;1,"",1)," ","")</f>
        <v/>
      </c>
    </row>
    <row r="708" spans="1:10" x14ac:dyDescent="0.2">
      <c r="A708" s="51" t="str">
        <f>IFERROR(VLOOKUP(B708,點上線資訊!A:R,18,0),"")</f>
        <v/>
      </c>
      <c r="B708" s="41">
        <f>'MB51'!A708</f>
        <v>0</v>
      </c>
      <c r="C708" s="60" t="str">
        <f>IFERROR(VLOOKUP(B708,'MB51'!A:I,9,0),"")</f>
        <v/>
      </c>
      <c r="D708" s="61" t="str">
        <f>IFERROR(VLOOKUP(B708,'MB51'!A:J,10,0),"")</f>
        <v/>
      </c>
      <c r="E708" s="62" t="str">
        <f>IFERROR(VLOOKUP(B708,'MB51'!A:K,11,0),"")</f>
        <v/>
      </c>
      <c r="F708" s="42" t="str">
        <f>IFERROR(VLOOKUP(B708,'MB51'!A:F,6,0),"")</f>
        <v/>
      </c>
      <c r="G708" s="17" t="str">
        <f t="shared" si="33"/>
        <v>點揀料單</v>
      </c>
      <c r="H708" s="17">
        <f t="shared" si="34"/>
        <v>0</v>
      </c>
      <c r="I708" t="str">
        <f t="shared" si="35"/>
        <v/>
      </c>
      <c r="J708" t="str">
        <f>SUBSTITUTE(IF(COUNTIF(I$2:I708,I708)&gt;1,"",1)," ","")</f>
        <v/>
      </c>
    </row>
    <row r="709" spans="1:10" x14ac:dyDescent="0.2">
      <c r="A709" s="51" t="str">
        <f>IFERROR(VLOOKUP(B709,點上線資訊!A:R,18,0),"")</f>
        <v/>
      </c>
      <c r="B709" s="41">
        <f>'MB51'!A709</f>
        <v>0</v>
      </c>
      <c r="C709" s="60" t="str">
        <f>IFERROR(VLOOKUP(B709,'MB51'!A:I,9,0),"")</f>
        <v/>
      </c>
      <c r="D709" s="61" t="str">
        <f>IFERROR(VLOOKUP(B709,'MB51'!A:J,10,0),"")</f>
        <v/>
      </c>
      <c r="E709" s="62" t="str">
        <f>IFERROR(VLOOKUP(B709,'MB51'!A:K,11,0),"")</f>
        <v/>
      </c>
      <c r="F709" s="42" t="str">
        <f>IFERROR(VLOOKUP(B709,'MB51'!A:F,6,0),"")</f>
        <v/>
      </c>
      <c r="G709" s="17" t="str">
        <f t="shared" si="33"/>
        <v>點揀料單</v>
      </c>
      <c r="H709" s="17">
        <f t="shared" si="34"/>
        <v>0</v>
      </c>
      <c r="I709" t="str">
        <f t="shared" si="35"/>
        <v/>
      </c>
      <c r="J709" t="str">
        <f>SUBSTITUTE(IF(COUNTIF(I$2:I709,I709)&gt;1,"",1)," ","")</f>
        <v/>
      </c>
    </row>
    <row r="710" spans="1:10" x14ac:dyDescent="0.2">
      <c r="A710" s="51" t="str">
        <f>IFERROR(VLOOKUP(B710,點上線資訊!A:R,18,0),"")</f>
        <v/>
      </c>
      <c r="B710" s="41">
        <f>'MB51'!A710</f>
        <v>0</v>
      </c>
      <c r="C710" s="60" t="str">
        <f>IFERROR(VLOOKUP(B710,'MB51'!A:I,9,0),"")</f>
        <v/>
      </c>
      <c r="D710" s="61" t="str">
        <f>IFERROR(VLOOKUP(B710,'MB51'!A:J,10,0),"")</f>
        <v/>
      </c>
      <c r="E710" s="62" t="str">
        <f>IFERROR(VLOOKUP(B710,'MB51'!A:K,11,0),"")</f>
        <v/>
      </c>
      <c r="F710" s="42" t="str">
        <f>IFERROR(VLOOKUP(B710,'MB51'!A:F,6,0),"")</f>
        <v/>
      </c>
      <c r="G710" s="17" t="str">
        <f t="shared" si="33"/>
        <v>點揀料單</v>
      </c>
      <c r="H710" s="17">
        <f t="shared" si="34"/>
        <v>0</v>
      </c>
      <c r="I710" t="str">
        <f t="shared" si="35"/>
        <v/>
      </c>
      <c r="J710" t="str">
        <f>SUBSTITUTE(IF(COUNTIF(I$2:I710,I710)&gt;1,"",1)," ","")</f>
        <v/>
      </c>
    </row>
    <row r="711" spans="1:10" x14ac:dyDescent="0.2">
      <c r="A711" s="51" t="str">
        <f>IFERROR(VLOOKUP(B711,點上線資訊!A:R,18,0),"")</f>
        <v/>
      </c>
      <c r="B711" s="41">
        <f>'MB51'!A711</f>
        <v>0</v>
      </c>
      <c r="C711" s="60" t="str">
        <f>IFERROR(VLOOKUP(B711,'MB51'!A:I,9,0),"")</f>
        <v/>
      </c>
      <c r="D711" s="61" t="str">
        <f>IFERROR(VLOOKUP(B711,'MB51'!A:J,10,0),"")</f>
        <v/>
      </c>
      <c r="E711" s="62" t="str">
        <f>IFERROR(VLOOKUP(B711,'MB51'!A:K,11,0),"")</f>
        <v/>
      </c>
      <c r="F711" s="42" t="str">
        <f>IFERROR(VLOOKUP(B711,'MB51'!A:F,6,0),"")</f>
        <v/>
      </c>
      <c r="G711" s="17" t="str">
        <f t="shared" si="33"/>
        <v>點揀料單</v>
      </c>
      <c r="H711" s="17">
        <f t="shared" si="34"/>
        <v>0</v>
      </c>
      <c r="I711" t="str">
        <f t="shared" si="35"/>
        <v/>
      </c>
      <c r="J711" t="str">
        <f>SUBSTITUTE(IF(COUNTIF(I$2:I711,I711)&gt;1,"",1)," ","")</f>
        <v/>
      </c>
    </row>
    <row r="712" spans="1:10" x14ac:dyDescent="0.2">
      <c r="A712" s="51" t="str">
        <f>IFERROR(VLOOKUP(B712,點上線資訊!A:R,18,0),"")</f>
        <v/>
      </c>
      <c r="B712" s="41">
        <f>'MB51'!A712</f>
        <v>0</v>
      </c>
      <c r="C712" s="60" t="str">
        <f>IFERROR(VLOOKUP(B712,'MB51'!A:I,9,0),"")</f>
        <v/>
      </c>
      <c r="D712" s="61" t="str">
        <f>IFERROR(VLOOKUP(B712,'MB51'!A:J,10,0),"")</f>
        <v/>
      </c>
      <c r="E712" s="62" t="str">
        <f>IFERROR(VLOOKUP(B712,'MB51'!A:K,11,0),"")</f>
        <v/>
      </c>
      <c r="F712" s="42" t="str">
        <f>IFERROR(VLOOKUP(B712,'MB51'!A:F,6,0),"")</f>
        <v/>
      </c>
      <c r="G712" s="17" t="str">
        <f t="shared" si="33"/>
        <v>點揀料單</v>
      </c>
      <c r="H712" s="17">
        <f t="shared" si="34"/>
        <v>0</v>
      </c>
      <c r="I712" t="str">
        <f t="shared" si="35"/>
        <v/>
      </c>
      <c r="J712" t="str">
        <f>SUBSTITUTE(IF(COUNTIF(I$2:I712,I712)&gt;1,"",1)," ","")</f>
        <v/>
      </c>
    </row>
    <row r="713" spans="1:10" x14ac:dyDescent="0.2">
      <c r="A713" s="51" t="str">
        <f>IFERROR(VLOOKUP(B713,點上線資訊!A:R,18,0),"")</f>
        <v/>
      </c>
      <c r="B713" s="41">
        <f>'MB51'!A713</f>
        <v>0</v>
      </c>
      <c r="C713" s="60" t="str">
        <f>IFERROR(VLOOKUP(B713,'MB51'!A:I,9,0),"")</f>
        <v/>
      </c>
      <c r="D713" s="61" t="str">
        <f>IFERROR(VLOOKUP(B713,'MB51'!A:J,10,0),"")</f>
        <v/>
      </c>
      <c r="E713" s="62" t="str">
        <f>IFERROR(VLOOKUP(B713,'MB51'!A:K,11,0),"")</f>
        <v/>
      </c>
      <c r="F713" s="42" t="str">
        <f>IFERROR(VLOOKUP(B713,'MB51'!A:F,6,0),"")</f>
        <v/>
      </c>
      <c r="G713" s="17" t="str">
        <f t="shared" si="33"/>
        <v>點揀料單</v>
      </c>
      <c r="H713" s="17">
        <f t="shared" si="34"/>
        <v>0</v>
      </c>
      <c r="I713" t="str">
        <f t="shared" si="35"/>
        <v/>
      </c>
      <c r="J713" t="str">
        <f>SUBSTITUTE(IF(COUNTIF(I$2:I713,I713)&gt;1,"",1)," ","")</f>
        <v/>
      </c>
    </row>
    <row r="714" spans="1:10" x14ac:dyDescent="0.2">
      <c r="A714" s="51" t="str">
        <f>IFERROR(VLOOKUP(B714,點上線資訊!A:R,18,0),"")</f>
        <v/>
      </c>
      <c r="B714" s="41">
        <f>'MB51'!A714</f>
        <v>0</v>
      </c>
      <c r="C714" s="60" t="str">
        <f>IFERROR(VLOOKUP(B714,'MB51'!A:I,9,0),"")</f>
        <v/>
      </c>
      <c r="D714" s="61" t="str">
        <f>IFERROR(VLOOKUP(B714,'MB51'!A:J,10,0),"")</f>
        <v/>
      </c>
      <c r="E714" s="62" t="str">
        <f>IFERROR(VLOOKUP(B714,'MB51'!A:K,11,0),"")</f>
        <v/>
      </c>
      <c r="F714" s="42" t="str">
        <f>IFERROR(VLOOKUP(B714,'MB51'!A:F,6,0),"")</f>
        <v/>
      </c>
      <c r="G714" s="17" t="str">
        <f t="shared" si="33"/>
        <v>點揀料單</v>
      </c>
      <c r="H714" s="17">
        <f t="shared" si="34"/>
        <v>0</v>
      </c>
      <c r="I714" t="str">
        <f t="shared" si="35"/>
        <v/>
      </c>
      <c r="J714" t="str">
        <f>SUBSTITUTE(IF(COUNTIF(I$2:I714,I714)&gt;1,"",1)," ","")</f>
        <v/>
      </c>
    </row>
    <row r="715" spans="1:10" x14ac:dyDescent="0.2">
      <c r="A715" s="51" t="str">
        <f>IFERROR(VLOOKUP(B715,點上線資訊!A:R,18,0),"")</f>
        <v/>
      </c>
      <c r="B715" s="41">
        <f>'MB51'!A715</f>
        <v>0</v>
      </c>
      <c r="C715" s="60" t="str">
        <f>IFERROR(VLOOKUP(B715,'MB51'!A:I,9,0),"")</f>
        <v/>
      </c>
      <c r="D715" s="61" t="str">
        <f>IFERROR(VLOOKUP(B715,'MB51'!A:J,10,0),"")</f>
        <v/>
      </c>
      <c r="E715" s="62" t="str">
        <f>IFERROR(VLOOKUP(B715,'MB51'!A:K,11,0),"")</f>
        <v/>
      </c>
      <c r="F715" s="42" t="str">
        <f>IFERROR(VLOOKUP(B715,'MB51'!A:F,6,0),"")</f>
        <v/>
      </c>
      <c r="G715" s="17" t="str">
        <f t="shared" si="33"/>
        <v>點揀料單</v>
      </c>
      <c r="H715" s="17">
        <f t="shared" si="34"/>
        <v>0</v>
      </c>
      <c r="I715" t="str">
        <f t="shared" si="35"/>
        <v/>
      </c>
      <c r="J715" t="str">
        <f>SUBSTITUTE(IF(COUNTIF(I$2:I715,I715)&gt;1,"",1)," ","")</f>
        <v/>
      </c>
    </row>
    <row r="716" spans="1:10" x14ac:dyDescent="0.2">
      <c r="A716" s="51" t="str">
        <f>IFERROR(VLOOKUP(B716,點上線資訊!A:R,18,0),"")</f>
        <v/>
      </c>
      <c r="B716" s="41">
        <f>'MB51'!A716</f>
        <v>0</v>
      </c>
      <c r="C716" s="60" t="str">
        <f>IFERROR(VLOOKUP(B716,'MB51'!A:I,9,0),"")</f>
        <v/>
      </c>
      <c r="D716" s="61" t="str">
        <f>IFERROR(VLOOKUP(B716,'MB51'!A:J,10,0),"")</f>
        <v/>
      </c>
      <c r="E716" s="62" t="str">
        <f>IFERROR(VLOOKUP(B716,'MB51'!A:K,11,0),"")</f>
        <v/>
      </c>
      <c r="F716" s="42" t="str">
        <f>IFERROR(VLOOKUP(B716,'MB51'!A:F,6,0),"")</f>
        <v/>
      </c>
      <c r="G716" s="17" t="str">
        <f t="shared" si="33"/>
        <v>點揀料單</v>
      </c>
      <c r="H716" s="17">
        <f t="shared" si="34"/>
        <v>0</v>
      </c>
      <c r="I716" t="str">
        <f t="shared" si="35"/>
        <v/>
      </c>
      <c r="J716" t="str">
        <f>SUBSTITUTE(IF(COUNTIF(I$2:I716,I716)&gt;1,"",1)," ","")</f>
        <v/>
      </c>
    </row>
    <row r="717" spans="1:10" x14ac:dyDescent="0.2">
      <c r="A717" s="51" t="str">
        <f>IFERROR(VLOOKUP(B717,點上線資訊!A:R,18,0),"")</f>
        <v/>
      </c>
      <c r="B717" s="41">
        <f>'MB51'!A717</f>
        <v>0</v>
      </c>
      <c r="C717" s="60" t="str">
        <f>IFERROR(VLOOKUP(B717,'MB51'!A:I,9,0),"")</f>
        <v/>
      </c>
      <c r="D717" s="61" t="str">
        <f>IFERROR(VLOOKUP(B717,'MB51'!A:J,10,0),"")</f>
        <v/>
      </c>
      <c r="E717" s="62" t="str">
        <f>IFERROR(VLOOKUP(B717,'MB51'!A:K,11,0),"")</f>
        <v/>
      </c>
      <c r="F717" s="42" t="str">
        <f>IFERROR(VLOOKUP(B717,'MB51'!A:F,6,0),"")</f>
        <v/>
      </c>
      <c r="G717" s="17" t="str">
        <f t="shared" si="33"/>
        <v>點揀料單</v>
      </c>
      <c r="H717" s="17">
        <f t="shared" si="34"/>
        <v>0</v>
      </c>
      <c r="I717" t="str">
        <f t="shared" si="35"/>
        <v/>
      </c>
      <c r="J717" t="str">
        <f>SUBSTITUTE(IF(COUNTIF(I$2:I717,I717)&gt;1,"",1)," ","")</f>
        <v/>
      </c>
    </row>
    <row r="718" spans="1:10" x14ac:dyDescent="0.2">
      <c r="A718" s="51" t="str">
        <f>IFERROR(VLOOKUP(B718,點上線資訊!A:R,18,0),"")</f>
        <v/>
      </c>
      <c r="B718" s="41">
        <f>'MB51'!A718</f>
        <v>0</v>
      </c>
      <c r="C718" s="60" t="str">
        <f>IFERROR(VLOOKUP(B718,'MB51'!A:I,9,0),"")</f>
        <v/>
      </c>
      <c r="D718" s="61" t="str">
        <f>IFERROR(VLOOKUP(B718,'MB51'!A:J,10,0),"")</f>
        <v/>
      </c>
      <c r="E718" s="62" t="str">
        <f>IFERROR(VLOOKUP(B718,'MB51'!A:K,11,0),"")</f>
        <v/>
      </c>
      <c r="F718" s="42" t="str">
        <f>IFERROR(VLOOKUP(B718,'MB51'!A:F,6,0),"")</f>
        <v/>
      </c>
      <c r="G718" s="17" t="str">
        <f t="shared" si="33"/>
        <v>點揀料單</v>
      </c>
      <c r="H718" s="17">
        <f t="shared" si="34"/>
        <v>0</v>
      </c>
      <c r="I718" t="str">
        <f t="shared" si="35"/>
        <v/>
      </c>
      <c r="J718" t="str">
        <f>SUBSTITUTE(IF(COUNTIF(I$2:I718,I718)&gt;1,"",1)," ","")</f>
        <v/>
      </c>
    </row>
    <row r="719" spans="1:10" x14ac:dyDescent="0.2">
      <c r="A719" s="51" t="str">
        <f>IFERROR(VLOOKUP(B719,點上線資訊!A:R,18,0),"")</f>
        <v/>
      </c>
      <c r="B719" s="41">
        <f>'MB51'!A719</f>
        <v>0</v>
      </c>
      <c r="C719" s="60" t="str">
        <f>IFERROR(VLOOKUP(B719,'MB51'!A:I,9,0),"")</f>
        <v/>
      </c>
      <c r="D719" s="61" t="str">
        <f>IFERROR(VLOOKUP(B719,'MB51'!A:J,10,0),"")</f>
        <v/>
      </c>
      <c r="E719" s="62" t="str">
        <f>IFERROR(VLOOKUP(B719,'MB51'!A:K,11,0),"")</f>
        <v/>
      </c>
      <c r="F719" s="42" t="str">
        <f>IFERROR(VLOOKUP(B719,'MB51'!A:F,6,0),"")</f>
        <v/>
      </c>
      <c r="G719" s="17" t="str">
        <f t="shared" si="33"/>
        <v>點揀料單</v>
      </c>
      <c r="H719" s="17">
        <f t="shared" si="34"/>
        <v>0</v>
      </c>
      <c r="I719" t="str">
        <f t="shared" si="35"/>
        <v/>
      </c>
      <c r="J719" t="str">
        <f>SUBSTITUTE(IF(COUNTIF(I$2:I719,I719)&gt;1,"",1)," ","")</f>
        <v/>
      </c>
    </row>
    <row r="720" spans="1:10" x14ac:dyDescent="0.2">
      <c r="A720" s="51" t="str">
        <f>IFERROR(VLOOKUP(B720,點上線資訊!A:R,18,0),"")</f>
        <v/>
      </c>
      <c r="B720" s="41">
        <f>'MB51'!A720</f>
        <v>0</v>
      </c>
      <c r="C720" s="60" t="str">
        <f>IFERROR(VLOOKUP(B720,'MB51'!A:I,9,0),"")</f>
        <v/>
      </c>
      <c r="D720" s="61" t="str">
        <f>IFERROR(VLOOKUP(B720,'MB51'!A:J,10,0),"")</f>
        <v/>
      </c>
      <c r="E720" s="62" t="str">
        <f>IFERROR(VLOOKUP(B720,'MB51'!A:K,11,0),"")</f>
        <v/>
      </c>
      <c r="F720" s="42" t="str">
        <f>IFERROR(VLOOKUP(B720,'MB51'!A:F,6,0),"")</f>
        <v/>
      </c>
      <c r="G720" s="17" t="str">
        <f t="shared" si="33"/>
        <v>點揀料單</v>
      </c>
      <c r="H720" s="17">
        <f t="shared" si="34"/>
        <v>0</v>
      </c>
      <c r="I720" t="str">
        <f t="shared" si="35"/>
        <v/>
      </c>
      <c r="J720" t="str">
        <f>SUBSTITUTE(IF(COUNTIF(I$2:I720,I720)&gt;1,"",1)," ","")</f>
        <v/>
      </c>
    </row>
    <row r="721" spans="1:10" x14ac:dyDescent="0.2">
      <c r="A721" s="51" t="str">
        <f>IFERROR(VLOOKUP(B721,點上線資訊!A:R,18,0),"")</f>
        <v/>
      </c>
      <c r="B721" s="41">
        <f>'MB51'!A721</f>
        <v>0</v>
      </c>
      <c r="C721" s="60" t="str">
        <f>IFERROR(VLOOKUP(B721,'MB51'!A:I,9,0),"")</f>
        <v/>
      </c>
      <c r="D721" s="61" t="str">
        <f>IFERROR(VLOOKUP(B721,'MB51'!A:J,10,0),"")</f>
        <v/>
      </c>
      <c r="E721" s="62" t="str">
        <f>IFERROR(VLOOKUP(B721,'MB51'!A:K,11,0),"")</f>
        <v/>
      </c>
      <c r="F721" s="42" t="str">
        <f>IFERROR(VLOOKUP(B721,'MB51'!A:F,6,0),"")</f>
        <v/>
      </c>
      <c r="G721" s="17" t="str">
        <f t="shared" si="33"/>
        <v>點揀料單</v>
      </c>
      <c r="H721" s="17">
        <f t="shared" si="34"/>
        <v>0</v>
      </c>
      <c r="I721" t="str">
        <f t="shared" si="35"/>
        <v/>
      </c>
      <c r="J721" t="str">
        <f>SUBSTITUTE(IF(COUNTIF(I$2:I721,I721)&gt;1,"",1)," ","")</f>
        <v/>
      </c>
    </row>
    <row r="722" spans="1:10" x14ac:dyDescent="0.2">
      <c r="A722" s="51" t="str">
        <f>IFERROR(VLOOKUP(B722,點上線資訊!A:R,18,0),"")</f>
        <v/>
      </c>
      <c r="B722" s="41">
        <f>'MB51'!A722</f>
        <v>0</v>
      </c>
      <c r="C722" s="60" t="str">
        <f>IFERROR(VLOOKUP(B722,'MB51'!A:I,9,0),"")</f>
        <v/>
      </c>
      <c r="D722" s="61" t="str">
        <f>IFERROR(VLOOKUP(B722,'MB51'!A:J,10,0),"")</f>
        <v/>
      </c>
      <c r="E722" s="62" t="str">
        <f>IFERROR(VLOOKUP(B722,'MB51'!A:K,11,0),"")</f>
        <v/>
      </c>
      <c r="F722" s="42" t="str">
        <f>IFERROR(VLOOKUP(B722,'MB51'!A:F,6,0),"")</f>
        <v/>
      </c>
      <c r="G722" s="17" t="str">
        <f t="shared" si="33"/>
        <v>點揀料單</v>
      </c>
      <c r="H722" s="17">
        <f t="shared" si="34"/>
        <v>0</v>
      </c>
      <c r="I722" t="str">
        <f t="shared" si="35"/>
        <v/>
      </c>
      <c r="J722" t="str">
        <f>SUBSTITUTE(IF(COUNTIF(I$2:I722,I722)&gt;1,"",1)," ","")</f>
        <v/>
      </c>
    </row>
    <row r="723" spans="1:10" x14ac:dyDescent="0.2">
      <c r="A723" s="51" t="str">
        <f>IFERROR(VLOOKUP(B723,點上線資訊!A:R,18,0),"")</f>
        <v/>
      </c>
      <c r="B723" s="41">
        <f>'MB51'!A723</f>
        <v>0</v>
      </c>
      <c r="C723" s="60" t="str">
        <f>IFERROR(VLOOKUP(B723,'MB51'!A:I,9,0),"")</f>
        <v/>
      </c>
      <c r="D723" s="61" t="str">
        <f>IFERROR(VLOOKUP(B723,'MB51'!A:J,10,0),"")</f>
        <v/>
      </c>
      <c r="E723" s="62" t="str">
        <f>IFERROR(VLOOKUP(B723,'MB51'!A:K,11,0),"")</f>
        <v/>
      </c>
      <c r="F723" s="42" t="str">
        <f>IFERROR(VLOOKUP(B723,'MB51'!A:F,6,0),"")</f>
        <v/>
      </c>
      <c r="G723" s="17" t="str">
        <f t="shared" si="33"/>
        <v>點揀料單</v>
      </c>
      <c r="H723" s="17">
        <f t="shared" si="34"/>
        <v>0</v>
      </c>
      <c r="I723" t="str">
        <f t="shared" si="35"/>
        <v/>
      </c>
      <c r="J723" t="str">
        <f>SUBSTITUTE(IF(COUNTIF(I$2:I723,I723)&gt;1,"",1)," ","")</f>
        <v/>
      </c>
    </row>
    <row r="724" spans="1:10" x14ac:dyDescent="0.2">
      <c r="A724" s="51" t="str">
        <f>IFERROR(VLOOKUP(B724,點上線資訊!A:R,18,0),"")</f>
        <v/>
      </c>
      <c r="B724" s="41">
        <f>'MB51'!A724</f>
        <v>0</v>
      </c>
      <c r="C724" s="60" t="str">
        <f>IFERROR(VLOOKUP(B724,'MB51'!A:I,9,0),"")</f>
        <v/>
      </c>
      <c r="D724" s="61" t="str">
        <f>IFERROR(VLOOKUP(B724,'MB51'!A:J,10,0),"")</f>
        <v/>
      </c>
      <c r="E724" s="62" t="str">
        <f>IFERROR(VLOOKUP(B724,'MB51'!A:K,11,0),"")</f>
        <v/>
      </c>
      <c r="F724" s="42" t="str">
        <f>IFERROR(VLOOKUP(B724,'MB51'!A:F,6,0),"")</f>
        <v/>
      </c>
      <c r="G724" s="17" t="str">
        <f t="shared" si="33"/>
        <v>點揀料單</v>
      </c>
      <c r="H724" s="17">
        <f t="shared" si="34"/>
        <v>0</v>
      </c>
      <c r="I724" t="str">
        <f t="shared" si="35"/>
        <v/>
      </c>
      <c r="J724" t="str">
        <f>SUBSTITUTE(IF(COUNTIF(I$2:I724,I724)&gt;1,"",1)," ","")</f>
        <v/>
      </c>
    </row>
    <row r="725" spans="1:10" x14ac:dyDescent="0.2">
      <c r="A725" s="51" t="str">
        <f>IFERROR(VLOOKUP(B725,點上線資訊!A:R,18,0),"")</f>
        <v/>
      </c>
      <c r="B725" s="41">
        <f>'MB51'!A725</f>
        <v>0</v>
      </c>
      <c r="C725" s="60" t="str">
        <f>IFERROR(VLOOKUP(B725,'MB51'!A:I,9,0),"")</f>
        <v/>
      </c>
      <c r="D725" s="61" t="str">
        <f>IFERROR(VLOOKUP(B725,'MB51'!A:J,10,0),"")</f>
        <v/>
      </c>
      <c r="E725" s="62" t="str">
        <f>IFERROR(VLOOKUP(B725,'MB51'!A:K,11,0),"")</f>
        <v/>
      </c>
      <c r="F725" s="42" t="str">
        <f>IFERROR(VLOOKUP(B725,'MB51'!A:F,6,0),"")</f>
        <v/>
      </c>
      <c r="G725" s="17" t="str">
        <f t="shared" si="33"/>
        <v>點揀料單</v>
      </c>
      <c r="H725" s="17">
        <f t="shared" si="34"/>
        <v>0</v>
      </c>
      <c r="I725" t="str">
        <f t="shared" si="35"/>
        <v/>
      </c>
      <c r="J725" t="str">
        <f>SUBSTITUTE(IF(COUNTIF(I$2:I725,I725)&gt;1,"",1)," ","")</f>
        <v/>
      </c>
    </row>
    <row r="726" spans="1:10" x14ac:dyDescent="0.2">
      <c r="A726" s="51" t="str">
        <f>IFERROR(VLOOKUP(B726,點上線資訊!A:R,18,0),"")</f>
        <v/>
      </c>
      <c r="B726" s="41">
        <f>'MB51'!A726</f>
        <v>0</v>
      </c>
      <c r="C726" s="60" t="str">
        <f>IFERROR(VLOOKUP(B726,'MB51'!A:I,9,0),"")</f>
        <v/>
      </c>
      <c r="D726" s="61" t="str">
        <f>IFERROR(VLOOKUP(B726,'MB51'!A:J,10,0),"")</f>
        <v/>
      </c>
      <c r="E726" s="62" t="str">
        <f>IFERROR(VLOOKUP(B726,'MB51'!A:K,11,0),"")</f>
        <v/>
      </c>
      <c r="F726" s="42" t="str">
        <f>IFERROR(VLOOKUP(B726,'MB51'!A:F,6,0),"")</f>
        <v/>
      </c>
      <c r="G726" s="17" t="str">
        <f t="shared" si="33"/>
        <v>點揀料單</v>
      </c>
      <c r="H726" s="17">
        <f t="shared" si="34"/>
        <v>0</v>
      </c>
      <c r="I726" t="str">
        <f t="shared" si="35"/>
        <v/>
      </c>
      <c r="J726" t="str">
        <f>SUBSTITUTE(IF(COUNTIF(I$2:I726,I726)&gt;1,"",1)," ","")</f>
        <v/>
      </c>
    </row>
    <row r="727" spans="1:10" x14ac:dyDescent="0.2">
      <c r="A727" s="51" t="str">
        <f>IFERROR(VLOOKUP(B727,點上線資訊!A:R,18,0),"")</f>
        <v/>
      </c>
      <c r="B727" s="41">
        <f>'MB51'!A727</f>
        <v>0</v>
      </c>
      <c r="C727" s="60" t="str">
        <f>IFERROR(VLOOKUP(B727,'MB51'!A:I,9,0),"")</f>
        <v/>
      </c>
      <c r="D727" s="61" t="str">
        <f>IFERROR(VLOOKUP(B727,'MB51'!A:J,10,0),"")</f>
        <v/>
      </c>
      <c r="E727" s="62" t="str">
        <f>IFERROR(VLOOKUP(B727,'MB51'!A:K,11,0),"")</f>
        <v/>
      </c>
      <c r="F727" s="42" t="str">
        <f>IFERROR(VLOOKUP(B727,'MB51'!A:F,6,0),"")</f>
        <v/>
      </c>
      <c r="G727" s="17" t="str">
        <f t="shared" si="33"/>
        <v>點揀料單</v>
      </c>
      <c r="H727" s="17">
        <f t="shared" si="34"/>
        <v>0</v>
      </c>
      <c r="I727" t="str">
        <f t="shared" si="35"/>
        <v/>
      </c>
      <c r="J727" t="str">
        <f>SUBSTITUTE(IF(COUNTIF(I$2:I727,I727)&gt;1,"",1)," ","")</f>
        <v/>
      </c>
    </row>
    <row r="728" spans="1:10" x14ac:dyDescent="0.2">
      <c r="A728" s="51" t="str">
        <f>IFERROR(VLOOKUP(B728,點上線資訊!A:R,18,0),"")</f>
        <v/>
      </c>
      <c r="B728" s="41">
        <f>'MB51'!A728</f>
        <v>0</v>
      </c>
      <c r="C728" s="60" t="str">
        <f>IFERROR(VLOOKUP(B728,'MB51'!A:I,9,0),"")</f>
        <v/>
      </c>
      <c r="D728" s="61" t="str">
        <f>IFERROR(VLOOKUP(B728,'MB51'!A:J,10,0),"")</f>
        <v/>
      </c>
      <c r="E728" s="62" t="str">
        <f>IFERROR(VLOOKUP(B728,'MB51'!A:K,11,0),"")</f>
        <v/>
      </c>
      <c r="F728" s="42" t="str">
        <f>IFERROR(VLOOKUP(B728,'MB51'!A:F,6,0),"")</f>
        <v/>
      </c>
      <c r="G728" s="17" t="str">
        <f t="shared" si="33"/>
        <v>點揀料單</v>
      </c>
      <c r="H728" s="17">
        <f t="shared" si="34"/>
        <v>0</v>
      </c>
      <c r="I728" t="str">
        <f t="shared" si="35"/>
        <v/>
      </c>
      <c r="J728" t="str">
        <f>SUBSTITUTE(IF(COUNTIF(I$2:I728,I728)&gt;1,"",1)," ","")</f>
        <v/>
      </c>
    </row>
    <row r="729" spans="1:10" x14ac:dyDescent="0.2">
      <c r="A729" s="51" t="str">
        <f>IFERROR(VLOOKUP(B729,點上線資訊!A:R,18,0),"")</f>
        <v/>
      </c>
      <c r="B729" s="41">
        <f>'MB51'!A729</f>
        <v>0</v>
      </c>
      <c r="C729" s="60" t="str">
        <f>IFERROR(VLOOKUP(B729,'MB51'!A:I,9,0),"")</f>
        <v/>
      </c>
      <c r="D729" s="61" t="str">
        <f>IFERROR(VLOOKUP(B729,'MB51'!A:J,10,0),"")</f>
        <v/>
      </c>
      <c r="E729" s="62" t="str">
        <f>IFERROR(VLOOKUP(B729,'MB51'!A:K,11,0),"")</f>
        <v/>
      </c>
      <c r="F729" s="42" t="str">
        <f>IFERROR(VLOOKUP(B729,'MB51'!A:F,6,0),"")</f>
        <v/>
      </c>
      <c r="G729" s="17" t="str">
        <f t="shared" si="33"/>
        <v>點揀料單</v>
      </c>
      <c r="H729" s="17">
        <f t="shared" si="34"/>
        <v>0</v>
      </c>
      <c r="I729" t="str">
        <f t="shared" si="35"/>
        <v/>
      </c>
      <c r="J729" t="str">
        <f>SUBSTITUTE(IF(COUNTIF(I$2:I729,I729)&gt;1,"",1)," ","")</f>
        <v/>
      </c>
    </row>
    <row r="730" spans="1:10" x14ac:dyDescent="0.2">
      <c r="A730" s="51" t="str">
        <f>IFERROR(VLOOKUP(B730,點上線資訊!A:R,18,0),"")</f>
        <v/>
      </c>
      <c r="B730" s="41">
        <f>'MB51'!A730</f>
        <v>0</v>
      </c>
      <c r="C730" s="60" t="str">
        <f>IFERROR(VLOOKUP(B730,'MB51'!A:I,9,0),"")</f>
        <v/>
      </c>
      <c r="D730" s="61" t="str">
        <f>IFERROR(VLOOKUP(B730,'MB51'!A:J,10,0),"")</f>
        <v/>
      </c>
      <c r="E730" s="62" t="str">
        <f>IFERROR(VLOOKUP(B730,'MB51'!A:K,11,0),"")</f>
        <v/>
      </c>
      <c r="F730" s="42" t="str">
        <f>IFERROR(VLOOKUP(B730,'MB51'!A:F,6,0),"")</f>
        <v/>
      </c>
      <c r="G730" s="17" t="str">
        <f t="shared" si="33"/>
        <v>點揀料單</v>
      </c>
      <c r="H730" s="17">
        <f t="shared" si="34"/>
        <v>0</v>
      </c>
      <c r="I730" t="str">
        <f t="shared" si="35"/>
        <v/>
      </c>
      <c r="J730" t="str">
        <f>SUBSTITUTE(IF(COUNTIF(I$2:I730,I730)&gt;1,"",1)," ","")</f>
        <v/>
      </c>
    </row>
    <row r="731" spans="1:10" x14ac:dyDescent="0.2">
      <c r="A731" s="51" t="str">
        <f>IFERROR(VLOOKUP(B731,點上線資訊!A:R,18,0),"")</f>
        <v/>
      </c>
      <c r="B731" s="41">
        <f>'MB51'!A731</f>
        <v>0</v>
      </c>
      <c r="C731" s="60" t="str">
        <f>IFERROR(VLOOKUP(B731,'MB51'!A:I,9,0),"")</f>
        <v/>
      </c>
      <c r="D731" s="61" t="str">
        <f>IFERROR(VLOOKUP(B731,'MB51'!A:J,10,0),"")</f>
        <v/>
      </c>
      <c r="E731" s="62" t="str">
        <f>IFERROR(VLOOKUP(B731,'MB51'!A:K,11,0),"")</f>
        <v/>
      </c>
      <c r="F731" s="42" t="str">
        <f>IFERROR(VLOOKUP(B731,'MB51'!A:F,6,0),"")</f>
        <v/>
      </c>
      <c r="G731" s="17" t="str">
        <f t="shared" si="33"/>
        <v>點揀料單</v>
      </c>
      <c r="H731" s="17">
        <f t="shared" si="34"/>
        <v>0</v>
      </c>
      <c r="I731" t="str">
        <f t="shared" si="35"/>
        <v/>
      </c>
      <c r="J731" t="str">
        <f>SUBSTITUTE(IF(COUNTIF(I$2:I731,I731)&gt;1,"",1)," ","")</f>
        <v/>
      </c>
    </row>
    <row r="732" spans="1:10" x14ac:dyDescent="0.2">
      <c r="A732" s="51" t="str">
        <f>IFERROR(VLOOKUP(B732,點上線資訊!A:R,18,0),"")</f>
        <v/>
      </c>
      <c r="B732" s="41">
        <f>'MB51'!A732</f>
        <v>0</v>
      </c>
      <c r="C732" s="60" t="str">
        <f>IFERROR(VLOOKUP(B732,'MB51'!A:I,9,0),"")</f>
        <v/>
      </c>
      <c r="D732" s="61" t="str">
        <f>IFERROR(VLOOKUP(B732,'MB51'!A:J,10,0),"")</f>
        <v/>
      </c>
      <c r="E732" s="62" t="str">
        <f>IFERROR(VLOOKUP(B732,'MB51'!A:K,11,0),"")</f>
        <v/>
      </c>
      <c r="F732" s="42" t="str">
        <f>IFERROR(VLOOKUP(B732,'MB51'!A:F,6,0),"")</f>
        <v/>
      </c>
      <c r="G732" s="17" t="str">
        <f t="shared" si="33"/>
        <v>點揀料單</v>
      </c>
      <c r="H732" s="17">
        <f t="shared" si="34"/>
        <v>0</v>
      </c>
      <c r="I732" t="str">
        <f t="shared" si="35"/>
        <v/>
      </c>
      <c r="J732" t="str">
        <f>SUBSTITUTE(IF(COUNTIF(I$2:I732,I732)&gt;1,"",1)," ","")</f>
        <v/>
      </c>
    </row>
    <row r="733" spans="1:10" x14ac:dyDescent="0.2">
      <c r="A733" s="51" t="str">
        <f>IFERROR(VLOOKUP(B733,點上線資訊!A:R,18,0),"")</f>
        <v/>
      </c>
      <c r="B733" s="41">
        <f>'MB51'!A733</f>
        <v>0</v>
      </c>
      <c r="C733" s="60" t="str">
        <f>IFERROR(VLOOKUP(B733,'MB51'!A:I,9,0),"")</f>
        <v/>
      </c>
      <c r="D733" s="61" t="str">
        <f>IFERROR(VLOOKUP(B733,'MB51'!A:J,10,0),"")</f>
        <v/>
      </c>
      <c r="E733" s="62" t="str">
        <f>IFERROR(VLOOKUP(B733,'MB51'!A:K,11,0),"")</f>
        <v/>
      </c>
      <c r="F733" s="42" t="str">
        <f>IFERROR(VLOOKUP(B733,'MB51'!A:F,6,0),"")</f>
        <v/>
      </c>
      <c r="G733" s="17" t="str">
        <f t="shared" si="33"/>
        <v>點揀料單</v>
      </c>
      <c r="H733" s="17">
        <f t="shared" si="34"/>
        <v>0</v>
      </c>
      <c r="I733" t="str">
        <f t="shared" si="35"/>
        <v/>
      </c>
      <c r="J733" t="str">
        <f>SUBSTITUTE(IF(COUNTIF(I$2:I733,I733)&gt;1,"",1)," ","")</f>
        <v/>
      </c>
    </row>
    <row r="734" spans="1:10" x14ac:dyDescent="0.2">
      <c r="A734" s="51" t="str">
        <f>IFERROR(VLOOKUP(B734,點上線資訊!A:R,18,0),"")</f>
        <v/>
      </c>
      <c r="B734" s="41">
        <f>'MB51'!A734</f>
        <v>0</v>
      </c>
      <c r="C734" s="60" t="str">
        <f>IFERROR(VLOOKUP(B734,'MB51'!A:I,9,0),"")</f>
        <v/>
      </c>
      <c r="D734" s="61" t="str">
        <f>IFERROR(VLOOKUP(B734,'MB51'!A:J,10,0),"")</f>
        <v/>
      </c>
      <c r="E734" s="62" t="str">
        <f>IFERROR(VLOOKUP(B734,'MB51'!A:K,11,0),"")</f>
        <v/>
      </c>
      <c r="F734" s="42" t="str">
        <f>IFERROR(VLOOKUP(B734,'MB51'!A:F,6,0),"")</f>
        <v/>
      </c>
      <c r="G734" s="17" t="str">
        <f t="shared" si="33"/>
        <v>點揀料單</v>
      </c>
      <c r="H734" s="17">
        <f t="shared" si="34"/>
        <v>0</v>
      </c>
      <c r="I734" t="str">
        <f t="shared" si="35"/>
        <v/>
      </c>
      <c r="J734" t="str">
        <f>SUBSTITUTE(IF(COUNTIF(I$2:I734,I734)&gt;1,"",1)," ","")</f>
        <v/>
      </c>
    </row>
    <row r="735" spans="1:10" x14ac:dyDescent="0.2">
      <c r="A735" s="51" t="str">
        <f>IFERROR(VLOOKUP(B735,點上線資訊!A:R,18,0),"")</f>
        <v/>
      </c>
      <c r="B735" s="41">
        <f>'MB51'!A735</f>
        <v>0</v>
      </c>
      <c r="C735" s="60" t="str">
        <f>IFERROR(VLOOKUP(B735,'MB51'!A:I,9,0),"")</f>
        <v/>
      </c>
      <c r="D735" s="61" t="str">
        <f>IFERROR(VLOOKUP(B735,'MB51'!A:J,10,0),"")</f>
        <v/>
      </c>
      <c r="E735" s="62" t="str">
        <f>IFERROR(VLOOKUP(B735,'MB51'!A:K,11,0),"")</f>
        <v/>
      </c>
      <c r="F735" s="42" t="str">
        <f>IFERROR(VLOOKUP(B735,'MB51'!A:F,6,0),"")</f>
        <v/>
      </c>
      <c r="G735" s="17" t="str">
        <f t="shared" si="33"/>
        <v>點揀料單</v>
      </c>
      <c r="H735" s="17">
        <f t="shared" si="34"/>
        <v>0</v>
      </c>
      <c r="I735" t="str">
        <f t="shared" si="35"/>
        <v/>
      </c>
      <c r="J735" t="str">
        <f>SUBSTITUTE(IF(COUNTIF(I$2:I735,I735)&gt;1,"",1)," ","")</f>
        <v/>
      </c>
    </row>
    <row r="736" spans="1:10" x14ac:dyDescent="0.2">
      <c r="A736" s="51" t="str">
        <f>IFERROR(VLOOKUP(B736,點上線資訊!A:R,18,0),"")</f>
        <v/>
      </c>
      <c r="B736" s="41">
        <f>'MB51'!A736</f>
        <v>0</v>
      </c>
      <c r="C736" s="60" t="str">
        <f>IFERROR(VLOOKUP(B736,'MB51'!A:I,9,0),"")</f>
        <v/>
      </c>
      <c r="D736" s="61" t="str">
        <f>IFERROR(VLOOKUP(B736,'MB51'!A:J,10,0),"")</f>
        <v/>
      </c>
      <c r="E736" s="62" t="str">
        <f>IFERROR(VLOOKUP(B736,'MB51'!A:K,11,0),"")</f>
        <v/>
      </c>
      <c r="F736" s="42" t="str">
        <f>IFERROR(VLOOKUP(B736,'MB51'!A:F,6,0),"")</f>
        <v/>
      </c>
      <c r="G736" s="17" t="str">
        <f t="shared" si="33"/>
        <v>點揀料單</v>
      </c>
      <c r="H736" s="17">
        <f t="shared" si="34"/>
        <v>0</v>
      </c>
      <c r="I736" t="str">
        <f t="shared" si="35"/>
        <v/>
      </c>
      <c r="J736" t="str">
        <f>SUBSTITUTE(IF(COUNTIF(I$2:I736,I736)&gt;1,"",1)," ","")</f>
        <v/>
      </c>
    </row>
    <row r="737" spans="1:10" x14ac:dyDescent="0.2">
      <c r="A737" s="51" t="str">
        <f>IFERROR(VLOOKUP(B737,點上線資訊!A:R,18,0),"")</f>
        <v/>
      </c>
      <c r="B737" s="41">
        <f>'MB51'!A737</f>
        <v>0</v>
      </c>
      <c r="C737" s="60" t="str">
        <f>IFERROR(VLOOKUP(B737,'MB51'!A:I,9,0),"")</f>
        <v/>
      </c>
      <c r="D737" s="61" t="str">
        <f>IFERROR(VLOOKUP(B737,'MB51'!A:J,10,0),"")</f>
        <v/>
      </c>
      <c r="E737" s="62" t="str">
        <f>IFERROR(VLOOKUP(B737,'MB51'!A:K,11,0),"")</f>
        <v/>
      </c>
      <c r="F737" s="42" t="str">
        <f>IFERROR(VLOOKUP(B737,'MB51'!A:F,6,0),"")</f>
        <v/>
      </c>
      <c r="G737" s="17" t="str">
        <f t="shared" si="33"/>
        <v>點揀料單</v>
      </c>
      <c r="H737" s="17">
        <f t="shared" si="34"/>
        <v>0</v>
      </c>
      <c r="I737" t="str">
        <f t="shared" si="35"/>
        <v/>
      </c>
      <c r="J737" t="str">
        <f>SUBSTITUTE(IF(COUNTIF(I$2:I737,I737)&gt;1,"",1)," ","")</f>
        <v/>
      </c>
    </row>
    <row r="738" spans="1:10" x14ac:dyDescent="0.2">
      <c r="A738" s="51" t="str">
        <f>IFERROR(VLOOKUP(B738,點上線資訊!A:R,18,0),"")</f>
        <v/>
      </c>
      <c r="B738" s="41">
        <f>'MB51'!A738</f>
        <v>0</v>
      </c>
      <c r="C738" s="60" t="str">
        <f>IFERROR(VLOOKUP(B738,'MB51'!A:I,9,0),"")</f>
        <v/>
      </c>
      <c r="D738" s="61" t="str">
        <f>IFERROR(VLOOKUP(B738,'MB51'!A:J,10,0),"")</f>
        <v/>
      </c>
      <c r="E738" s="62" t="str">
        <f>IFERROR(VLOOKUP(B738,'MB51'!A:K,11,0),"")</f>
        <v/>
      </c>
      <c r="F738" s="42" t="str">
        <f>IFERROR(VLOOKUP(B738,'MB51'!A:F,6,0),"")</f>
        <v/>
      </c>
      <c r="G738" s="17" t="str">
        <f t="shared" si="33"/>
        <v>點揀料單</v>
      </c>
      <c r="H738" s="17">
        <f t="shared" si="34"/>
        <v>0</v>
      </c>
      <c r="I738" t="str">
        <f t="shared" si="35"/>
        <v/>
      </c>
      <c r="J738" t="str">
        <f>SUBSTITUTE(IF(COUNTIF(I$2:I738,I738)&gt;1,"",1)," ","")</f>
        <v/>
      </c>
    </row>
    <row r="739" spans="1:10" x14ac:dyDescent="0.2">
      <c r="A739" s="51" t="str">
        <f>IFERROR(VLOOKUP(B739,點上線資訊!A:R,18,0),"")</f>
        <v/>
      </c>
      <c r="B739" s="41">
        <f>'MB51'!A739</f>
        <v>0</v>
      </c>
      <c r="C739" s="60" t="str">
        <f>IFERROR(VLOOKUP(B739,'MB51'!A:I,9,0),"")</f>
        <v/>
      </c>
      <c r="D739" s="61" t="str">
        <f>IFERROR(VLOOKUP(B739,'MB51'!A:J,10,0),"")</f>
        <v/>
      </c>
      <c r="E739" s="62" t="str">
        <f>IFERROR(VLOOKUP(B739,'MB51'!A:K,11,0),"")</f>
        <v/>
      </c>
      <c r="F739" s="42" t="str">
        <f>IFERROR(VLOOKUP(B739,'MB51'!A:F,6,0),"")</f>
        <v/>
      </c>
      <c r="G739" s="17" t="str">
        <f t="shared" si="33"/>
        <v>點揀料單</v>
      </c>
      <c r="H739" s="17">
        <f t="shared" si="34"/>
        <v>0</v>
      </c>
      <c r="I739" t="str">
        <f t="shared" si="35"/>
        <v/>
      </c>
      <c r="J739" t="str">
        <f>SUBSTITUTE(IF(COUNTIF(I$2:I739,I739)&gt;1,"",1)," ","")</f>
        <v/>
      </c>
    </row>
    <row r="740" spans="1:10" x14ac:dyDescent="0.2">
      <c r="A740" s="51" t="str">
        <f>IFERROR(VLOOKUP(B740,點上線資訊!A:R,18,0),"")</f>
        <v/>
      </c>
      <c r="B740" s="41">
        <f>'MB51'!A740</f>
        <v>0</v>
      </c>
      <c r="C740" s="60" t="str">
        <f>IFERROR(VLOOKUP(B740,'MB51'!A:I,9,0),"")</f>
        <v/>
      </c>
      <c r="D740" s="61" t="str">
        <f>IFERROR(VLOOKUP(B740,'MB51'!A:J,10,0),"")</f>
        <v/>
      </c>
      <c r="E740" s="62" t="str">
        <f>IFERROR(VLOOKUP(B740,'MB51'!A:K,11,0),"")</f>
        <v/>
      </c>
      <c r="F740" s="42" t="str">
        <f>IFERROR(VLOOKUP(B740,'MB51'!A:F,6,0),"")</f>
        <v/>
      </c>
      <c r="G740" s="17" t="str">
        <f t="shared" si="33"/>
        <v>點揀料單</v>
      </c>
      <c r="H740" s="17">
        <f t="shared" si="34"/>
        <v>0</v>
      </c>
      <c r="I740" t="str">
        <f t="shared" si="35"/>
        <v/>
      </c>
      <c r="J740" t="str">
        <f>SUBSTITUTE(IF(COUNTIF(I$2:I740,I740)&gt;1,"",1)," ","")</f>
        <v/>
      </c>
    </row>
    <row r="741" spans="1:10" x14ac:dyDescent="0.2">
      <c r="A741" s="51" t="str">
        <f>IFERROR(VLOOKUP(B741,點上線資訊!A:R,18,0),"")</f>
        <v/>
      </c>
      <c r="B741" s="41">
        <f>'MB51'!A741</f>
        <v>0</v>
      </c>
      <c r="C741" s="60" t="str">
        <f>IFERROR(VLOOKUP(B741,'MB51'!A:I,9,0),"")</f>
        <v/>
      </c>
      <c r="D741" s="61" t="str">
        <f>IFERROR(VLOOKUP(B741,'MB51'!A:J,10,0),"")</f>
        <v/>
      </c>
      <c r="E741" s="62" t="str">
        <f>IFERROR(VLOOKUP(B741,'MB51'!A:K,11,0),"")</f>
        <v/>
      </c>
      <c r="F741" s="42" t="str">
        <f>IFERROR(VLOOKUP(B741,'MB51'!A:F,6,0),"")</f>
        <v/>
      </c>
      <c r="G741" s="17" t="str">
        <f t="shared" si="33"/>
        <v>點揀料單</v>
      </c>
      <c r="H741" s="17">
        <f t="shared" si="34"/>
        <v>0</v>
      </c>
      <c r="I741" t="str">
        <f t="shared" si="35"/>
        <v/>
      </c>
      <c r="J741" t="str">
        <f>SUBSTITUTE(IF(COUNTIF(I$2:I741,I741)&gt;1,"",1)," ","")</f>
        <v/>
      </c>
    </row>
    <row r="742" spans="1:10" x14ac:dyDescent="0.2">
      <c r="A742" s="51" t="str">
        <f>IFERROR(VLOOKUP(B742,點上線資訊!A:R,18,0),"")</f>
        <v/>
      </c>
      <c r="B742" s="41">
        <f>'MB51'!A742</f>
        <v>0</v>
      </c>
      <c r="C742" s="60" t="str">
        <f>IFERROR(VLOOKUP(B742,'MB51'!A:I,9,0),"")</f>
        <v/>
      </c>
      <c r="D742" s="61" t="str">
        <f>IFERROR(VLOOKUP(B742,'MB51'!A:J,10,0),"")</f>
        <v/>
      </c>
      <c r="E742" s="62" t="str">
        <f>IFERROR(VLOOKUP(B742,'MB51'!A:K,11,0),"")</f>
        <v/>
      </c>
      <c r="F742" s="42" t="str">
        <f>IFERROR(VLOOKUP(B742,'MB51'!A:F,6,0),"")</f>
        <v/>
      </c>
      <c r="G742" s="17" t="str">
        <f t="shared" si="33"/>
        <v>點揀料單</v>
      </c>
      <c r="H742" s="17">
        <f t="shared" si="34"/>
        <v>0</v>
      </c>
      <c r="I742" t="str">
        <f t="shared" si="35"/>
        <v/>
      </c>
      <c r="J742" t="str">
        <f>SUBSTITUTE(IF(COUNTIF(I$2:I742,I742)&gt;1,"",1)," ","")</f>
        <v/>
      </c>
    </row>
    <row r="743" spans="1:10" x14ac:dyDescent="0.2">
      <c r="A743" s="51" t="str">
        <f>IFERROR(VLOOKUP(B743,點上線資訊!A:R,18,0),"")</f>
        <v/>
      </c>
      <c r="B743" s="41">
        <f>'MB51'!A743</f>
        <v>0</v>
      </c>
      <c r="C743" s="60" t="str">
        <f>IFERROR(VLOOKUP(B743,'MB51'!A:I,9,0),"")</f>
        <v/>
      </c>
      <c r="D743" s="61" t="str">
        <f>IFERROR(VLOOKUP(B743,'MB51'!A:J,10,0),"")</f>
        <v/>
      </c>
      <c r="E743" s="62" t="str">
        <f>IFERROR(VLOOKUP(B743,'MB51'!A:K,11,0),"")</f>
        <v/>
      </c>
      <c r="F743" s="42" t="str">
        <f>IFERROR(VLOOKUP(B743,'MB51'!A:F,6,0),"")</f>
        <v/>
      </c>
      <c r="G743" s="17" t="str">
        <f t="shared" si="33"/>
        <v>點揀料單</v>
      </c>
      <c r="H743" s="17">
        <f t="shared" si="34"/>
        <v>0</v>
      </c>
      <c r="I743" t="str">
        <f t="shared" si="35"/>
        <v/>
      </c>
      <c r="J743" t="str">
        <f>SUBSTITUTE(IF(COUNTIF(I$2:I743,I743)&gt;1,"",1)," ","")</f>
        <v/>
      </c>
    </row>
    <row r="744" spans="1:10" x14ac:dyDescent="0.2">
      <c r="A744" s="51" t="str">
        <f>IFERROR(VLOOKUP(B744,點上線資訊!A:R,18,0),"")</f>
        <v/>
      </c>
      <c r="B744" s="41">
        <f>'MB51'!A744</f>
        <v>0</v>
      </c>
      <c r="C744" s="60" t="str">
        <f>IFERROR(VLOOKUP(B744,'MB51'!A:I,9,0),"")</f>
        <v/>
      </c>
      <c r="D744" s="61" t="str">
        <f>IFERROR(VLOOKUP(B744,'MB51'!A:J,10,0),"")</f>
        <v/>
      </c>
      <c r="E744" s="62" t="str">
        <f>IFERROR(VLOOKUP(B744,'MB51'!A:K,11,0),"")</f>
        <v/>
      </c>
      <c r="F744" s="42" t="str">
        <f>IFERROR(VLOOKUP(B744,'MB51'!A:F,6,0),"")</f>
        <v/>
      </c>
      <c r="G744" s="17" t="str">
        <f t="shared" si="33"/>
        <v>點揀料單</v>
      </c>
      <c r="H744" s="17">
        <f t="shared" si="34"/>
        <v>0</v>
      </c>
      <c r="I744" t="str">
        <f t="shared" si="35"/>
        <v/>
      </c>
      <c r="J744" t="str">
        <f>SUBSTITUTE(IF(COUNTIF(I$2:I744,I744)&gt;1,"",1)," ","")</f>
        <v/>
      </c>
    </row>
    <row r="745" spans="1:10" x14ac:dyDescent="0.2">
      <c r="A745" s="51" t="str">
        <f>IFERROR(VLOOKUP(B745,點上線資訊!A:R,18,0),"")</f>
        <v/>
      </c>
      <c r="B745" s="41">
        <f>'MB51'!A745</f>
        <v>0</v>
      </c>
      <c r="C745" s="60" t="str">
        <f>IFERROR(VLOOKUP(B745,'MB51'!A:I,9,0),"")</f>
        <v/>
      </c>
      <c r="D745" s="61" t="str">
        <f>IFERROR(VLOOKUP(B745,'MB51'!A:J,10,0),"")</f>
        <v/>
      </c>
      <c r="E745" s="62" t="str">
        <f>IFERROR(VLOOKUP(B745,'MB51'!A:K,11,0),"")</f>
        <v/>
      </c>
      <c r="F745" s="42" t="str">
        <f>IFERROR(VLOOKUP(B745,'MB51'!A:F,6,0),"")</f>
        <v/>
      </c>
      <c r="G745" s="17" t="str">
        <f t="shared" si="33"/>
        <v>點揀料單</v>
      </c>
      <c r="H745" s="17">
        <f t="shared" si="34"/>
        <v>0</v>
      </c>
      <c r="I745" t="str">
        <f t="shared" si="35"/>
        <v/>
      </c>
      <c r="J745" t="str">
        <f>SUBSTITUTE(IF(COUNTIF(I$2:I745,I745)&gt;1,"",1)," ","")</f>
        <v/>
      </c>
    </row>
    <row r="746" spans="1:10" x14ac:dyDescent="0.2">
      <c r="A746" s="51" t="str">
        <f>IFERROR(VLOOKUP(B746,點上線資訊!A:R,18,0),"")</f>
        <v/>
      </c>
      <c r="B746" s="41">
        <f>'MB51'!A746</f>
        <v>0</v>
      </c>
      <c r="C746" s="60" t="str">
        <f>IFERROR(VLOOKUP(B746,'MB51'!A:I,9,0),"")</f>
        <v/>
      </c>
      <c r="D746" s="61" t="str">
        <f>IFERROR(VLOOKUP(B746,'MB51'!A:J,10,0),"")</f>
        <v/>
      </c>
      <c r="E746" s="62" t="str">
        <f>IFERROR(VLOOKUP(B746,'MB51'!A:K,11,0),"")</f>
        <v/>
      </c>
      <c r="F746" s="42" t="str">
        <f>IFERROR(VLOOKUP(B746,'MB51'!A:F,6,0),"")</f>
        <v/>
      </c>
      <c r="G746" s="17" t="str">
        <f t="shared" si="33"/>
        <v>點揀料單</v>
      </c>
      <c r="H746" s="17">
        <f t="shared" si="34"/>
        <v>0</v>
      </c>
      <c r="I746" t="str">
        <f t="shared" si="35"/>
        <v/>
      </c>
      <c r="J746" t="str">
        <f>SUBSTITUTE(IF(COUNTIF(I$2:I746,I746)&gt;1,"",1)," ","")</f>
        <v/>
      </c>
    </row>
    <row r="747" spans="1:10" x14ac:dyDescent="0.2">
      <c r="A747" s="51" t="str">
        <f>IFERROR(VLOOKUP(B747,點上線資訊!A:R,18,0),"")</f>
        <v/>
      </c>
      <c r="B747" s="41">
        <f>'MB51'!A747</f>
        <v>0</v>
      </c>
      <c r="C747" s="60" t="str">
        <f>IFERROR(VLOOKUP(B747,'MB51'!A:I,9,0),"")</f>
        <v/>
      </c>
      <c r="D747" s="61" t="str">
        <f>IFERROR(VLOOKUP(B747,'MB51'!A:J,10,0),"")</f>
        <v/>
      </c>
      <c r="E747" s="62" t="str">
        <f>IFERROR(VLOOKUP(B747,'MB51'!A:K,11,0),"")</f>
        <v/>
      </c>
      <c r="F747" s="42" t="str">
        <f>IFERROR(VLOOKUP(B747,'MB51'!A:F,6,0),"")</f>
        <v/>
      </c>
      <c r="G747" s="17" t="str">
        <f t="shared" si="33"/>
        <v>點揀料單</v>
      </c>
      <c r="H747" s="17">
        <f t="shared" si="34"/>
        <v>0</v>
      </c>
      <c r="I747" t="str">
        <f t="shared" si="35"/>
        <v/>
      </c>
      <c r="J747" t="str">
        <f>SUBSTITUTE(IF(COUNTIF(I$2:I747,I747)&gt;1,"",1)," ","")</f>
        <v/>
      </c>
    </row>
    <row r="748" spans="1:10" x14ac:dyDescent="0.2">
      <c r="A748" s="51" t="str">
        <f>IFERROR(VLOOKUP(B748,點上線資訊!A:R,18,0),"")</f>
        <v/>
      </c>
      <c r="B748" s="41">
        <f>'MB51'!A748</f>
        <v>0</v>
      </c>
      <c r="C748" s="60" t="str">
        <f>IFERROR(VLOOKUP(B748,'MB51'!A:I,9,0),"")</f>
        <v/>
      </c>
      <c r="D748" s="61" t="str">
        <f>IFERROR(VLOOKUP(B748,'MB51'!A:J,10,0),"")</f>
        <v/>
      </c>
      <c r="E748" s="62" t="str">
        <f>IFERROR(VLOOKUP(B748,'MB51'!A:K,11,0),"")</f>
        <v/>
      </c>
      <c r="F748" s="42" t="str">
        <f>IFERROR(VLOOKUP(B748,'MB51'!A:F,6,0),"")</f>
        <v/>
      </c>
      <c r="G748" s="17" t="str">
        <f t="shared" si="33"/>
        <v>點揀料單</v>
      </c>
      <c r="H748" s="17">
        <f t="shared" si="34"/>
        <v>0</v>
      </c>
      <c r="I748" t="str">
        <f t="shared" si="35"/>
        <v/>
      </c>
      <c r="J748" t="str">
        <f>SUBSTITUTE(IF(COUNTIF(I$2:I748,I748)&gt;1,"",1)," ","")</f>
        <v/>
      </c>
    </row>
    <row r="749" spans="1:10" x14ac:dyDescent="0.2">
      <c r="A749" s="51" t="str">
        <f>IFERROR(VLOOKUP(B749,點上線資訊!A:R,18,0),"")</f>
        <v/>
      </c>
      <c r="B749" s="41">
        <f>'MB51'!A749</f>
        <v>0</v>
      </c>
      <c r="C749" s="60" t="str">
        <f>IFERROR(VLOOKUP(B749,'MB51'!A:I,9,0),"")</f>
        <v/>
      </c>
      <c r="D749" s="61" t="str">
        <f>IFERROR(VLOOKUP(B749,'MB51'!A:J,10,0),"")</f>
        <v/>
      </c>
      <c r="E749" s="62" t="str">
        <f>IFERROR(VLOOKUP(B749,'MB51'!A:K,11,0),"")</f>
        <v/>
      </c>
      <c r="F749" s="42" t="str">
        <f>IFERROR(VLOOKUP(B749,'MB51'!A:F,6,0),"")</f>
        <v/>
      </c>
      <c r="G749" s="17" t="str">
        <f t="shared" si="33"/>
        <v>點揀料單</v>
      </c>
      <c r="H749" s="17">
        <f t="shared" si="34"/>
        <v>0</v>
      </c>
      <c r="I749" t="str">
        <f t="shared" si="35"/>
        <v/>
      </c>
      <c r="J749" t="str">
        <f>SUBSTITUTE(IF(COUNTIF(I$2:I749,I749)&gt;1,"",1)," ","")</f>
        <v/>
      </c>
    </row>
    <row r="750" spans="1:10" x14ac:dyDescent="0.2">
      <c r="A750" s="51" t="str">
        <f>IFERROR(VLOOKUP(B750,點上線資訊!A:R,18,0),"")</f>
        <v/>
      </c>
      <c r="B750" s="41">
        <f>'MB51'!A750</f>
        <v>0</v>
      </c>
      <c r="C750" s="60" t="str">
        <f>IFERROR(VLOOKUP(B750,'MB51'!A:I,9,0),"")</f>
        <v/>
      </c>
      <c r="D750" s="61" t="str">
        <f>IFERROR(VLOOKUP(B750,'MB51'!A:J,10,0),"")</f>
        <v/>
      </c>
      <c r="E750" s="62" t="str">
        <f>IFERROR(VLOOKUP(B750,'MB51'!A:K,11,0),"")</f>
        <v/>
      </c>
      <c r="F750" s="42" t="str">
        <f>IFERROR(VLOOKUP(B750,'MB51'!A:F,6,0),"")</f>
        <v/>
      </c>
      <c r="G750" s="17" t="str">
        <f t="shared" si="33"/>
        <v>點揀料單</v>
      </c>
      <c r="H750" s="17">
        <f t="shared" si="34"/>
        <v>0</v>
      </c>
      <c r="I750" t="str">
        <f t="shared" si="35"/>
        <v/>
      </c>
      <c r="J750" t="str">
        <f>SUBSTITUTE(IF(COUNTIF(I$2:I750,I750)&gt;1,"",1)," ","")</f>
        <v/>
      </c>
    </row>
    <row r="751" spans="1:10" x14ac:dyDescent="0.2">
      <c r="A751" s="51" t="str">
        <f>IFERROR(VLOOKUP(B751,點上線資訊!A:R,18,0),"")</f>
        <v/>
      </c>
      <c r="B751" s="41">
        <f>'MB51'!A751</f>
        <v>0</v>
      </c>
      <c r="C751" s="60" t="str">
        <f>IFERROR(VLOOKUP(B751,'MB51'!A:I,9,0),"")</f>
        <v/>
      </c>
      <c r="D751" s="61" t="str">
        <f>IFERROR(VLOOKUP(B751,'MB51'!A:J,10,0),"")</f>
        <v/>
      </c>
      <c r="E751" s="62" t="str">
        <f>IFERROR(VLOOKUP(B751,'MB51'!A:K,11,0),"")</f>
        <v/>
      </c>
      <c r="F751" s="42" t="str">
        <f>IFERROR(VLOOKUP(B751,'MB51'!A:F,6,0),"")</f>
        <v/>
      </c>
      <c r="G751" s="17" t="str">
        <f t="shared" si="33"/>
        <v>點揀料單</v>
      </c>
      <c r="H751" s="17">
        <f t="shared" si="34"/>
        <v>0</v>
      </c>
      <c r="I751" t="str">
        <f t="shared" si="35"/>
        <v/>
      </c>
      <c r="J751" t="str">
        <f>SUBSTITUTE(IF(COUNTIF(I$2:I751,I751)&gt;1,"",1)," ","")</f>
        <v/>
      </c>
    </row>
    <row r="752" spans="1:10" x14ac:dyDescent="0.2">
      <c r="A752" s="51" t="str">
        <f>IFERROR(VLOOKUP(B752,點上線資訊!A:R,18,0),"")</f>
        <v/>
      </c>
      <c r="B752" s="41">
        <f>'MB51'!A752</f>
        <v>0</v>
      </c>
      <c r="C752" s="60" t="str">
        <f>IFERROR(VLOOKUP(B752,'MB51'!A:I,9,0),"")</f>
        <v/>
      </c>
      <c r="D752" s="61" t="str">
        <f>IFERROR(VLOOKUP(B752,'MB51'!A:J,10,0),"")</f>
        <v/>
      </c>
      <c r="E752" s="62" t="str">
        <f>IFERROR(VLOOKUP(B752,'MB51'!A:K,11,0),"")</f>
        <v/>
      </c>
      <c r="F752" s="42" t="str">
        <f>IFERROR(VLOOKUP(B752,'MB51'!A:F,6,0),"")</f>
        <v/>
      </c>
      <c r="G752" s="17" t="str">
        <f t="shared" si="33"/>
        <v>點揀料單</v>
      </c>
      <c r="H752" s="17">
        <f t="shared" si="34"/>
        <v>0</v>
      </c>
      <c r="I752" t="str">
        <f t="shared" si="35"/>
        <v/>
      </c>
      <c r="J752" t="str">
        <f>SUBSTITUTE(IF(COUNTIF(I$2:I752,I752)&gt;1,"",1)," ","")</f>
        <v/>
      </c>
    </row>
    <row r="753" spans="1:10" x14ac:dyDescent="0.2">
      <c r="A753" s="51" t="str">
        <f>IFERROR(VLOOKUP(B753,點上線資訊!A:R,18,0),"")</f>
        <v/>
      </c>
      <c r="B753" s="41">
        <f>'MB51'!A753</f>
        <v>0</v>
      </c>
      <c r="C753" s="60" t="str">
        <f>IFERROR(VLOOKUP(B753,'MB51'!A:I,9,0),"")</f>
        <v/>
      </c>
      <c r="D753" s="61" t="str">
        <f>IFERROR(VLOOKUP(B753,'MB51'!A:J,10,0),"")</f>
        <v/>
      </c>
      <c r="E753" s="62" t="str">
        <f>IFERROR(VLOOKUP(B753,'MB51'!A:K,11,0),"")</f>
        <v/>
      </c>
      <c r="F753" s="42" t="str">
        <f>IFERROR(VLOOKUP(B753,'MB51'!A:F,6,0),"")</f>
        <v/>
      </c>
      <c r="G753" s="17" t="str">
        <f t="shared" si="33"/>
        <v>點揀料單</v>
      </c>
      <c r="H753" s="17">
        <f t="shared" si="34"/>
        <v>0</v>
      </c>
      <c r="I753" t="str">
        <f t="shared" si="35"/>
        <v/>
      </c>
      <c r="J753" t="str">
        <f>SUBSTITUTE(IF(COUNTIF(I$2:I753,I753)&gt;1,"",1)," ","")</f>
        <v/>
      </c>
    </row>
    <row r="754" spans="1:10" x14ac:dyDescent="0.2">
      <c r="A754" s="51" t="str">
        <f>IFERROR(VLOOKUP(B754,點上線資訊!A:R,18,0),"")</f>
        <v/>
      </c>
      <c r="B754" s="41">
        <f>'MB51'!A754</f>
        <v>0</v>
      </c>
      <c r="C754" s="60" t="str">
        <f>IFERROR(VLOOKUP(B754,'MB51'!A:I,9,0),"")</f>
        <v/>
      </c>
      <c r="D754" s="61" t="str">
        <f>IFERROR(VLOOKUP(B754,'MB51'!A:J,10,0),"")</f>
        <v/>
      </c>
      <c r="E754" s="62" t="str">
        <f>IFERROR(VLOOKUP(B754,'MB51'!A:K,11,0),"")</f>
        <v/>
      </c>
      <c r="F754" s="42" t="str">
        <f>IFERROR(VLOOKUP(B754,'MB51'!A:F,6,0),"")</f>
        <v/>
      </c>
      <c r="G754" s="17" t="str">
        <f t="shared" si="33"/>
        <v>點揀料單</v>
      </c>
      <c r="H754" s="17">
        <f t="shared" si="34"/>
        <v>0</v>
      </c>
      <c r="I754" t="str">
        <f t="shared" si="35"/>
        <v/>
      </c>
      <c r="J754" t="str">
        <f>SUBSTITUTE(IF(COUNTIF(I$2:I754,I754)&gt;1,"",1)," ","")</f>
        <v/>
      </c>
    </row>
    <row r="755" spans="1:10" x14ac:dyDescent="0.2">
      <c r="A755" s="51" t="str">
        <f>IFERROR(VLOOKUP(B755,點上線資訊!A:R,18,0),"")</f>
        <v/>
      </c>
      <c r="B755" s="41">
        <f>'MB51'!A755</f>
        <v>0</v>
      </c>
      <c r="C755" s="60" t="str">
        <f>IFERROR(VLOOKUP(B755,'MB51'!A:I,9,0),"")</f>
        <v/>
      </c>
      <c r="D755" s="61" t="str">
        <f>IFERROR(VLOOKUP(B755,'MB51'!A:J,10,0),"")</f>
        <v/>
      </c>
      <c r="E755" s="62" t="str">
        <f>IFERROR(VLOOKUP(B755,'MB51'!A:K,11,0),"")</f>
        <v/>
      </c>
      <c r="F755" s="42" t="str">
        <f>IFERROR(VLOOKUP(B755,'MB51'!A:F,6,0),"")</f>
        <v/>
      </c>
      <c r="G755" s="17" t="str">
        <f t="shared" si="33"/>
        <v>點揀料單</v>
      </c>
      <c r="H755" s="17">
        <f t="shared" si="34"/>
        <v>0</v>
      </c>
      <c r="I755" t="str">
        <f t="shared" si="35"/>
        <v/>
      </c>
      <c r="J755" t="str">
        <f>SUBSTITUTE(IF(COUNTIF(I$2:I755,I755)&gt;1,"",1)," ","")</f>
        <v/>
      </c>
    </row>
    <row r="756" spans="1:10" x14ac:dyDescent="0.2">
      <c r="A756" s="51" t="str">
        <f>IFERROR(VLOOKUP(B756,點上線資訊!A:R,18,0),"")</f>
        <v/>
      </c>
      <c r="B756" s="41">
        <f>'MB51'!A756</f>
        <v>0</v>
      </c>
      <c r="C756" s="60" t="str">
        <f>IFERROR(VLOOKUP(B756,'MB51'!A:I,9,0),"")</f>
        <v/>
      </c>
      <c r="D756" s="61" t="str">
        <f>IFERROR(VLOOKUP(B756,'MB51'!A:J,10,0),"")</f>
        <v/>
      </c>
      <c r="E756" s="62" t="str">
        <f>IFERROR(VLOOKUP(B756,'MB51'!A:K,11,0),"")</f>
        <v/>
      </c>
      <c r="F756" s="42" t="str">
        <f>IFERROR(VLOOKUP(B756,'MB51'!A:F,6,0),"")</f>
        <v/>
      </c>
      <c r="G756" s="17" t="str">
        <f t="shared" si="33"/>
        <v>點揀料單</v>
      </c>
      <c r="H756" s="17">
        <f t="shared" si="34"/>
        <v>0</v>
      </c>
      <c r="I756" t="str">
        <f t="shared" si="35"/>
        <v/>
      </c>
      <c r="J756" t="str">
        <f>SUBSTITUTE(IF(COUNTIF(I$2:I756,I756)&gt;1,"",1)," ","")</f>
        <v/>
      </c>
    </row>
    <row r="757" spans="1:10" x14ac:dyDescent="0.2">
      <c r="A757" s="51" t="str">
        <f>IFERROR(VLOOKUP(B757,點上線資訊!A:R,18,0),"")</f>
        <v/>
      </c>
      <c r="B757" s="41">
        <f>'MB51'!A757</f>
        <v>0</v>
      </c>
      <c r="C757" s="60" t="str">
        <f>IFERROR(VLOOKUP(B757,'MB51'!A:I,9,0),"")</f>
        <v/>
      </c>
      <c r="D757" s="61" t="str">
        <f>IFERROR(VLOOKUP(B757,'MB51'!A:J,10,0),"")</f>
        <v/>
      </c>
      <c r="E757" s="62" t="str">
        <f>IFERROR(VLOOKUP(B757,'MB51'!A:K,11,0),"")</f>
        <v/>
      </c>
      <c r="F757" s="42" t="str">
        <f>IFERROR(VLOOKUP(B757,'MB51'!A:F,6,0),"")</f>
        <v/>
      </c>
      <c r="G757" s="17" t="str">
        <f t="shared" si="33"/>
        <v>點揀料單</v>
      </c>
      <c r="H757" s="17">
        <f t="shared" si="34"/>
        <v>0</v>
      </c>
      <c r="I757" t="str">
        <f t="shared" si="35"/>
        <v/>
      </c>
      <c r="J757" t="str">
        <f>SUBSTITUTE(IF(COUNTIF(I$2:I757,I757)&gt;1,"",1)," ","")</f>
        <v/>
      </c>
    </row>
    <row r="758" spans="1:10" x14ac:dyDescent="0.2">
      <c r="A758" s="51" t="str">
        <f>IFERROR(VLOOKUP(B758,點上線資訊!A:R,18,0),"")</f>
        <v/>
      </c>
      <c r="B758" s="41">
        <f>'MB51'!A758</f>
        <v>0</v>
      </c>
      <c r="C758" s="60" t="str">
        <f>IFERROR(VLOOKUP(B758,'MB51'!A:I,9,0),"")</f>
        <v/>
      </c>
      <c r="D758" s="61" t="str">
        <f>IFERROR(VLOOKUP(B758,'MB51'!A:J,10,0),"")</f>
        <v/>
      </c>
      <c r="E758" s="62" t="str">
        <f>IFERROR(VLOOKUP(B758,'MB51'!A:K,11,0),"")</f>
        <v/>
      </c>
      <c r="F758" s="42" t="str">
        <f>IFERROR(VLOOKUP(B758,'MB51'!A:F,6,0),"")</f>
        <v/>
      </c>
      <c r="G758" s="17" t="str">
        <f t="shared" si="33"/>
        <v>點揀料單</v>
      </c>
      <c r="H758" s="17">
        <f t="shared" si="34"/>
        <v>0</v>
      </c>
      <c r="I758" t="str">
        <f t="shared" si="35"/>
        <v/>
      </c>
      <c r="J758" t="str">
        <f>SUBSTITUTE(IF(COUNTIF(I$2:I758,I758)&gt;1,"",1)," ","")</f>
        <v/>
      </c>
    </row>
    <row r="759" spans="1:10" x14ac:dyDescent="0.2">
      <c r="A759" s="51" t="str">
        <f>IFERROR(VLOOKUP(B759,點上線資訊!A:R,18,0),"")</f>
        <v/>
      </c>
      <c r="B759" s="41">
        <f>'MB51'!A759</f>
        <v>0</v>
      </c>
      <c r="C759" s="60" t="str">
        <f>IFERROR(VLOOKUP(B759,'MB51'!A:I,9,0),"")</f>
        <v/>
      </c>
      <c r="D759" s="61" t="str">
        <f>IFERROR(VLOOKUP(B759,'MB51'!A:J,10,0),"")</f>
        <v/>
      </c>
      <c r="E759" s="62" t="str">
        <f>IFERROR(VLOOKUP(B759,'MB51'!A:K,11,0),"")</f>
        <v/>
      </c>
      <c r="F759" s="42" t="str">
        <f>IFERROR(VLOOKUP(B759,'MB51'!A:F,6,0),"")</f>
        <v/>
      </c>
      <c r="G759" s="17" t="str">
        <f t="shared" si="33"/>
        <v>點揀料單</v>
      </c>
      <c r="H759" s="17">
        <f t="shared" si="34"/>
        <v>0</v>
      </c>
      <c r="I759" t="str">
        <f t="shared" si="35"/>
        <v/>
      </c>
      <c r="J759" t="str">
        <f>SUBSTITUTE(IF(COUNTIF(I$2:I759,I759)&gt;1,"",1)," ","")</f>
        <v/>
      </c>
    </row>
    <row r="760" spans="1:10" x14ac:dyDescent="0.2">
      <c r="A760" s="51" t="str">
        <f>IFERROR(VLOOKUP(B760,點上線資訊!A:R,18,0),"")</f>
        <v/>
      </c>
      <c r="B760" s="41">
        <f>'MB51'!A760</f>
        <v>0</v>
      </c>
      <c r="C760" s="60" t="str">
        <f>IFERROR(VLOOKUP(B760,'MB51'!A:I,9,0),"")</f>
        <v/>
      </c>
      <c r="D760" s="61" t="str">
        <f>IFERROR(VLOOKUP(B760,'MB51'!A:J,10,0),"")</f>
        <v/>
      </c>
      <c r="E760" s="62" t="str">
        <f>IFERROR(VLOOKUP(B760,'MB51'!A:K,11,0),"")</f>
        <v/>
      </c>
      <c r="F760" s="42" t="str">
        <f>IFERROR(VLOOKUP(B760,'MB51'!A:F,6,0),"")</f>
        <v/>
      </c>
      <c r="G760" s="17" t="str">
        <f t="shared" si="33"/>
        <v>點揀料單</v>
      </c>
      <c r="H760" s="17">
        <f t="shared" si="34"/>
        <v>0</v>
      </c>
      <c r="I760" t="str">
        <f t="shared" si="35"/>
        <v/>
      </c>
      <c r="J760" t="str">
        <f>SUBSTITUTE(IF(COUNTIF(I$2:I760,I760)&gt;1,"",1)," ","")</f>
        <v/>
      </c>
    </row>
    <row r="761" spans="1:10" x14ac:dyDescent="0.2">
      <c r="A761" s="51" t="str">
        <f>IFERROR(VLOOKUP(B761,點上線資訊!A:R,18,0),"")</f>
        <v/>
      </c>
      <c r="B761" s="41">
        <f>'MB51'!A761</f>
        <v>0</v>
      </c>
      <c r="C761" s="60" t="str">
        <f>IFERROR(VLOOKUP(B761,'MB51'!A:I,9,0),"")</f>
        <v/>
      </c>
      <c r="D761" s="61" t="str">
        <f>IFERROR(VLOOKUP(B761,'MB51'!A:J,10,0),"")</f>
        <v/>
      </c>
      <c r="E761" s="62" t="str">
        <f>IFERROR(VLOOKUP(B761,'MB51'!A:K,11,0),"")</f>
        <v/>
      </c>
      <c r="F761" s="42" t="str">
        <f>IFERROR(VLOOKUP(B761,'MB51'!A:F,6,0),"")</f>
        <v/>
      </c>
      <c r="G761" s="17" t="str">
        <f t="shared" si="33"/>
        <v>點揀料單</v>
      </c>
      <c r="H761" s="17">
        <f t="shared" si="34"/>
        <v>0</v>
      </c>
      <c r="I761" t="str">
        <f t="shared" si="35"/>
        <v/>
      </c>
      <c r="J761" t="str">
        <f>SUBSTITUTE(IF(COUNTIF(I$2:I761,I761)&gt;1,"",1)," ","")</f>
        <v/>
      </c>
    </row>
    <row r="762" spans="1:10" x14ac:dyDescent="0.2">
      <c r="A762" s="51" t="str">
        <f>IFERROR(VLOOKUP(B762,點上線資訊!A:R,18,0),"")</f>
        <v/>
      </c>
      <c r="B762" s="41">
        <f>'MB51'!A762</f>
        <v>0</v>
      </c>
      <c r="C762" s="60" t="str">
        <f>IFERROR(VLOOKUP(B762,'MB51'!A:I,9,0),"")</f>
        <v/>
      </c>
      <c r="D762" s="61" t="str">
        <f>IFERROR(VLOOKUP(B762,'MB51'!A:J,10,0),"")</f>
        <v/>
      </c>
      <c r="E762" s="62" t="str">
        <f>IFERROR(VLOOKUP(B762,'MB51'!A:K,11,0),"")</f>
        <v/>
      </c>
      <c r="F762" s="42" t="str">
        <f>IFERROR(VLOOKUP(B762,'MB51'!A:F,6,0),"")</f>
        <v/>
      </c>
      <c r="G762" s="17" t="str">
        <f t="shared" si="33"/>
        <v>點揀料單</v>
      </c>
      <c r="H762" s="17">
        <f t="shared" si="34"/>
        <v>0</v>
      </c>
      <c r="I762" t="str">
        <f t="shared" si="35"/>
        <v/>
      </c>
      <c r="J762" t="str">
        <f>SUBSTITUTE(IF(COUNTIF(I$2:I762,I762)&gt;1,"",1)," ","")</f>
        <v/>
      </c>
    </row>
    <row r="763" spans="1:10" x14ac:dyDescent="0.2">
      <c r="A763" s="51" t="str">
        <f>IFERROR(VLOOKUP(B763,點上線資訊!A:R,18,0),"")</f>
        <v/>
      </c>
      <c r="B763" s="41">
        <f>'MB51'!A763</f>
        <v>0</v>
      </c>
      <c r="C763" s="60" t="str">
        <f>IFERROR(VLOOKUP(B763,'MB51'!A:I,9,0),"")</f>
        <v/>
      </c>
      <c r="D763" s="61" t="str">
        <f>IFERROR(VLOOKUP(B763,'MB51'!A:J,10,0),"")</f>
        <v/>
      </c>
      <c r="E763" s="62" t="str">
        <f>IFERROR(VLOOKUP(B763,'MB51'!A:K,11,0),"")</f>
        <v/>
      </c>
      <c r="F763" s="42" t="str">
        <f>IFERROR(VLOOKUP(B763,'MB51'!A:F,6,0),"")</f>
        <v/>
      </c>
      <c r="G763" s="17" t="str">
        <f t="shared" si="33"/>
        <v>點揀料單</v>
      </c>
      <c r="H763" s="17">
        <f t="shared" si="34"/>
        <v>0</v>
      </c>
      <c r="I763" t="str">
        <f t="shared" si="35"/>
        <v/>
      </c>
      <c r="J763" t="str">
        <f>SUBSTITUTE(IF(COUNTIF(I$2:I763,I763)&gt;1,"",1)," ","")</f>
        <v/>
      </c>
    </row>
    <row r="764" spans="1:10" x14ac:dyDescent="0.2">
      <c r="A764" s="51" t="str">
        <f>IFERROR(VLOOKUP(B764,點上線資訊!A:R,18,0),"")</f>
        <v/>
      </c>
      <c r="B764" s="41">
        <f>'MB51'!A764</f>
        <v>0</v>
      </c>
      <c r="C764" s="60" t="str">
        <f>IFERROR(VLOOKUP(B764,'MB51'!A:I,9,0),"")</f>
        <v/>
      </c>
      <c r="D764" s="61" t="str">
        <f>IFERROR(VLOOKUP(B764,'MB51'!A:J,10,0),"")</f>
        <v/>
      </c>
      <c r="E764" s="62" t="str">
        <f>IFERROR(VLOOKUP(B764,'MB51'!A:K,11,0),"")</f>
        <v/>
      </c>
      <c r="F764" s="42" t="str">
        <f>IFERROR(VLOOKUP(B764,'MB51'!A:F,6,0),"")</f>
        <v/>
      </c>
      <c r="G764" s="17" t="str">
        <f t="shared" si="33"/>
        <v>點揀料單</v>
      </c>
      <c r="H764" s="17">
        <f t="shared" si="34"/>
        <v>0</v>
      </c>
      <c r="I764" t="str">
        <f t="shared" si="35"/>
        <v/>
      </c>
      <c r="J764" t="str">
        <f>SUBSTITUTE(IF(COUNTIF(I$2:I764,I764)&gt;1,"",1)," ","")</f>
        <v/>
      </c>
    </row>
    <row r="765" spans="1:10" x14ac:dyDescent="0.2">
      <c r="A765" s="51" t="str">
        <f>IFERROR(VLOOKUP(B765,點上線資訊!A:R,18,0),"")</f>
        <v/>
      </c>
      <c r="B765" s="41">
        <f>'MB51'!A765</f>
        <v>0</v>
      </c>
      <c r="C765" s="60" t="str">
        <f>IFERROR(VLOOKUP(B765,'MB51'!A:I,9,0),"")</f>
        <v/>
      </c>
      <c r="D765" s="61" t="str">
        <f>IFERROR(VLOOKUP(B765,'MB51'!A:J,10,0),"")</f>
        <v/>
      </c>
      <c r="E765" s="62" t="str">
        <f>IFERROR(VLOOKUP(B765,'MB51'!A:K,11,0),"")</f>
        <v/>
      </c>
      <c r="F765" s="42" t="str">
        <f>IFERROR(VLOOKUP(B765,'MB51'!A:F,6,0),"")</f>
        <v/>
      </c>
      <c r="G765" s="17" t="str">
        <f t="shared" si="33"/>
        <v>點揀料單</v>
      </c>
      <c r="H765" s="17">
        <f t="shared" si="34"/>
        <v>0</v>
      </c>
      <c r="I765" t="str">
        <f t="shared" si="35"/>
        <v/>
      </c>
      <c r="J765" t="str">
        <f>SUBSTITUTE(IF(COUNTIF(I$2:I765,I765)&gt;1,"",1)," ","")</f>
        <v/>
      </c>
    </row>
    <row r="766" spans="1:10" x14ac:dyDescent="0.2">
      <c r="A766" s="51" t="str">
        <f>IFERROR(VLOOKUP(B766,點上線資訊!A:R,18,0),"")</f>
        <v/>
      </c>
      <c r="B766" s="41">
        <f>'MB51'!A766</f>
        <v>0</v>
      </c>
      <c r="C766" s="60" t="str">
        <f>IFERROR(VLOOKUP(B766,'MB51'!A:I,9,0),"")</f>
        <v/>
      </c>
      <c r="D766" s="61" t="str">
        <f>IFERROR(VLOOKUP(B766,'MB51'!A:J,10,0),"")</f>
        <v/>
      </c>
      <c r="E766" s="62" t="str">
        <f>IFERROR(VLOOKUP(B766,'MB51'!A:K,11,0),"")</f>
        <v/>
      </c>
      <c r="F766" s="42" t="str">
        <f>IFERROR(VLOOKUP(B766,'MB51'!A:F,6,0),"")</f>
        <v/>
      </c>
      <c r="G766" s="17" t="str">
        <f t="shared" si="33"/>
        <v>點揀料單</v>
      </c>
      <c r="H766" s="17">
        <f t="shared" si="34"/>
        <v>0</v>
      </c>
      <c r="I766" t="str">
        <f t="shared" si="35"/>
        <v/>
      </c>
      <c r="J766" t="str">
        <f>SUBSTITUTE(IF(COUNTIF(I$2:I766,I766)&gt;1,"",1)," ","")</f>
        <v/>
      </c>
    </row>
    <row r="767" spans="1:10" x14ac:dyDescent="0.2">
      <c r="A767" s="51" t="str">
        <f>IFERROR(VLOOKUP(B767,點上線資訊!A:R,18,0),"")</f>
        <v/>
      </c>
      <c r="B767" s="41">
        <f>'MB51'!A767</f>
        <v>0</v>
      </c>
      <c r="C767" s="60" t="str">
        <f>IFERROR(VLOOKUP(B767,'MB51'!A:I,9,0),"")</f>
        <v/>
      </c>
      <c r="D767" s="61" t="str">
        <f>IFERROR(VLOOKUP(B767,'MB51'!A:J,10,0),"")</f>
        <v/>
      </c>
      <c r="E767" s="62" t="str">
        <f>IFERROR(VLOOKUP(B767,'MB51'!A:K,11,0),"")</f>
        <v/>
      </c>
      <c r="F767" s="42" t="str">
        <f>IFERROR(VLOOKUP(B767,'MB51'!A:F,6,0),"")</f>
        <v/>
      </c>
      <c r="G767" s="17" t="str">
        <f t="shared" si="33"/>
        <v>點揀料單</v>
      </c>
      <c r="H767" s="17">
        <f t="shared" si="34"/>
        <v>0</v>
      </c>
      <c r="I767" t="str">
        <f t="shared" si="35"/>
        <v/>
      </c>
      <c r="J767" t="str">
        <f>SUBSTITUTE(IF(COUNTIF(I$2:I767,I767)&gt;1,"",1)," ","")</f>
        <v/>
      </c>
    </row>
    <row r="768" spans="1:10" x14ac:dyDescent="0.2">
      <c r="A768" s="51" t="str">
        <f>IFERROR(VLOOKUP(B768,點上線資訊!A:R,18,0),"")</f>
        <v/>
      </c>
      <c r="B768" s="41">
        <f>'MB51'!A768</f>
        <v>0</v>
      </c>
      <c r="C768" s="60" t="str">
        <f>IFERROR(VLOOKUP(B768,'MB51'!A:I,9,0),"")</f>
        <v/>
      </c>
      <c r="D768" s="61" t="str">
        <f>IFERROR(VLOOKUP(B768,'MB51'!A:J,10,0),"")</f>
        <v/>
      </c>
      <c r="E768" s="62" t="str">
        <f>IFERROR(VLOOKUP(B768,'MB51'!A:K,11,0),"")</f>
        <v/>
      </c>
      <c r="F768" s="42" t="str">
        <f>IFERROR(VLOOKUP(B768,'MB51'!A:F,6,0),"")</f>
        <v/>
      </c>
      <c r="G768" s="17" t="str">
        <f t="shared" si="33"/>
        <v>點揀料單</v>
      </c>
      <c r="H768" s="17">
        <f t="shared" si="34"/>
        <v>0</v>
      </c>
      <c r="I768" t="str">
        <f t="shared" si="35"/>
        <v/>
      </c>
      <c r="J768" t="str">
        <f>SUBSTITUTE(IF(COUNTIF(I$2:I768,I768)&gt;1,"",1)," ","")</f>
        <v/>
      </c>
    </row>
    <row r="769" spans="1:10" x14ac:dyDescent="0.2">
      <c r="A769" s="51" t="str">
        <f>IFERROR(VLOOKUP(B769,點上線資訊!A:R,18,0),"")</f>
        <v/>
      </c>
      <c r="B769" s="41">
        <f>'MB51'!A769</f>
        <v>0</v>
      </c>
      <c r="C769" s="60" t="str">
        <f>IFERROR(VLOOKUP(B769,'MB51'!A:I,9,0),"")</f>
        <v/>
      </c>
      <c r="D769" s="61" t="str">
        <f>IFERROR(VLOOKUP(B769,'MB51'!A:J,10,0),"")</f>
        <v/>
      </c>
      <c r="E769" s="62" t="str">
        <f>IFERROR(VLOOKUP(B769,'MB51'!A:K,11,0),"")</f>
        <v/>
      </c>
      <c r="F769" s="42" t="str">
        <f>IFERROR(VLOOKUP(B769,'MB51'!A:F,6,0),"")</f>
        <v/>
      </c>
      <c r="G769" s="17" t="str">
        <f t="shared" si="33"/>
        <v>點揀料單</v>
      </c>
      <c r="H769" s="17">
        <f t="shared" si="34"/>
        <v>0</v>
      </c>
      <c r="I769" t="str">
        <f t="shared" si="35"/>
        <v/>
      </c>
      <c r="J769" t="str">
        <f>SUBSTITUTE(IF(COUNTIF(I$2:I769,I769)&gt;1,"",1)," ","")</f>
        <v/>
      </c>
    </row>
    <row r="770" spans="1:10" x14ac:dyDescent="0.2">
      <c r="A770" s="51" t="str">
        <f>IFERROR(VLOOKUP(B770,點上線資訊!A:R,18,0),"")</f>
        <v/>
      </c>
      <c r="B770" s="41">
        <f>'MB51'!A770</f>
        <v>0</v>
      </c>
      <c r="C770" s="60" t="str">
        <f>IFERROR(VLOOKUP(B770,'MB51'!A:I,9,0),"")</f>
        <v/>
      </c>
      <c r="D770" s="61" t="str">
        <f>IFERROR(VLOOKUP(B770,'MB51'!A:J,10,0),"")</f>
        <v/>
      </c>
      <c r="E770" s="62" t="str">
        <f>IFERROR(VLOOKUP(B770,'MB51'!A:K,11,0),"")</f>
        <v/>
      </c>
      <c r="F770" s="42" t="str">
        <f>IFERROR(VLOOKUP(B770,'MB51'!A:F,6,0),"")</f>
        <v/>
      </c>
      <c r="G770" s="17" t="str">
        <f t="shared" si="33"/>
        <v>點揀料單</v>
      </c>
      <c r="H770" s="17">
        <f t="shared" si="34"/>
        <v>0</v>
      </c>
      <c r="I770" t="str">
        <f t="shared" si="35"/>
        <v/>
      </c>
      <c r="J770" t="str">
        <f>SUBSTITUTE(IF(COUNTIF(I$2:I770,I770)&gt;1,"",1)," ","")</f>
        <v/>
      </c>
    </row>
    <row r="771" spans="1:10" x14ac:dyDescent="0.2">
      <c r="A771" s="51" t="str">
        <f>IFERROR(VLOOKUP(B771,點上線資訊!A:R,18,0),"")</f>
        <v/>
      </c>
      <c r="B771" s="41">
        <f>'MB51'!A771</f>
        <v>0</v>
      </c>
      <c r="C771" s="60" t="str">
        <f>IFERROR(VLOOKUP(B771,'MB51'!A:I,9,0),"")</f>
        <v/>
      </c>
      <c r="D771" s="61" t="str">
        <f>IFERROR(VLOOKUP(B771,'MB51'!A:J,10,0),"")</f>
        <v/>
      </c>
      <c r="E771" s="62" t="str">
        <f>IFERROR(VLOOKUP(B771,'MB51'!A:K,11,0),"")</f>
        <v/>
      </c>
      <c r="F771" s="42" t="str">
        <f>IFERROR(VLOOKUP(B771,'MB51'!A:F,6,0),"")</f>
        <v/>
      </c>
      <c r="G771" s="17" t="str">
        <f t="shared" ref="G771:G834" si="36">TEXT(D771,"MM/DD")&amp;TEXT(E771,"  HH")&amp;"點揀料單"</f>
        <v>點揀料單</v>
      </c>
      <c r="H771" s="17">
        <f t="shared" ref="H771:H834" si="37">ABS(SUMIF(C:C,C771,F:F))</f>
        <v>0</v>
      </c>
      <c r="I771" t="str">
        <f t="shared" ref="I771:I834" si="38">RIGHTB(C771,10)</f>
        <v/>
      </c>
      <c r="J771" t="str">
        <f>SUBSTITUTE(IF(COUNTIF(I$2:I771,I771)&gt;1,"",1)," ","")</f>
        <v/>
      </c>
    </row>
    <row r="772" spans="1:10" x14ac:dyDescent="0.2">
      <c r="A772" s="51" t="str">
        <f>IFERROR(VLOOKUP(B772,點上線資訊!A:R,18,0),"")</f>
        <v/>
      </c>
      <c r="B772" s="41">
        <f>'MB51'!A772</f>
        <v>0</v>
      </c>
      <c r="C772" s="60" t="str">
        <f>IFERROR(VLOOKUP(B772,'MB51'!A:I,9,0),"")</f>
        <v/>
      </c>
      <c r="D772" s="61" t="str">
        <f>IFERROR(VLOOKUP(B772,'MB51'!A:J,10,0),"")</f>
        <v/>
      </c>
      <c r="E772" s="62" t="str">
        <f>IFERROR(VLOOKUP(B772,'MB51'!A:K,11,0),"")</f>
        <v/>
      </c>
      <c r="F772" s="42" t="str">
        <f>IFERROR(VLOOKUP(B772,'MB51'!A:F,6,0),"")</f>
        <v/>
      </c>
      <c r="G772" s="17" t="str">
        <f t="shared" si="36"/>
        <v>點揀料單</v>
      </c>
      <c r="H772" s="17">
        <f t="shared" si="37"/>
        <v>0</v>
      </c>
      <c r="I772" t="str">
        <f t="shared" si="38"/>
        <v/>
      </c>
      <c r="J772" t="str">
        <f>SUBSTITUTE(IF(COUNTIF(I$2:I772,I772)&gt;1,"",1)," ","")</f>
        <v/>
      </c>
    </row>
    <row r="773" spans="1:10" x14ac:dyDescent="0.2">
      <c r="A773" s="51" t="str">
        <f>IFERROR(VLOOKUP(B773,點上線資訊!A:R,18,0),"")</f>
        <v/>
      </c>
      <c r="B773" s="41">
        <f>'MB51'!A773</f>
        <v>0</v>
      </c>
      <c r="C773" s="60" t="str">
        <f>IFERROR(VLOOKUP(B773,'MB51'!A:I,9,0),"")</f>
        <v/>
      </c>
      <c r="D773" s="61" t="str">
        <f>IFERROR(VLOOKUP(B773,'MB51'!A:J,10,0),"")</f>
        <v/>
      </c>
      <c r="E773" s="62" t="str">
        <f>IFERROR(VLOOKUP(B773,'MB51'!A:K,11,0),"")</f>
        <v/>
      </c>
      <c r="F773" s="42" t="str">
        <f>IFERROR(VLOOKUP(B773,'MB51'!A:F,6,0),"")</f>
        <v/>
      </c>
      <c r="G773" s="17" t="str">
        <f t="shared" si="36"/>
        <v>點揀料單</v>
      </c>
      <c r="H773" s="17">
        <f t="shared" si="37"/>
        <v>0</v>
      </c>
      <c r="I773" t="str">
        <f t="shared" si="38"/>
        <v/>
      </c>
      <c r="J773" t="str">
        <f>SUBSTITUTE(IF(COUNTIF(I$2:I773,I773)&gt;1,"",1)," ","")</f>
        <v/>
      </c>
    </row>
    <row r="774" spans="1:10" x14ac:dyDescent="0.2">
      <c r="A774" s="51" t="str">
        <f>IFERROR(VLOOKUP(B774,點上線資訊!A:R,18,0),"")</f>
        <v/>
      </c>
      <c r="B774" s="41">
        <f>'MB51'!A774</f>
        <v>0</v>
      </c>
      <c r="C774" s="60" t="str">
        <f>IFERROR(VLOOKUP(B774,'MB51'!A:I,9,0),"")</f>
        <v/>
      </c>
      <c r="D774" s="61" t="str">
        <f>IFERROR(VLOOKUP(B774,'MB51'!A:J,10,0),"")</f>
        <v/>
      </c>
      <c r="E774" s="62" t="str">
        <f>IFERROR(VLOOKUP(B774,'MB51'!A:K,11,0),"")</f>
        <v/>
      </c>
      <c r="F774" s="42" t="str">
        <f>IFERROR(VLOOKUP(B774,'MB51'!A:F,6,0),"")</f>
        <v/>
      </c>
      <c r="G774" s="17" t="str">
        <f t="shared" si="36"/>
        <v>點揀料單</v>
      </c>
      <c r="H774" s="17">
        <f t="shared" si="37"/>
        <v>0</v>
      </c>
      <c r="I774" t="str">
        <f t="shared" si="38"/>
        <v/>
      </c>
      <c r="J774" t="str">
        <f>SUBSTITUTE(IF(COUNTIF(I$2:I774,I774)&gt;1,"",1)," ","")</f>
        <v/>
      </c>
    </row>
    <row r="775" spans="1:10" x14ac:dyDescent="0.2">
      <c r="A775" s="51" t="str">
        <f>IFERROR(VLOOKUP(B775,點上線資訊!A:R,18,0),"")</f>
        <v/>
      </c>
      <c r="B775" s="41">
        <f>'MB51'!A775</f>
        <v>0</v>
      </c>
      <c r="C775" s="60" t="str">
        <f>IFERROR(VLOOKUP(B775,'MB51'!A:I,9,0),"")</f>
        <v/>
      </c>
      <c r="D775" s="61" t="str">
        <f>IFERROR(VLOOKUP(B775,'MB51'!A:J,10,0),"")</f>
        <v/>
      </c>
      <c r="E775" s="62" t="str">
        <f>IFERROR(VLOOKUP(B775,'MB51'!A:K,11,0),"")</f>
        <v/>
      </c>
      <c r="F775" s="42" t="str">
        <f>IFERROR(VLOOKUP(B775,'MB51'!A:F,6,0),"")</f>
        <v/>
      </c>
      <c r="G775" s="17" t="str">
        <f t="shared" si="36"/>
        <v>點揀料單</v>
      </c>
      <c r="H775" s="17">
        <f t="shared" si="37"/>
        <v>0</v>
      </c>
      <c r="I775" t="str">
        <f t="shared" si="38"/>
        <v/>
      </c>
      <c r="J775" t="str">
        <f>SUBSTITUTE(IF(COUNTIF(I$2:I775,I775)&gt;1,"",1)," ","")</f>
        <v/>
      </c>
    </row>
    <row r="776" spans="1:10" x14ac:dyDescent="0.2">
      <c r="A776" s="51" t="str">
        <f>IFERROR(VLOOKUP(B776,點上線資訊!A:R,18,0),"")</f>
        <v/>
      </c>
      <c r="B776" s="41">
        <f>'MB51'!A776</f>
        <v>0</v>
      </c>
      <c r="C776" s="60" t="str">
        <f>IFERROR(VLOOKUP(B776,'MB51'!A:I,9,0),"")</f>
        <v/>
      </c>
      <c r="D776" s="61" t="str">
        <f>IFERROR(VLOOKUP(B776,'MB51'!A:J,10,0),"")</f>
        <v/>
      </c>
      <c r="E776" s="62" t="str">
        <f>IFERROR(VLOOKUP(B776,'MB51'!A:K,11,0),"")</f>
        <v/>
      </c>
      <c r="F776" s="42" t="str">
        <f>IFERROR(VLOOKUP(B776,'MB51'!A:F,6,0),"")</f>
        <v/>
      </c>
      <c r="G776" s="17" t="str">
        <f t="shared" si="36"/>
        <v>點揀料單</v>
      </c>
      <c r="H776" s="17">
        <f t="shared" si="37"/>
        <v>0</v>
      </c>
      <c r="I776" t="str">
        <f t="shared" si="38"/>
        <v/>
      </c>
      <c r="J776" t="str">
        <f>SUBSTITUTE(IF(COUNTIF(I$2:I776,I776)&gt;1,"",1)," ","")</f>
        <v/>
      </c>
    </row>
    <row r="777" spans="1:10" x14ac:dyDescent="0.2">
      <c r="A777" s="51" t="str">
        <f>IFERROR(VLOOKUP(B777,點上線資訊!A:R,18,0),"")</f>
        <v/>
      </c>
      <c r="B777" s="41">
        <f>'MB51'!A777</f>
        <v>0</v>
      </c>
      <c r="C777" s="60" t="str">
        <f>IFERROR(VLOOKUP(B777,'MB51'!A:I,9,0),"")</f>
        <v/>
      </c>
      <c r="D777" s="61" t="str">
        <f>IFERROR(VLOOKUP(B777,'MB51'!A:J,10,0),"")</f>
        <v/>
      </c>
      <c r="E777" s="62" t="str">
        <f>IFERROR(VLOOKUP(B777,'MB51'!A:K,11,0),"")</f>
        <v/>
      </c>
      <c r="F777" s="42" t="str">
        <f>IFERROR(VLOOKUP(B777,'MB51'!A:F,6,0),"")</f>
        <v/>
      </c>
      <c r="G777" s="17" t="str">
        <f t="shared" si="36"/>
        <v>點揀料單</v>
      </c>
      <c r="H777" s="17">
        <f t="shared" si="37"/>
        <v>0</v>
      </c>
      <c r="I777" t="str">
        <f t="shared" si="38"/>
        <v/>
      </c>
      <c r="J777" t="str">
        <f>SUBSTITUTE(IF(COUNTIF(I$2:I777,I777)&gt;1,"",1)," ","")</f>
        <v/>
      </c>
    </row>
    <row r="778" spans="1:10" x14ac:dyDescent="0.2">
      <c r="A778" s="51" t="str">
        <f>IFERROR(VLOOKUP(B778,點上線資訊!A:R,18,0),"")</f>
        <v/>
      </c>
      <c r="B778" s="41">
        <f>'MB51'!A778</f>
        <v>0</v>
      </c>
      <c r="C778" s="60" t="str">
        <f>IFERROR(VLOOKUP(B778,'MB51'!A:I,9,0),"")</f>
        <v/>
      </c>
      <c r="D778" s="61" t="str">
        <f>IFERROR(VLOOKUP(B778,'MB51'!A:J,10,0),"")</f>
        <v/>
      </c>
      <c r="E778" s="62" t="str">
        <f>IFERROR(VLOOKUP(B778,'MB51'!A:K,11,0),"")</f>
        <v/>
      </c>
      <c r="F778" s="42" t="str">
        <f>IFERROR(VLOOKUP(B778,'MB51'!A:F,6,0),"")</f>
        <v/>
      </c>
      <c r="G778" s="17" t="str">
        <f t="shared" si="36"/>
        <v>點揀料單</v>
      </c>
      <c r="H778" s="17">
        <f t="shared" si="37"/>
        <v>0</v>
      </c>
      <c r="I778" t="str">
        <f t="shared" si="38"/>
        <v/>
      </c>
      <c r="J778" t="str">
        <f>SUBSTITUTE(IF(COUNTIF(I$2:I778,I778)&gt;1,"",1)," ","")</f>
        <v/>
      </c>
    </row>
    <row r="779" spans="1:10" x14ac:dyDescent="0.2">
      <c r="A779" s="51" t="str">
        <f>IFERROR(VLOOKUP(B779,點上線資訊!A:R,18,0),"")</f>
        <v/>
      </c>
      <c r="B779" s="41">
        <f>'MB51'!A779</f>
        <v>0</v>
      </c>
      <c r="C779" s="60" t="str">
        <f>IFERROR(VLOOKUP(B779,'MB51'!A:I,9,0),"")</f>
        <v/>
      </c>
      <c r="D779" s="61" t="str">
        <f>IFERROR(VLOOKUP(B779,'MB51'!A:J,10,0),"")</f>
        <v/>
      </c>
      <c r="E779" s="62" t="str">
        <f>IFERROR(VLOOKUP(B779,'MB51'!A:K,11,0),"")</f>
        <v/>
      </c>
      <c r="F779" s="42" t="str">
        <f>IFERROR(VLOOKUP(B779,'MB51'!A:F,6,0),"")</f>
        <v/>
      </c>
      <c r="G779" s="17" t="str">
        <f t="shared" si="36"/>
        <v>點揀料單</v>
      </c>
      <c r="H779" s="17">
        <f t="shared" si="37"/>
        <v>0</v>
      </c>
      <c r="I779" t="str">
        <f t="shared" si="38"/>
        <v/>
      </c>
      <c r="J779" t="str">
        <f>SUBSTITUTE(IF(COUNTIF(I$2:I779,I779)&gt;1,"",1)," ","")</f>
        <v/>
      </c>
    </row>
    <row r="780" spans="1:10" x14ac:dyDescent="0.2">
      <c r="A780" s="51" t="str">
        <f>IFERROR(VLOOKUP(B780,點上線資訊!A:R,18,0),"")</f>
        <v/>
      </c>
      <c r="B780" s="41">
        <f>'MB51'!A780</f>
        <v>0</v>
      </c>
      <c r="C780" s="60" t="str">
        <f>IFERROR(VLOOKUP(B780,'MB51'!A:I,9,0),"")</f>
        <v/>
      </c>
      <c r="D780" s="61" t="str">
        <f>IFERROR(VLOOKUP(B780,'MB51'!A:J,10,0),"")</f>
        <v/>
      </c>
      <c r="E780" s="62" t="str">
        <f>IFERROR(VLOOKUP(B780,'MB51'!A:K,11,0),"")</f>
        <v/>
      </c>
      <c r="F780" s="42" t="str">
        <f>IFERROR(VLOOKUP(B780,'MB51'!A:F,6,0),"")</f>
        <v/>
      </c>
      <c r="G780" s="17" t="str">
        <f t="shared" si="36"/>
        <v>點揀料單</v>
      </c>
      <c r="H780" s="17">
        <f t="shared" si="37"/>
        <v>0</v>
      </c>
      <c r="I780" t="str">
        <f t="shared" si="38"/>
        <v/>
      </c>
      <c r="J780" t="str">
        <f>SUBSTITUTE(IF(COUNTIF(I$2:I780,I780)&gt;1,"",1)," ","")</f>
        <v/>
      </c>
    </row>
    <row r="781" spans="1:10" x14ac:dyDescent="0.2">
      <c r="A781" s="51" t="str">
        <f>IFERROR(VLOOKUP(B781,點上線資訊!A:R,18,0),"")</f>
        <v/>
      </c>
      <c r="B781" s="41">
        <f>'MB51'!A781</f>
        <v>0</v>
      </c>
      <c r="C781" s="60" t="str">
        <f>IFERROR(VLOOKUP(B781,'MB51'!A:I,9,0),"")</f>
        <v/>
      </c>
      <c r="D781" s="61" t="str">
        <f>IFERROR(VLOOKUP(B781,'MB51'!A:J,10,0),"")</f>
        <v/>
      </c>
      <c r="E781" s="62" t="str">
        <f>IFERROR(VLOOKUP(B781,'MB51'!A:K,11,0),"")</f>
        <v/>
      </c>
      <c r="F781" s="42" t="str">
        <f>IFERROR(VLOOKUP(B781,'MB51'!A:F,6,0),"")</f>
        <v/>
      </c>
      <c r="G781" s="17" t="str">
        <f t="shared" si="36"/>
        <v>點揀料單</v>
      </c>
      <c r="H781" s="17">
        <f t="shared" si="37"/>
        <v>0</v>
      </c>
      <c r="I781" t="str">
        <f t="shared" si="38"/>
        <v/>
      </c>
      <c r="J781" t="str">
        <f>SUBSTITUTE(IF(COUNTIF(I$2:I781,I781)&gt;1,"",1)," ","")</f>
        <v/>
      </c>
    </row>
    <row r="782" spans="1:10" x14ac:dyDescent="0.2">
      <c r="A782" s="51" t="str">
        <f>IFERROR(VLOOKUP(B782,點上線資訊!A:R,18,0),"")</f>
        <v/>
      </c>
      <c r="B782" s="41">
        <f>'MB51'!A782</f>
        <v>0</v>
      </c>
      <c r="C782" s="60" t="str">
        <f>IFERROR(VLOOKUP(B782,'MB51'!A:I,9,0),"")</f>
        <v/>
      </c>
      <c r="D782" s="61" t="str">
        <f>IFERROR(VLOOKUP(B782,'MB51'!A:J,10,0),"")</f>
        <v/>
      </c>
      <c r="E782" s="62" t="str">
        <f>IFERROR(VLOOKUP(B782,'MB51'!A:K,11,0),"")</f>
        <v/>
      </c>
      <c r="F782" s="42" t="str">
        <f>IFERROR(VLOOKUP(B782,'MB51'!A:F,6,0),"")</f>
        <v/>
      </c>
      <c r="G782" s="17" t="str">
        <f t="shared" si="36"/>
        <v>點揀料單</v>
      </c>
      <c r="H782" s="17">
        <f t="shared" si="37"/>
        <v>0</v>
      </c>
      <c r="I782" t="str">
        <f t="shared" si="38"/>
        <v/>
      </c>
      <c r="J782" t="str">
        <f>SUBSTITUTE(IF(COUNTIF(I$2:I782,I782)&gt;1,"",1)," ","")</f>
        <v/>
      </c>
    </row>
    <row r="783" spans="1:10" x14ac:dyDescent="0.2">
      <c r="A783" s="51" t="str">
        <f>IFERROR(VLOOKUP(B783,點上線資訊!A:R,18,0),"")</f>
        <v/>
      </c>
      <c r="B783" s="41">
        <f>'MB51'!A783</f>
        <v>0</v>
      </c>
      <c r="C783" s="60" t="str">
        <f>IFERROR(VLOOKUP(B783,'MB51'!A:I,9,0),"")</f>
        <v/>
      </c>
      <c r="D783" s="61" t="str">
        <f>IFERROR(VLOOKUP(B783,'MB51'!A:J,10,0),"")</f>
        <v/>
      </c>
      <c r="E783" s="62" t="str">
        <f>IFERROR(VLOOKUP(B783,'MB51'!A:K,11,0),"")</f>
        <v/>
      </c>
      <c r="F783" s="42" t="str">
        <f>IFERROR(VLOOKUP(B783,'MB51'!A:F,6,0),"")</f>
        <v/>
      </c>
      <c r="G783" s="17" t="str">
        <f t="shared" si="36"/>
        <v>點揀料單</v>
      </c>
      <c r="H783" s="17">
        <f t="shared" si="37"/>
        <v>0</v>
      </c>
      <c r="I783" t="str">
        <f t="shared" si="38"/>
        <v/>
      </c>
      <c r="J783" t="str">
        <f>SUBSTITUTE(IF(COUNTIF(I$2:I783,I783)&gt;1,"",1)," ","")</f>
        <v/>
      </c>
    </row>
    <row r="784" spans="1:10" x14ac:dyDescent="0.2">
      <c r="A784" s="51" t="str">
        <f>IFERROR(VLOOKUP(B784,點上線資訊!A:R,18,0),"")</f>
        <v/>
      </c>
      <c r="B784" s="41">
        <f>'MB51'!A784</f>
        <v>0</v>
      </c>
      <c r="C784" s="60" t="str">
        <f>IFERROR(VLOOKUP(B784,'MB51'!A:I,9,0),"")</f>
        <v/>
      </c>
      <c r="D784" s="61" t="str">
        <f>IFERROR(VLOOKUP(B784,'MB51'!A:J,10,0),"")</f>
        <v/>
      </c>
      <c r="E784" s="62" t="str">
        <f>IFERROR(VLOOKUP(B784,'MB51'!A:K,11,0),"")</f>
        <v/>
      </c>
      <c r="F784" s="42" t="str">
        <f>IFERROR(VLOOKUP(B784,'MB51'!A:F,6,0),"")</f>
        <v/>
      </c>
      <c r="G784" s="17" t="str">
        <f t="shared" si="36"/>
        <v>點揀料單</v>
      </c>
      <c r="H784" s="17">
        <f t="shared" si="37"/>
        <v>0</v>
      </c>
      <c r="I784" t="str">
        <f t="shared" si="38"/>
        <v/>
      </c>
      <c r="J784" t="str">
        <f>SUBSTITUTE(IF(COUNTIF(I$2:I784,I784)&gt;1,"",1)," ","")</f>
        <v/>
      </c>
    </row>
    <row r="785" spans="1:10" x14ac:dyDescent="0.2">
      <c r="A785" s="51" t="str">
        <f>IFERROR(VLOOKUP(B785,點上線資訊!A:R,18,0),"")</f>
        <v/>
      </c>
      <c r="B785" s="41">
        <f>'MB51'!A785</f>
        <v>0</v>
      </c>
      <c r="C785" s="60" t="str">
        <f>IFERROR(VLOOKUP(B785,'MB51'!A:I,9,0),"")</f>
        <v/>
      </c>
      <c r="D785" s="61" t="str">
        <f>IFERROR(VLOOKUP(B785,'MB51'!A:J,10,0),"")</f>
        <v/>
      </c>
      <c r="E785" s="62" t="str">
        <f>IFERROR(VLOOKUP(B785,'MB51'!A:K,11,0),"")</f>
        <v/>
      </c>
      <c r="F785" s="42" t="str">
        <f>IFERROR(VLOOKUP(B785,'MB51'!A:F,6,0),"")</f>
        <v/>
      </c>
      <c r="G785" s="17" t="str">
        <f t="shared" si="36"/>
        <v>點揀料單</v>
      </c>
      <c r="H785" s="17">
        <f t="shared" si="37"/>
        <v>0</v>
      </c>
      <c r="I785" t="str">
        <f t="shared" si="38"/>
        <v/>
      </c>
      <c r="J785" t="str">
        <f>SUBSTITUTE(IF(COUNTIF(I$2:I785,I785)&gt;1,"",1)," ","")</f>
        <v/>
      </c>
    </row>
    <row r="786" spans="1:10" x14ac:dyDescent="0.2">
      <c r="A786" s="51" t="str">
        <f>IFERROR(VLOOKUP(B786,點上線資訊!A:R,18,0),"")</f>
        <v/>
      </c>
      <c r="B786" s="41">
        <f>'MB51'!A786</f>
        <v>0</v>
      </c>
      <c r="C786" s="60" t="str">
        <f>IFERROR(VLOOKUP(B786,'MB51'!A:I,9,0),"")</f>
        <v/>
      </c>
      <c r="D786" s="61" t="str">
        <f>IFERROR(VLOOKUP(B786,'MB51'!A:J,10,0),"")</f>
        <v/>
      </c>
      <c r="E786" s="62" t="str">
        <f>IFERROR(VLOOKUP(B786,'MB51'!A:K,11,0),"")</f>
        <v/>
      </c>
      <c r="F786" s="42" t="str">
        <f>IFERROR(VLOOKUP(B786,'MB51'!A:F,6,0),"")</f>
        <v/>
      </c>
      <c r="G786" s="17" t="str">
        <f t="shared" si="36"/>
        <v>點揀料單</v>
      </c>
      <c r="H786" s="17">
        <f t="shared" si="37"/>
        <v>0</v>
      </c>
      <c r="I786" t="str">
        <f t="shared" si="38"/>
        <v/>
      </c>
      <c r="J786" t="str">
        <f>SUBSTITUTE(IF(COUNTIF(I$2:I786,I786)&gt;1,"",1)," ","")</f>
        <v/>
      </c>
    </row>
    <row r="787" spans="1:10" x14ac:dyDescent="0.2">
      <c r="A787" s="51" t="str">
        <f>IFERROR(VLOOKUP(B787,點上線資訊!A:R,18,0),"")</f>
        <v/>
      </c>
      <c r="B787" s="41">
        <f>'MB51'!A787</f>
        <v>0</v>
      </c>
      <c r="C787" s="60" t="str">
        <f>IFERROR(VLOOKUP(B787,'MB51'!A:I,9,0),"")</f>
        <v/>
      </c>
      <c r="D787" s="61" t="str">
        <f>IFERROR(VLOOKUP(B787,'MB51'!A:J,10,0),"")</f>
        <v/>
      </c>
      <c r="E787" s="62" t="str">
        <f>IFERROR(VLOOKUP(B787,'MB51'!A:K,11,0),"")</f>
        <v/>
      </c>
      <c r="F787" s="42" t="str">
        <f>IFERROR(VLOOKUP(B787,'MB51'!A:F,6,0),"")</f>
        <v/>
      </c>
      <c r="G787" s="17" t="str">
        <f t="shared" si="36"/>
        <v>點揀料單</v>
      </c>
      <c r="H787" s="17">
        <f t="shared" si="37"/>
        <v>0</v>
      </c>
      <c r="I787" t="str">
        <f t="shared" si="38"/>
        <v/>
      </c>
      <c r="J787" t="str">
        <f>SUBSTITUTE(IF(COUNTIF(I$2:I787,I787)&gt;1,"",1)," ","")</f>
        <v/>
      </c>
    </row>
    <row r="788" spans="1:10" x14ac:dyDescent="0.2">
      <c r="A788" s="51" t="str">
        <f>IFERROR(VLOOKUP(B788,點上線資訊!A:R,18,0),"")</f>
        <v/>
      </c>
      <c r="B788" s="41">
        <f>'MB51'!A788</f>
        <v>0</v>
      </c>
      <c r="C788" s="60" t="str">
        <f>IFERROR(VLOOKUP(B788,'MB51'!A:I,9,0),"")</f>
        <v/>
      </c>
      <c r="D788" s="61" t="str">
        <f>IFERROR(VLOOKUP(B788,'MB51'!A:J,10,0),"")</f>
        <v/>
      </c>
      <c r="E788" s="62" t="str">
        <f>IFERROR(VLOOKUP(B788,'MB51'!A:K,11,0),"")</f>
        <v/>
      </c>
      <c r="F788" s="42" t="str">
        <f>IFERROR(VLOOKUP(B788,'MB51'!A:F,6,0),"")</f>
        <v/>
      </c>
      <c r="G788" s="17" t="str">
        <f t="shared" si="36"/>
        <v>點揀料單</v>
      </c>
      <c r="H788" s="17">
        <f t="shared" si="37"/>
        <v>0</v>
      </c>
      <c r="I788" t="str">
        <f t="shared" si="38"/>
        <v/>
      </c>
      <c r="J788" t="str">
        <f>SUBSTITUTE(IF(COUNTIF(I$2:I788,I788)&gt;1,"",1)," ","")</f>
        <v/>
      </c>
    </row>
    <row r="789" spans="1:10" x14ac:dyDescent="0.2">
      <c r="A789" s="51" t="str">
        <f>IFERROR(VLOOKUP(B789,點上線資訊!A:R,18,0),"")</f>
        <v/>
      </c>
      <c r="B789" s="41">
        <f>'MB51'!A789</f>
        <v>0</v>
      </c>
      <c r="C789" s="60" t="str">
        <f>IFERROR(VLOOKUP(B789,'MB51'!A:I,9,0),"")</f>
        <v/>
      </c>
      <c r="D789" s="61" t="str">
        <f>IFERROR(VLOOKUP(B789,'MB51'!A:J,10,0),"")</f>
        <v/>
      </c>
      <c r="E789" s="62" t="str">
        <f>IFERROR(VLOOKUP(B789,'MB51'!A:K,11,0),"")</f>
        <v/>
      </c>
      <c r="F789" s="42" t="str">
        <f>IFERROR(VLOOKUP(B789,'MB51'!A:F,6,0),"")</f>
        <v/>
      </c>
      <c r="G789" s="17" t="str">
        <f t="shared" si="36"/>
        <v>點揀料單</v>
      </c>
      <c r="H789" s="17">
        <f t="shared" si="37"/>
        <v>0</v>
      </c>
      <c r="I789" t="str">
        <f t="shared" si="38"/>
        <v/>
      </c>
      <c r="J789" t="str">
        <f>SUBSTITUTE(IF(COUNTIF(I$2:I789,I789)&gt;1,"",1)," ","")</f>
        <v/>
      </c>
    </row>
    <row r="790" spans="1:10" x14ac:dyDescent="0.2">
      <c r="A790" s="51" t="str">
        <f>IFERROR(VLOOKUP(B790,點上線資訊!A:R,18,0),"")</f>
        <v/>
      </c>
      <c r="B790" s="41">
        <f>'MB51'!A790</f>
        <v>0</v>
      </c>
      <c r="C790" s="60" t="str">
        <f>IFERROR(VLOOKUP(B790,'MB51'!A:I,9,0),"")</f>
        <v/>
      </c>
      <c r="D790" s="61" t="str">
        <f>IFERROR(VLOOKUP(B790,'MB51'!A:J,10,0),"")</f>
        <v/>
      </c>
      <c r="E790" s="62" t="str">
        <f>IFERROR(VLOOKUP(B790,'MB51'!A:K,11,0),"")</f>
        <v/>
      </c>
      <c r="F790" s="42" t="str">
        <f>IFERROR(VLOOKUP(B790,'MB51'!A:F,6,0),"")</f>
        <v/>
      </c>
      <c r="G790" s="17" t="str">
        <f t="shared" si="36"/>
        <v>點揀料單</v>
      </c>
      <c r="H790" s="17">
        <f t="shared" si="37"/>
        <v>0</v>
      </c>
      <c r="I790" t="str">
        <f t="shared" si="38"/>
        <v/>
      </c>
      <c r="J790" t="str">
        <f>SUBSTITUTE(IF(COUNTIF(I$2:I790,I790)&gt;1,"",1)," ","")</f>
        <v/>
      </c>
    </row>
    <row r="791" spans="1:10" x14ac:dyDescent="0.2">
      <c r="A791" s="51" t="str">
        <f>IFERROR(VLOOKUP(B791,點上線資訊!A:R,18,0),"")</f>
        <v/>
      </c>
      <c r="B791" s="41">
        <f>'MB51'!A791</f>
        <v>0</v>
      </c>
      <c r="C791" s="60" t="str">
        <f>IFERROR(VLOOKUP(B791,'MB51'!A:I,9,0),"")</f>
        <v/>
      </c>
      <c r="D791" s="61" t="str">
        <f>IFERROR(VLOOKUP(B791,'MB51'!A:J,10,0),"")</f>
        <v/>
      </c>
      <c r="E791" s="62" t="str">
        <f>IFERROR(VLOOKUP(B791,'MB51'!A:K,11,0),"")</f>
        <v/>
      </c>
      <c r="F791" s="42" t="str">
        <f>IFERROR(VLOOKUP(B791,'MB51'!A:F,6,0),"")</f>
        <v/>
      </c>
      <c r="G791" s="17" t="str">
        <f t="shared" si="36"/>
        <v>點揀料單</v>
      </c>
      <c r="H791" s="17">
        <f t="shared" si="37"/>
        <v>0</v>
      </c>
      <c r="I791" t="str">
        <f t="shared" si="38"/>
        <v/>
      </c>
      <c r="J791" t="str">
        <f>SUBSTITUTE(IF(COUNTIF(I$2:I791,I791)&gt;1,"",1)," ","")</f>
        <v/>
      </c>
    </row>
    <row r="792" spans="1:10" x14ac:dyDescent="0.2">
      <c r="A792" s="51" t="str">
        <f>IFERROR(VLOOKUP(B792,點上線資訊!A:R,18,0),"")</f>
        <v/>
      </c>
      <c r="B792" s="41">
        <f>'MB51'!A792</f>
        <v>0</v>
      </c>
      <c r="C792" s="60" t="str">
        <f>IFERROR(VLOOKUP(B792,'MB51'!A:I,9,0),"")</f>
        <v/>
      </c>
      <c r="D792" s="61" t="str">
        <f>IFERROR(VLOOKUP(B792,'MB51'!A:J,10,0),"")</f>
        <v/>
      </c>
      <c r="E792" s="62" t="str">
        <f>IFERROR(VLOOKUP(B792,'MB51'!A:K,11,0),"")</f>
        <v/>
      </c>
      <c r="F792" s="42" t="str">
        <f>IFERROR(VLOOKUP(B792,'MB51'!A:F,6,0),"")</f>
        <v/>
      </c>
      <c r="G792" s="17" t="str">
        <f t="shared" si="36"/>
        <v>點揀料單</v>
      </c>
      <c r="H792" s="17">
        <f t="shared" si="37"/>
        <v>0</v>
      </c>
      <c r="I792" t="str">
        <f t="shared" si="38"/>
        <v/>
      </c>
      <c r="J792" t="str">
        <f>SUBSTITUTE(IF(COUNTIF(I$2:I792,I792)&gt;1,"",1)," ","")</f>
        <v/>
      </c>
    </row>
    <row r="793" spans="1:10" x14ac:dyDescent="0.2">
      <c r="A793" s="51" t="str">
        <f>IFERROR(VLOOKUP(B793,點上線資訊!A:R,18,0),"")</f>
        <v/>
      </c>
      <c r="B793" s="41">
        <f>'MB51'!A793</f>
        <v>0</v>
      </c>
      <c r="C793" s="60" t="str">
        <f>IFERROR(VLOOKUP(B793,'MB51'!A:I,9,0),"")</f>
        <v/>
      </c>
      <c r="D793" s="61" t="str">
        <f>IFERROR(VLOOKUP(B793,'MB51'!A:J,10,0),"")</f>
        <v/>
      </c>
      <c r="E793" s="62" t="str">
        <f>IFERROR(VLOOKUP(B793,'MB51'!A:K,11,0),"")</f>
        <v/>
      </c>
      <c r="F793" s="42" t="str">
        <f>IFERROR(VLOOKUP(B793,'MB51'!A:F,6,0),"")</f>
        <v/>
      </c>
      <c r="G793" s="17" t="str">
        <f t="shared" si="36"/>
        <v>點揀料單</v>
      </c>
      <c r="H793" s="17">
        <f t="shared" si="37"/>
        <v>0</v>
      </c>
      <c r="I793" t="str">
        <f t="shared" si="38"/>
        <v/>
      </c>
      <c r="J793" t="str">
        <f>SUBSTITUTE(IF(COUNTIF(I$2:I793,I793)&gt;1,"",1)," ","")</f>
        <v/>
      </c>
    </row>
    <row r="794" spans="1:10" x14ac:dyDescent="0.2">
      <c r="A794" s="51" t="str">
        <f>IFERROR(VLOOKUP(B794,點上線資訊!A:R,18,0),"")</f>
        <v/>
      </c>
      <c r="B794" s="41">
        <f>'MB51'!A794</f>
        <v>0</v>
      </c>
      <c r="C794" s="60" t="str">
        <f>IFERROR(VLOOKUP(B794,'MB51'!A:I,9,0),"")</f>
        <v/>
      </c>
      <c r="D794" s="61" t="str">
        <f>IFERROR(VLOOKUP(B794,'MB51'!A:J,10,0),"")</f>
        <v/>
      </c>
      <c r="E794" s="62" t="str">
        <f>IFERROR(VLOOKUP(B794,'MB51'!A:K,11,0),"")</f>
        <v/>
      </c>
      <c r="F794" s="42" t="str">
        <f>IFERROR(VLOOKUP(B794,'MB51'!A:F,6,0),"")</f>
        <v/>
      </c>
      <c r="G794" s="17" t="str">
        <f t="shared" si="36"/>
        <v>點揀料單</v>
      </c>
      <c r="H794" s="17">
        <f t="shared" si="37"/>
        <v>0</v>
      </c>
      <c r="I794" t="str">
        <f t="shared" si="38"/>
        <v/>
      </c>
      <c r="J794" t="str">
        <f>SUBSTITUTE(IF(COUNTIF(I$2:I794,I794)&gt;1,"",1)," ","")</f>
        <v/>
      </c>
    </row>
    <row r="795" spans="1:10" x14ac:dyDescent="0.2">
      <c r="A795" s="51" t="str">
        <f>IFERROR(VLOOKUP(B795,點上線資訊!A:R,18,0),"")</f>
        <v/>
      </c>
      <c r="B795" s="41">
        <f>'MB51'!A795</f>
        <v>0</v>
      </c>
      <c r="C795" s="60" t="str">
        <f>IFERROR(VLOOKUP(B795,'MB51'!A:I,9,0),"")</f>
        <v/>
      </c>
      <c r="D795" s="61" t="str">
        <f>IFERROR(VLOOKUP(B795,'MB51'!A:J,10,0),"")</f>
        <v/>
      </c>
      <c r="E795" s="62" t="str">
        <f>IFERROR(VLOOKUP(B795,'MB51'!A:K,11,0),"")</f>
        <v/>
      </c>
      <c r="F795" s="42" t="str">
        <f>IFERROR(VLOOKUP(B795,'MB51'!A:F,6,0),"")</f>
        <v/>
      </c>
      <c r="G795" s="17" t="str">
        <f t="shared" si="36"/>
        <v>點揀料單</v>
      </c>
      <c r="H795" s="17">
        <f t="shared" si="37"/>
        <v>0</v>
      </c>
      <c r="I795" t="str">
        <f t="shared" si="38"/>
        <v/>
      </c>
      <c r="J795" t="str">
        <f>SUBSTITUTE(IF(COUNTIF(I$2:I795,I795)&gt;1,"",1)," ","")</f>
        <v/>
      </c>
    </row>
    <row r="796" spans="1:10" x14ac:dyDescent="0.2">
      <c r="A796" s="51" t="str">
        <f>IFERROR(VLOOKUP(B796,點上線資訊!A:R,18,0),"")</f>
        <v/>
      </c>
      <c r="B796" s="41">
        <f>'MB51'!A796</f>
        <v>0</v>
      </c>
      <c r="C796" s="60" t="str">
        <f>IFERROR(VLOOKUP(B796,'MB51'!A:I,9,0),"")</f>
        <v/>
      </c>
      <c r="D796" s="61" t="str">
        <f>IFERROR(VLOOKUP(B796,'MB51'!A:J,10,0),"")</f>
        <v/>
      </c>
      <c r="E796" s="62" t="str">
        <f>IFERROR(VLOOKUP(B796,'MB51'!A:K,11,0),"")</f>
        <v/>
      </c>
      <c r="F796" s="42" t="str">
        <f>IFERROR(VLOOKUP(B796,'MB51'!A:F,6,0),"")</f>
        <v/>
      </c>
      <c r="G796" s="17" t="str">
        <f t="shared" si="36"/>
        <v>點揀料單</v>
      </c>
      <c r="H796" s="17">
        <f t="shared" si="37"/>
        <v>0</v>
      </c>
      <c r="I796" t="str">
        <f t="shared" si="38"/>
        <v/>
      </c>
      <c r="J796" t="str">
        <f>SUBSTITUTE(IF(COUNTIF(I$2:I796,I796)&gt;1,"",1)," ","")</f>
        <v/>
      </c>
    </row>
    <row r="797" spans="1:10" x14ac:dyDescent="0.2">
      <c r="A797" s="51" t="str">
        <f>IFERROR(VLOOKUP(B797,點上線資訊!A:R,18,0),"")</f>
        <v/>
      </c>
      <c r="B797" s="41">
        <f>'MB51'!A797</f>
        <v>0</v>
      </c>
      <c r="C797" s="60" t="str">
        <f>IFERROR(VLOOKUP(B797,'MB51'!A:I,9,0),"")</f>
        <v/>
      </c>
      <c r="D797" s="61" t="str">
        <f>IFERROR(VLOOKUP(B797,'MB51'!A:J,10,0),"")</f>
        <v/>
      </c>
      <c r="E797" s="62" t="str">
        <f>IFERROR(VLOOKUP(B797,'MB51'!A:K,11,0),"")</f>
        <v/>
      </c>
      <c r="F797" s="42" t="str">
        <f>IFERROR(VLOOKUP(B797,'MB51'!A:F,6,0),"")</f>
        <v/>
      </c>
      <c r="G797" s="17" t="str">
        <f t="shared" si="36"/>
        <v>點揀料單</v>
      </c>
      <c r="H797" s="17">
        <f t="shared" si="37"/>
        <v>0</v>
      </c>
      <c r="I797" t="str">
        <f t="shared" si="38"/>
        <v/>
      </c>
      <c r="J797" t="str">
        <f>SUBSTITUTE(IF(COUNTIF(I$2:I797,I797)&gt;1,"",1)," ","")</f>
        <v/>
      </c>
    </row>
    <row r="798" spans="1:10" x14ac:dyDescent="0.2">
      <c r="A798" s="51" t="str">
        <f>IFERROR(VLOOKUP(B798,點上線資訊!A:R,18,0),"")</f>
        <v/>
      </c>
      <c r="B798" s="41">
        <f>'MB51'!A798</f>
        <v>0</v>
      </c>
      <c r="C798" s="60" t="str">
        <f>IFERROR(VLOOKUP(B798,'MB51'!A:I,9,0),"")</f>
        <v/>
      </c>
      <c r="D798" s="61" t="str">
        <f>IFERROR(VLOOKUP(B798,'MB51'!A:J,10,0),"")</f>
        <v/>
      </c>
      <c r="E798" s="62" t="str">
        <f>IFERROR(VLOOKUP(B798,'MB51'!A:K,11,0),"")</f>
        <v/>
      </c>
      <c r="F798" s="42" t="str">
        <f>IFERROR(VLOOKUP(B798,'MB51'!A:F,6,0),"")</f>
        <v/>
      </c>
      <c r="G798" s="17" t="str">
        <f t="shared" si="36"/>
        <v>點揀料單</v>
      </c>
      <c r="H798" s="17">
        <f t="shared" si="37"/>
        <v>0</v>
      </c>
      <c r="I798" t="str">
        <f t="shared" si="38"/>
        <v/>
      </c>
      <c r="J798" t="str">
        <f>SUBSTITUTE(IF(COUNTIF(I$2:I798,I798)&gt;1,"",1)," ","")</f>
        <v/>
      </c>
    </row>
    <row r="799" spans="1:10" x14ac:dyDescent="0.2">
      <c r="A799" s="51" t="str">
        <f>IFERROR(VLOOKUP(B799,點上線資訊!A:R,18,0),"")</f>
        <v/>
      </c>
      <c r="B799" s="41">
        <f>'MB51'!A799</f>
        <v>0</v>
      </c>
      <c r="C799" s="60" t="str">
        <f>IFERROR(VLOOKUP(B799,'MB51'!A:I,9,0),"")</f>
        <v/>
      </c>
      <c r="D799" s="61" t="str">
        <f>IFERROR(VLOOKUP(B799,'MB51'!A:J,10,0),"")</f>
        <v/>
      </c>
      <c r="E799" s="62" t="str">
        <f>IFERROR(VLOOKUP(B799,'MB51'!A:K,11,0),"")</f>
        <v/>
      </c>
      <c r="F799" s="42" t="str">
        <f>IFERROR(VLOOKUP(B799,'MB51'!A:F,6,0),"")</f>
        <v/>
      </c>
      <c r="G799" s="17" t="str">
        <f t="shared" si="36"/>
        <v>點揀料單</v>
      </c>
      <c r="H799" s="17">
        <f t="shared" si="37"/>
        <v>0</v>
      </c>
      <c r="I799" t="str">
        <f t="shared" si="38"/>
        <v/>
      </c>
      <c r="J799" t="str">
        <f>SUBSTITUTE(IF(COUNTIF(I$2:I799,I799)&gt;1,"",1)," ","")</f>
        <v/>
      </c>
    </row>
    <row r="800" spans="1:10" x14ac:dyDescent="0.2">
      <c r="A800" s="51" t="str">
        <f>IFERROR(VLOOKUP(B800,點上線資訊!A:R,18,0),"")</f>
        <v/>
      </c>
      <c r="B800" s="41">
        <f>'MB51'!A800</f>
        <v>0</v>
      </c>
      <c r="C800" s="60" t="str">
        <f>IFERROR(VLOOKUP(B800,'MB51'!A:I,9,0),"")</f>
        <v/>
      </c>
      <c r="D800" s="61" t="str">
        <f>IFERROR(VLOOKUP(B800,'MB51'!A:J,10,0),"")</f>
        <v/>
      </c>
      <c r="E800" s="62" t="str">
        <f>IFERROR(VLOOKUP(B800,'MB51'!A:K,11,0),"")</f>
        <v/>
      </c>
      <c r="F800" s="42" t="str">
        <f>IFERROR(VLOOKUP(B800,'MB51'!A:F,6,0),"")</f>
        <v/>
      </c>
      <c r="G800" s="17" t="str">
        <f t="shared" si="36"/>
        <v>點揀料單</v>
      </c>
      <c r="H800" s="17">
        <f t="shared" si="37"/>
        <v>0</v>
      </c>
      <c r="I800" t="str">
        <f t="shared" si="38"/>
        <v/>
      </c>
      <c r="J800" t="str">
        <f>SUBSTITUTE(IF(COUNTIF(I$2:I800,I800)&gt;1,"",1)," ","")</f>
        <v/>
      </c>
    </row>
    <row r="801" spans="1:10" x14ac:dyDescent="0.2">
      <c r="A801" s="51" t="str">
        <f>IFERROR(VLOOKUP(B801,點上線資訊!A:R,18,0),"")</f>
        <v/>
      </c>
      <c r="B801" s="41">
        <f>'MB51'!A801</f>
        <v>0</v>
      </c>
      <c r="C801" s="60" t="str">
        <f>IFERROR(VLOOKUP(B801,'MB51'!A:I,9,0),"")</f>
        <v/>
      </c>
      <c r="D801" s="61" t="str">
        <f>IFERROR(VLOOKUP(B801,'MB51'!A:J,10,0),"")</f>
        <v/>
      </c>
      <c r="E801" s="62" t="str">
        <f>IFERROR(VLOOKUP(B801,'MB51'!A:K,11,0),"")</f>
        <v/>
      </c>
      <c r="F801" s="42" t="str">
        <f>IFERROR(VLOOKUP(B801,'MB51'!A:F,6,0),"")</f>
        <v/>
      </c>
      <c r="G801" s="17" t="str">
        <f t="shared" si="36"/>
        <v>點揀料單</v>
      </c>
      <c r="H801" s="17">
        <f t="shared" si="37"/>
        <v>0</v>
      </c>
      <c r="I801" t="str">
        <f t="shared" si="38"/>
        <v/>
      </c>
      <c r="J801" t="str">
        <f>SUBSTITUTE(IF(COUNTIF(I$2:I801,I801)&gt;1,"",1)," ","")</f>
        <v/>
      </c>
    </row>
    <row r="802" spans="1:10" x14ac:dyDescent="0.2">
      <c r="A802" s="51" t="str">
        <f>IFERROR(VLOOKUP(B802,點上線資訊!A:R,18,0),"")</f>
        <v/>
      </c>
      <c r="B802" s="41">
        <f>'MB51'!A802</f>
        <v>0</v>
      </c>
      <c r="C802" s="60" t="str">
        <f>IFERROR(VLOOKUP(B802,'MB51'!A:I,9,0),"")</f>
        <v/>
      </c>
      <c r="D802" s="61" t="str">
        <f>IFERROR(VLOOKUP(B802,'MB51'!A:J,10,0),"")</f>
        <v/>
      </c>
      <c r="E802" s="62" t="str">
        <f>IFERROR(VLOOKUP(B802,'MB51'!A:K,11,0),"")</f>
        <v/>
      </c>
      <c r="F802" s="42" t="str">
        <f>IFERROR(VLOOKUP(B802,'MB51'!A:F,6,0),"")</f>
        <v/>
      </c>
      <c r="G802" s="17" t="str">
        <f t="shared" si="36"/>
        <v>點揀料單</v>
      </c>
      <c r="H802" s="17">
        <f t="shared" si="37"/>
        <v>0</v>
      </c>
      <c r="I802" t="str">
        <f t="shared" si="38"/>
        <v/>
      </c>
      <c r="J802" t="str">
        <f>SUBSTITUTE(IF(COUNTIF(I$2:I802,I802)&gt;1,"",1)," ","")</f>
        <v/>
      </c>
    </row>
    <row r="803" spans="1:10" x14ac:dyDescent="0.2">
      <c r="A803" s="51" t="str">
        <f>IFERROR(VLOOKUP(B803,點上線資訊!A:R,18,0),"")</f>
        <v/>
      </c>
      <c r="B803" s="41">
        <f>'MB51'!A803</f>
        <v>0</v>
      </c>
      <c r="C803" s="60" t="str">
        <f>IFERROR(VLOOKUP(B803,'MB51'!A:I,9,0),"")</f>
        <v/>
      </c>
      <c r="D803" s="61" t="str">
        <f>IFERROR(VLOOKUP(B803,'MB51'!A:J,10,0),"")</f>
        <v/>
      </c>
      <c r="E803" s="62" t="str">
        <f>IFERROR(VLOOKUP(B803,'MB51'!A:K,11,0),"")</f>
        <v/>
      </c>
      <c r="F803" s="42" t="str">
        <f>IFERROR(VLOOKUP(B803,'MB51'!A:F,6,0),"")</f>
        <v/>
      </c>
      <c r="G803" s="17" t="str">
        <f t="shared" si="36"/>
        <v>點揀料單</v>
      </c>
      <c r="H803" s="17">
        <f t="shared" si="37"/>
        <v>0</v>
      </c>
      <c r="I803" t="str">
        <f t="shared" si="38"/>
        <v/>
      </c>
      <c r="J803" t="str">
        <f>SUBSTITUTE(IF(COUNTIF(I$2:I803,I803)&gt;1,"",1)," ","")</f>
        <v/>
      </c>
    </row>
    <row r="804" spans="1:10" x14ac:dyDescent="0.2">
      <c r="A804" s="51" t="str">
        <f>IFERROR(VLOOKUP(B804,點上線資訊!A:R,18,0),"")</f>
        <v/>
      </c>
      <c r="B804" s="41">
        <f>'MB51'!A804</f>
        <v>0</v>
      </c>
      <c r="C804" s="60" t="str">
        <f>IFERROR(VLOOKUP(B804,'MB51'!A:I,9,0),"")</f>
        <v/>
      </c>
      <c r="D804" s="61" t="str">
        <f>IFERROR(VLOOKUP(B804,'MB51'!A:J,10,0),"")</f>
        <v/>
      </c>
      <c r="E804" s="62" t="str">
        <f>IFERROR(VLOOKUP(B804,'MB51'!A:K,11,0),"")</f>
        <v/>
      </c>
      <c r="F804" s="42" t="str">
        <f>IFERROR(VLOOKUP(B804,'MB51'!A:F,6,0),"")</f>
        <v/>
      </c>
      <c r="G804" s="17" t="str">
        <f t="shared" si="36"/>
        <v>點揀料單</v>
      </c>
      <c r="H804" s="17">
        <f t="shared" si="37"/>
        <v>0</v>
      </c>
      <c r="I804" t="str">
        <f t="shared" si="38"/>
        <v/>
      </c>
      <c r="J804" t="str">
        <f>SUBSTITUTE(IF(COUNTIF(I$2:I804,I804)&gt;1,"",1)," ","")</f>
        <v/>
      </c>
    </row>
    <row r="805" spans="1:10" x14ac:dyDescent="0.2">
      <c r="A805" s="51" t="str">
        <f>IFERROR(VLOOKUP(B805,點上線資訊!A:R,18,0),"")</f>
        <v/>
      </c>
      <c r="B805" s="41">
        <f>'MB51'!A805</f>
        <v>0</v>
      </c>
      <c r="C805" s="60" t="str">
        <f>IFERROR(VLOOKUP(B805,'MB51'!A:I,9,0),"")</f>
        <v/>
      </c>
      <c r="D805" s="61" t="str">
        <f>IFERROR(VLOOKUP(B805,'MB51'!A:J,10,0),"")</f>
        <v/>
      </c>
      <c r="E805" s="62" t="str">
        <f>IFERROR(VLOOKUP(B805,'MB51'!A:K,11,0),"")</f>
        <v/>
      </c>
      <c r="F805" s="42" t="str">
        <f>IFERROR(VLOOKUP(B805,'MB51'!A:F,6,0),"")</f>
        <v/>
      </c>
      <c r="G805" s="17" t="str">
        <f t="shared" si="36"/>
        <v>點揀料單</v>
      </c>
      <c r="H805" s="17">
        <f t="shared" si="37"/>
        <v>0</v>
      </c>
      <c r="I805" t="str">
        <f t="shared" si="38"/>
        <v/>
      </c>
      <c r="J805" t="str">
        <f>SUBSTITUTE(IF(COUNTIF(I$2:I805,I805)&gt;1,"",1)," ","")</f>
        <v/>
      </c>
    </row>
    <row r="806" spans="1:10" x14ac:dyDescent="0.2">
      <c r="A806" s="51" t="str">
        <f>IFERROR(VLOOKUP(B806,點上線資訊!A:R,18,0),"")</f>
        <v/>
      </c>
      <c r="B806" s="41">
        <f>'MB51'!A806</f>
        <v>0</v>
      </c>
      <c r="C806" s="60" t="str">
        <f>IFERROR(VLOOKUP(B806,'MB51'!A:I,9,0),"")</f>
        <v/>
      </c>
      <c r="D806" s="61" t="str">
        <f>IFERROR(VLOOKUP(B806,'MB51'!A:J,10,0),"")</f>
        <v/>
      </c>
      <c r="E806" s="62" t="str">
        <f>IFERROR(VLOOKUP(B806,'MB51'!A:K,11,0),"")</f>
        <v/>
      </c>
      <c r="F806" s="42" t="str">
        <f>IFERROR(VLOOKUP(B806,'MB51'!A:F,6,0),"")</f>
        <v/>
      </c>
      <c r="G806" s="17" t="str">
        <f t="shared" si="36"/>
        <v>點揀料單</v>
      </c>
      <c r="H806" s="17">
        <f t="shared" si="37"/>
        <v>0</v>
      </c>
      <c r="I806" t="str">
        <f t="shared" si="38"/>
        <v/>
      </c>
      <c r="J806" t="str">
        <f>SUBSTITUTE(IF(COUNTIF(I$2:I806,I806)&gt;1,"",1)," ","")</f>
        <v/>
      </c>
    </row>
    <row r="807" spans="1:10" x14ac:dyDescent="0.2">
      <c r="A807" s="51" t="str">
        <f>IFERROR(VLOOKUP(B807,點上線資訊!A:R,18,0),"")</f>
        <v/>
      </c>
      <c r="B807" s="41">
        <f>'MB51'!A807</f>
        <v>0</v>
      </c>
      <c r="C807" s="60" t="str">
        <f>IFERROR(VLOOKUP(B807,'MB51'!A:I,9,0),"")</f>
        <v/>
      </c>
      <c r="D807" s="61" t="str">
        <f>IFERROR(VLOOKUP(B807,'MB51'!A:J,10,0),"")</f>
        <v/>
      </c>
      <c r="E807" s="62" t="str">
        <f>IFERROR(VLOOKUP(B807,'MB51'!A:K,11,0),"")</f>
        <v/>
      </c>
      <c r="F807" s="42" t="str">
        <f>IFERROR(VLOOKUP(B807,'MB51'!A:F,6,0),"")</f>
        <v/>
      </c>
      <c r="G807" s="17" t="str">
        <f t="shared" si="36"/>
        <v>點揀料單</v>
      </c>
      <c r="H807" s="17">
        <f t="shared" si="37"/>
        <v>0</v>
      </c>
      <c r="I807" t="str">
        <f t="shared" si="38"/>
        <v/>
      </c>
      <c r="J807" t="str">
        <f>SUBSTITUTE(IF(COUNTIF(I$2:I807,I807)&gt;1,"",1)," ","")</f>
        <v/>
      </c>
    </row>
    <row r="808" spans="1:10" x14ac:dyDescent="0.2">
      <c r="A808" s="51" t="str">
        <f>IFERROR(VLOOKUP(B808,點上線資訊!A:R,18,0),"")</f>
        <v/>
      </c>
      <c r="B808" s="41">
        <f>'MB51'!A808</f>
        <v>0</v>
      </c>
      <c r="C808" s="60" t="str">
        <f>IFERROR(VLOOKUP(B808,'MB51'!A:I,9,0),"")</f>
        <v/>
      </c>
      <c r="D808" s="61" t="str">
        <f>IFERROR(VLOOKUP(B808,'MB51'!A:J,10,0),"")</f>
        <v/>
      </c>
      <c r="E808" s="62" t="str">
        <f>IFERROR(VLOOKUP(B808,'MB51'!A:K,11,0),"")</f>
        <v/>
      </c>
      <c r="F808" s="42" t="str">
        <f>IFERROR(VLOOKUP(B808,'MB51'!A:F,6,0),"")</f>
        <v/>
      </c>
      <c r="G808" s="17" t="str">
        <f t="shared" si="36"/>
        <v>點揀料單</v>
      </c>
      <c r="H808" s="17">
        <f t="shared" si="37"/>
        <v>0</v>
      </c>
      <c r="I808" t="str">
        <f t="shared" si="38"/>
        <v/>
      </c>
      <c r="J808" t="str">
        <f>SUBSTITUTE(IF(COUNTIF(I$2:I808,I808)&gt;1,"",1)," ","")</f>
        <v/>
      </c>
    </row>
    <row r="809" spans="1:10" x14ac:dyDescent="0.2">
      <c r="A809" s="51" t="str">
        <f>IFERROR(VLOOKUP(B809,點上線資訊!A:R,18,0),"")</f>
        <v/>
      </c>
      <c r="B809" s="41">
        <f>'MB51'!A809</f>
        <v>0</v>
      </c>
      <c r="C809" s="60" t="str">
        <f>IFERROR(VLOOKUP(B809,'MB51'!A:I,9,0),"")</f>
        <v/>
      </c>
      <c r="D809" s="61" t="str">
        <f>IFERROR(VLOOKUP(B809,'MB51'!A:J,10,0),"")</f>
        <v/>
      </c>
      <c r="E809" s="62" t="str">
        <f>IFERROR(VLOOKUP(B809,'MB51'!A:K,11,0),"")</f>
        <v/>
      </c>
      <c r="F809" s="42" t="str">
        <f>IFERROR(VLOOKUP(B809,'MB51'!A:F,6,0),"")</f>
        <v/>
      </c>
      <c r="G809" s="17" t="str">
        <f t="shared" si="36"/>
        <v>點揀料單</v>
      </c>
      <c r="H809" s="17">
        <f t="shared" si="37"/>
        <v>0</v>
      </c>
      <c r="I809" t="str">
        <f t="shared" si="38"/>
        <v/>
      </c>
      <c r="J809" t="str">
        <f>SUBSTITUTE(IF(COUNTIF(I$2:I809,I809)&gt;1,"",1)," ","")</f>
        <v/>
      </c>
    </row>
    <row r="810" spans="1:10" x14ac:dyDescent="0.2">
      <c r="A810" s="51" t="str">
        <f>IFERROR(VLOOKUP(B810,點上線資訊!A:R,18,0),"")</f>
        <v/>
      </c>
      <c r="B810" s="41">
        <f>'MB51'!A810</f>
        <v>0</v>
      </c>
      <c r="C810" s="60" t="str">
        <f>IFERROR(VLOOKUP(B810,'MB51'!A:I,9,0),"")</f>
        <v/>
      </c>
      <c r="D810" s="61" t="str">
        <f>IFERROR(VLOOKUP(B810,'MB51'!A:J,10,0),"")</f>
        <v/>
      </c>
      <c r="E810" s="62" t="str">
        <f>IFERROR(VLOOKUP(B810,'MB51'!A:K,11,0),"")</f>
        <v/>
      </c>
      <c r="F810" s="42" t="str">
        <f>IFERROR(VLOOKUP(B810,'MB51'!A:F,6,0),"")</f>
        <v/>
      </c>
      <c r="G810" s="17" t="str">
        <f t="shared" si="36"/>
        <v>點揀料單</v>
      </c>
      <c r="H810" s="17">
        <f t="shared" si="37"/>
        <v>0</v>
      </c>
      <c r="I810" t="str">
        <f t="shared" si="38"/>
        <v/>
      </c>
      <c r="J810" t="str">
        <f>SUBSTITUTE(IF(COUNTIF(I$2:I810,I810)&gt;1,"",1)," ","")</f>
        <v/>
      </c>
    </row>
    <row r="811" spans="1:10" x14ac:dyDescent="0.2">
      <c r="A811" s="51" t="str">
        <f>IFERROR(VLOOKUP(B811,點上線資訊!A:R,18,0),"")</f>
        <v/>
      </c>
      <c r="B811" s="41">
        <f>'MB51'!A811</f>
        <v>0</v>
      </c>
      <c r="C811" s="60" t="str">
        <f>IFERROR(VLOOKUP(B811,'MB51'!A:I,9,0),"")</f>
        <v/>
      </c>
      <c r="D811" s="61" t="str">
        <f>IFERROR(VLOOKUP(B811,'MB51'!A:J,10,0),"")</f>
        <v/>
      </c>
      <c r="E811" s="62" t="str">
        <f>IFERROR(VLOOKUP(B811,'MB51'!A:K,11,0),"")</f>
        <v/>
      </c>
      <c r="F811" s="42" t="str">
        <f>IFERROR(VLOOKUP(B811,'MB51'!A:F,6,0),"")</f>
        <v/>
      </c>
      <c r="G811" s="17" t="str">
        <f t="shared" si="36"/>
        <v>點揀料單</v>
      </c>
      <c r="H811" s="17">
        <f t="shared" si="37"/>
        <v>0</v>
      </c>
      <c r="I811" t="str">
        <f t="shared" si="38"/>
        <v/>
      </c>
      <c r="J811" t="str">
        <f>SUBSTITUTE(IF(COUNTIF(I$2:I811,I811)&gt;1,"",1)," ","")</f>
        <v/>
      </c>
    </row>
    <row r="812" spans="1:10" x14ac:dyDescent="0.2">
      <c r="A812" s="51" t="str">
        <f>IFERROR(VLOOKUP(B812,點上線資訊!A:R,18,0),"")</f>
        <v/>
      </c>
      <c r="B812" s="41">
        <f>'MB51'!A812</f>
        <v>0</v>
      </c>
      <c r="C812" s="60" t="str">
        <f>IFERROR(VLOOKUP(B812,'MB51'!A:I,9,0),"")</f>
        <v/>
      </c>
      <c r="D812" s="61" t="str">
        <f>IFERROR(VLOOKUP(B812,'MB51'!A:J,10,0),"")</f>
        <v/>
      </c>
      <c r="E812" s="62" t="str">
        <f>IFERROR(VLOOKUP(B812,'MB51'!A:K,11,0),"")</f>
        <v/>
      </c>
      <c r="F812" s="42" t="str">
        <f>IFERROR(VLOOKUP(B812,'MB51'!A:F,6,0),"")</f>
        <v/>
      </c>
      <c r="G812" s="17" t="str">
        <f t="shared" si="36"/>
        <v>點揀料單</v>
      </c>
      <c r="H812" s="17">
        <f t="shared" si="37"/>
        <v>0</v>
      </c>
      <c r="I812" t="str">
        <f t="shared" si="38"/>
        <v/>
      </c>
      <c r="J812" t="str">
        <f>SUBSTITUTE(IF(COUNTIF(I$2:I812,I812)&gt;1,"",1)," ","")</f>
        <v/>
      </c>
    </row>
    <row r="813" spans="1:10" x14ac:dyDescent="0.2">
      <c r="A813" s="51" t="str">
        <f>IFERROR(VLOOKUP(B813,點上線資訊!A:R,18,0),"")</f>
        <v/>
      </c>
      <c r="B813" s="41">
        <f>'MB51'!A813</f>
        <v>0</v>
      </c>
      <c r="C813" s="60" t="str">
        <f>IFERROR(VLOOKUP(B813,'MB51'!A:I,9,0),"")</f>
        <v/>
      </c>
      <c r="D813" s="61" t="str">
        <f>IFERROR(VLOOKUP(B813,'MB51'!A:J,10,0),"")</f>
        <v/>
      </c>
      <c r="E813" s="62" t="str">
        <f>IFERROR(VLOOKUP(B813,'MB51'!A:K,11,0),"")</f>
        <v/>
      </c>
      <c r="F813" s="42" t="str">
        <f>IFERROR(VLOOKUP(B813,'MB51'!A:F,6,0),"")</f>
        <v/>
      </c>
      <c r="G813" s="17" t="str">
        <f t="shared" si="36"/>
        <v>點揀料單</v>
      </c>
      <c r="H813" s="17">
        <f t="shared" si="37"/>
        <v>0</v>
      </c>
      <c r="I813" t="str">
        <f t="shared" si="38"/>
        <v/>
      </c>
      <c r="J813" t="str">
        <f>SUBSTITUTE(IF(COUNTIF(I$2:I813,I813)&gt;1,"",1)," ","")</f>
        <v/>
      </c>
    </row>
    <row r="814" spans="1:10" x14ac:dyDescent="0.2">
      <c r="A814" s="51" t="str">
        <f>IFERROR(VLOOKUP(B814,點上線資訊!A:R,18,0),"")</f>
        <v/>
      </c>
      <c r="B814" s="41">
        <f>'MB51'!A814</f>
        <v>0</v>
      </c>
      <c r="C814" s="60" t="str">
        <f>IFERROR(VLOOKUP(B814,'MB51'!A:I,9,0),"")</f>
        <v/>
      </c>
      <c r="D814" s="61" t="str">
        <f>IFERROR(VLOOKUP(B814,'MB51'!A:J,10,0),"")</f>
        <v/>
      </c>
      <c r="E814" s="62" t="str">
        <f>IFERROR(VLOOKUP(B814,'MB51'!A:K,11,0),"")</f>
        <v/>
      </c>
      <c r="F814" s="42" t="str">
        <f>IFERROR(VLOOKUP(B814,'MB51'!A:F,6,0),"")</f>
        <v/>
      </c>
      <c r="G814" s="17" t="str">
        <f t="shared" si="36"/>
        <v>點揀料單</v>
      </c>
      <c r="H814" s="17">
        <f t="shared" si="37"/>
        <v>0</v>
      </c>
      <c r="I814" t="str">
        <f t="shared" si="38"/>
        <v/>
      </c>
      <c r="J814" t="str">
        <f>SUBSTITUTE(IF(COUNTIF(I$2:I814,I814)&gt;1,"",1)," ","")</f>
        <v/>
      </c>
    </row>
    <row r="815" spans="1:10" x14ac:dyDescent="0.2">
      <c r="A815" s="51" t="str">
        <f>IFERROR(VLOOKUP(B815,點上線資訊!A:R,18,0),"")</f>
        <v/>
      </c>
      <c r="B815" s="41">
        <f>'MB51'!A815</f>
        <v>0</v>
      </c>
      <c r="C815" s="60" t="str">
        <f>IFERROR(VLOOKUP(B815,'MB51'!A:I,9,0),"")</f>
        <v/>
      </c>
      <c r="D815" s="61" t="str">
        <f>IFERROR(VLOOKUP(B815,'MB51'!A:J,10,0),"")</f>
        <v/>
      </c>
      <c r="E815" s="62" t="str">
        <f>IFERROR(VLOOKUP(B815,'MB51'!A:K,11,0),"")</f>
        <v/>
      </c>
      <c r="F815" s="42" t="str">
        <f>IFERROR(VLOOKUP(B815,'MB51'!A:F,6,0),"")</f>
        <v/>
      </c>
      <c r="G815" s="17" t="str">
        <f t="shared" si="36"/>
        <v>點揀料單</v>
      </c>
      <c r="H815" s="17">
        <f t="shared" si="37"/>
        <v>0</v>
      </c>
      <c r="I815" t="str">
        <f t="shared" si="38"/>
        <v/>
      </c>
      <c r="J815" t="str">
        <f>SUBSTITUTE(IF(COUNTIF(I$2:I815,I815)&gt;1,"",1)," ","")</f>
        <v/>
      </c>
    </row>
    <row r="816" spans="1:10" x14ac:dyDescent="0.2">
      <c r="A816" s="51" t="str">
        <f>IFERROR(VLOOKUP(B816,點上線資訊!A:R,18,0),"")</f>
        <v/>
      </c>
      <c r="B816" s="41">
        <f>'MB51'!A816</f>
        <v>0</v>
      </c>
      <c r="C816" s="60" t="str">
        <f>IFERROR(VLOOKUP(B816,'MB51'!A:I,9,0),"")</f>
        <v/>
      </c>
      <c r="D816" s="61" t="str">
        <f>IFERROR(VLOOKUP(B816,'MB51'!A:J,10,0),"")</f>
        <v/>
      </c>
      <c r="E816" s="62" t="str">
        <f>IFERROR(VLOOKUP(B816,'MB51'!A:K,11,0),"")</f>
        <v/>
      </c>
      <c r="F816" s="42" t="str">
        <f>IFERROR(VLOOKUP(B816,'MB51'!A:F,6,0),"")</f>
        <v/>
      </c>
      <c r="G816" s="17" t="str">
        <f t="shared" si="36"/>
        <v>點揀料單</v>
      </c>
      <c r="H816" s="17">
        <f t="shared" si="37"/>
        <v>0</v>
      </c>
      <c r="I816" t="str">
        <f t="shared" si="38"/>
        <v/>
      </c>
      <c r="J816" t="str">
        <f>SUBSTITUTE(IF(COUNTIF(I$2:I816,I816)&gt;1,"",1)," ","")</f>
        <v/>
      </c>
    </row>
    <row r="817" spans="1:10" x14ac:dyDescent="0.2">
      <c r="A817" s="51" t="str">
        <f>IFERROR(VLOOKUP(B817,點上線資訊!A:R,18,0),"")</f>
        <v/>
      </c>
      <c r="B817" s="41">
        <f>'MB51'!A817</f>
        <v>0</v>
      </c>
      <c r="C817" s="60" t="str">
        <f>IFERROR(VLOOKUP(B817,'MB51'!A:I,9,0),"")</f>
        <v/>
      </c>
      <c r="D817" s="61" t="str">
        <f>IFERROR(VLOOKUP(B817,'MB51'!A:J,10,0),"")</f>
        <v/>
      </c>
      <c r="E817" s="62" t="str">
        <f>IFERROR(VLOOKUP(B817,'MB51'!A:K,11,0),"")</f>
        <v/>
      </c>
      <c r="F817" s="42" t="str">
        <f>IFERROR(VLOOKUP(B817,'MB51'!A:F,6,0),"")</f>
        <v/>
      </c>
      <c r="G817" s="17" t="str">
        <f t="shared" si="36"/>
        <v>點揀料單</v>
      </c>
      <c r="H817" s="17">
        <f t="shared" si="37"/>
        <v>0</v>
      </c>
      <c r="I817" t="str">
        <f t="shared" si="38"/>
        <v/>
      </c>
      <c r="J817" t="str">
        <f>SUBSTITUTE(IF(COUNTIF(I$2:I817,I817)&gt;1,"",1)," ","")</f>
        <v/>
      </c>
    </row>
    <row r="818" spans="1:10" x14ac:dyDescent="0.2">
      <c r="A818" s="51" t="str">
        <f>IFERROR(VLOOKUP(B818,點上線資訊!A:R,18,0),"")</f>
        <v/>
      </c>
      <c r="B818" s="41">
        <f>'MB51'!A818</f>
        <v>0</v>
      </c>
      <c r="C818" s="60" t="str">
        <f>IFERROR(VLOOKUP(B818,'MB51'!A:I,9,0),"")</f>
        <v/>
      </c>
      <c r="D818" s="61" t="str">
        <f>IFERROR(VLOOKUP(B818,'MB51'!A:J,10,0),"")</f>
        <v/>
      </c>
      <c r="E818" s="62" t="str">
        <f>IFERROR(VLOOKUP(B818,'MB51'!A:K,11,0),"")</f>
        <v/>
      </c>
      <c r="F818" s="42" t="str">
        <f>IFERROR(VLOOKUP(B818,'MB51'!A:F,6,0),"")</f>
        <v/>
      </c>
      <c r="G818" s="17" t="str">
        <f t="shared" si="36"/>
        <v>點揀料單</v>
      </c>
      <c r="H818" s="17">
        <f t="shared" si="37"/>
        <v>0</v>
      </c>
      <c r="I818" t="str">
        <f t="shared" si="38"/>
        <v/>
      </c>
      <c r="J818" t="str">
        <f>SUBSTITUTE(IF(COUNTIF(I$2:I818,I818)&gt;1,"",1)," ","")</f>
        <v/>
      </c>
    </row>
    <row r="819" spans="1:10" x14ac:dyDescent="0.2">
      <c r="A819" s="51" t="str">
        <f>IFERROR(VLOOKUP(B819,點上線資訊!A:R,18,0),"")</f>
        <v/>
      </c>
      <c r="B819" s="41">
        <f>'MB51'!A819</f>
        <v>0</v>
      </c>
      <c r="C819" s="60" t="str">
        <f>IFERROR(VLOOKUP(B819,'MB51'!A:I,9,0),"")</f>
        <v/>
      </c>
      <c r="D819" s="61" t="str">
        <f>IFERROR(VLOOKUP(B819,'MB51'!A:J,10,0),"")</f>
        <v/>
      </c>
      <c r="E819" s="62" t="str">
        <f>IFERROR(VLOOKUP(B819,'MB51'!A:K,11,0),"")</f>
        <v/>
      </c>
      <c r="F819" s="42" t="str">
        <f>IFERROR(VLOOKUP(B819,'MB51'!A:F,6,0),"")</f>
        <v/>
      </c>
      <c r="G819" s="17" t="str">
        <f t="shared" si="36"/>
        <v>點揀料單</v>
      </c>
      <c r="H819" s="17">
        <f t="shared" si="37"/>
        <v>0</v>
      </c>
      <c r="I819" t="str">
        <f t="shared" si="38"/>
        <v/>
      </c>
      <c r="J819" t="str">
        <f>SUBSTITUTE(IF(COUNTIF(I$2:I819,I819)&gt;1,"",1)," ","")</f>
        <v/>
      </c>
    </row>
    <row r="820" spans="1:10" x14ac:dyDescent="0.2">
      <c r="A820" s="51" t="str">
        <f>IFERROR(VLOOKUP(B820,點上線資訊!A:R,18,0),"")</f>
        <v/>
      </c>
      <c r="B820" s="41">
        <f>'MB51'!A820</f>
        <v>0</v>
      </c>
      <c r="C820" s="60" t="str">
        <f>IFERROR(VLOOKUP(B820,'MB51'!A:I,9,0),"")</f>
        <v/>
      </c>
      <c r="D820" s="61" t="str">
        <f>IFERROR(VLOOKUP(B820,'MB51'!A:J,10,0),"")</f>
        <v/>
      </c>
      <c r="E820" s="62" t="str">
        <f>IFERROR(VLOOKUP(B820,'MB51'!A:K,11,0),"")</f>
        <v/>
      </c>
      <c r="F820" s="42" t="str">
        <f>IFERROR(VLOOKUP(B820,'MB51'!A:F,6,0),"")</f>
        <v/>
      </c>
      <c r="G820" s="17" t="str">
        <f t="shared" si="36"/>
        <v>點揀料單</v>
      </c>
      <c r="H820" s="17">
        <f t="shared" si="37"/>
        <v>0</v>
      </c>
      <c r="I820" t="str">
        <f t="shared" si="38"/>
        <v/>
      </c>
      <c r="J820" t="str">
        <f>SUBSTITUTE(IF(COUNTIF(I$2:I820,I820)&gt;1,"",1)," ","")</f>
        <v/>
      </c>
    </row>
    <row r="821" spans="1:10" x14ac:dyDescent="0.2">
      <c r="A821" s="51" t="str">
        <f>IFERROR(VLOOKUP(B821,點上線資訊!A:R,18,0),"")</f>
        <v/>
      </c>
      <c r="B821" s="41">
        <f>'MB51'!A821</f>
        <v>0</v>
      </c>
      <c r="C821" s="60" t="str">
        <f>IFERROR(VLOOKUP(B821,'MB51'!A:I,9,0),"")</f>
        <v/>
      </c>
      <c r="D821" s="61" t="str">
        <f>IFERROR(VLOOKUP(B821,'MB51'!A:J,10,0),"")</f>
        <v/>
      </c>
      <c r="E821" s="62" t="str">
        <f>IFERROR(VLOOKUP(B821,'MB51'!A:K,11,0),"")</f>
        <v/>
      </c>
      <c r="F821" s="42" t="str">
        <f>IFERROR(VLOOKUP(B821,'MB51'!A:F,6,0),"")</f>
        <v/>
      </c>
      <c r="G821" s="17" t="str">
        <f t="shared" si="36"/>
        <v>點揀料單</v>
      </c>
      <c r="H821" s="17">
        <f t="shared" si="37"/>
        <v>0</v>
      </c>
      <c r="I821" t="str">
        <f t="shared" si="38"/>
        <v/>
      </c>
      <c r="J821" t="str">
        <f>SUBSTITUTE(IF(COUNTIF(I$2:I821,I821)&gt;1,"",1)," ","")</f>
        <v/>
      </c>
    </row>
    <row r="822" spans="1:10" x14ac:dyDescent="0.2">
      <c r="A822" s="51" t="str">
        <f>IFERROR(VLOOKUP(B822,點上線資訊!A:R,18,0),"")</f>
        <v/>
      </c>
      <c r="B822" s="41">
        <f>'MB51'!A822</f>
        <v>0</v>
      </c>
      <c r="C822" s="60" t="str">
        <f>IFERROR(VLOOKUP(B822,'MB51'!A:I,9,0),"")</f>
        <v/>
      </c>
      <c r="D822" s="61" t="str">
        <f>IFERROR(VLOOKUP(B822,'MB51'!A:J,10,0),"")</f>
        <v/>
      </c>
      <c r="E822" s="62" t="str">
        <f>IFERROR(VLOOKUP(B822,'MB51'!A:K,11,0),"")</f>
        <v/>
      </c>
      <c r="F822" s="42" t="str">
        <f>IFERROR(VLOOKUP(B822,'MB51'!A:F,6,0),"")</f>
        <v/>
      </c>
      <c r="G822" s="17" t="str">
        <f t="shared" si="36"/>
        <v>點揀料單</v>
      </c>
      <c r="H822" s="17">
        <f t="shared" si="37"/>
        <v>0</v>
      </c>
      <c r="I822" t="str">
        <f t="shared" si="38"/>
        <v/>
      </c>
      <c r="J822" t="str">
        <f>SUBSTITUTE(IF(COUNTIF(I$2:I822,I822)&gt;1,"",1)," ","")</f>
        <v/>
      </c>
    </row>
    <row r="823" spans="1:10" x14ac:dyDescent="0.2">
      <c r="A823" s="51" t="str">
        <f>IFERROR(VLOOKUP(B823,點上線資訊!A:R,18,0),"")</f>
        <v/>
      </c>
      <c r="B823" s="41">
        <f>'MB51'!A823</f>
        <v>0</v>
      </c>
      <c r="C823" s="60" t="str">
        <f>IFERROR(VLOOKUP(B823,'MB51'!A:I,9,0),"")</f>
        <v/>
      </c>
      <c r="D823" s="61" t="str">
        <f>IFERROR(VLOOKUP(B823,'MB51'!A:J,10,0),"")</f>
        <v/>
      </c>
      <c r="E823" s="62" t="str">
        <f>IFERROR(VLOOKUP(B823,'MB51'!A:K,11,0),"")</f>
        <v/>
      </c>
      <c r="F823" s="42" t="str">
        <f>IFERROR(VLOOKUP(B823,'MB51'!A:F,6,0),"")</f>
        <v/>
      </c>
      <c r="G823" s="17" t="str">
        <f t="shared" si="36"/>
        <v>點揀料單</v>
      </c>
      <c r="H823" s="17">
        <f t="shared" si="37"/>
        <v>0</v>
      </c>
      <c r="I823" t="str">
        <f t="shared" si="38"/>
        <v/>
      </c>
      <c r="J823" t="str">
        <f>SUBSTITUTE(IF(COUNTIF(I$2:I823,I823)&gt;1,"",1)," ","")</f>
        <v/>
      </c>
    </row>
    <row r="824" spans="1:10" x14ac:dyDescent="0.2">
      <c r="A824" s="51" t="str">
        <f>IFERROR(VLOOKUP(B824,點上線資訊!A:R,18,0),"")</f>
        <v/>
      </c>
      <c r="B824" s="41">
        <f>'MB51'!A824</f>
        <v>0</v>
      </c>
      <c r="C824" s="60" t="str">
        <f>IFERROR(VLOOKUP(B824,'MB51'!A:I,9,0),"")</f>
        <v/>
      </c>
      <c r="D824" s="61" t="str">
        <f>IFERROR(VLOOKUP(B824,'MB51'!A:J,10,0),"")</f>
        <v/>
      </c>
      <c r="E824" s="62" t="str">
        <f>IFERROR(VLOOKUP(B824,'MB51'!A:K,11,0),"")</f>
        <v/>
      </c>
      <c r="F824" s="42" t="str">
        <f>IFERROR(VLOOKUP(B824,'MB51'!A:F,6,0),"")</f>
        <v/>
      </c>
      <c r="G824" s="17" t="str">
        <f t="shared" si="36"/>
        <v>點揀料單</v>
      </c>
      <c r="H824" s="17">
        <f t="shared" si="37"/>
        <v>0</v>
      </c>
      <c r="I824" t="str">
        <f t="shared" si="38"/>
        <v/>
      </c>
      <c r="J824" t="str">
        <f>SUBSTITUTE(IF(COUNTIF(I$2:I824,I824)&gt;1,"",1)," ","")</f>
        <v/>
      </c>
    </row>
    <row r="825" spans="1:10" x14ac:dyDescent="0.2">
      <c r="A825" s="51" t="str">
        <f>IFERROR(VLOOKUP(B825,點上線資訊!A:R,18,0),"")</f>
        <v/>
      </c>
      <c r="B825" s="41">
        <f>'MB51'!A825</f>
        <v>0</v>
      </c>
      <c r="C825" s="60" t="str">
        <f>IFERROR(VLOOKUP(B825,'MB51'!A:I,9,0),"")</f>
        <v/>
      </c>
      <c r="D825" s="61" t="str">
        <f>IFERROR(VLOOKUP(B825,'MB51'!A:J,10,0),"")</f>
        <v/>
      </c>
      <c r="E825" s="62" t="str">
        <f>IFERROR(VLOOKUP(B825,'MB51'!A:K,11,0),"")</f>
        <v/>
      </c>
      <c r="F825" s="42" t="str">
        <f>IFERROR(VLOOKUP(B825,'MB51'!A:F,6,0),"")</f>
        <v/>
      </c>
      <c r="G825" s="17" t="str">
        <f t="shared" si="36"/>
        <v>點揀料單</v>
      </c>
      <c r="H825" s="17">
        <f t="shared" si="37"/>
        <v>0</v>
      </c>
      <c r="I825" t="str">
        <f t="shared" si="38"/>
        <v/>
      </c>
      <c r="J825" t="str">
        <f>SUBSTITUTE(IF(COUNTIF(I$2:I825,I825)&gt;1,"",1)," ","")</f>
        <v/>
      </c>
    </row>
    <row r="826" spans="1:10" x14ac:dyDescent="0.2">
      <c r="A826" s="51" t="str">
        <f>IFERROR(VLOOKUP(B826,點上線資訊!A:R,18,0),"")</f>
        <v/>
      </c>
      <c r="B826" s="41">
        <f>'MB51'!A826</f>
        <v>0</v>
      </c>
      <c r="C826" s="60" t="str">
        <f>IFERROR(VLOOKUP(B826,'MB51'!A:I,9,0),"")</f>
        <v/>
      </c>
      <c r="D826" s="61" t="str">
        <f>IFERROR(VLOOKUP(B826,'MB51'!A:J,10,0),"")</f>
        <v/>
      </c>
      <c r="E826" s="62" t="str">
        <f>IFERROR(VLOOKUP(B826,'MB51'!A:K,11,0),"")</f>
        <v/>
      </c>
      <c r="F826" s="42" t="str">
        <f>IFERROR(VLOOKUP(B826,'MB51'!A:F,6,0),"")</f>
        <v/>
      </c>
      <c r="G826" s="17" t="str">
        <f t="shared" si="36"/>
        <v>點揀料單</v>
      </c>
      <c r="H826" s="17">
        <f t="shared" si="37"/>
        <v>0</v>
      </c>
      <c r="I826" t="str">
        <f t="shared" si="38"/>
        <v/>
      </c>
      <c r="J826" t="str">
        <f>SUBSTITUTE(IF(COUNTIF(I$2:I826,I826)&gt;1,"",1)," ","")</f>
        <v/>
      </c>
    </row>
    <row r="827" spans="1:10" x14ac:dyDescent="0.2">
      <c r="A827" s="51" t="str">
        <f>IFERROR(VLOOKUP(B827,點上線資訊!A:R,18,0),"")</f>
        <v/>
      </c>
      <c r="B827" s="41">
        <f>'MB51'!A827</f>
        <v>0</v>
      </c>
      <c r="C827" s="60" t="str">
        <f>IFERROR(VLOOKUP(B827,'MB51'!A:I,9,0),"")</f>
        <v/>
      </c>
      <c r="D827" s="61" t="str">
        <f>IFERROR(VLOOKUP(B827,'MB51'!A:J,10,0),"")</f>
        <v/>
      </c>
      <c r="E827" s="62" t="str">
        <f>IFERROR(VLOOKUP(B827,'MB51'!A:K,11,0),"")</f>
        <v/>
      </c>
      <c r="F827" s="42" t="str">
        <f>IFERROR(VLOOKUP(B827,'MB51'!A:F,6,0),"")</f>
        <v/>
      </c>
      <c r="G827" s="17" t="str">
        <f t="shared" si="36"/>
        <v>點揀料單</v>
      </c>
      <c r="H827" s="17">
        <f t="shared" si="37"/>
        <v>0</v>
      </c>
      <c r="I827" t="str">
        <f t="shared" si="38"/>
        <v/>
      </c>
      <c r="J827" t="str">
        <f>SUBSTITUTE(IF(COUNTIF(I$2:I827,I827)&gt;1,"",1)," ","")</f>
        <v/>
      </c>
    </row>
    <row r="828" spans="1:10" x14ac:dyDescent="0.2">
      <c r="A828" s="51" t="str">
        <f>IFERROR(VLOOKUP(B828,點上線資訊!A:R,18,0),"")</f>
        <v/>
      </c>
      <c r="B828" s="41">
        <f>'MB51'!A828</f>
        <v>0</v>
      </c>
      <c r="C828" s="60" t="str">
        <f>IFERROR(VLOOKUP(B828,'MB51'!A:I,9,0),"")</f>
        <v/>
      </c>
      <c r="D828" s="61" t="str">
        <f>IFERROR(VLOOKUP(B828,'MB51'!A:J,10,0),"")</f>
        <v/>
      </c>
      <c r="E828" s="62" t="str">
        <f>IFERROR(VLOOKUP(B828,'MB51'!A:K,11,0),"")</f>
        <v/>
      </c>
      <c r="F828" s="42" t="str">
        <f>IFERROR(VLOOKUP(B828,'MB51'!A:F,6,0),"")</f>
        <v/>
      </c>
      <c r="G828" s="17" t="str">
        <f t="shared" si="36"/>
        <v>點揀料單</v>
      </c>
      <c r="H828" s="17">
        <f t="shared" si="37"/>
        <v>0</v>
      </c>
      <c r="I828" t="str">
        <f t="shared" si="38"/>
        <v/>
      </c>
      <c r="J828" t="str">
        <f>SUBSTITUTE(IF(COUNTIF(I$2:I828,I828)&gt;1,"",1)," ","")</f>
        <v/>
      </c>
    </row>
    <row r="829" spans="1:10" x14ac:dyDescent="0.2">
      <c r="A829" s="51" t="str">
        <f>IFERROR(VLOOKUP(B829,點上線資訊!A:R,18,0),"")</f>
        <v/>
      </c>
      <c r="B829" s="41">
        <f>'MB51'!A829</f>
        <v>0</v>
      </c>
      <c r="C829" s="60" t="str">
        <f>IFERROR(VLOOKUP(B829,'MB51'!A:I,9,0),"")</f>
        <v/>
      </c>
      <c r="D829" s="61" t="str">
        <f>IFERROR(VLOOKUP(B829,'MB51'!A:J,10,0),"")</f>
        <v/>
      </c>
      <c r="E829" s="62" t="str">
        <f>IFERROR(VLOOKUP(B829,'MB51'!A:K,11,0),"")</f>
        <v/>
      </c>
      <c r="F829" s="42" t="str">
        <f>IFERROR(VLOOKUP(B829,'MB51'!A:F,6,0),"")</f>
        <v/>
      </c>
      <c r="G829" s="17" t="str">
        <f t="shared" si="36"/>
        <v>點揀料單</v>
      </c>
      <c r="H829" s="17">
        <f t="shared" si="37"/>
        <v>0</v>
      </c>
      <c r="I829" t="str">
        <f t="shared" si="38"/>
        <v/>
      </c>
      <c r="J829" t="str">
        <f>SUBSTITUTE(IF(COUNTIF(I$2:I829,I829)&gt;1,"",1)," ","")</f>
        <v/>
      </c>
    </row>
    <row r="830" spans="1:10" x14ac:dyDescent="0.2">
      <c r="A830" s="51" t="str">
        <f>IFERROR(VLOOKUP(B830,點上線資訊!A:R,18,0),"")</f>
        <v/>
      </c>
      <c r="B830" s="41">
        <f>'MB51'!A830</f>
        <v>0</v>
      </c>
      <c r="C830" s="60" t="str">
        <f>IFERROR(VLOOKUP(B830,'MB51'!A:I,9,0),"")</f>
        <v/>
      </c>
      <c r="D830" s="61" t="str">
        <f>IFERROR(VLOOKUP(B830,'MB51'!A:J,10,0),"")</f>
        <v/>
      </c>
      <c r="E830" s="62" t="str">
        <f>IFERROR(VLOOKUP(B830,'MB51'!A:K,11,0),"")</f>
        <v/>
      </c>
      <c r="F830" s="42" t="str">
        <f>IFERROR(VLOOKUP(B830,'MB51'!A:F,6,0),"")</f>
        <v/>
      </c>
      <c r="G830" s="17" t="str">
        <f t="shared" si="36"/>
        <v>點揀料單</v>
      </c>
      <c r="H830" s="17">
        <f t="shared" si="37"/>
        <v>0</v>
      </c>
      <c r="I830" t="str">
        <f t="shared" si="38"/>
        <v/>
      </c>
      <c r="J830" t="str">
        <f>SUBSTITUTE(IF(COUNTIF(I$2:I830,I830)&gt;1,"",1)," ","")</f>
        <v/>
      </c>
    </row>
    <row r="831" spans="1:10" x14ac:dyDescent="0.2">
      <c r="A831" s="51" t="str">
        <f>IFERROR(VLOOKUP(B831,點上線資訊!A:R,18,0),"")</f>
        <v/>
      </c>
      <c r="B831" s="41">
        <f>'MB51'!A831</f>
        <v>0</v>
      </c>
      <c r="C831" s="60" t="str">
        <f>IFERROR(VLOOKUP(B831,'MB51'!A:I,9,0),"")</f>
        <v/>
      </c>
      <c r="D831" s="61" t="str">
        <f>IFERROR(VLOOKUP(B831,'MB51'!A:J,10,0),"")</f>
        <v/>
      </c>
      <c r="E831" s="62" t="str">
        <f>IFERROR(VLOOKUP(B831,'MB51'!A:K,11,0),"")</f>
        <v/>
      </c>
      <c r="F831" s="42" t="str">
        <f>IFERROR(VLOOKUP(B831,'MB51'!A:F,6,0),"")</f>
        <v/>
      </c>
      <c r="G831" s="17" t="str">
        <f t="shared" si="36"/>
        <v>點揀料單</v>
      </c>
      <c r="H831" s="17">
        <f t="shared" si="37"/>
        <v>0</v>
      </c>
      <c r="I831" t="str">
        <f t="shared" si="38"/>
        <v/>
      </c>
      <c r="J831" t="str">
        <f>SUBSTITUTE(IF(COUNTIF(I$2:I831,I831)&gt;1,"",1)," ","")</f>
        <v/>
      </c>
    </row>
    <row r="832" spans="1:10" x14ac:dyDescent="0.2">
      <c r="A832" s="51" t="str">
        <f>IFERROR(VLOOKUP(B832,點上線資訊!A:R,18,0),"")</f>
        <v/>
      </c>
      <c r="B832" s="41">
        <f>'MB51'!A832</f>
        <v>0</v>
      </c>
      <c r="C832" s="60" t="str">
        <f>IFERROR(VLOOKUP(B832,'MB51'!A:I,9,0),"")</f>
        <v/>
      </c>
      <c r="D832" s="61" t="str">
        <f>IFERROR(VLOOKUP(B832,'MB51'!A:J,10,0),"")</f>
        <v/>
      </c>
      <c r="E832" s="62" t="str">
        <f>IFERROR(VLOOKUP(B832,'MB51'!A:K,11,0),"")</f>
        <v/>
      </c>
      <c r="F832" s="42" t="str">
        <f>IFERROR(VLOOKUP(B832,'MB51'!A:F,6,0),"")</f>
        <v/>
      </c>
      <c r="G832" s="17" t="str">
        <f t="shared" si="36"/>
        <v>點揀料單</v>
      </c>
      <c r="H832" s="17">
        <f t="shared" si="37"/>
        <v>0</v>
      </c>
      <c r="I832" t="str">
        <f t="shared" si="38"/>
        <v/>
      </c>
      <c r="J832" t="str">
        <f>SUBSTITUTE(IF(COUNTIF(I$2:I832,I832)&gt;1,"",1)," ","")</f>
        <v/>
      </c>
    </row>
    <row r="833" spans="1:10" x14ac:dyDescent="0.2">
      <c r="A833" s="51" t="str">
        <f>IFERROR(VLOOKUP(B833,點上線資訊!A:R,18,0),"")</f>
        <v/>
      </c>
      <c r="B833" s="41">
        <f>'MB51'!A833</f>
        <v>0</v>
      </c>
      <c r="C833" s="60" t="str">
        <f>IFERROR(VLOOKUP(B833,'MB51'!A:I,9,0),"")</f>
        <v/>
      </c>
      <c r="D833" s="61" t="str">
        <f>IFERROR(VLOOKUP(B833,'MB51'!A:J,10,0),"")</f>
        <v/>
      </c>
      <c r="E833" s="62" t="str">
        <f>IFERROR(VLOOKUP(B833,'MB51'!A:K,11,0),"")</f>
        <v/>
      </c>
      <c r="F833" s="42" t="str">
        <f>IFERROR(VLOOKUP(B833,'MB51'!A:F,6,0),"")</f>
        <v/>
      </c>
      <c r="G833" s="17" t="str">
        <f t="shared" si="36"/>
        <v>點揀料單</v>
      </c>
      <c r="H833" s="17">
        <f t="shared" si="37"/>
        <v>0</v>
      </c>
      <c r="I833" t="str">
        <f t="shared" si="38"/>
        <v/>
      </c>
      <c r="J833" t="str">
        <f>SUBSTITUTE(IF(COUNTIF(I$2:I833,I833)&gt;1,"",1)," ","")</f>
        <v/>
      </c>
    </row>
    <row r="834" spans="1:10" x14ac:dyDescent="0.2">
      <c r="A834" s="51" t="str">
        <f>IFERROR(VLOOKUP(B834,點上線資訊!A:R,18,0),"")</f>
        <v/>
      </c>
      <c r="B834" s="41">
        <f>'MB51'!A834</f>
        <v>0</v>
      </c>
      <c r="C834" s="60" t="str">
        <f>IFERROR(VLOOKUP(B834,'MB51'!A:I,9,0),"")</f>
        <v/>
      </c>
      <c r="D834" s="61" t="str">
        <f>IFERROR(VLOOKUP(B834,'MB51'!A:J,10,0),"")</f>
        <v/>
      </c>
      <c r="E834" s="62" t="str">
        <f>IFERROR(VLOOKUP(B834,'MB51'!A:K,11,0),"")</f>
        <v/>
      </c>
      <c r="F834" s="42" t="str">
        <f>IFERROR(VLOOKUP(B834,'MB51'!A:F,6,0),"")</f>
        <v/>
      </c>
      <c r="G834" s="17" t="str">
        <f t="shared" si="36"/>
        <v>點揀料單</v>
      </c>
      <c r="H834" s="17">
        <f t="shared" si="37"/>
        <v>0</v>
      </c>
      <c r="I834" t="str">
        <f t="shared" si="38"/>
        <v/>
      </c>
      <c r="J834" t="str">
        <f>SUBSTITUTE(IF(COUNTIF(I$2:I834,I834)&gt;1,"",1)," ","")</f>
        <v/>
      </c>
    </row>
    <row r="835" spans="1:10" x14ac:dyDescent="0.2">
      <c r="A835" s="51" t="str">
        <f>IFERROR(VLOOKUP(B835,點上線資訊!A:R,18,0),"")</f>
        <v/>
      </c>
      <c r="B835" s="41">
        <f>'MB51'!A835</f>
        <v>0</v>
      </c>
      <c r="C835" s="60" t="str">
        <f>IFERROR(VLOOKUP(B835,'MB51'!A:I,9,0),"")</f>
        <v/>
      </c>
      <c r="D835" s="61" t="str">
        <f>IFERROR(VLOOKUP(B835,'MB51'!A:J,10,0),"")</f>
        <v/>
      </c>
      <c r="E835" s="62" t="str">
        <f>IFERROR(VLOOKUP(B835,'MB51'!A:K,11,0),"")</f>
        <v/>
      </c>
      <c r="F835" s="42" t="str">
        <f>IFERROR(VLOOKUP(B835,'MB51'!A:F,6,0),"")</f>
        <v/>
      </c>
      <c r="G835" s="17" t="str">
        <f t="shared" ref="G835:G898" si="39">TEXT(D835,"MM/DD")&amp;TEXT(E835,"  HH")&amp;"點揀料單"</f>
        <v>點揀料單</v>
      </c>
      <c r="H835" s="17">
        <f t="shared" ref="H835:H898" si="40">ABS(SUMIF(C:C,C835,F:F))</f>
        <v>0</v>
      </c>
      <c r="I835" t="str">
        <f t="shared" ref="I835:I898" si="41">RIGHTB(C835,10)</f>
        <v/>
      </c>
      <c r="J835" t="str">
        <f>SUBSTITUTE(IF(COUNTIF(I$2:I835,I835)&gt;1,"",1)," ","")</f>
        <v/>
      </c>
    </row>
    <row r="836" spans="1:10" x14ac:dyDescent="0.2">
      <c r="A836" s="51" t="str">
        <f>IFERROR(VLOOKUP(B836,點上線資訊!A:R,18,0),"")</f>
        <v/>
      </c>
      <c r="B836" s="41">
        <f>'MB51'!A836</f>
        <v>0</v>
      </c>
      <c r="C836" s="60" t="str">
        <f>IFERROR(VLOOKUP(B836,'MB51'!A:I,9,0),"")</f>
        <v/>
      </c>
      <c r="D836" s="61" t="str">
        <f>IFERROR(VLOOKUP(B836,'MB51'!A:J,10,0),"")</f>
        <v/>
      </c>
      <c r="E836" s="62" t="str">
        <f>IFERROR(VLOOKUP(B836,'MB51'!A:K,11,0),"")</f>
        <v/>
      </c>
      <c r="F836" s="42" t="str">
        <f>IFERROR(VLOOKUP(B836,'MB51'!A:F,6,0),"")</f>
        <v/>
      </c>
      <c r="G836" s="17" t="str">
        <f t="shared" si="39"/>
        <v>點揀料單</v>
      </c>
      <c r="H836" s="17">
        <f t="shared" si="40"/>
        <v>0</v>
      </c>
      <c r="I836" t="str">
        <f t="shared" si="41"/>
        <v/>
      </c>
      <c r="J836" t="str">
        <f>SUBSTITUTE(IF(COUNTIF(I$2:I836,I836)&gt;1,"",1)," ","")</f>
        <v/>
      </c>
    </row>
    <row r="837" spans="1:10" x14ac:dyDescent="0.2">
      <c r="A837" s="51" t="str">
        <f>IFERROR(VLOOKUP(B837,點上線資訊!A:R,18,0),"")</f>
        <v/>
      </c>
      <c r="B837" s="41">
        <f>'MB51'!A837</f>
        <v>0</v>
      </c>
      <c r="C837" s="60" t="str">
        <f>IFERROR(VLOOKUP(B837,'MB51'!A:I,9,0),"")</f>
        <v/>
      </c>
      <c r="D837" s="61" t="str">
        <f>IFERROR(VLOOKUP(B837,'MB51'!A:J,10,0),"")</f>
        <v/>
      </c>
      <c r="E837" s="62" t="str">
        <f>IFERROR(VLOOKUP(B837,'MB51'!A:K,11,0),"")</f>
        <v/>
      </c>
      <c r="F837" s="42" t="str">
        <f>IFERROR(VLOOKUP(B837,'MB51'!A:F,6,0),"")</f>
        <v/>
      </c>
      <c r="G837" s="17" t="str">
        <f t="shared" si="39"/>
        <v>點揀料單</v>
      </c>
      <c r="H837" s="17">
        <f t="shared" si="40"/>
        <v>0</v>
      </c>
      <c r="I837" t="str">
        <f t="shared" si="41"/>
        <v/>
      </c>
      <c r="J837" t="str">
        <f>SUBSTITUTE(IF(COUNTIF(I$2:I837,I837)&gt;1,"",1)," ","")</f>
        <v/>
      </c>
    </row>
    <row r="838" spans="1:10" x14ac:dyDescent="0.2">
      <c r="A838" s="51" t="str">
        <f>IFERROR(VLOOKUP(B838,點上線資訊!A:R,18,0),"")</f>
        <v/>
      </c>
      <c r="B838" s="41">
        <f>'MB51'!A838</f>
        <v>0</v>
      </c>
      <c r="C838" s="60" t="str">
        <f>IFERROR(VLOOKUP(B838,'MB51'!A:I,9,0),"")</f>
        <v/>
      </c>
      <c r="D838" s="61" t="str">
        <f>IFERROR(VLOOKUP(B838,'MB51'!A:J,10,0),"")</f>
        <v/>
      </c>
      <c r="E838" s="62" t="str">
        <f>IFERROR(VLOOKUP(B838,'MB51'!A:K,11,0),"")</f>
        <v/>
      </c>
      <c r="F838" s="42" t="str">
        <f>IFERROR(VLOOKUP(B838,'MB51'!A:F,6,0),"")</f>
        <v/>
      </c>
      <c r="G838" s="17" t="str">
        <f t="shared" si="39"/>
        <v>點揀料單</v>
      </c>
      <c r="H838" s="17">
        <f t="shared" si="40"/>
        <v>0</v>
      </c>
      <c r="I838" t="str">
        <f t="shared" si="41"/>
        <v/>
      </c>
      <c r="J838" t="str">
        <f>SUBSTITUTE(IF(COUNTIF(I$2:I838,I838)&gt;1,"",1)," ","")</f>
        <v/>
      </c>
    </row>
    <row r="839" spans="1:10" x14ac:dyDescent="0.2">
      <c r="A839" s="51" t="str">
        <f>IFERROR(VLOOKUP(B839,點上線資訊!A:R,18,0),"")</f>
        <v/>
      </c>
      <c r="B839" s="41">
        <f>'MB51'!A839</f>
        <v>0</v>
      </c>
      <c r="C839" s="60" t="str">
        <f>IFERROR(VLOOKUP(B839,'MB51'!A:I,9,0),"")</f>
        <v/>
      </c>
      <c r="D839" s="61" t="str">
        <f>IFERROR(VLOOKUP(B839,'MB51'!A:J,10,0),"")</f>
        <v/>
      </c>
      <c r="E839" s="62" t="str">
        <f>IFERROR(VLOOKUP(B839,'MB51'!A:K,11,0),"")</f>
        <v/>
      </c>
      <c r="F839" s="42" t="str">
        <f>IFERROR(VLOOKUP(B839,'MB51'!A:F,6,0),"")</f>
        <v/>
      </c>
      <c r="G839" s="17" t="str">
        <f t="shared" si="39"/>
        <v>點揀料單</v>
      </c>
      <c r="H839" s="17">
        <f t="shared" si="40"/>
        <v>0</v>
      </c>
      <c r="I839" t="str">
        <f t="shared" si="41"/>
        <v/>
      </c>
      <c r="J839" t="str">
        <f>SUBSTITUTE(IF(COUNTIF(I$2:I839,I839)&gt;1,"",1)," ","")</f>
        <v/>
      </c>
    </row>
    <row r="840" spans="1:10" x14ac:dyDescent="0.2">
      <c r="A840" s="51" t="str">
        <f>IFERROR(VLOOKUP(B840,點上線資訊!A:R,18,0),"")</f>
        <v/>
      </c>
      <c r="B840" s="41">
        <f>'MB51'!A840</f>
        <v>0</v>
      </c>
      <c r="C840" s="60" t="str">
        <f>IFERROR(VLOOKUP(B840,'MB51'!A:I,9,0),"")</f>
        <v/>
      </c>
      <c r="D840" s="61" t="str">
        <f>IFERROR(VLOOKUP(B840,'MB51'!A:J,10,0),"")</f>
        <v/>
      </c>
      <c r="E840" s="62" t="str">
        <f>IFERROR(VLOOKUP(B840,'MB51'!A:K,11,0),"")</f>
        <v/>
      </c>
      <c r="F840" s="42" t="str">
        <f>IFERROR(VLOOKUP(B840,'MB51'!A:F,6,0),"")</f>
        <v/>
      </c>
      <c r="G840" s="17" t="str">
        <f t="shared" si="39"/>
        <v>點揀料單</v>
      </c>
      <c r="H840" s="17">
        <f t="shared" si="40"/>
        <v>0</v>
      </c>
      <c r="I840" t="str">
        <f t="shared" si="41"/>
        <v/>
      </c>
      <c r="J840" t="str">
        <f>SUBSTITUTE(IF(COUNTIF(I$2:I840,I840)&gt;1,"",1)," ","")</f>
        <v/>
      </c>
    </row>
    <row r="841" spans="1:10" x14ac:dyDescent="0.2">
      <c r="A841" s="51" t="str">
        <f>IFERROR(VLOOKUP(B841,點上線資訊!A:R,18,0),"")</f>
        <v/>
      </c>
      <c r="B841" s="41">
        <f>'MB51'!A841</f>
        <v>0</v>
      </c>
      <c r="C841" s="60" t="str">
        <f>IFERROR(VLOOKUP(B841,'MB51'!A:I,9,0),"")</f>
        <v/>
      </c>
      <c r="D841" s="61" t="str">
        <f>IFERROR(VLOOKUP(B841,'MB51'!A:J,10,0),"")</f>
        <v/>
      </c>
      <c r="E841" s="62" t="str">
        <f>IFERROR(VLOOKUP(B841,'MB51'!A:K,11,0),"")</f>
        <v/>
      </c>
      <c r="F841" s="42" t="str">
        <f>IFERROR(VLOOKUP(B841,'MB51'!A:F,6,0),"")</f>
        <v/>
      </c>
      <c r="G841" s="17" t="str">
        <f t="shared" si="39"/>
        <v>點揀料單</v>
      </c>
      <c r="H841" s="17">
        <f t="shared" si="40"/>
        <v>0</v>
      </c>
      <c r="I841" t="str">
        <f t="shared" si="41"/>
        <v/>
      </c>
      <c r="J841" t="str">
        <f>SUBSTITUTE(IF(COUNTIF(I$2:I841,I841)&gt;1,"",1)," ","")</f>
        <v/>
      </c>
    </row>
    <row r="842" spans="1:10" x14ac:dyDescent="0.2">
      <c r="A842" s="51" t="str">
        <f>IFERROR(VLOOKUP(B842,點上線資訊!A:R,18,0),"")</f>
        <v/>
      </c>
      <c r="B842" s="41">
        <f>'MB51'!A842</f>
        <v>0</v>
      </c>
      <c r="C842" s="60" t="str">
        <f>IFERROR(VLOOKUP(B842,'MB51'!A:I,9,0),"")</f>
        <v/>
      </c>
      <c r="D842" s="61" t="str">
        <f>IFERROR(VLOOKUP(B842,'MB51'!A:J,10,0),"")</f>
        <v/>
      </c>
      <c r="E842" s="62" t="str">
        <f>IFERROR(VLOOKUP(B842,'MB51'!A:K,11,0),"")</f>
        <v/>
      </c>
      <c r="F842" s="42" t="str">
        <f>IFERROR(VLOOKUP(B842,'MB51'!A:F,6,0),"")</f>
        <v/>
      </c>
      <c r="G842" s="17" t="str">
        <f t="shared" si="39"/>
        <v>點揀料單</v>
      </c>
      <c r="H842" s="17">
        <f t="shared" si="40"/>
        <v>0</v>
      </c>
      <c r="I842" t="str">
        <f t="shared" si="41"/>
        <v/>
      </c>
      <c r="J842" t="str">
        <f>SUBSTITUTE(IF(COUNTIF(I$2:I842,I842)&gt;1,"",1)," ","")</f>
        <v/>
      </c>
    </row>
    <row r="843" spans="1:10" x14ac:dyDescent="0.2">
      <c r="A843" s="51" t="str">
        <f>IFERROR(VLOOKUP(B843,點上線資訊!A:R,18,0),"")</f>
        <v/>
      </c>
      <c r="B843" s="41">
        <f>'MB51'!A843</f>
        <v>0</v>
      </c>
      <c r="C843" s="60" t="str">
        <f>IFERROR(VLOOKUP(B843,'MB51'!A:I,9,0),"")</f>
        <v/>
      </c>
      <c r="D843" s="61" t="str">
        <f>IFERROR(VLOOKUP(B843,'MB51'!A:J,10,0),"")</f>
        <v/>
      </c>
      <c r="E843" s="62" t="str">
        <f>IFERROR(VLOOKUP(B843,'MB51'!A:K,11,0),"")</f>
        <v/>
      </c>
      <c r="F843" s="42" t="str">
        <f>IFERROR(VLOOKUP(B843,'MB51'!A:F,6,0),"")</f>
        <v/>
      </c>
      <c r="G843" s="17" t="str">
        <f t="shared" si="39"/>
        <v>點揀料單</v>
      </c>
      <c r="H843" s="17">
        <f t="shared" si="40"/>
        <v>0</v>
      </c>
      <c r="I843" t="str">
        <f t="shared" si="41"/>
        <v/>
      </c>
      <c r="J843" t="str">
        <f>SUBSTITUTE(IF(COUNTIF(I$2:I843,I843)&gt;1,"",1)," ","")</f>
        <v/>
      </c>
    </row>
    <row r="844" spans="1:10" x14ac:dyDescent="0.2">
      <c r="A844" s="51" t="str">
        <f>IFERROR(VLOOKUP(B844,點上線資訊!A:R,18,0),"")</f>
        <v/>
      </c>
      <c r="B844" s="41">
        <f>'MB51'!A844</f>
        <v>0</v>
      </c>
      <c r="C844" s="60" t="str">
        <f>IFERROR(VLOOKUP(B844,'MB51'!A:I,9,0),"")</f>
        <v/>
      </c>
      <c r="D844" s="61" t="str">
        <f>IFERROR(VLOOKUP(B844,'MB51'!A:J,10,0),"")</f>
        <v/>
      </c>
      <c r="E844" s="62" t="str">
        <f>IFERROR(VLOOKUP(B844,'MB51'!A:K,11,0),"")</f>
        <v/>
      </c>
      <c r="F844" s="42" t="str">
        <f>IFERROR(VLOOKUP(B844,'MB51'!A:F,6,0),"")</f>
        <v/>
      </c>
      <c r="G844" s="17" t="str">
        <f t="shared" si="39"/>
        <v>點揀料單</v>
      </c>
      <c r="H844" s="17">
        <f t="shared" si="40"/>
        <v>0</v>
      </c>
      <c r="I844" t="str">
        <f t="shared" si="41"/>
        <v/>
      </c>
      <c r="J844" t="str">
        <f>SUBSTITUTE(IF(COUNTIF(I$2:I844,I844)&gt;1,"",1)," ","")</f>
        <v/>
      </c>
    </row>
    <row r="845" spans="1:10" x14ac:dyDescent="0.2">
      <c r="A845" s="51" t="str">
        <f>IFERROR(VLOOKUP(B845,點上線資訊!A:R,18,0),"")</f>
        <v/>
      </c>
      <c r="B845" s="41">
        <f>'MB51'!A845</f>
        <v>0</v>
      </c>
      <c r="C845" s="60" t="str">
        <f>IFERROR(VLOOKUP(B845,'MB51'!A:I,9,0),"")</f>
        <v/>
      </c>
      <c r="D845" s="61" t="str">
        <f>IFERROR(VLOOKUP(B845,'MB51'!A:J,10,0),"")</f>
        <v/>
      </c>
      <c r="E845" s="62" t="str">
        <f>IFERROR(VLOOKUP(B845,'MB51'!A:K,11,0),"")</f>
        <v/>
      </c>
      <c r="F845" s="42" t="str">
        <f>IFERROR(VLOOKUP(B845,'MB51'!A:F,6,0),"")</f>
        <v/>
      </c>
      <c r="G845" s="17" t="str">
        <f t="shared" si="39"/>
        <v>點揀料單</v>
      </c>
      <c r="H845" s="17">
        <f t="shared" si="40"/>
        <v>0</v>
      </c>
      <c r="I845" t="str">
        <f t="shared" si="41"/>
        <v/>
      </c>
      <c r="J845" t="str">
        <f>SUBSTITUTE(IF(COUNTIF(I$2:I845,I845)&gt;1,"",1)," ","")</f>
        <v/>
      </c>
    </row>
    <row r="846" spans="1:10" x14ac:dyDescent="0.2">
      <c r="A846" s="51" t="str">
        <f>IFERROR(VLOOKUP(B846,點上線資訊!A:R,18,0),"")</f>
        <v/>
      </c>
      <c r="B846" s="41">
        <f>'MB51'!A846</f>
        <v>0</v>
      </c>
      <c r="C846" s="60" t="str">
        <f>IFERROR(VLOOKUP(B846,'MB51'!A:I,9,0),"")</f>
        <v/>
      </c>
      <c r="D846" s="61" t="str">
        <f>IFERROR(VLOOKUP(B846,'MB51'!A:J,10,0),"")</f>
        <v/>
      </c>
      <c r="E846" s="62" t="str">
        <f>IFERROR(VLOOKUP(B846,'MB51'!A:K,11,0),"")</f>
        <v/>
      </c>
      <c r="F846" s="42" t="str">
        <f>IFERROR(VLOOKUP(B846,'MB51'!A:F,6,0),"")</f>
        <v/>
      </c>
      <c r="G846" s="17" t="str">
        <f t="shared" si="39"/>
        <v>點揀料單</v>
      </c>
      <c r="H846" s="17">
        <f t="shared" si="40"/>
        <v>0</v>
      </c>
      <c r="I846" t="str">
        <f t="shared" si="41"/>
        <v/>
      </c>
      <c r="J846" t="str">
        <f>SUBSTITUTE(IF(COUNTIF(I$2:I846,I846)&gt;1,"",1)," ","")</f>
        <v/>
      </c>
    </row>
    <row r="847" spans="1:10" x14ac:dyDescent="0.2">
      <c r="A847" s="51" t="str">
        <f>IFERROR(VLOOKUP(B847,點上線資訊!A:R,18,0),"")</f>
        <v/>
      </c>
      <c r="B847" s="41">
        <f>'MB51'!A847</f>
        <v>0</v>
      </c>
      <c r="C847" s="60" t="str">
        <f>IFERROR(VLOOKUP(B847,'MB51'!A:I,9,0),"")</f>
        <v/>
      </c>
      <c r="D847" s="61" t="str">
        <f>IFERROR(VLOOKUP(B847,'MB51'!A:J,10,0),"")</f>
        <v/>
      </c>
      <c r="E847" s="62" t="str">
        <f>IFERROR(VLOOKUP(B847,'MB51'!A:K,11,0),"")</f>
        <v/>
      </c>
      <c r="F847" s="42" t="str">
        <f>IFERROR(VLOOKUP(B847,'MB51'!A:F,6,0),"")</f>
        <v/>
      </c>
      <c r="G847" s="17" t="str">
        <f t="shared" si="39"/>
        <v>點揀料單</v>
      </c>
      <c r="H847" s="17">
        <f t="shared" si="40"/>
        <v>0</v>
      </c>
      <c r="I847" t="str">
        <f t="shared" si="41"/>
        <v/>
      </c>
      <c r="J847" t="str">
        <f>SUBSTITUTE(IF(COUNTIF(I$2:I847,I847)&gt;1,"",1)," ","")</f>
        <v/>
      </c>
    </row>
    <row r="848" spans="1:10" x14ac:dyDescent="0.2">
      <c r="A848" s="51" t="str">
        <f>IFERROR(VLOOKUP(B848,點上線資訊!A:R,18,0),"")</f>
        <v/>
      </c>
      <c r="B848" s="41">
        <f>'MB51'!A848</f>
        <v>0</v>
      </c>
      <c r="C848" s="60" t="str">
        <f>IFERROR(VLOOKUP(B848,'MB51'!A:I,9,0),"")</f>
        <v/>
      </c>
      <c r="D848" s="61" t="str">
        <f>IFERROR(VLOOKUP(B848,'MB51'!A:J,10,0),"")</f>
        <v/>
      </c>
      <c r="E848" s="62" t="str">
        <f>IFERROR(VLOOKUP(B848,'MB51'!A:K,11,0),"")</f>
        <v/>
      </c>
      <c r="F848" s="42" t="str">
        <f>IFERROR(VLOOKUP(B848,'MB51'!A:F,6,0),"")</f>
        <v/>
      </c>
      <c r="G848" s="17" t="str">
        <f t="shared" si="39"/>
        <v>點揀料單</v>
      </c>
      <c r="H848" s="17">
        <f t="shared" si="40"/>
        <v>0</v>
      </c>
      <c r="I848" t="str">
        <f t="shared" si="41"/>
        <v/>
      </c>
      <c r="J848" t="str">
        <f>SUBSTITUTE(IF(COUNTIF(I$2:I848,I848)&gt;1,"",1)," ","")</f>
        <v/>
      </c>
    </row>
    <row r="849" spans="1:10" x14ac:dyDescent="0.2">
      <c r="A849" s="51" t="str">
        <f>IFERROR(VLOOKUP(B849,點上線資訊!A:R,18,0),"")</f>
        <v/>
      </c>
      <c r="B849" s="41">
        <f>'MB51'!A849</f>
        <v>0</v>
      </c>
      <c r="C849" s="60" t="str">
        <f>IFERROR(VLOOKUP(B849,'MB51'!A:I,9,0),"")</f>
        <v/>
      </c>
      <c r="D849" s="61" t="str">
        <f>IFERROR(VLOOKUP(B849,'MB51'!A:J,10,0),"")</f>
        <v/>
      </c>
      <c r="E849" s="62" t="str">
        <f>IFERROR(VLOOKUP(B849,'MB51'!A:K,11,0),"")</f>
        <v/>
      </c>
      <c r="F849" s="42" t="str">
        <f>IFERROR(VLOOKUP(B849,'MB51'!A:F,6,0),"")</f>
        <v/>
      </c>
      <c r="G849" s="17" t="str">
        <f t="shared" si="39"/>
        <v>點揀料單</v>
      </c>
      <c r="H849" s="17">
        <f t="shared" si="40"/>
        <v>0</v>
      </c>
      <c r="I849" t="str">
        <f t="shared" si="41"/>
        <v/>
      </c>
      <c r="J849" t="str">
        <f>SUBSTITUTE(IF(COUNTIF(I$2:I849,I849)&gt;1,"",1)," ","")</f>
        <v/>
      </c>
    </row>
    <row r="850" spans="1:10" x14ac:dyDescent="0.2">
      <c r="A850" s="51" t="str">
        <f>IFERROR(VLOOKUP(B850,點上線資訊!A:R,18,0),"")</f>
        <v/>
      </c>
      <c r="B850" s="41">
        <f>'MB51'!A850</f>
        <v>0</v>
      </c>
      <c r="C850" s="60" t="str">
        <f>IFERROR(VLOOKUP(B850,'MB51'!A:I,9,0),"")</f>
        <v/>
      </c>
      <c r="D850" s="61" t="str">
        <f>IFERROR(VLOOKUP(B850,'MB51'!A:J,10,0),"")</f>
        <v/>
      </c>
      <c r="E850" s="62" t="str">
        <f>IFERROR(VLOOKUP(B850,'MB51'!A:K,11,0),"")</f>
        <v/>
      </c>
      <c r="F850" s="42" t="str">
        <f>IFERROR(VLOOKUP(B850,'MB51'!A:F,6,0),"")</f>
        <v/>
      </c>
      <c r="G850" s="17" t="str">
        <f t="shared" si="39"/>
        <v>點揀料單</v>
      </c>
      <c r="H850" s="17">
        <f t="shared" si="40"/>
        <v>0</v>
      </c>
      <c r="I850" t="str">
        <f t="shared" si="41"/>
        <v/>
      </c>
      <c r="J850" t="str">
        <f>SUBSTITUTE(IF(COUNTIF(I$2:I850,I850)&gt;1,"",1)," ","")</f>
        <v/>
      </c>
    </row>
    <row r="851" spans="1:10" x14ac:dyDescent="0.2">
      <c r="A851" s="51" t="str">
        <f>IFERROR(VLOOKUP(B851,點上線資訊!A:R,18,0),"")</f>
        <v/>
      </c>
      <c r="B851" s="41">
        <f>'MB51'!A851</f>
        <v>0</v>
      </c>
      <c r="C851" s="60" t="str">
        <f>IFERROR(VLOOKUP(B851,'MB51'!A:I,9,0),"")</f>
        <v/>
      </c>
      <c r="D851" s="61" t="str">
        <f>IFERROR(VLOOKUP(B851,'MB51'!A:J,10,0),"")</f>
        <v/>
      </c>
      <c r="E851" s="62" t="str">
        <f>IFERROR(VLOOKUP(B851,'MB51'!A:K,11,0),"")</f>
        <v/>
      </c>
      <c r="F851" s="42" t="str">
        <f>IFERROR(VLOOKUP(B851,'MB51'!A:F,6,0),"")</f>
        <v/>
      </c>
      <c r="G851" s="17" t="str">
        <f t="shared" si="39"/>
        <v>點揀料單</v>
      </c>
      <c r="H851" s="17">
        <f t="shared" si="40"/>
        <v>0</v>
      </c>
      <c r="I851" t="str">
        <f t="shared" si="41"/>
        <v/>
      </c>
      <c r="J851" t="str">
        <f>SUBSTITUTE(IF(COUNTIF(I$2:I851,I851)&gt;1,"",1)," ","")</f>
        <v/>
      </c>
    </row>
    <row r="852" spans="1:10" x14ac:dyDescent="0.2">
      <c r="A852" s="51" t="str">
        <f>IFERROR(VLOOKUP(B852,點上線資訊!A:R,18,0),"")</f>
        <v/>
      </c>
      <c r="B852" s="41">
        <f>'MB51'!A852</f>
        <v>0</v>
      </c>
      <c r="C852" s="60" t="str">
        <f>IFERROR(VLOOKUP(B852,'MB51'!A:I,9,0),"")</f>
        <v/>
      </c>
      <c r="D852" s="61" t="str">
        <f>IFERROR(VLOOKUP(B852,'MB51'!A:J,10,0),"")</f>
        <v/>
      </c>
      <c r="E852" s="62" t="str">
        <f>IFERROR(VLOOKUP(B852,'MB51'!A:K,11,0),"")</f>
        <v/>
      </c>
      <c r="F852" s="42" t="str">
        <f>IFERROR(VLOOKUP(B852,'MB51'!A:F,6,0),"")</f>
        <v/>
      </c>
      <c r="G852" s="17" t="str">
        <f t="shared" si="39"/>
        <v>點揀料單</v>
      </c>
      <c r="H852" s="17">
        <f t="shared" si="40"/>
        <v>0</v>
      </c>
      <c r="I852" t="str">
        <f t="shared" si="41"/>
        <v/>
      </c>
      <c r="J852" t="str">
        <f>SUBSTITUTE(IF(COUNTIF(I$2:I852,I852)&gt;1,"",1)," ","")</f>
        <v/>
      </c>
    </row>
    <row r="853" spans="1:10" x14ac:dyDescent="0.2">
      <c r="A853" s="51" t="str">
        <f>IFERROR(VLOOKUP(B853,點上線資訊!A:R,18,0),"")</f>
        <v/>
      </c>
      <c r="B853" s="41">
        <f>'MB51'!A853</f>
        <v>0</v>
      </c>
      <c r="C853" s="60" t="str">
        <f>IFERROR(VLOOKUP(B853,'MB51'!A:I,9,0),"")</f>
        <v/>
      </c>
      <c r="D853" s="61" t="str">
        <f>IFERROR(VLOOKUP(B853,'MB51'!A:J,10,0),"")</f>
        <v/>
      </c>
      <c r="E853" s="62" t="str">
        <f>IFERROR(VLOOKUP(B853,'MB51'!A:K,11,0),"")</f>
        <v/>
      </c>
      <c r="F853" s="42" t="str">
        <f>IFERROR(VLOOKUP(B853,'MB51'!A:F,6,0),"")</f>
        <v/>
      </c>
      <c r="G853" s="17" t="str">
        <f t="shared" si="39"/>
        <v>點揀料單</v>
      </c>
      <c r="H853" s="17">
        <f t="shared" si="40"/>
        <v>0</v>
      </c>
      <c r="I853" t="str">
        <f t="shared" si="41"/>
        <v/>
      </c>
      <c r="J853" t="str">
        <f>SUBSTITUTE(IF(COUNTIF(I$2:I853,I853)&gt;1,"",1)," ","")</f>
        <v/>
      </c>
    </row>
    <row r="854" spans="1:10" x14ac:dyDescent="0.2">
      <c r="A854" s="51" t="str">
        <f>IFERROR(VLOOKUP(B854,點上線資訊!A:R,18,0),"")</f>
        <v/>
      </c>
      <c r="B854" s="41">
        <f>'MB51'!A854</f>
        <v>0</v>
      </c>
      <c r="C854" s="60" t="str">
        <f>IFERROR(VLOOKUP(B854,'MB51'!A:I,9,0),"")</f>
        <v/>
      </c>
      <c r="D854" s="61" t="str">
        <f>IFERROR(VLOOKUP(B854,'MB51'!A:J,10,0),"")</f>
        <v/>
      </c>
      <c r="E854" s="62" t="str">
        <f>IFERROR(VLOOKUP(B854,'MB51'!A:K,11,0),"")</f>
        <v/>
      </c>
      <c r="F854" s="42" t="str">
        <f>IFERROR(VLOOKUP(B854,'MB51'!A:F,6,0),"")</f>
        <v/>
      </c>
      <c r="G854" s="17" t="str">
        <f t="shared" si="39"/>
        <v>點揀料單</v>
      </c>
      <c r="H854" s="17">
        <f t="shared" si="40"/>
        <v>0</v>
      </c>
      <c r="I854" t="str">
        <f t="shared" si="41"/>
        <v/>
      </c>
      <c r="J854" t="str">
        <f>SUBSTITUTE(IF(COUNTIF(I$2:I854,I854)&gt;1,"",1)," ","")</f>
        <v/>
      </c>
    </row>
    <row r="855" spans="1:10" x14ac:dyDescent="0.2">
      <c r="A855" s="51" t="str">
        <f>IFERROR(VLOOKUP(B855,點上線資訊!A:R,18,0),"")</f>
        <v/>
      </c>
      <c r="B855" s="41">
        <f>'MB51'!A855</f>
        <v>0</v>
      </c>
      <c r="C855" s="60" t="str">
        <f>IFERROR(VLOOKUP(B855,'MB51'!A:I,9,0),"")</f>
        <v/>
      </c>
      <c r="D855" s="61" t="str">
        <f>IFERROR(VLOOKUP(B855,'MB51'!A:J,10,0),"")</f>
        <v/>
      </c>
      <c r="E855" s="62" t="str">
        <f>IFERROR(VLOOKUP(B855,'MB51'!A:K,11,0),"")</f>
        <v/>
      </c>
      <c r="F855" s="42" t="str">
        <f>IFERROR(VLOOKUP(B855,'MB51'!A:F,6,0),"")</f>
        <v/>
      </c>
      <c r="G855" s="17" t="str">
        <f t="shared" si="39"/>
        <v>點揀料單</v>
      </c>
      <c r="H855" s="17">
        <f t="shared" si="40"/>
        <v>0</v>
      </c>
      <c r="I855" t="str">
        <f t="shared" si="41"/>
        <v/>
      </c>
      <c r="J855" t="str">
        <f>SUBSTITUTE(IF(COUNTIF(I$2:I855,I855)&gt;1,"",1)," ","")</f>
        <v/>
      </c>
    </row>
    <row r="856" spans="1:10" x14ac:dyDescent="0.2">
      <c r="A856" s="51" t="str">
        <f>IFERROR(VLOOKUP(B856,點上線資訊!A:R,18,0),"")</f>
        <v/>
      </c>
      <c r="B856" s="41">
        <f>'MB51'!A856</f>
        <v>0</v>
      </c>
      <c r="C856" s="60" t="str">
        <f>IFERROR(VLOOKUP(B856,'MB51'!A:I,9,0),"")</f>
        <v/>
      </c>
      <c r="D856" s="61" t="str">
        <f>IFERROR(VLOOKUP(B856,'MB51'!A:J,10,0),"")</f>
        <v/>
      </c>
      <c r="E856" s="62" t="str">
        <f>IFERROR(VLOOKUP(B856,'MB51'!A:K,11,0),"")</f>
        <v/>
      </c>
      <c r="F856" s="42" t="str">
        <f>IFERROR(VLOOKUP(B856,'MB51'!A:F,6,0),"")</f>
        <v/>
      </c>
      <c r="G856" s="17" t="str">
        <f t="shared" si="39"/>
        <v>點揀料單</v>
      </c>
      <c r="H856" s="17">
        <f t="shared" si="40"/>
        <v>0</v>
      </c>
      <c r="I856" t="str">
        <f t="shared" si="41"/>
        <v/>
      </c>
      <c r="J856" t="str">
        <f>SUBSTITUTE(IF(COUNTIF(I$2:I856,I856)&gt;1,"",1)," ","")</f>
        <v/>
      </c>
    </row>
    <row r="857" spans="1:10" x14ac:dyDescent="0.2">
      <c r="A857" s="51" t="str">
        <f>IFERROR(VLOOKUP(B857,點上線資訊!A:R,18,0),"")</f>
        <v/>
      </c>
      <c r="B857" s="41">
        <f>'MB51'!A857</f>
        <v>0</v>
      </c>
      <c r="C857" s="60" t="str">
        <f>IFERROR(VLOOKUP(B857,'MB51'!A:I,9,0),"")</f>
        <v/>
      </c>
      <c r="D857" s="61" t="str">
        <f>IFERROR(VLOOKUP(B857,'MB51'!A:J,10,0),"")</f>
        <v/>
      </c>
      <c r="E857" s="62" t="str">
        <f>IFERROR(VLOOKUP(B857,'MB51'!A:K,11,0),"")</f>
        <v/>
      </c>
      <c r="F857" s="42" t="str">
        <f>IFERROR(VLOOKUP(B857,'MB51'!A:F,6,0),"")</f>
        <v/>
      </c>
      <c r="G857" s="17" t="str">
        <f t="shared" si="39"/>
        <v>點揀料單</v>
      </c>
      <c r="H857" s="17">
        <f t="shared" si="40"/>
        <v>0</v>
      </c>
      <c r="I857" t="str">
        <f t="shared" si="41"/>
        <v/>
      </c>
      <c r="J857" t="str">
        <f>SUBSTITUTE(IF(COUNTIF(I$2:I857,I857)&gt;1,"",1)," ","")</f>
        <v/>
      </c>
    </row>
    <row r="858" spans="1:10" x14ac:dyDescent="0.2">
      <c r="A858" s="51" t="str">
        <f>IFERROR(VLOOKUP(B858,點上線資訊!A:R,18,0),"")</f>
        <v/>
      </c>
      <c r="B858" s="41">
        <f>'MB51'!A858</f>
        <v>0</v>
      </c>
      <c r="C858" s="60" t="str">
        <f>IFERROR(VLOOKUP(B858,'MB51'!A:I,9,0),"")</f>
        <v/>
      </c>
      <c r="D858" s="61" t="str">
        <f>IFERROR(VLOOKUP(B858,'MB51'!A:J,10,0),"")</f>
        <v/>
      </c>
      <c r="E858" s="62" t="str">
        <f>IFERROR(VLOOKUP(B858,'MB51'!A:K,11,0),"")</f>
        <v/>
      </c>
      <c r="F858" s="42" t="str">
        <f>IFERROR(VLOOKUP(B858,'MB51'!A:F,6,0),"")</f>
        <v/>
      </c>
      <c r="G858" s="17" t="str">
        <f t="shared" si="39"/>
        <v>點揀料單</v>
      </c>
      <c r="H858" s="17">
        <f t="shared" si="40"/>
        <v>0</v>
      </c>
      <c r="I858" t="str">
        <f t="shared" si="41"/>
        <v/>
      </c>
      <c r="J858" t="str">
        <f>SUBSTITUTE(IF(COUNTIF(I$2:I858,I858)&gt;1,"",1)," ","")</f>
        <v/>
      </c>
    </row>
    <row r="859" spans="1:10" x14ac:dyDescent="0.2">
      <c r="A859" s="51" t="str">
        <f>IFERROR(VLOOKUP(B859,點上線資訊!A:R,18,0),"")</f>
        <v/>
      </c>
      <c r="B859" s="41">
        <f>'MB51'!A859</f>
        <v>0</v>
      </c>
      <c r="C859" s="60" t="str">
        <f>IFERROR(VLOOKUP(B859,'MB51'!A:I,9,0),"")</f>
        <v/>
      </c>
      <c r="D859" s="61" t="str">
        <f>IFERROR(VLOOKUP(B859,'MB51'!A:J,10,0),"")</f>
        <v/>
      </c>
      <c r="E859" s="62" t="str">
        <f>IFERROR(VLOOKUP(B859,'MB51'!A:K,11,0),"")</f>
        <v/>
      </c>
      <c r="F859" s="42" t="str">
        <f>IFERROR(VLOOKUP(B859,'MB51'!A:F,6,0),"")</f>
        <v/>
      </c>
      <c r="G859" s="17" t="str">
        <f t="shared" si="39"/>
        <v>點揀料單</v>
      </c>
      <c r="H859" s="17">
        <f t="shared" si="40"/>
        <v>0</v>
      </c>
      <c r="I859" t="str">
        <f t="shared" si="41"/>
        <v/>
      </c>
      <c r="J859" t="str">
        <f>SUBSTITUTE(IF(COUNTIF(I$2:I859,I859)&gt;1,"",1)," ","")</f>
        <v/>
      </c>
    </row>
    <row r="860" spans="1:10" x14ac:dyDescent="0.2">
      <c r="A860" s="51" t="str">
        <f>IFERROR(VLOOKUP(B860,點上線資訊!A:R,18,0),"")</f>
        <v/>
      </c>
      <c r="B860" s="41">
        <f>'MB51'!A860</f>
        <v>0</v>
      </c>
      <c r="C860" s="60" t="str">
        <f>IFERROR(VLOOKUP(B860,'MB51'!A:I,9,0),"")</f>
        <v/>
      </c>
      <c r="D860" s="61" t="str">
        <f>IFERROR(VLOOKUP(B860,'MB51'!A:J,10,0),"")</f>
        <v/>
      </c>
      <c r="E860" s="62" t="str">
        <f>IFERROR(VLOOKUP(B860,'MB51'!A:K,11,0),"")</f>
        <v/>
      </c>
      <c r="F860" s="42" t="str">
        <f>IFERROR(VLOOKUP(B860,'MB51'!A:F,6,0),"")</f>
        <v/>
      </c>
      <c r="G860" s="17" t="str">
        <f t="shared" si="39"/>
        <v>點揀料單</v>
      </c>
      <c r="H860" s="17">
        <f t="shared" si="40"/>
        <v>0</v>
      </c>
      <c r="I860" t="str">
        <f t="shared" si="41"/>
        <v/>
      </c>
      <c r="J860" t="str">
        <f>SUBSTITUTE(IF(COUNTIF(I$2:I860,I860)&gt;1,"",1)," ","")</f>
        <v/>
      </c>
    </row>
    <row r="861" spans="1:10" x14ac:dyDescent="0.2">
      <c r="A861" s="51" t="str">
        <f>IFERROR(VLOOKUP(B861,點上線資訊!A:R,18,0),"")</f>
        <v/>
      </c>
      <c r="B861" s="41">
        <f>'MB51'!A861</f>
        <v>0</v>
      </c>
      <c r="C861" s="60" t="str">
        <f>IFERROR(VLOOKUP(B861,'MB51'!A:I,9,0),"")</f>
        <v/>
      </c>
      <c r="D861" s="61" t="str">
        <f>IFERROR(VLOOKUP(B861,'MB51'!A:J,10,0),"")</f>
        <v/>
      </c>
      <c r="E861" s="62" t="str">
        <f>IFERROR(VLOOKUP(B861,'MB51'!A:K,11,0),"")</f>
        <v/>
      </c>
      <c r="F861" s="42" t="str">
        <f>IFERROR(VLOOKUP(B861,'MB51'!A:F,6,0),"")</f>
        <v/>
      </c>
      <c r="G861" s="17" t="str">
        <f t="shared" si="39"/>
        <v>點揀料單</v>
      </c>
      <c r="H861" s="17">
        <f t="shared" si="40"/>
        <v>0</v>
      </c>
      <c r="I861" t="str">
        <f t="shared" si="41"/>
        <v/>
      </c>
      <c r="J861" t="str">
        <f>SUBSTITUTE(IF(COUNTIF(I$2:I861,I861)&gt;1,"",1)," ","")</f>
        <v/>
      </c>
    </row>
    <row r="862" spans="1:10" x14ac:dyDescent="0.2">
      <c r="A862" s="51" t="str">
        <f>IFERROR(VLOOKUP(B862,點上線資訊!A:R,18,0),"")</f>
        <v/>
      </c>
      <c r="B862" s="41">
        <f>'MB51'!A862</f>
        <v>0</v>
      </c>
      <c r="C862" s="60" t="str">
        <f>IFERROR(VLOOKUP(B862,'MB51'!A:I,9,0),"")</f>
        <v/>
      </c>
      <c r="D862" s="61" t="str">
        <f>IFERROR(VLOOKUP(B862,'MB51'!A:J,10,0),"")</f>
        <v/>
      </c>
      <c r="E862" s="62" t="str">
        <f>IFERROR(VLOOKUP(B862,'MB51'!A:K,11,0),"")</f>
        <v/>
      </c>
      <c r="F862" s="42" t="str">
        <f>IFERROR(VLOOKUP(B862,'MB51'!A:F,6,0),"")</f>
        <v/>
      </c>
      <c r="G862" s="17" t="str">
        <f t="shared" si="39"/>
        <v>點揀料單</v>
      </c>
      <c r="H862" s="17">
        <f t="shared" si="40"/>
        <v>0</v>
      </c>
      <c r="I862" t="str">
        <f t="shared" si="41"/>
        <v/>
      </c>
      <c r="J862" t="str">
        <f>SUBSTITUTE(IF(COUNTIF(I$2:I862,I862)&gt;1,"",1)," ","")</f>
        <v/>
      </c>
    </row>
    <row r="863" spans="1:10" x14ac:dyDescent="0.2">
      <c r="A863" s="51" t="str">
        <f>IFERROR(VLOOKUP(B863,點上線資訊!A:R,18,0),"")</f>
        <v/>
      </c>
      <c r="B863" s="41">
        <f>'MB51'!A863</f>
        <v>0</v>
      </c>
      <c r="C863" s="60" t="str">
        <f>IFERROR(VLOOKUP(B863,'MB51'!A:I,9,0),"")</f>
        <v/>
      </c>
      <c r="D863" s="61" t="str">
        <f>IFERROR(VLOOKUP(B863,'MB51'!A:J,10,0),"")</f>
        <v/>
      </c>
      <c r="E863" s="62" t="str">
        <f>IFERROR(VLOOKUP(B863,'MB51'!A:K,11,0),"")</f>
        <v/>
      </c>
      <c r="F863" s="42" t="str">
        <f>IFERROR(VLOOKUP(B863,'MB51'!A:F,6,0),"")</f>
        <v/>
      </c>
      <c r="G863" s="17" t="str">
        <f t="shared" si="39"/>
        <v>點揀料單</v>
      </c>
      <c r="H863" s="17">
        <f t="shared" si="40"/>
        <v>0</v>
      </c>
      <c r="I863" t="str">
        <f t="shared" si="41"/>
        <v/>
      </c>
      <c r="J863" t="str">
        <f>SUBSTITUTE(IF(COUNTIF(I$2:I863,I863)&gt;1,"",1)," ","")</f>
        <v/>
      </c>
    </row>
    <row r="864" spans="1:10" x14ac:dyDescent="0.2">
      <c r="A864" s="51" t="str">
        <f>IFERROR(VLOOKUP(B864,點上線資訊!A:R,18,0),"")</f>
        <v/>
      </c>
      <c r="B864" s="41">
        <f>'MB51'!A864</f>
        <v>0</v>
      </c>
      <c r="C864" s="60" t="str">
        <f>IFERROR(VLOOKUP(B864,'MB51'!A:I,9,0),"")</f>
        <v/>
      </c>
      <c r="D864" s="61" t="str">
        <f>IFERROR(VLOOKUP(B864,'MB51'!A:J,10,0),"")</f>
        <v/>
      </c>
      <c r="E864" s="62" t="str">
        <f>IFERROR(VLOOKUP(B864,'MB51'!A:K,11,0),"")</f>
        <v/>
      </c>
      <c r="F864" s="42" t="str">
        <f>IFERROR(VLOOKUP(B864,'MB51'!A:F,6,0),"")</f>
        <v/>
      </c>
      <c r="G864" s="17" t="str">
        <f t="shared" si="39"/>
        <v>點揀料單</v>
      </c>
      <c r="H864" s="17">
        <f t="shared" si="40"/>
        <v>0</v>
      </c>
      <c r="I864" t="str">
        <f t="shared" si="41"/>
        <v/>
      </c>
      <c r="J864" t="str">
        <f>SUBSTITUTE(IF(COUNTIF(I$2:I864,I864)&gt;1,"",1)," ","")</f>
        <v/>
      </c>
    </row>
    <row r="865" spans="1:10" x14ac:dyDescent="0.2">
      <c r="A865" s="51" t="str">
        <f>IFERROR(VLOOKUP(B865,點上線資訊!A:R,18,0),"")</f>
        <v/>
      </c>
      <c r="B865" s="41">
        <f>'MB51'!A865</f>
        <v>0</v>
      </c>
      <c r="C865" s="60" t="str">
        <f>IFERROR(VLOOKUP(B865,'MB51'!A:I,9,0),"")</f>
        <v/>
      </c>
      <c r="D865" s="61" t="str">
        <f>IFERROR(VLOOKUP(B865,'MB51'!A:J,10,0),"")</f>
        <v/>
      </c>
      <c r="E865" s="62" t="str">
        <f>IFERROR(VLOOKUP(B865,'MB51'!A:K,11,0),"")</f>
        <v/>
      </c>
      <c r="F865" s="42" t="str">
        <f>IFERROR(VLOOKUP(B865,'MB51'!A:F,6,0),"")</f>
        <v/>
      </c>
      <c r="G865" s="17" t="str">
        <f t="shared" si="39"/>
        <v>點揀料單</v>
      </c>
      <c r="H865" s="17">
        <f t="shared" si="40"/>
        <v>0</v>
      </c>
      <c r="I865" t="str">
        <f t="shared" si="41"/>
        <v/>
      </c>
      <c r="J865" t="str">
        <f>SUBSTITUTE(IF(COUNTIF(I$2:I865,I865)&gt;1,"",1)," ","")</f>
        <v/>
      </c>
    </row>
    <row r="866" spans="1:10" x14ac:dyDescent="0.2">
      <c r="A866" s="51" t="str">
        <f>IFERROR(VLOOKUP(B866,點上線資訊!A:R,18,0),"")</f>
        <v/>
      </c>
      <c r="B866" s="41">
        <f>'MB51'!A866</f>
        <v>0</v>
      </c>
      <c r="C866" s="60" t="str">
        <f>IFERROR(VLOOKUP(B866,'MB51'!A:I,9,0),"")</f>
        <v/>
      </c>
      <c r="D866" s="61" t="str">
        <f>IFERROR(VLOOKUP(B866,'MB51'!A:J,10,0),"")</f>
        <v/>
      </c>
      <c r="E866" s="62" t="str">
        <f>IFERROR(VLOOKUP(B866,'MB51'!A:K,11,0),"")</f>
        <v/>
      </c>
      <c r="F866" s="42" t="str">
        <f>IFERROR(VLOOKUP(B866,'MB51'!A:F,6,0),"")</f>
        <v/>
      </c>
      <c r="G866" s="17" t="str">
        <f t="shared" si="39"/>
        <v>點揀料單</v>
      </c>
      <c r="H866" s="17">
        <f t="shared" si="40"/>
        <v>0</v>
      </c>
      <c r="I866" t="str">
        <f t="shared" si="41"/>
        <v/>
      </c>
      <c r="J866" t="str">
        <f>SUBSTITUTE(IF(COUNTIF(I$2:I866,I866)&gt;1,"",1)," ","")</f>
        <v/>
      </c>
    </row>
    <row r="867" spans="1:10" x14ac:dyDescent="0.2">
      <c r="A867" s="51" t="str">
        <f>IFERROR(VLOOKUP(B867,點上線資訊!A:R,18,0),"")</f>
        <v/>
      </c>
      <c r="B867" s="41">
        <f>'MB51'!A867</f>
        <v>0</v>
      </c>
      <c r="C867" s="60" t="str">
        <f>IFERROR(VLOOKUP(B867,'MB51'!A:I,9,0),"")</f>
        <v/>
      </c>
      <c r="D867" s="61" t="str">
        <f>IFERROR(VLOOKUP(B867,'MB51'!A:J,10,0),"")</f>
        <v/>
      </c>
      <c r="E867" s="62" t="str">
        <f>IFERROR(VLOOKUP(B867,'MB51'!A:K,11,0),"")</f>
        <v/>
      </c>
      <c r="F867" s="42" t="str">
        <f>IFERROR(VLOOKUP(B867,'MB51'!A:F,6,0),"")</f>
        <v/>
      </c>
      <c r="G867" s="17" t="str">
        <f t="shared" si="39"/>
        <v>點揀料單</v>
      </c>
      <c r="H867" s="17">
        <f t="shared" si="40"/>
        <v>0</v>
      </c>
      <c r="I867" t="str">
        <f t="shared" si="41"/>
        <v/>
      </c>
      <c r="J867" t="str">
        <f>SUBSTITUTE(IF(COUNTIF(I$2:I867,I867)&gt;1,"",1)," ","")</f>
        <v/>
      </c>
    </row>
    <row r="868" spans="1:10" x14ac:dyDescent="0.2">
      <c r="A868" s="51" t="str">
        <f>IFERROR(VLOOKUP(B868,點上線資訊!A:R,18,0),"")</f>
        <v/>
      </c>
      <c r="B868" s="41">
        <f>'MB51'!A868</f>
        <v>0</v>
      </c>
      <c r="C868" s="60" t="str">
        <f>IFERROR(VLOOKUP(B868,'MB51'!A:I,9,0),"")</f>
        <v/>
      </c>
      <c r="D868" s="61" t="str">
        <f>IFERROR(VLOOKUP(B868,'MB51'!A:J,10,0),"")</f>
        <v/>
      </c>
      <c r="E868" s="62" t="str">
        <f>IFERROR(VLOOKUP(B868,'MB51'!A:K,11,0),"")</f>
        <v/>
      </c>
      <c r="F868" s="42" t="str">
        <f>IFERROR(VLOOKUP(B868,'MB51'!A:F,6,0),"")</f>
        <v/>
      </c>
      <c r="G868" s="17" t="str">
        <f t="shared" si="39"/>
        <v>點揀料單</v>
      </c>
      <c r="H868" s="17">
        <f t="shared" si="40"/>
        <v>0</v>
      </c>
      <c r="I868" t="str">
        <f t="shared" si="41"/>
        <v/>
      </c>
      <c r="J868" t="str">
        <f>SUBSTITUTE(IF(COUNTIF(I$2:I868,I868)&gt;1,"",1)," ","")</f>
        <v/>
      </c>
    </row>
    <row r="869" spans="1:10" x14ac:dyDescent="0.2">
      <c r="A869" s="51" t="str">
        <f>IFERROR(VLOOKUP(B869,點上線資訊!A:R,18,0),"")</f>
        <v/>
      </c>
      <c r="B869" s="41">
        <f>'MB51'!A869</f>
        <v>0</v>
      </c>
      <c r="C869" s="60" t="str">
        <f>IFERROR(VLOOKUP(B869,'MB51'!A:I,9,0),"")</f>
        <v/>
      </c>
      <c r="D869" s="61" t="str">
        <f>IFERROR(VLOOKUP(B869,'MB51'!A:J,10,0),"")</f>
        <v/>
      </c>
      <c r="E869" s="62" t="str">
        <f>IFERROR(VLOOKUP(B869,'MB51'!A:K,11,0),"")</f>
        <v/>
      </c>
      <c r="F869" s="42" t="str">
        <f>IFERROR(VLOOKUP(B869,'MB51'!A:F,6,0),"")</f>
        <v/>
      </c>
      <c r="G869" s="17" t="str">
        <f t="shared" si="39"/>
        <v>點揀料單</v>
      </c>
      <c r="H869" s="17">
        <f t="shared" si="40"/>
        <v>0</v>
      </c>
      <c r="I869" t="str">
        <f t="shared" si="41"/>
        <v/>
      </c>
      <c r="J869" t="str">
        <f>SUBSTITUTE(IF(COUNTIF(I$2:I869,I869)&gt;1,"",1)," ","")</f>
        <v/>
      </c>
    </row>
    <row r="870" spans="1:10" x14ac:dyDescent="0.2">
      <c r="A870" s="51" t="str">
        <f>IFERROR(VLOOKUP(B870,點上線資訊!A:R,18,0),"")</f>
        <v/>
      </c>
      <c r="B870" s="41">
        <f>'MB51'!A870</f>
        <v>0</v>
      </c>
      <c r="C870" s="60" t="str">
        <f>IFERROR(VLOOKUP(B870,'MB51'!A:I,9,0),"")</f>
        <v/>
      </c>
      <c r="D870" s="61" t="str">
        <f>IFERROR(VLOOKUP(B870,'MB51'!A:J,10,0),"")</f>
        <v/>
      </c>
      <c r="E870" s="62" t="str">
        <f>IFERROR(VLOOKUP(B870,'MB51'!A:K,11,0),"")</f>
        <v/>
      </c>
      <c r="F870" s="42" t="str">
        <f>IFERROR(VLOOKUP(B870,'MB51'!A:F,6,0),"")</f>
        <v/>
      </c>
      <c r="G870" s="17" t="str">
        <f t="shared" si="39"/>
        <v>點揀料單</v>
      </c>
      <c r="H870" s="17">
        <f t="shared" si="40"/>
        <v>0</v>
      </c>
      <c r="I870" t="str">
        <f t="shared" si="41"/>
        <v/>
      </c>
      <c r="J870" t="str">
        <f>SUBSTITUTE(IF(COUNTIF(I$2:I870,I870)&gt;1,"",1)," ","")</f>
        <v/>
      </c>
    </row>
    <row r="871" spans="1:10" x14ac:dyDescent="0.2">
      <c r="A871" s="51" t="str">
        <f>IFERROR(VLOOKUP(B871,點上線資訊!A:R,18,0),"")</f>
        <v/>
      </c>
      <c r="B871" s="41">
        <f>'MB51'!A871</f>
        <v>0</v>
      </c>
      <c r="C871" s="60" t="str">
        <f>IFERROR(VLOOKUP(B871,'MB51'!A:I,9,0),"")</f>
        <v/>
      </c>
      <c r="D871" s="61" t="str">
        <f>IFERROR(VLOOKUP(B871,'MB51'!A:J,10,0),"")</f>
        <v/>
      </c>
      <c r="E871" s="62" t="str">
        <f>IFERROR(VLOOKUP(B871,'MB51'!A:K,11,0),"")</f>
        <v/>
      </c>
      <c r="F871" s="42" t="str">
        <f>IFERROR(VLOOKUP(B871,'MB51'!A:F,6,0),"")</f>
        <v/>
      </c>
      <c r="G871" s="17" t="str">
        <f t="shared" si="39"/>
        <v>點揀料單</v>
      </c>
      <c r="H871" s="17">
        <f t="shared" si="40"/>
        <v>0</v>
      </c>
      <c r="I871" t="str">
        <f t="shared" si="41"/>
        <v/>
      </c>
      <c r="J871" t="str">
        <f>SUBSTITUTE(IF(COUNTIF(I$2:I871,I871)&gt;1,"",1)," ","")</f>
        <v/>
      </c>
    </row>
    <row r="872" spans="1:10" x14ac:dyDescent="0.2">
      <c r="A872" s="51" t="str">
        <f>IFERROR(VLOOKUP(B872,點上線資訊!A:R,18,0),"")</f>
        <v/>
      </c>
      <c r="B872" s="41">
        <f>'MB51'!A872</f>
        <v>0</v>
      </c>
      <c r="C872" s="60" t="str">
        <f>IFERROR(VLOOKUP(B872,'MB51'!A:I,9,0),"")</f>
        <v/>
      </c>
      <c r="D872" s="61" t="str">
        <f>IFERROR(VLOOKUP(B872,'MB51'!A:J,10,0),"")</f>
        <v/>
      </c>
      <c r="E872" s="62" t="str">
        <f>IFERROR(VLOOKUP(B872,'MB51'!A:K,11,0),"")</f>
        <v/>
      </c>
      <c r="F872" s="42" t="str">
        <f>IFERROR(VLOOKUP(B872,'MB51'!A:F,6,0),"")</f>
        <v/>
      </c>
      <c r="G872" s="17" t="str">
        <f t="shared" si="39"/>
        <v>點揀料單</v>
      </c>
      <c r="H872" s="17">
        <f t="shared" si="40"/>
        <v>0</v>
      </c>
      <c r="I872" t="str">
        <f t="shared" si="41"/>
        <v/>
      </c>
      <c r="J872" t="str">
        <f>SUBSTITUTE(IF(COUNTIF(I$2:I872,I872)&gt;1,"",1)," ","")</f>
        <v/>
      </c>
    </row>
    <row r="873" spans="1:10" x14ac:dyDescent="0.2">
      <c r="A873" s="51" t="str">
        <f>IFERROR(VLOOKUP(B873,點上線資訊!A:R,18,0),"")</f>
        <v/>
      </c>
      <c r="B873" s="41">
        <f>'MB51'!A873</f>
        <v>0</v>
      </c>
      <c r="C873" s="60" t="str">
        <f>IFERROR(VLOOKUP(B873,'MB51'!A:I,9,0),"")</f>
        <v/>
      </c>
      <c r="D873" s="61" t="str">
        <f>IFERROR(VLOOKUP(B873,'MB51'!A:J,10,0),"")</f>
        <v/>
      </c>
      <c r="E873" s="62" t="str">
        <f>IFERROR(VLOOKUP(B873,'MB51'!A:K,11,0),"")</f>
        <v/>
      </c>
      <c r="F873" s="42" t="str">
        <f>IFERROR(VLOOKUP(B873,'MB51'!A:F,6,0),"")</f>
        <v/>
      </c>
      <c r="G873" s="17" t="str">
        <f t="shared" si="39"/>
        <v>點揀料單</v>
      </c>
      <c r="H873" s="17">
        <f t="shared" si="40"/>
        <v>0</v>
      </c>
      <c r="I873" t="str">
        <f t="shared" si="41"/>
        <v/>
      </c>
      <c r="J873" t="str">
        <f>SUBSTITUTE(IF(COUNTIF(I$2:I873,I873)&gt;1,"",1)," ","")</f>
        <v/>
      </c>
    </row>
    <row r="874" spans="1:10" x14ac:dyDescent="0.2">
      <c r="A874" s="51" t="str">
        <f>IFERROR(VLOOKUP(B874,點上線資訊!A:R,18,0),"")</f>
        <v/>
      </c>
      <c r="B874" s="41">
        <f>'MB51'!A874</f>
        <v>0</v>
      </c>
      <c r="C874" s="60" t="str">
        <f>IFERROR(VLOOKUP(B874,'MB51'!A:I,9,0),"")</f>
        <v/>
      </c>
      <c r="D874" s="61" t="str">
        <f>IFERROR(VLOOKUP(B874,'MB51'!A:J,10,0),"")</f>
        <v/>
      </c>
      <c r="E874" s="62" t="str">
        <f>IFERROR(VLOOKUP(B874,'MB51'!A:K,11,0),"")</f>
        <v/>
      </c>
      <c r="F874" s="42" t="str">
        <f>IFERROR(VLOOKUP(B874,'MB51'!A:F,6,0),"")</f>
        <v/>
      </c>
      <c r="G874" s="17" t="str">
        <f t="shared" si="39"/>
        <v>點揀料單</v>
      </c>
      <c r="H874" s="17">
        <f t="shared" si="40"/>
        <v>0</v>
      </c>
      <c r="I874" t="str">
        <f t="shared" si="41"/>
        <v/>
      </c>
      <c r="J874" t="str">
        <f>SUBSTITUTE(IF(COUNTIF(I$2:I874,I874)&gt;1,"",1)," ","")</f>
        <v/>
      </c>
    </row>
    <row r="875" spans="1:10" x14ac:dyDescent="0.2">
      <c r="A875" s="51" t="str">
        <f>IFERROR(VLOOKUP(B875,點上線資訊!A:R,18,0),"")</f>
        <v/>
      </c>
      <c r="B875" s="41">
        <f>'MB51'!A875</f>
        <v>0</v>
      </c>
      <c r="C875" s="60" t="str">
        <f>IFERROR(VLOOKUP(B875,'MB51'!A:I,9,0),"")</f>
        <v/>
      </c>
      <c r="D875" s="61" t="str">
        <f>IFERROR(VLOOKUP(B875,'MB51'!A:J,10,0),"")</f>
        <v/>
      </c>
      <c r="E875" s="62" t="str">
        <f>IFERROR(VLOOKUP(B875,'MB51'!A:K,11,0),"")</f>
        <v/>
      </c>
      <c r="F875" s="42" t="str">
        <f>IFERROR(VLOOKUP(B875,'MB51'!A:F,6,0),"")</f>
        <v/>
      </c>
      <c r="G875" s="17" t="str">
        <f t="shared" si="39"/>
        <v>點揀料單</v>
      </c>
      <c r="H875" s="17">
        <f t="shared" si="40"/>
        <v>0</v>
      </c>
      <c r="I875" t="str">
        <f t="shared" si="41"/>
        <v/>
      </c>
      <c r="J875" t="str">
        <f>SUBSTITUTE(IF(COUNTIF(I$2:I875,I875)&gt;1,"",1)," ","")</f>
        <v/>
      </c>
    </row>
    <row r="876" spans="1:10" x14ac:dyDescent="0.2">
      <c r="A876" s="51" t="str">
        <f>IFERROR(VLOOKUP(B876,點上線資訊!A:R,18,0),"")</f>
        <v/>
      </c>
      <c r="B876" s="41">
        <f>'MB51'!A876</f>
        <v>0</v>
      </c>
      <c r="C876" s="60" t="str">
        <f>IFERROR(VLOOKUP(B876,'MB51'!A:I,9,0),"")</f>
        <v/>
      </c>
      <c r="D876" s="61" t="str">
        <f>IFERROR(VLOOKUP(B876,'MB51'!A:J,10,0),"")</f>
        <v/>
      </c>
      <c r="E876" s="62" t="str">
        <f>IFERROR(VLOOKUP(B876,'MB51'!A:K,11,0),"")</f>
        <v/>
      </c>
      <c r="F876" s="42" t="str">
        <f>IFERROR(VLOOKUP(B876,'MB51'!A:F,6,0),"")</f>
        <v/>
      </c>
      <c r="G876" s="17" t="str">
        <f t="shared" si="39"/>
        <v>點揀料單</v>
      </c>
      <c r="H876" s="17">
        <f t="shared" si="40"/>
        <v>0</v>
      </c>
      <c r="I876" t="str">
        <f t="shared" si="41"/>
        <v/>
      </c>
      <c r="J876" t="str">
        <f>SUBSTITUTE(IF(COUNTIF(I$2:I876,I876)&gt;1,"",1)," ","")</f>
        <v/>
      </c>
    </row>
    <row r="877" spans="1:10" x14ac:dyDescent="0.2">
      <c r="A877" s="51" t="str">
        <f>IFERROR(VLOOKUP(B877,點上線資訊!A:R,18,0),"")</f>
        <v/>
      </c>
      <c r="B877" s="41">
        <f>'MB51'!A877</f>
        <v>0</v>
      </c>
      <c r="C877" s="60" t="str">
        <f>IFERROR(VLOOKUP(B877,'MB51'!A:I,9,0),"")</f>
        <v/>
      </c>
      <c r="D877" s="61" t="str">
        <f>IFERROR(VLOOKUP(B877,'MB51'!A:J,10,0),"")</f>
        <v/>
      </c>
      <c r="E877" s="62" t="str">
        <f>IFERROR(VLOOKUP(B877,'MB51'!A:K,11,0),"")</f>
        <v/>
      </c>
      <c r="F877" s="42" t="str">
        <f>IFERROR(VLOOKUP(B877,'MB51'!A:F,6,0),"")</f>
        <v/>
      </c>
      <c r="G877" s="17" t="str">
        <f t="shared" si="39"/>
        <v>點揀料單</v>
      </c>
      <c r="H877" s="17">
        <f t="shared" si="40"/>
        <v>0</v>
      </c>
      <c r="I877" t="str">
        <f t="shared" si="41"/>
        <v/>
      </c>
      <c r="J877" t="str">
        <f>SUBSTITUTE(IF(COUNTIF(I$2:I877,I877)&gt;1,"",1)," ","")</f>
        <v/>
      </c>
    </row>
    <row r="878" spans="1:10" x14ac:dyDescent="0.2">
      <c r="A878" s="51" t="str">
        <f>IFERROR(VLOOKUP(B878,點上線資訊!A:R,18,0),"")</f>
        <v/>
      </c>
      <c r="B878" s="41">
        <f>'MB51'!A878</f>
        <v>0</v>
      </c>
      <c r="C878" s="60" t="str">
        <f>IFERROR(VLOOKUP(B878,'MB51'!A:I,9,0),"")</f>
        <v/>
      </c>
      <c r="D878" s="61" t="str">
        <f>IFERROR(VLOOKUP(B878,'MB51'!A:J,10,0),"")</f>
        <v/>
      </c>
      <c r="E878" s="62" t="str">
        <f>IFERROR(VLOOKUP(B878,'MB51'!A:K,11,0),"")</f>
        <v/>
      </c>
      <c r="F878" s="42" t="str">
        <f>IFERROR(VLOOKUP(B878,'MB51'!A:F,6,0),"")</f>
        <v/>
      </c>
      <c r="G878" s="17" t="str">
        <f t="shared" si="39"/>
        <v>點揀料單</v>
      </c>
      <c r="H878" s="17">
        <f t="shared" si="40"/>
        <v>0</v>
      </c>
      <c r="I878" t="str">
        <f t="shared" si="41"/>
        <v/>
      </c>
      <c r="J878" t="str">
        <f>SUBSTITUTE(IF(COUNTIF(I$2:I878,I878)&gt;1,"",1)," ","")</f>
        <v/>
      </c>
    </row>
    <row r="879" spans="1:10" x14ac:dyDescent="0.2">
      <c r="A879" s="51" t="str">
        <f>IFERROR(VLOOKUP(B879,點上線資訊!A:R,18,0),"")</f>
        <v/>
      </c>
      <c r="B879" s="41">
        <f>'MB51'!A879</f>
        <v>0</v>
      </c>
      <c r="C879" s="60" t="str">
        <f>IFERROR(VLOOKUP(B879,'MB51'!A:I,9,0),"")</f>
        <v/>
      </c>
      <c r="D879" s="61" t="str">
        <f>IFERROR(VLOOKUP(B879,'MB51'!A:J,10,0),"")</f>
        <v/>
      </c>
      <c r="E879" s="62" t="str">
        <f>IFERROR(VLOOKUP(B879,'MB51'!A:K,11,0),"")</f>
        <v/>
      </c>
      <c r="F879" s="42" t="str">
        <f>IFERROR(VLOOKUP(B879,'MB51'!A:F,6,0),"")</f>
        <v/>
      </c>
      <c r="G879" s="17" t="str">
        <f t="shared" si="39"/>
        <v>點揀料單</v>
      </c>
      <c r="H879" s="17">
        <f t="shared" si="40"/>
        <v>0</v>
      </c>
      <c r="I879" t="str">
        <f t="shared" si="41"/>
        <v/>
      </c>
      <c r="J879" t="str">
        <f>SUBSTITUTE(IF(COUNTIF(I$2:I879,I879)&gt;1,"",1)," ","")</f>
        <v/>
      </c>
    </row>
    <row r="880" spans="1:10" x14ac:dyDescent="0.2">
      <c r="A880" s="51" t="str">
        <f>IFERROR(VLOOKUP(B880,點上線資訊!A:R,18,0),"")</f>
        <v/>
      </c>
      <c r="B880" s="41">
        <f>'MB51'!A880</f>
        <v>0</v>
      </c>
      <c r="C880" s="60" t="str">
        <f>IFERROR(VLOOKUP(B880,'MB51'!A:I,9,0),"")</f>
        <v/>
      </c>
      <c r="D880" s="61" t="str">
        <f>IFERROR(VLOOKUP(B880,'MB51'!A:J,10,0),"")</f>
        <v/>
      </c>
      <c r="E880" s="62" t="str">
        <f>IFERROR(VLOOKUP(B880,'MB51'!A:K,11,0),"")</f>
        <v/>
      </c>
      <c r="F880" s="42" t="str">
        <f>IFERROR(VLOOKUP(B880,'MB51'!A:F,6,0),"")</f>
        <v/>
      </c>
      <c r="G880" s="17" t="str">
        <f t="shared" si="39"/>
        <v>點揀料單</v>
      </c>
      <c r="H880" s="17">
        <f t="shared" si="40"/>
        <v>0</v>
      </c>
      <c r="I880" t="str">
        <f t="shared" si="41"/>
        <v/>
      </c>
      <c r="J880" t="str">
        <f>SUBSTITUTE(IF(COUNTIF(I$2:I880,I880)&gt;1,"",1)," ","")</f>
        <v/>
      </c>
    </row>
    <row r="881" spans="1:10" x14ac:dyDescent="0.2">
      <c r="A881" s="51" t="str">
        <f>IFERROR(VLOOKUP(B881,點上線資訊!A:R,18,0),"")</f>
        <v/>
      </c>
      <c r="B881" s="41">
        <f>'MB51'!A881</f>
        <v>0</v>
      </c>
      <c r="C881" s="60" t="str">
        <f>IFERROR(VLOOKUP(B881,'MB51'!A:I,9,0),"")</f>
        <v/>
      </c>
      <c r="D881" s="61" t="str">
        <f>IFERROR(VLOOKUP(B881,'MB51'!A:J,10,0),"")</f>
        <v/>
      </c>
      <c r="E881" s="62" t="str">
        <f>IFERROR(VLOOKUP(B881,'MB51'!A:K,11,0),"")</f>
        <v/>
      </c>
      <c r="F881" s="42" t="str">
        <f>IFERROR(VLOOKUP(B881,'MB51'!A:F,6,0),"")</f>
        <v/>
      </c>
      <c r="G881" s="17" t="str">
        <f t="shared" si="39"/>
        <v>點揀料單</v>
      </c>
      <c r="H881" s="17">
        <f t="shared" si="40"/>
        <v>0</v>
      </c>
      <c r="I881" t="str">
        <f t="shared" si="41"/>
        <v/>
      </c>
      <c r="J881" t="str">
        <f>SUBSTITUTE(IF(COUNTIF(I$2:I881,I881)&gt;1,"",1)," ","")</f>
        <v/>
      </c>
    </row>
    <row r="882" spans="1:10" x14ac:dyDescent="0.2">
      <c r="A882" s="51" t="str">
        <f>IFERROR(VLOOKUP(B882,點上線資訊!A:R,18,0),"")</f>
        <v/>
      </c>
      <c r="B882" s="41">
        <f>'MB51'!A882</f>
        <v>0</v>
      </c>
      <c r="C882" s="60" t="str">
        <f>IFERROR(VLOOKUP(B882,'MB51'!A:I,9,0),"")</f>
        <v/>
      </c>
      <c r="D882" s="61" t="str">
        <f>IFERROR(VLOOKUP(B882,'MB51'!A:J,10,0),"")</f>
        <v/>
      </c>
      <c r="E882" s="62" t="str">
        <f>IFERROR(VLOOKUP(B882,'MB51'!A:K,11,0),"")</f>
        <v/>
      </c>
      <c r="F882" s="42" t="str">
        <f>IFERROR(VLOOKUP(B882,'MB51'!A:F,6,0),"")</f>
        <v/>
      </c>
      <c r="G882" s="17" t="str">
        <f t="shared" si="39"/>
        <v>點揀料單</v>
      </c>
      <c r="H882" s="17">
        <f t="shared" si="40"/>
        <v>0</v>
      </c>
      <c r="I882" t="str">
        <f t="shared" si="41"/>
        <v/>
      </c>
      <c r="J882" t="str">
        <f>SUBSTITUTE(IF(COUNTIF(I$2:I882,I882)&gt;1,"",1)," ","")</f>
        <v/>
      </c>
    </row>
    <row r="883" spans="1:10" x14ac:dyDescent="0.2">
      <c r="A883" s="51" t="str">
        <f>IFERROR(VLOOKUP(B883,點上線資訊!A:R,18,0),"")</f>
        <v/>
      </c>
      <c r="B883" s="41">
        <f>'MB51'!A883</f>
        <v>0</v>
      </c>
      <c r="C883" s="60" t="str">
        <f>IFERROR(VLOOKUP(B883,'MB51'!A:I,9,0),"")</f>
        <v/>
      </c>
      <c r="D883" s="61" t="str">
        <f>IFERROR(VLOOKUP(B883,'MB51'!A:J,10,0),"")</f>
        <v/>
      </c>
      <c r="E883" s="62" t="str">
        <f>IFERROR(VLOOKUP(B883,'MB51'!A:K,11,0),"")</f>
        <v/>
      </c>
      <c r="F883" s="42" t="str">
        <f>IFERROR(VLOOKUP(B883,'MB51'!A:F,6,0),"")</f>
        <v/>
      </c>
      <c r="G883" s="17" t="str">
        <f t="shared" si="39"/>
        <v>點揀料單</v>
      </c>
      <c r="H883" s="17">
        <f t="shared" si="40"/>
        <v>0</v>
      </c>
      <c r="I883" t="str">
        <f t="shared" si="41"/>
        <v/>
      </c>
      <c r="J883" t="str">
        <f>SUBSTITUTE(IF(COUNTIF(I$2:I883,I883)&gt;1,"",1)," ","")</f>
        <v/>
      </c>
    </row>
    <row r="884" spans="1:10" x14ac:dyDescent="0.2">
      <c r="A884" s="51" t="str">
        <f>IFERROR(VLOOKUP(B884,點上線資訊!A:R,18,0),"")</f>
        <v/>
      </c>
      <c r="B884" s="41">
        <f>'MB51'!A884</f>
        <v>0</v>
      </c>
      <c r="C884" s="60" t="str">
        <f>IFERROR(VLOOKUP(B884,'MB51'!A:I,9,0),"")</f>
        <v/>
      </c>
      <c r="D884" s="61" t="str">
        <f>IFERROR(VLOOKUP(B884,'MB51'!A:J,10,0),"")</f>
        <v/>
      </c>
      <c r="E884" s="62" t="str">
        <f>IFERROR(VLOOKUP(B884,'MB51'!A:K,11,0),"")</f>
        <v/>
      </c>
      <c r="F884" s="42" t="str">
        <f>IFERROR(VLOOKUP(B884,'MB51'!A:F,6,0),"")</f>
        <v/>
      </c>
      <c r="G884" s="17" t="str">
        <f t="shared" si="39"/>
        <v>點揀料單</v>
      </c>
      <c r="H884" s="17">
        <f t="shared" si="40"/>
        <v>0</v>
      </c>
      <c r="I884" t="str">
        <f t="shared" si="41"/>
        <v/>
      </c>
      <c r="J884" t="str">
        <f>SUBSTITUTE(IF(COUNTIF(I$2:I884,I884)&gt;1,"",1)," ","")</f>
        <v/>
      </c>
    </row>
    <row r="885" spans="1:10" x14ac:dyDescent="0.2">
      <c r="A885" s="51" t="str">
        <f>IFERROR(VLOOKUP(B885,點上線資訊!A:R,18,0),"")</f>
        <v/>
      </c>
      <c r="B885" s="41">
        <f>'MB51'!A885</f>
        <v>0</v>
      </c>
      <c r="C885" s="60" t="str">
        <f>IFERROR(VLOOKUP(B885,'MB51'!A:I,9,0),"")</f>
        <v/>
      </c>
      <c r="D885" s="61" t="str">
        <f>IFERROR(VLOOKUP(B885,'MB51'!A:J,10,0),"")</f>
        <v/>
      </c>
      <c r="E885" s="62" t="str">
        <f>IFERROR(VLOOKUP(B885,'MB51'!A:K,11,0),"")</f>
        <v/>
      </c>
      <c r="F885" s="42" t="str">
        <f>IFERROR(VLOOKUP(B885,'MB51'!A:F,6,0),"")</f>
        <v/>
      </c>
      <c r="G885" s="17" t="str">
        <f t="shared" si="39"/>
        <v>點揀料單</v>
      </c>
      <c r="H885" s="17">
        <f t="shared" si="40"/>
        <v>0</v>
      </c>
      <c r="I885" t="str">
        <f t="shared" si="41"/>
        <v/>
      </c>
      <c r="J885" t="str">
        <f>SUBSTITUTE(IF(COUNTIF(I$2:I885,I885)&gt;1,"",1)," ","")</f>
        <v/>
      </c>
    </row>
    <row r="886" spans="1:10" x14ac:dyDescent="0.2">
      <c r="A886" s="51" t="str">
        <f>IFERROR(VLOOKUP(B886,點上線資訊!A:R,18,0),"")</f>
        <v/>
      </c>
      <c r="B886" s="41">
        <f>'MB51'!A886</f>
        <v>0</v>
      </c>
      <c r="C886" s="60" t="str">
        <f>IFERROR(VLOOKUP(B886,'MB51'!A:I,9,0),"")</f>
        <v/>
      </c>
      <c r="D886" s="61" t="str">
        <f>IFERROR(VLOOKUP(B886,'MB51'!A:J,10,0),"")</f>
        <v/>
      </c>
      <c r="E886" s="62" t="str">
        <f>IFERROR(VLOOKUP(B886,'MB51'!A:K,11,0),"")</f>
        <v/>
      </c>
      <c r="F886" s="42" t="str">
        <f>IFERROR(VLOOKUP(B886,'MB51'!A:F,6,0),"")</f>
        <v/>
      </c>
      <c r="G886" s="17" t="str">
        <f t="shared" si="39"/>
        <v>點揀料單</v>
      </c>
      <c r="H886" s="17">
        <f t="shared" si="40"/>
        <v>0</v>
      </c>
      <c r="I886" t="str">
        <f t="shared" si="41"/>
        <v/>
      </c>
      <c r="J886" t="str">
        <f>SUBSTITUTE(IF(COUNTIF(I$2:I886,I886)&gt;1,"",1)," ","")</f>
        <v/>
      </c>
    </row>
    <row r="887" spans="1:10" x14ac:dyDescent="0.2">
      <c r="A887" s="51" t="str">
        <f>IFERROR(VLOOKUP(B887,點上線資訊!A:R,18,0),"")</f>
        <v/>
      </c>
      <c r="B887" s="41">
        <f>'MB51'!A887</f>
        <v>0</v>
      </c>
      <c r="C887" s="60" t="str">
        <f>IFERROR(VLOOKUP(B887,'MB51'!A:I,9,0),"")</f>
        <v/>
      </c>
      <c r="D887" s="61" t="str">
        <f>IFERROR(VLOOKUP(B887,'MB51'!A:J,10,0),"")</f>
        <v/>
      </c>
      <c r="E887" s="62" t="str">
        <f>IFERROR(VLOOKUP(B887,'MB51'!A:K,11,0),"")</f>
        <v/>
      </c>
      <c r="F887" s="42" t="str">
        <f>IFERROR(VLOOKUP(B887,'MB51'!A:F,6,0),"")</f>
        <v/>
      </c>
      <c r="G887" s="17" t="str">
        <f t="shared" si="39"/>
        <v>點揀料單</v>
      </c>
      <c r="H887" s="17">
        <f t="shared" si="40"/>
        <v>0</v>
      </c>
      <c r="I887" t="str">
        <f t="shared" si="41"/>
        <v/>
      </c>
      <c r="J887" t="str">
        <f>SUBSTITUTE(IF(COUNTIF(I$2:I887,I887)&gt;1,"",1)," ","")</f>
        <v/>
      </c>
    </row>
    <row r="888" spans="1:10" x14ac:dyDescent="0.2">
      <c r="A888" s="51" t="str">
        <f>IFERROR(VLOOKUP(B888,點上線資訊!A:R,18,0),"")</f>
        <v/>
      </c>
      <c r="B888" s="41">
        <f>'MB51'!A888</f>
        <v>0</v>
      </c>
      <c r="C888" s="60" t="str">
        <f>IFERROR(VLOOKUP(B888,'MB51'!A:I,9,0),"")</f>
        <v/>
      </c>
      <c r="D888" s="61" t="str">
        <f>IFERROR(VLOOKUP(B888,'MB51'!A:J,10,0),"")</f>
        <v/>
      </c>
      <c r="E888" s="62" t="str">
        <f>IFERROR(VLOOKUP(B888,'MB51'!A:K,11,0),"")</f>
        <v/>
      </c>
      <c r="F888" s="42" t="str">
        <f>IFERROR(VLOOKUP(B888,'MB51'!A:F,6,0),"")</f>
        <v/>
      </c>
      <c r="G888" s="17" t="str">
        <f t="shared" si="39"/>
        <v>點揀料單</v>
      </c>
      <c r="H888" s="17">
        <f t="shared" si="40"/>
        <v>0</v>
      </c>
      <c r="I888" t="str">
        <f t="shared" si="41"/>
        <v/>
      </c>
      <c r="J888" t="str">
        <f>SUBSTITUTE(IF(COUNTIF(I$2:I888,I888)&gt;1,"",1)," ","")</f>
        <v/>
      </c>
    </row>
    <row r="889" spans="1:10" x14ac:dyDescent="0.2">
      <c r="A889" s="51" t="str">
        <f>IFERROR(VLOOKUP(B889,點上線資訊!A:R,18,0),"")</f>
        <v/>
      </c>
      <c r="B889" s="41">
        <f>'MB51'!A889</f>
        <v>0</v>
      </c>
      <c r="C889" s="60" t="str">
        <f>IFERROR(VLOOKUP(B889,'MB51'!A:I,9,0),"")</f>
        <v/>
      </c>
      <c r="D889" s="61" t="str">
        <f>IFERROR(VLOOKUP(B889,'MB51'!A:J,10,0),"")</f>
        <v/>
      </c>
      <c r="E889" s="62" t="str">
        <f>IFERROR(VLOOKUP(B889,'MB51'!A:K,11,0),"")</f>
        <v/>
      </c>
      <c r="F889" s="42" t="str">
        <f>IFERROR(VLOOKUP(B889,'MB51'!A:F,6,0),"")</f>
        <v/>
      </c>
      <c r="G889" s="17" t="str">
        <f t="shared" si="39"/>
        <v>點揀料單</v>
      </c>
      <c r="H889" s="17">
        <f t="shared" si="40"/>
        <v>0</v>
      </c>
      <c r="I889" t="str">
        <f t="shared" si="41"/>
        <v/>
      </c>
      <c r="J889" t="str">
        <f>SUBSTITUTE(IF(COUNTIF(I$2:I889,I889)&gt;1,"",1)," ","")</f>
        <v/>
      </c>
    </row>
    <row r="890" spans="1:10" x14ac:dyDescent="0.2">
      <c r="A890" s="51" t="str">
        <f>IFERROR(VLOOKUP(B890,點上線資訊!A:R,18,0),"")</f>
        <v/>
      </c>
      <c r="B890" s="41">
        <f>'MB51'!A890</f>
        <v>0</v>
      </c>
      <c r="C890" s="60" t="str">
        <f>IFERROR(VLOOKUP(B890,'MB51'!A:I,9,0),"")</f>
        <v/>
      </c>
      <c r="D890" s="61" t="str">
        <f>IFERROR(VLOOKUP(B890,'MB51'!A:J,10,0),"")</f>
        <v/>
      </c>
      <c r="E890" s="62" t="str">
        <f>IFERROR(VLOOKUP(B890,'MB51'!A:K,11,0),"")</f>
        <v/>
      </c>
      <c r="F890" s="42" t="str">
        <f>IFERROR(VLOOKUP(B890,'MB51'!A:F,6,0),"")</f>
        <v/>
      </c>
      <c r="G890" s="17" t="str">
        <f t="shared" si="39"/>
        <v>點揀料單</v>
      </c>
      <c r="H890" s="17">
        <f t="shared" si="40"/>
        <v>0</v>
      </c>
      <c r="I890" t="str">
        <f t="shared" si="41"/>
        <v/>
      </c>
      <c r="J890" t="str">
        <f>SUBSTITUTE(IF(COUNTIF(I$2:I890,I890)&gt;1,"",1)," ","")</f>
        <v/>
      </c>
    </row>
    <row r="891" spans="1:10" x14ac:dyDescent="0.2">
      <c r="A891" s="51" t="str">
        <f>IFERROR(VLOOKUP(B891,點上線資訊!A:R,18,0),"")</f>
        <v/>
      </c>
      <c r="B891" s="41">
        <f>'MB51'!A891</f>
        <v>0</v>
      </c>
      <c r="C891" s="60" t="str">
        <f>IFERROR(VLOOKUP(B891,'MB51'!A:I,9,0),"")</f>
        <v/>
      </c>
      <c r="D891" s="61" t="str">
        <f>IFERROR(VLOOKUP(B891,'MB51'!A:J,10,0),"")</f>
        <v/>
      </c>
      <c r="E891" s="62" t="str">
        <f>IFERROR(VLOOKUP(B891,'MB51'!A:K,11,0),"")</f>
        <v/>
      </c>
      <c r="F891" s="42" t="str">
        <f>IFERROR(VLOOKUP(B891,'MB51'!A:F,6,0),"")</f>
        <v/>
      </c>
      <c r="G891" s="17" t="str">
        <f t="shared" si="39"/>
        <v>點揀料單</v>
      </c>
      <c r="H891" s="17">
        <f t="shared" si="40"/>
        <v>0</v>
      </c>
      <c r="I891" t="str">
        <f t="shared" si="41"/>
        <v/>
      </c>
      <c r="J891" t="str">
        <f>SUBSTITUTE(IF(COUNTIF(I$2:I891,I891)&gt;1,"",1)," ","")</f>
        <v/>
      </c>
    </row>
    <row r="892" spans="1:10" x14ac:dyDescent="0.2">
      <c r="A892" s="51" t="str">
        <f>IFERROR(VLOOKUP(B892,點上線資訊!A:R,18,0),"")</f>
        <v/>
      </c>
      <c r="B892" s="41">
        <f>'MB51'!A892</f>
        <v>0</v>
      </c>
      <c r="C892" s="60" t="str">
        <f>IFERROR(VLOOKUP(B892,'MB51'!A:I,9,0),"")</f>
        <v/>
      </c>
      <c r="D892" s="61" t="str">
        <f>IFERROR(VLOOKUP(B892,'MB51'!A:J,10,0),"")</f>
        <v/>
      </c>
      <c r="E892" s="62" t="str">
        <f>IFERROR(VLOOKUP(B892,'MB51'!A:K,11,0),"")</f>
        <v/>
      </c>
      <c r="F892" s="42" t="str">
        <f>IFERROR(VLOOKUP(B892,'MB51'!A:F,6,0),"")</f>
        <v/>
      </c>
      <c r="G892" s="17" t="str">
        <f t="shared" si="39"/>
        <v>點揀料單</v>
      </c>
      <c r="H892" s="17">
        <f t="shared" si="40"/>
        <v>0</v>
      </c>
      <c r="I892" t="str">
        <f t="shared" si="41"/>
        <v/>
      </c>
      <c r="J892" t="str">
        <f>SUBSTITUTE(IF(COUNTIF(I$2:I892,I892)&gt;1,"",1)," ","")</f>
        <v/>
      </c>
    </row>
    <row r="893" spans="1:10" x14ac:dyDescent="0.2">
      <c r="A893" s="51" t="str">
        <f>IFERROR(VLOOKUP(B893,點上線資訊!A:R,18,0),"")</f>
        <v/>
      </c>
      <c r="B893" s="41">
        <f>'MB51'!A893</f>
        <v>0</v>
      </c>
      <c r="C893" s="60" t="str">
        <f>IFERROR(VLOOKUP(B893,'MB51'!A:I,9,0),"")</f>
        <v/>
      </c>
      <c r="D893" s="61" t="str">
        <f>IFERROR(VLOOKUP(B893,'MB51'!A:J,10,0),"")</f>
        <v/>
      </c>
      <c r="E893" s="62" t="str">
        <f>IFERROR(VLOOKUP(B893,'MB51'!A:K,11,0),"")</f>
        <v/>
      </c>
      <c r="F893" s="42" t="str">
        <f>IFERROR(VLOOKUP(B893,'MB51'!A:F,6,0),"")</f>
        <v/>
      </c>
      <c r="G893" s="17" t="str">
        <f t="shared" si="39"/>
        <v>點揀料單</v>
      </c>
      <c r="H893" s="17">
        <f t="shared" si="40"/>
        <v>0</v>
      </c>
      <c r="I893" t="str">
        <f t="shared" si="41"/>
        <v/>
      </c>
      <c r="J893" t="str">
        <f>SUBSTITUTE(IF(COUNTIF(I$2:I893,I893)&gt;1,"",1)," ","")</f>
        <v/>
      </c>
    </row>
    <row r="894" spans="1:10" x14ac:dyDescent="0.2">
      <c r="A894" s="51" t="str">
        <f>IFERROR(VLOOKUP(B894,點上線資訊!A:R,18,0),"")</f>
        <v/>
      </c>
      <c r="B894" s="41">
        <f>'MB51'!A894</f>
        <v>0</v>
      </c>
      <c r="C894" s="60" t="str">
        <f>IFERROR(VLOOKUP(B894,'MB51'!A:I,9,0),"")</f>
        <v/>
      </c>
      <c r="D894" s="61" t="str">
        <f>IFERROR(VLOOKUP(B894,'MB51'!A:J,10,0),"")</f>
        <v/>
      </c>
      <c r="E894" s="62" t="str">
        <f>IFERROR(VLOOKUP(B894,'MB51'!A:K,11,0),"")</f>
        <v/>
      </c>
      <c r="F894" s="42" t="str">
        <f>IFERROR(VLOOKUP(B894,'MB51'!A:F,6,0),"")</f>
        <v/>
      </c>
      <c r="G894" s="17" t="str">
        <f t="shared" si="39"/>
        <v>點揀料單</v>
      </c>
      <c r="H894" s="17">
        <f t="shared" si="40"/>
        <v>0</v>
      </c>
      <c r="I894" t="str">
        <f t="shared" si="41"/>
        <v/>
      </c>
      <c r="J894" t="str">
        <f>SUBSTITUTE(IF(COUNTIF(I$2:I894,I894)&gt;1,"",1)," ","")</f>
        <v/>
      </c>
    </row>
    <row r="895" spans="1:10" x14ac:dyDescent="0.2">
      <c r="A895" s="51" t="str">
        <f>IFERROR(VLOOKUP(B895,點上線資訊!A:R,18,0),"")</f>
        <v/>
      </c>
      <c r="B895" s="41">
        <f>'MB51'!A895</f>
        <v>0</v>
      </c>
      <c r="C895" s="60" t="str">
        <f>IFERROR(VLOOKUP(B895,'MB51'!A:I,9,0),"")</f>
        <v/>
      </c>
      <c r="D895" s="61" t="str">
        <f>IFERROR(VLOOKUP(B895,'MB51'!A:J,10,0),"")</f>
        <v/>
      </c>
      <c r="E895" s="62" t="str">
        <f>IFERROR(VLOOKUP(B895,'MB51'!A:K,11,0),"")</f>
        <v/>
      </c>
      <c r="F895" s="42" t="str">
        <f>IFERROR(VLOOKUP(B895,'MB51'!A:F,6,0),"")</f>
        <v/>
      </c>
      <c r="G895" s="17" t="str">
        <f t="shared" si="39"/>
        <v>點揀料單</v>
      </c>
      <c r="H895" s="17">
        <f t="shared" si="40"/>
        <v>0</v>
      </c>
      <c r="I895" t="str">
        <f t="shared" si="41"/>
        <v/>
      </c>
      <c r="J895" t="str">
        <f>SUBSTITUTE(IF(COUNTIF(I$2:I895,I895)&gt;1,"",1)," ","")</f>
        <v/>
      </c>
    </row>
    <row r="896" spans="1:10" x14ac:dyDescent="0.2">
      <c r="A896" s="51" t="str">
        <f>IFERROR(VLOOKUP(B896,點上線資訊!A:R,18,0),"")</f>
        <v/>
      </c>
      <c r="B896" s="41">
        <f>'MB51'!A896</f>
        <v>0</v>
      </c>
      <c r="C896" s="60" t="str">
        <f>IFERROR(VLOOKUP(B896,'MB51'!A:I,9,0),"")</f>
        <v/>
      </c>
      <c r="D896" s="61" t="str">
        <f>IFERROR(VLOOKUP(B896,'MB51'!A:J,10,0),"")</f>
        <v/>
      </c>
      <c r="E896" s="62" t="str">
        <f>IFERROR(VLOOKUP(B896,'MB51'!A:K,11,0),"")</f>
        <v/>
      </c>
      <c r="F896" s="42" t="str">
        <f>IFERROR(VLOOKUP(B896,'MB51'!A:F,6,0),"")</f>
        <v/>
      </c>
      <c r="G896" s="17" t="str">
        <f t="shared" si="39"/>
        <v>點揀料單</v>
      </c>
      <c r="H896" s="17">
        <f t="shared" si="40"/>
        <v>0</v>
      </c>
      <c r="I896" t="str">
        <f t="shared" si="41"/>
        <v/>
      </c>
      <c r="J896" t="str">
        <f>SUBSTITUTE(IF(COUNTIF(I$2:I896,I896)&gt;1,"",1)," ","")</f>
        <v/>
      </c>
    </row>
    <row r="897" spans="1:10" x14ac:dyDescent="0.2">
      <c r="A897" s="51" t="str">
        <f>IFERROR(VLOOKUP(B897,點上線資訊!A:R,18,0),"")</f>
        <v/>
      </c>
      <c r="B897" s="41">
        <f>'MB51'!A897</f>
        <v>0</v>
      </c>
      <c r="C897" s="60" t="str">
        <f>IFERROR(VLOOKUP(B897,'MB51'!A:I,9,0),"")</f>
        <v/>
      </c>
      <c r="D897" s="61" t="str">
        <f>IFERROR(VLOOKUP(B897,'MB51'!A:J,10,0),"")</f>
        <v/>
      </c>
      <c r="E897" s="62" t="str">
        <f>IFERROR(VLOOKUP(B897,'MB51'!A:K,11,0),"")</f>
        <v/>
      </c>
      <c r="F897" s="42" t="str">
        <f>IFERROR(VLOOKUP(B897,'MB51'!A:F,6,0),"")</f>
        <v/>
      </c>
      <c r="G897" s="17" t="str">
        <f t="shared" si="39"/>
        <v>點揀料單</v>
      </c>
      <c r="H897" s="17">
        <f t="shared" si="40"/>
        <v>0</v>
      </c>
      <c r="I897" t="str">
        <f t="shared" si="41"/>
        <v/>
      </c>
      <c r="J897" t="str">
        <f>SUBSTITUTE(IF(COUNTIF(I$2:I897,I897)&gt;1,"",1)," ","")</f>
        <v/>
      </c>
    </row>
    <row r="898" spans="1:10" x14ac:dyDescent="0.2">
      <c r="A898" s="51" t="str">
        <f>IFERROR(VLOOKUP(B898,點上線資訊!A:R,18,0),"")</f>
        <v/>
      </c>
      <c r="B898" s="41">
        <f>'MB51'!A898</f>
        <v>0</v>
      </c>
      <c r="C898" s="60" t="str">
        <f>IFERROR(VLOOKUP(B898,'MB51'!A:I,9,0),"")</f>
        <v/>
      </c>
      <c r="D898" s="61" t="str">
        <f>IFERROR(VLOOKUP(B898,'MB51'!A:J,10,0),"")</f>
        <v/>
      </c>
      <c r="E898" s="62" t="str">
        <f>IFERROR(VLOOKUP(B898,'MB51'!A:K,11,0),"")</f>
        <v/>
      </c>
      <c r="F898" s="42" t="str">
        <f>IFERROR(VLOOKUP(B898,'MB51'!A:F,6,0),"")</f>
        <v/>
      </c>
      <c r="G898" s="17" t="str">
        <f t="shared" si="39"/>
        <v>點揀料單</v>
      </c>
      <c r="H898" s="17">
        <f t="shared" si="40"/>
        <v>0</v>
      </c>
      <c r="I898" t="str">
        <f t="shared" si="41"/>
        <v/>
      </c>
      <c r="J898" t="str">
        <f>SUBSTITUTE(IF(COUNTIF(I$2:I898,I898)&gt;1,"",1)," ","")</f>
        <v/>
      </c>
    </row>
    <row r="899" spans="1:10" x14ac:dyDescent="0.2">
      <c r="A899" s="51" t="str">
        <f>IFERROR(VLOOKUP(B899,點上線資訊!A:R,18,0),"")</f>
        <v/>
      </c>
      <c r="B899" s="41">
        <f>'MB51'!A899</f>
        <v>0</v>
      </c>
      <c r="C899" s="60" t="str">
        <f>IFERROR(VLOOKUP(B899,'MB51'!A:I,9,0),"")</f>
        <v/>
      </c>
      <c r="D899" s="61" t="str">
        <f>IFERROR(VLOOKUP(B899,'MB51'!A:J,10,0),"")</f>
        <v/>
      </c>
      <c r="E899" s="62" t="str">
        <f>IFERROR(VLOOKUP(B899,'MB51'!A:K,11,0),"")</f>
        <v/>
      </c>
      <c r="F899" s="42" t="str">
        <f>IFERROR(VLOOKUP(B899,'MB51'!A:F,6,0),"")</f>
        <v/>
      </c>
      <c r="G899" s="17" t="str">
        <f t="shared" ref="G899:G962" si="42">TEXT(D899,"MM/DD")&amp;TEXT(E899,"  HH")&amp;"點揀料單"</f>
        <v>點揀料單</v>
      </c>
      <c r="H899" s="17">
        <f t="shared" ref="H899:H962" si="43">ABS(SUMIF(C:C,C899,F:F))</f>
        <v>0</v>
      </c>
      <c r="I899" t="str">
        <f t="shared" ref="I899:I962" si="44">RIGHTB(C899,10)</f>
        <v/>
      </c>
      <c r="J899" t="str">
        <f>SUBSTITUTE(IF(COUNTIF(I$2:I899,I899)&gt;1,"",1)," ","")</f>
        <v/>
      </c>
    </row>
    <row r="900" spans="1:10" x14ac:dyDescent="0.2">
      <c r="A900" s="51" t="str">
        <f>IFERROR(VLOOKUP(B900,點上線資訊!A:R,18,0),"")</f>
        <v/>
      </c>
      <c r="B900" s="41">
        <f>'MB51'!A900</f>
        <v>0</v>
      </c>
      <c r="C900" s="60" t="str">
        <f>IFERROR(VLOOKUP(B900,'MB51'!A:I,9,0),"")</f>
        <v/>
      </c>
      <c r="D900" s="61" t="str">
        <f>IFERROR(VLOOKUP(B900,'MB51'!A:J,10,0),"")</f>
        <v/>
      </c>
      <c r="E900" s="62" t="str">
        <f>IFERROR(VLOOKUP(B900,'MB51'!A:K,11,0),"")</f>
        <v/>
      </c>
      <c r="F900" s="42" t="str">
        <f>IFERROR(VLOOKUP(B900,'MB51'!A:F,6,0),"")</f>
        <v/>
      </c>
      <c r="G900" s="17" t="str">
        <f t="shared" si="42"/>
        <v>點揀料單</v>
      </c>
      <c r="H900" s="17">
        <f t="shared" si="43"/>
        <v>0</v>
      </c>
      <c r="I900" t="str">
        <f t="shared" si="44"/>
        <v/>
      </c>
      <c r="J900" t="str">
        <f>SUBSTITUTE(IF(COUNTIF(I$2:I900,I900)&gt;1,"",1)," ","")</f>
        <v/>
      </c>
    </row>
    <row r="901" spans="1:10" x14ac:dyDescent="0.2">
      <c r="A901" s="51" t="str">
        <f>IFERROR(VLOOKUP(B901,點上線資訊!A:R,18,0),"")</f>
        <v/>
      </c>
      <c r="B901" s="41">
        <f>'MB51'!A901</f>
        <v>0</v>
      </c>
      <c r="C901" s="60" t="str">
        <f>IFERROR(VLOOKUP(B901,'MB51'!A:I,9,0),"")</f>
        <v/>
      </c>
      <c r="D901" s="61" t="str">
        <f>IFERROR(VLOOKUP(B901,'MB51'!A:J,10,0),"")</f>
        <v/>
      </c>
      <c r="E901" s="62" t="str">
        <f>IFERROR(VLOOKUP(B901,'MB51'!A:K,11,0),"")</f>
        <v/>
      </c>
      <c r="F901" s="42" t="str">
        <f>IFERROR(VLOOKUP(B901,'MB51'!A:F,6,0),"")</f>
        <v/>
      </c>
      <c r="G901" s="17" t="str">
        <f t="shared" si="42"/>
        <v>點揀料單</v>
      </c>
      <c r="H901" s="17">
        <f t="shared" si="43"/>
        <v>0</v>
      </c>
      <c r="I901" t="str">
        <f t="shared" si="44"/>
        <v/>
      </c>
      <c r="J901" t="str">
        <f>SUBSTITUTE(IF(COUNTIF(I$2:I901,I901)&gt;1,"",1)," ","")</f>
        <v/>
      </c>
    </row>
    <row r="902" spans="1:10" x14ac:dyDescent="0.2">
      <c r="A902" s="51" t="str">
        <f>IFERROR(VLOOKUP(B902,點上線資訊!A:R,18,0),"")</f>
        <v/>
      </c>
      <c r="B902" s="41">
        <f>'MB51'!A902</f>
        <v>0</v>
      </c>
      <c r="C902" s="60" t="str">
        <f>IFERROR(VLOOKUP(B902,'MB51'!A:I,9,0),"")</f>
        <v/>
      </c>
      <c r="D902" s="61" t="str">
        <f>IFERROR(VLOOKUP(B902,'MB51'!A:J,10,0),"")</f>
        <v/>
      </c>
      <c r="E902" s="62" t="str">
        <f>IFERROR(VLOOKUP(B902,'MB51'!A:K,11,0),"")</f>
        <v/>
      </c>
      <c r="F902" s="42" t="str">
        <f>IFERROR(VLOOKUP(B902,'MB51'!A:F,6,0),"")</f>
        <v/>
      </c>
      <c r="G902" s="17" t="str">
        <f t="shared" si="42"/>
        <v>點揀料單</v>
      </c>
      <c r="H902" s="17">
        <f t="shared" si="43"/>
        <v>0</v>
      </c>
      <c r="I902" t="str">
        <f t="shared" si="44"/>
        <v/>
      </c>
      <c r="J902" t="str">
        <f>SUBSTITUTE(IF(COUNTIF(I$2:I902,I902)&gt;1,"",1)," ","")</f>
        <v/>
      </c>
    </row>
    <row r="903" spans="1:10" x14ac:dyDescent="0.2">
      <c r="A903" s="51" t="str">
        <f>IFERROR(VLOOKUP(B903,點上線資訊!A:R,18,0),"")</f>
        <v/>
      </c>
      <c r="B903" s="41">
        <f>'MB51'!A903</f>
        <v>0</v>
      </c>
      <c r="C903" s="60" t="str">
        <f>IFERROR(VLOOKUP(B903,'MB51'!A:I,9,0),"")</f>
        <v/>
      </c>
      <c r="D903" s="61" t="str">
        <f>IFERROR(VLOOKUP(B903,'MB51'!A:J,10,0),"")</f>
        <v/>
      </c>
      <c r="E903" s="62" t="str">
        <f>IFERROR(VLOOKUP(B903,'MB51'!A:K,11,0),"")</f>
        <v/>
      </c>
      <c r="F903" s="42" t="str">
        <f>IFERROR(VLOOKUP(B903,'MB51'!A:F,6,0),"")</f>
        <v/>
      </c>
      <c r="G903" s="17" t="str">
        <f t="shared" si="42"/>
        <v>點揀料單</v>
      </c>
      <c r="H903" s="17">
        <f t="shared" si="43"/>
        <v>0</v>
      </c>
      <c r="I903" t="str">
        <f t="shared" si="44"/>
        <v/>
      </c>
      <c r="J903" t="str">
        <f>SUBSTITUTE(IF(COUNTIF(I$2:I903,I903)&gt;1,"",1)," ","")</f>
        <v/>
      </c>
    </row>
    <row r="904" spans="1:10" x14ac:dyDescent="0.2">
      <c r="A904" s="51" t="str">
        <f>IFERROR(VLOOKUP(B904,點上線資訊!A:R,18,0),"")</f>
        <v/>
      </c>
      <c r="B904" s="41">
        <f>'MB51'!A904</f>
        <v>0</v>
      </c>
      <c r="C904" s="60" t="str">
        <f>IFERROR(VLOOKUP(B904,'MB51'!A:I,9,0),"")</f>
        <v/>
      </c>
      <c r="D904" s="61" t="str">
        <f>IFERROR(VLOOKUP(B904,'MB51'!A:J,10,0),"")</f>
        <v/>
      </c>
      <c r="E904" s="62" t="str">
        <f>IFERROR(VLOOKUP(B904,'MB51'!A:K,11,0),"")</f>
        <v/>
      </c>
      <c r="F904" s="42" t="str">
        <f>IFERROR(VLOOKUP(B904,'MB51'!A:F,6,0),"")</f>
        <v/>
      </c>
      <c r="G904" s="17" t="str">
        <f t="shared" si="42"/>
        <v>點揀料單</v>
      </c>
      <c r="H904" s="17">
        <f t="shared" si="43"/>
        <v>0</v>
      </c>
      <c r="I904" t="str">
        <f t="shared" si="44"/>
        <v/>
      </c>
      <c r="J904" t="str">
        <f>SUBSTITUTE(IF(COUNTIF(I$2:I904,I904)&gt;1,"",1)," ","")</f>
        <v/>
      </c>
    </row>
    <row r="905" spans="1:10" x14ac:dyDescent="0.2">
      <c r="A905" s="51" t="str">
        <f>IFERROR(VLOOKUP(B905,點上線資訊!A:R,18,0),"")</f>
        <v/>
      </c>
      <c r="B905" s="41">
        <f>'MB51'!A905</f>
        <v>0</v>
      </c>
      <c r="C905" s="60" t="str">
        <f>IFERROR(VLOOKUP(B905,'MB51'!A:I,9,0),"")</f>
        <v/>
      </c>
      <c r="D905" s="61" t="str">
        <f>IFERROR(VLOOKUP(B905,'MB51'!A:J,10,0),"")</f>
        <v/>
      </c>
      <c r="E905" s="62" t="str">
        <f>IFERROR(VLOOKUP(B905,'MB51'!A:K,11,0),"")</f>
        <v/>
      </c>
      <c r="F905" s="42" t="str">
        <f>IFERROR(VLOOKUP(B905,'MB51'!A:F,6,0),"")</f>
        <v/>
      </c>
      <c r="G905" s="17" t="str">
        <f t="shared" si="42"/>
        <v>點揀料單</v>
      </c>
      <c r="H905" s="17">
        <f t="shared" si="43"/>
        <v>0</v>
      </c>
      <c r="I905" t="str">
        <f t="shared" si="44"/>
        <v/>
      </c>
      <c r="J905" t="str">
        <f>SUBSTITUTE(IF(COUNTIF(I$2:I905,I905)&gt;1,"",1)," ","")</f>
        <v/>
      </c>
    </row>
    <row r="906" spans="1:10" x14ac:dyDescent="0.2">
      <c r="A906" s="51" t="str">
        <f>IFERROR(VLOOKUP(B906,點上線資訊!A:R,18,0),"")</f>
        <v/>
      </c>
      <c r="B906" s="41">
        <f>'MB51'!A906</f>
        <v>0</v>
      </c>
      <c r="C906" s="60" t="str">
        <f>IFERROR(VLOOKUP(B906,'MB51'!A:I,9,0),"")</f>
        <v/>
      </c>
      <c r="D906" s="61" t="str">
        <f>IFERROR(VLOOKUP(B906,'MB51'!A:J,10,0),"")</f>
        <v/>
      </c>
      <c r="E906" s="62" t="str">
        <f>IFERROR(VLOOKUP(B906,'MB51'!A:K,11,0),"")</f>
        <v/>
      </c>
      <c r="F906" s="42" t="str">
        <f>IFERROR(VLOOKUP(B906,'MB51'!A:F,6,0),"")</f>
        <v/>
      </c>
      <c r="G906" s="17" t="str">
        <f t="shared" si="42"/>
        <v>點揀料單</v>
      </c>
      <c r="H906" s="17">
        <f t="shared" si="43"/>
        <v>0</v>
      </c>
      <c r="I906" t="str">
        <f t="shared" si="44"/>
        <v/>
      </c>
      <c r="J906" t="str">
        <f>SUBSTITUTE(IF(COUNTIF(I$2:I906,I906)&gt;1,"",1)," ","")</f>
        <v/>
      </c>
    </row>
    <row r="907" spans="1:10" x14ac:dyDescent="0.2">
      <c r="A907" s="51" t="str">
        <f>IFERROR(VLOOKUP(B907,點上線資訊!A:R,18,0),"")</f>
        <v/>
      </c>
      <c r="B907" s="41">
        <f>'MB51'!A907</f>
        <v>0</v>
      </c>
      <c r="C907" s="60" t="str">
        <f>IFERROR(VLOOKUP(B907,'MB51'!A:I,9,0),"")</f>
        <v/>
      </c>
      <c r="D907" s="61" t="str">
        <f>IFERROR(VLOOKUP(B907,'MB51'!A:J,10,0),"")</f>
        <v/>
      </c>
      <c r="E907" s="62" t="str">
        <f>IFERROR(VLOOKUP(B907,'MB51'!A:K,11,0),"")</f>
        <v/>
      </c>
      <c r="F907" s="42" t="str">
        <f>IFERROR(VLOOKUP(B907,'MB51'!A:F,6,0),"")</f>
        <v/>
      </c>
      <c r="G907" s="17" t="str">
        <f t="shared" si="42"/>
        <v>點揀料單</v>
      </c>
      <c r="H907" s="17">
        <f t="shared" si="43"/>
        <v>0</v>
      </c>
      <c r="I907" t="str">
        <f t="shared" si="44"/>
        <v/>
      </c>
      <c r="J907" t="str">
        <f>SUBSTITUTE(IF(COUNTIF(I$2:I907,I907)&gt;1,"",1)," ","")</f>
        <v/>
      </c>
    </row>
    <row r="908" spans="1:10" x14ac:dyDescent="0.2">
      <c r="A908" s="51" t="str">
        <f>IFERROR(VLOOKUP(B908,點上線資訊!A:R,18,0),"")</f>
        <v/>
      </c>
      <c r="B908" s="41">
        <f>'MB51'!A908</f>
        <v>0</v>
      </c>
      <c r="C908" s="60" t="str">
        <f>IFERROR(VLOOKUP(B908,'MB51'!A:I,9,0),"")</f>
        <v/>
      </c>
      <c r="D908" s="61" t="str">
        <f>IFERROR(VLOOKUP(B908,'MB51'!A:J,10,0),"")</f>
        <v/>
      </c>
      <c r="E908" s="62" t="str">
        <f>IFERROR(VLOOKUP(B908,'MB51'!A:K,11,0),"")</f>
        <v/>
      </c>
      <c r="F908" s="42" t="str">
        <f>IFERROR(VLOOKUP(B908,'MB51'!A:F,6,0),"")</f>
        <v/>
      </c>
      <c r="G908" s="17" t="str">
        <f t="shared" si="42"/>
        <v>點揀料單</v>
      </c>
      <c r="H908" s="17">
        <f t="shared" si="43"/>
        <v>0</v>
      </c>
      <c r="I908" t="str">
        <f t="shared" si="44"/>
        <v/>
      </c>
      <c r="J908" t="str">
        <f>SUBSTITUTE(IF(COUNTIF(I$2:I908,I908)&gt;1,"",1)," ","")</f>
        <v/>
      </c>
    </row>
    <row r="909" spans="1:10" x14ac:dyDescent="0.2">
      <c r="A909" s="51" t="str">
        <f>IFERROR(VLOOKUP(B909,點上線資訊!A:R,18,0),"")</f>
        <v/>
      </c>
      <c r="B909" s="41">
        <f>'MB51'!A909</f>
        <v>0</v>
      </c>
      <c r="C909" s="60" t="str">
        <f>IFERROR(VLOOKUP(B909,'MB51'!A:I,9,0),"")</f>
        <v/>
      </c>
      <c r="D909" s="61" t="str">
        <f>IFERROR(VLOOKUP(B909,'MB51'!A:J,10,0),"")</f>
        <v/>
      </c>
      <c r="E909" s="62" t="str">
        <f>IFERROR(VLOOKUP(B909,'MB51'!A:K,11,0),"")</f>
        <v/>
      </c>
      <c r="F909" s="42" t="str">
        <f>IFERROR(VLOOKUP(B909,'MB51'!A:F,6,0),"")</f>
        <v/>
      </c>
      <c r="G909" s="17" t="str">
        <f t="shared" si="42"/>
        <v>點揀料單</v>
      </c>
      <c r="H909" s="17">
        <f t="shared" si="43"/>
        <v>0</v>
      </c>
      <c r="I909" t="str">
        <f t="shared" si="44"/>
        <v/>
      </c>
      <c r="J909" t="str">
        <f>SUBSTITUTE(IF(COUNTIF(I$2:I909,I909)&gt;1,"",1)," ","")</f>
        <v/>
      </c>
    </row>
    <row r="910" spans="1:10" x14ac:dyDescent="0.2">
      <c r="A910" s="51" t="str">
        <f>IFERROR(VLOOKUP(B910,點上線資訊!A:R,18,0),"")</f>
        <v/>
      </c>
      <c r="B910" s="41">
        <f>'MB51'!A910</f>
        <v>0</v>
      </c>
      <c r="C910" s="60" t="str">
        <f>IFERROR(VLOOKUP(B910,'MB51'!A:I,9,0),"")</f>
        <v/>
      </c>
      <c r="D910" s="61" t="str">
        <f>IFERROR(VLOOKUP(B910,'MB51'!A:J,10,0),"")</f>
        <v/>
      </c>
      <c r="E910" s="62" t="str">
        <f>IFERROR(VLOOKUP(B910,'MB51'!A:K,11,0),"")</f>
        <v/>
      </c>
      <c r="F910" s="42" t="str">
        <f>IFERROR(VLOOKUP(B910,'MB51'!A:F,6,0),"")</f>
        <v/>
      </c>
      <c r="G910" s="17" t="str">
        <f t="shared" si="42"/>
        <v>點揀料單</v>
      </c>
      <c r="H910" s="17">
        <f t="shared" si="43"/>
        <v>0</v>
      </c>
      <c r="I910" t="str">
        <f t="shared" si="44"/>
        <v/>
      </c>
      <c r="J910" t="str">
        <f>SUBSTITUTE(IF(COUNTIF(I$2:I910,I910)&gt;1,"",1)," ","")</f>
        <v/>
      </c>
    </row>
    <row r="911" spans="1:10" x14ac:dyDescent="0.2">
      <c r="A911" s="51" t="str">
        <f>IFERROR(VLOOKUP(B911,點上線資訊!A:R,18,0),"")</f>
        <v/>
      </c>
      <c r="B911" s="41">
        <f>'MB51'!A911</f>
        <v>0</v>
      </c>
      <c r="C911" s="60" t="str">
        <f>IFERROR(VLOOKUP(B911,'MB51'!A:I,9,0),"")</f>
        <v/>
      </c>
      <c r="D911" s="61" t="str">
        <f>IFERROR(VLOOKUP(B911,'MB51'!A:J,10,0),"")</f>
        <v/>
      </c>
      <c r="E911" s="62" t="str">
        <f>IFERROR(VLOOKUP(B911,'MB51'!A:K,11,0),"")</f>
        <v/>
      </c>
      <c r="F911" s="42" t="str">
        <f>IFERROR(VLOOKUP(B911,'MB51'!A:F,6,0),"")</f>
        <v/>
      </c>
      <c r="G911" s="17" t="str">
        <f t="shared" si="42"/>
        <v>點揀料單</v>
      </c>
      <c r="H911" s="17">
        <f t="shared" si="43"/>
        <v>0</v>
      </c>
      <c r="I911" t="str">
        <f t="shared" si="44"/>
        <v/>
      </c>
      <c r="J911" t="str">
        <f>SUBSTITUTE(IF(COUNTIF(I$2:I911,I911)&gt;1,"",1)," ","")</f>
        <v/>
      </c>
    </row>
    <row r="912" spans="1:10" x14ac:dyDescent="0.2">
      <c r="A912" s="51" t="str">
        <f>IFERROR(VLOOKUP(B912,點上線資訊!A:R,18,0),"")</f>
        <v/>
      </c>
      <c r="B912" s="41">
        <f>'MB51'!A912</f>
        <v>0</v>
      </c>
      <c r="C912" s="60" t="str">
        <f>IFERROR(VLOOKUP(B912,'MB51'!A:I,9,0),"")</f>
        <v/>
      </c>
      <c r="D912" s="61" t="str">
        <f>IFERROR(VLOOKUP(B912,'MB51'!A:J,10,0),"")</f>
        <v/>
      </c>
      <c r="E912" s="62" t="str">
        <f>IFERROR(VLOOKUP(B912,'MB51'!A:K,11,0),"")</f>
        <v/>
      </c>
      <c r="F912" s="42" t="str">
        <f>IFERROR(VLOOKUP(B912,'MB51'!A:F,6,0),"")</f>
        <v/>
      </c>
      <c r="G912" s="17" t="str">
        <f t="shared" si="42"/>
        <v>點揀料單</v>
      </c>
      <c r="H912" s="17">
        <f t="shared" si="43"/>
        <v>0</v>
      </c>
      <c r="I912" t="str">
        <f t="shared" si="44"/>
        <v/>
      </c>
      <c r="J912" t="str">
        <f>SUBSTITUTE(IF(COUNTIF(I$2:I912,I912)&gt;1,"",1)," ","")</f>
        <v/>
      </c>
    </row>
    <row r="913" spans="1:10" x14ac:dyDescent="0.2">
      <c r="A913" s="51" t="str">
        <f>IFERROR(VLOOKUP(B913,點上線資訊!A:R,18,0),"")</f>
        <v/>
      </c>
      <c r="B913" s="41">
        <f>'MB51'!A913</f>
        <v>0</v>
      </c>
      <c r="C913" s="60" t="str">
        <f>IFERROR(VLOOKUP(B913,'MB51'!A:I,9,0),"")</f>
        <v/>
      </c>
      <c r="D913" s="61" t="str">
        <f>IFERROR(VLOOKUP(B913,'MB51'!A:J,10,0),"")</f>
        <v/>
      </c>
      <c r="E913" s="62" t="str">
        <f>IFERROR(VLOOKUP(B913,'MB51'!A:K,11,0),"")</f>
        <v/>
      </c>
      <c r="F913" s="42" t="str">
        <f>IFERROR(VLOOKUP(B913,'MB51'!A:F,6,0),"")</f>
        <v/>
      </c>
      <c r="G913" s="17" t="str">
        <f t="shared" si="42"/>
        <v>點揀料單</v>
      </c>
      <c r="H913" s="17">
        <f t="shared" si="43"/>
        <v>0</v>
      </c>
      <c r="I913" t="str">
        <f t="shared" si="44"/>
        <v/>
      </c>
      <c r="J913" t="str">
        <f>SUBSTITUTE(IF(COUNTIF(I$2:I913,I913)&gt;1,"",1)," ","")</f>
        <v/>
      </c>
    </row>
    <row r="914" spans="1:10" x14ac:dyDescent="0.2">
      <c r="A914" s="51" t="str">
        <f>IFERROR(VLOOKUP(B914,點上線資訊!A:R,18,0),"")</f>
        <v/>
      </c>
      <c r="B914" s="41">
        <f>'MB51'!A914</f>
        <v>0</v>
      </c>
      <c r="C914" s="60" t="str">
        <f>IFERROR(VLOOKUP(B914,'MB51'!A:I,9,0),"")</f>
        <v/>
      </c>
      <c r="D914" s="61" t="str">
        <f>IFERROR(VLOOKUP(B914,'MB51'!A:J,10,0),"")</f>
        <v/>
      </c>
      <c r="E914" s="62" t="str">
        <f>IFERROR(VLOOKUP(B914,'MB51'!A:K,11,0),"")</f>
        <v/>
      </c>
      <c r="F914" s="42" t="str">
        <f>IFERROR(VLOOKUP(B914,'MB51'!A:F,6,0),"")</f>
        <v/>
      </c>
      <c r="G914" s="17" t="str">
        <f t="shared" si="42"/>
        <v>點揀料單</v>
      </c>
      <c r="H914" s="17">
        <f t="shared" si="43"/>
        <v>0</v>
      </c>
      <c r="I914" t="str">
        <f t="shared" si="44"/>
        <v/>
      </c>
      <c r="J914" t="str">
        <f>SUBSTITUTE(IF(COUNTIF(I$2:I914,I914)&gt;1,"",1)," ","")</f>
        <v/>
      </c>
    </row>
    <row r="915" spans="1:10" x14ac:dyDescent="0.2">
      <c r="A915" s="51" t="str">
        <f>IFERROR(VLOOKUP(B915,點上線資訊!A:R,18,0),"")</f>
        <v/>
      </c>
      <c r="B915" s="41">
        <f>'MB51'!A915</f>
        <v>0</v>
      </c>
      <c r="C915" s="60" t="str">
        <f>IFERROR(VLOOKUP(B915,'MB51'!A:I,9,0),"")</f>
        <v/>
      </c>
      <c r="D915" s="61" t="str">
        <f>IFERROR(VLOOKUP(B915,'MB51'!A:J,10,0),"")</f>
        <v/>
      </c>
      <c r="E915" s="62" t="str">
        <f>IFERROR(VLOOKUP(B915,'MB51'!A:K,11,0),"")</f>
        <v/>
      </c>
      <c r="F915" s="42" t="str">
        <f>IFERROR(VLOOKUP(B915,'MB51'!A:F,6,0),"")</f>
        <v/>
      </c>
      <c r="G915" s="17" t="str">
        <f t="shared" si="42"/>
        <v>點揀料單</v>
      </c>
      <c r="H915" s="17">
        <f t="shared" si="43"/>
        <v>0</v>
      </c>
      <c r="I915" t="str">
        <f t="shared" si="44"/>
        <v/>
      </c>
      <c r="J915" t="str">
        <f>SUBSTITUTE(IF(COUNTIF(I$2:I915,I915)&gt;1,"",1)," ","")</f>
        <v/>
      </c>
    </row>
    <row r="916" spans="1:10" x14ac:dyDescent="0.2">
      <c r="A916" s="51" t="str">
        <f>IFERROR(VLOOKUP(B916,點上線資訊!A:R,18,0),"")</f>
        <v/>
      </c>
      <c r="B916" s="41">
        <f>'MB51'!A916</f>
        <v>0</v>
      </c>
      <c r="C916" s="60" t="str">
        <f>IFERROR(VLOOKUP(B916,'MB51'!A:I,9,0),"")</f>
        <v/>
      </c>
      <c r="D916" s="61" t="str">
        <f>IFERROR(VLOOKUP(B916,'MB51'!A:J,10,0),"")</f>
        <v/>
      </c>
      <c r="E916" s="62" t="str">
        <f>IFERROR(VLOOKUP(B916,'MB51'!A:K,11,0),"")</f>
        <v/>
      </c>
      <c r="F916" s="42" t="str">
        <f>IFERROR(VLOOKUP(B916,'MB51'!A:F,6,0),"")</f>
        <v/>
      </c>
      <c r="G916" s="17" t="str">
        <f t="shared" si="42"/>
        <v>點揀料單</v>
      </c>
      <c r="H916" s="17">
        <f t="shared" si="43"/>
        <v>0</v>
      </c>
      <c r="I916" t="str">
        <f t="shared" si="44"/>
        <v/>
      </c>
      <c r="J916" t="str">
        <f>SUBSTITUTE(IF(COUNTIF(I$2:I916,I916)&gt;1,"",1)," ","")</f>
        <v/>
      </c>
    </row>
    <row r="917" spans="1:10" x14ac:dyDescent="0.2">
      <c r="A917" s="51" t="str">
        <f>IFERROR(VLOOKUP(B917,點上線資訊!A:R,18,0),"")</f>
        <v/>
      </c>
      <c r="B917" s="41">
        <f>'MB51'!A917</f>
        <v>0</v>
      </c>
      <c r="C917" s="60" t="str">
        <f>IFERROR(VLOOKUP(B917,'MB51'!A:I,9,0),"")</f>
        <v/>
      </c>
      <c r="D917" s="61" t="str">
        <f>IFERROR(VLOOKUP(B917,'MB51'!A:J,10,0),"")</f>
        <v/>
      </c>
      <c r="E917" s="62" t="str">
        <f>IFERROR(VLOOKUP(B917,'MB51'!A:K,11,0),"")</f>
        <v/>
      </c>
      <c r="F917" s="42" t="str">
        <f>IFERROR(VLOOKUP(B917,'MB51'!A:F,6,0),"")</f>
        <v/>
      </c>
      <c r="G917" s="17" t="str">
        <f t="shared" si="42"/>
        <v>點揀料單</v>
      </c>
      <c r="H917" s="17">
        <f t="shared" si="43"/>
        <v>0</v>
      </c>
      <c r="I917" t="str">
        <f t="shared" si="44"/>
        <v/>
      </c>
      <c r="J917" t="str">
        <f>SUBSTITUTE(IF(COUNTIF(I$2:I917,I917)&gt;1,"",1)," ","")</f>
        <v/>
      </c>
    </row>
    <row r="918" spans="1:10" x14ac:dyDescent="0.2">
      <c r="A918" s="51" t="str">
        <f>IFERROR(VLOOKUP(B918,點上線資訊!A:R,18,0),"")</f>
        <v/>
      </c>
      <c r="B918" s="41">
        <f>'MB51'!A918</f>
        <v>0</v>
      </c>
      <c r="C918" s="60" t="str">
        <f>IFERROR(VLOOKUP(B918,'MB51'!A:I,9,0),"")</f>
        <v/>
      </c>
      <c r="D918" s="61" t="str">
        <f>IFERROR(VLOOKUP(B918,'MB51'!A:J,10,0),"")</f>
        <v/>
      </c>
      <c r="E918" s="62" t="str">
        <f>IFERROR(VLOOKUP(B918,'MB51'!A:K,11,0),"")</f>
        <v/>
      </c>
      <c r="F918" s="42" t="str">
        <f>IFERROR(VLOOKUP(B918,'MB51'!A:F,6,0),"")</f>
        <v/>
      </c>
      <c r="G918" s="17" t="str">
        <f t="shared" si="42"/>
        <v>點揀料單</v>
      </c>
      <c r="H918" s="17">
        <f t="shared" si="43"/>
        <v>0</v>
      </c>
      <c r="I918" t="str">
        <f t="shared" si="44"/>
        <v/>
      </c>
      <c r="J918" t="str">
        <f>SUBSTITUTE(IF(COUNTIF(I$2:I918,I918)&gt;1,"",1)," ","")</f>
        <v/>
      </c>
    </row>
    <row r="919" spans="1:10" x14ac:dyDescent="0.2">
      <c r="A919" s="51" t="str">
        <f>IFERROR(VLOOKUP(B919,點上線資訊!A:R,18,0),"")</f>
        <v/>
      </c>
      <c r="B919" s="41">
        <f>'MB51'!A919</f>
        <v>0</v>
      </c>
      <c r="C919" s="60" t="str">
        <f>IFERROR(VLOOKUP(B919,'MB51'!A:I,9,0),"")</f>
        <v/>
      </c>
      <c r="D919" s="61" t="str">
        <f>IFERROR(VLOOKUP(B919,'MB51'!A:J,10,0),"")</f>
        <v/>
      </c>
      <c r="E919" s="62" t="str">
        <f>IFERROR(VLOOKUP(B919,'MB51'!A:K,11,0),"")</f>
        <v/>
      </c>
      <c r="F919" s="42" t="str">
        <f>IFERROR(VLOOKUP(B919,'MB51'!A:F,6,0),"")</f>
        <v/>
      </c>
      <c r="G919" s="17" t="str">
        <f t="shared" si="42"/>
        <v>點揀料單</v>
      </c>
      <c r="H919" s="17">
        <f t="shared" si="43"/>
        <v>0</v>
      </c>
      <c r="I919" t="str">
        <f t="shared" si="44"/>
        <v/>
      </c>
      <c r="J919" t="str">
        <f>SUBSTITUTE(IF(COUNTIF(I$2:I919,I919)&gt;1,"",1)," ","")</f>
        <v/>
      </c>
    </row>
    <row r="920" spans="1:10" x14ac:dyDescent="0.2">
      <c r="A920" s="51" t="str">
        <f>IFERROR(VLOOKUP(B920,點上線資訊!A:R,18,0),"")</f>
        <v/>
      </c>
      <c r="B920" s="41">
        <f>'MB51'!A920</f>
        <v>0</v>
      </c>
      <c r="C920" s="60" t="str">
        <f>IFERROR(VLOOKUP(B920,'MB51'!A:I,9,0),"")</f>
        <v/>
      </c>
      <c r="D920" s="61" t="str">
        <f>IFERROR(VLOOKUP(B920,'MB51'!A:J,10,0),"")</f>
        <v/>
      </c>
      <c r="E920" s="62" t="str">
        <f>IFERROR(VLOOKUP(B920,'MB51'!A:K,11,0),"")</f>
        <v/>
      </c>
      <c r="F920" s="42" t="str">
        <f>IFERROR(VLOOKUP(B920,'MB51'!A:F,6,0),"")</f>
        <v/>
      </c>
      <c r="G920" s="17" t="str">
        <f t="shared" si="42"/>
        <v>點揀料單</v>
      </c>
      <c r="H920" s="17">
        <f t="shared" si="43"/>
        <v>0</v>
      </c>
      <c r="I920" t="str">
        <f t="shared" si="44"/>
        <v/>
      </c>
      <c r="J920" t="str">
        <f>SUBSTITUTE(IF(COUNTIF(I$2:I920,I920)&gt;1,"",1)," ","")</f>
        <v/>
      </c>
    </row>
    <row r="921" spans="1:10" x14ac:dyDescent="0.2">
      <c r="A921" s="51" t="str">
        <f>IFERROR(VLOOKUP(B921,點上線資訊!A:R,18,0),"")</f>
        <v/>
      </c>
      <c r="B921" s="41">
        <f>'MB51'!A921</f>
        <v>0</v>
      </c>
      <c r="C921" s="60" t="str">
        <f>IFERROR(VLOOKUP(B921,'MB51'!A:I,9,0),"")</f>
        <v/>
      </c>
      <c r="D921" s="61" t="str">
        <f>IFERROR(VLOOKUP(B921,'MB51'!A:J,10,0),"")</f>
        <v/>
      </c>
      <c r="E921" s="62" t="str">
        <f>IFERROR(VLOOKUP(B921,'MB51'!A:K,11,0),"")</f>
        <v/>
      </c>
      <c r="F921" s="42" t="str">
        <f>IFERROR(VLOOKUP(B921,'MB51'!A:F,6,0),"")</f>
        <v/>
      </c>
      <c r="G921" s="17" t="str">
        <f t="shared" si="42"/>
        <v>點揀料單</v>
      </c>
      <c r="H921" s="17">
        <f t="shared" si="43"/>
        <v>0</v>
      </c>
      <c r="I921" t="str">
        <f t="shared" si="44"/>
        <v/>
      </c>
      <c r="J921" t="str">
        <f>SUBSTITUTE(IF(COUNTIF(I$2:I921,I921)&gt;1,"",1)," ","")</f>
        <v/>
      </c>
    </row>
    <row r="922" spans="1:10" x14ac:dyDescent="0.2">
      <c r="A922" s="51" t="str">
        <f>IFERROR(VLOOKUP(B922,點上線資訊!A:R,18,0),"")</f>
        <v/>
      </c>
      <c r="B922" s="41">
        <f>'MB51'!A922</f>
        <v>0</v>
      </c>
      <c r="C922" s="60" t="str">
        <f>IFERROR(VLOOKUP(B922,'MB51'!A:I,9,0),"")</f>
        <v/>
      </c>
      <c r="D922" s="61" t="str">
        <f>IFERROR(VLOOKUP(B922,'MB51'!A:J,10,0),"")</f>
        <v/>
      </c>
      <c r="E922" s="62" t="str">
        <f>IFERROR(VLOOKUP(B922,'MB51'!A:K,11,0),"")</f>
        <v/>
      </c>
      <c r="F922" s="42" t="str">
        <f>IFERROR(VLOOKUP(B922,'MB51'!A:F,6,0),"")</f>
        <v/>
      </c>
      <c r="G922" s="17" t="str">
        <f t="shared" si="42"/>
        <v>點揀料單</v>
      </c>
      <c r="H922" s="17">
        <f t="shared" si="43"/>
        <v>0</v>
      </c>
      <c r="I922" t="str">
        <f t="shared" si="44"/>
        <v/>
      </c>
      <c r="J922" t="str">
        <f>SUBSTITUTE(IF(COUNTIF(I$2:I922,I922)&gt;1,"",1)," ","")</f>
        <v/>
      </c>
    </row>
    <row r="923" spans="1:10" x14ac:dyDescent="0.2">
      <c r="A923" s="51" t="str">
        <f>IFERROR(VLOOKUP(B923,點上線資訊!A:R,18,0),"")</f>
        <v/>
      </c>
      <c r="B923" s="41">
        <f>'MB51'!A923</f>
        <v>0</v>
      </c>
      <c r="C923" s="60" t="str">
        <f>IFERROR(VLOOKUP(B923,'MB51'!A:I,9,0),"")</f>
        <v/>
      </c>
      <c r="D923" s="61" t="str">
        <f>IFERROR(VLOOKUP(B923,'MB51'!A:J,10,0),"")</f>
        <v/>
      </c>
      <c r="E923" s="62" t="str">
        <f>IFERROR(VLOOKUP(B923,'MB51'!A:K,11,0),"")</f>
        <v/>
      </c>
      <c r="F923" s="42" t="str">
        <f>IFERROR(VLOOKUP(B923,'MB51'!A:F,6,0),"")</f>
        <v/>
      </c>
      <c r="G923" s="17" t="str">
        <f t="shared" si="42"/>
        <v>點揀料單</v>
      </c>
      <c r="H923" s="17">
        <f t="shared" si="43"/>
        <v>0</v>
      </c>
      <c r="I923" t="str">
        <f t="shared" si="44"/>
        <v/>
      </c>
      <c r="J923" t="str">
        <f>SUBSTITUTE(IF(COUNTIF(I$2:I923,I923)&gt;1,"",1)," ","")</f>
        <v/>
      </c>
    </row>
    <row r="924" spans="1:10" x14ac:dyDescent="0.2">
      <c r="A924" s="51" t="str">
        <f>IFERROR(VLOOKUP(B924,點上線資訊!A:R,18,0),"")</f>
        <v/>
      </c>
      <c r="B924" s="41">
        <f>'MB51'!A924</f>
        <v>0</v>
      </c>
      <c r="C924" s="60" t="str">
        <f>IFERROR(VLOOKUP(B924,'MB51'!A:I,9,0),"")</f>
        <v/>
      </c>
      <c r="D924" s="61" t="str">
        <f>IFERROR(VLOOKUP(B924,'MB51'!A:J,10,0),"")</f>
        <v/>
      </c>
      <c r="E924" s="62" t="str">
        <f>IFERROR(VLOOKUP(B924,'MB51'!A:K,11,0),"")</f>
        <v/>
      </c>
      <c r="F924" s="42" t="str">
        <f>IFERROR(VLOOKUP(B924,'MB51'!A:F,6,0),"")</f>
        <v/>
      </c>
      <c r="G924" s="17" t="str">
        <f t="shared" si="42"/>
        <v>點揀料單</v>
      </c>
      <c r="H924" s="17">
        <f t="shared" si="43"/>
        <v>0</v>
      </c>
      <c r="I924" t="str">
        <f t="shared" si="44"/>
        <v/>
      </c>
      <c r="J924" t="str">
        <f>SUBSTITUTE(IF(COUNTIF(I$2:I924,I924)&gt;1,"",1)," ","")</f>
        <v/>
      </c>
    </row>
    <row r="925" spans="1:10" x14ac:dyDescent="0.2">
      <c r="A925" s="51" t="str">
        <f>IFERROR(VLOOKUP(B925,點上線資訊!A:R,18,0),"")</f>
        <v/>
      </c>
      <c r="B925" s="41">
        <f>'MB51'!A925</f>
        <v>0</v>
      </c>
      <c r="C925" s="60" t="str">
        <f>IFERROR(VLOOKUP(B925,'MB51'!A:I,9,0),"")</f>
        <v/>
      </c>
      <c r="D925" s="61" t="str">
        <f>IFERROR(VLOOKUP(B925,'MB51'!A:J,10,0),"")</f>
        <v/>
      </c>
      <c r="E925" s="62" t="str">
        <f>IFERROR(VLOOKUP(B925,'MB51'!A:K,11,0),"")</f>
        <v/>
      </c>
      <c r="F925" s="42" t="str">
        <f>IFERROR(VLOOKUP(B925,'MB51'!A:F,6,0),"")</f>
        <v/>
      </c>
      <c r="G925" s="17" t="str">
        <f t="shared" si="42"/>
        <v>點揀料單</v>
      </c>
      <c r="H925" s="17">
        <f t="shared" si="43"/>
        <v>0</v>
      </c>
      <c r="I925" t="str">
        <f t="shared" si="44"/>
        <v/>
      </c>
      <c r="J925" t="str">
        <f>SUBSTITUTE(IF(COUNTIF(I$2:I925,I925)&gt;1,"",1)," ","")</f>
        <v/>
      </c>
    </row>
    <row r="926" spans="1:10" x14ac:dyDescent="0.2">
      <c r="A926" s="51" t="str">
        <f>IFERROR(VLOOKUP(B926,點上線資訊!A:R,18,0),"")</f>
        <v/>
      </c>
      <c r="B926" s="41">
        <f>'MB51'!A926</f>
        <v>0</v>
      </c>
      <c r="C926" s="60" t="str">
        <f>IFERROR(VLOOKUP(B926,'MB51'!A:I,9,0),"")</f>
        <v/>
      </c>
      <c r="D926" s="61" t="str">
        <f>IFERROR(VLOOKUP(B926,'MB51'!A:J,10,0),"")</f>
        <v/>
      </c>
      <c r="E926" s="62" t="str">
        <f>IFERROR(VLOOKUP(B926,'MB51'!A:K,11,0),"")</f>
        <v/>
      </c>
      <c r="F926" s="42" t="str">
        <f>IFERROR(VLOOKUP(B926,'MB51'!A:F,6,0),"")</f>
        <v/>
      </c>
      <c r="G926" s="17" t="str">
        <f t="shared" si="42"/>
        <v>點揀料單</v>
      </c>
      <c r="H926" s="17">
        <f t="shared" si="43"/>
        <v>0</v>
      </c>
      <c r="I926" t="str">
        <f t="shared" si="44"/>
        <v/>
      </c>
      <c r="J926" t="str">
        <f>SUBSTITUTE(IF(COUNTIF(I$2:I926,I926)&gt;1,"",1)," ","")</f>
        <v/>
      </c>
    </row>
    <row r="927" spans="1:10" x14ac:dyDescent="0.2">
      <c r="A927" s="51" t="str">
        <f>IFERROR(VLOOKUP(B927,點上線資訊!A:R,18,0),"")</f>
        <v/>
      </c>
      <c r="B927" s="41">
        <f>'MB51'!A927</f>
        <v>0</v>
      </c>
      <c r="C927" s="60" t="str">
        <f>IFERROR(VLOOKUP(B927,'MB51'!A:I,9,0),"")</f>
        <v/>
      </c>
      <c r="D927" s="61" t="str">
        <f>IFERROR(VLOOKUP(B927,'MB51'!A:J,10,0),"")</f>
        <v/>
      </c>
      <c r="E927" s="62" t="str">
        <f>IFERROR(VLOOKUP(B927,'MB51'!A:K,11,0),"")</f>
        <v/>
      </c>
      <c r="F927" s="42" t="str">
        <f>IFERROR(VLOOKUP(B927,'MB51'!A:F,6,0),"")</f>
        <v/>
      </c>
      <c r="G927" s="17" t="str">
        <f t="shared" si="42"/>
        <v>點揀料單</v>
      </c>
      <c r="H927" s="17">
        <f t="shared" si="43"/>
        <v>0</v>
      </c>
      <c r="I927" t="str">
        <f t="shared" si="44"/>
        <v/>
      </c>
      <c r="J927" t="str">
        <f>SUBSTITUTE(IF(COUNTIF(I$2:I927,I927)&gt;1,"",1)," ","")</f>
        <v/>
      </c>
    </row>
    <row r="928" spans="1:10" x14ac:dyDescent="0.2">
      <c r="A928" s="51" t="str">
        <f>IFERROR(VLOOKUP(B928,點上線資訊!A:R,18,0),"")</f>
        <v/>
      </c>
      <c r="B928" s="41">
        <f>'MB51'!A928</f>
        <v>0</v>
      </c>
      <c r="C928" s="60" t="str">
        <f>IFERROR(VLOOKUP(B928,'MB51'!A:I,9,0),"")</f>
        <v/>
      </c>
      <c r="D928" s="61" t="str">
        <f>IFERROR(VLOOKUP(B928,'MB51'!A:J,10,0),"")</f>
        <v/>
      </c>
      <c r="E928" s="62" t="str">
        <f>IFERROR(VLOOKUP(B928,'MB51'!A:K,11,0),"")</f>
        <v/>
      </c>
      <c r="F928" s="42" t="str">
        <f>IFERROR(VLOOKUP(B928,'MB51'!A:F,6,0),"")</f>
        <v/>
      </c>
      <c r="G928" s="17" t="str">
        <f t="shared" si="42"/>
        <v>點揀料單</v>
      </c>
      <c r="H928" s="17">
        <f t="shared" si="43"/>
        <v>0</v>
      </c>
      <c r="I928" t="str">
        <f t="shared" si="44"/>
        <v/>
      </c>
      <c r="J928" t="str">
        <f>SUBSTITUTE(IF(COUNTIF(I$2:I928,I928)&gt;1,"",1)," ","")</f>
        <v/>
      </c>
    </row>
    <row r="929" spans="1:10" x14ac:dyDescent="0.2">
      <c r="A929" s="51" t="str">
        <f>IFERROR(VLOOKUP(B929,點上線資訊!A:R,18,0),"")</f>
        <v/>
      </c>
      <c r="B929" s="41">
        <f>'MB51'!A929</f>
        <v>0</v>
      </c>
      <c r="C929" s="60" t="str">
        <f>IFERROR(VLOOKUP(B929,'MB51'!A:I,9,0),"")</f>
        <v/>
      </c>
      <c r="D929" s="61" t="str">
        <f>IFERROR(VLOOKUP(B929,'MB51'!A:J,10,0),"")</f>
        <v/>
      </c>
      <c r="E929" s="62" t="str">
        <f>IFERROR(VLOOKUP(B929,'MB51'!A:K,11,0),"")</f>
        <v/>
      </c>
      <c r="F929" s="42" t="str">
        <f>IFERROR(VLOOKUP(B929,'MB51'!A:F,6,0),"")</f>
        <v/>
      </c>
      <c r="G929" s="17" t="str">
        <f t="shared" si="42"/>
        <v>點揀料單</v>
      </c>
      <c r="H929" s="17">
        <f t="shared" si="43"/>
        <v>0</v>
      </c>
      <c r="I929" t="str">
        <f t="shared" si="44"/>
        <v/>
      </c>
      <c r="J929" t="str">
        <f>SUBSTITUTE(IF(COUNTIF(I$2:I929,I929)&gt;1,"",1)," ","")</f>
        <v/>
      </c>
    </row>
    <row r="930" spans="1:10" x14ac:dyDescent="0.2">
      <c r="A930" s="51" t="str">
        <f>IFERROR(VLOOKUP(B930,點上線資訊!A:R,18,0),"")</f>
        <v/>
      </c>
      <c r="B930" s="41">
        <f>'MB51'!A930</f>
        <v>0</v>
      </c>
      <c r="C930" s="60" t="str">
        <f>IFERROR(VLOOKUP(B930,'MB51'!A:I,9,0),"")</f>
        <v/>
      </c>
      <c r="D930" s="61" t="str">
        <f>IFERROR(VLOOKUP(B930,'MB51'!A:J,10,0),"")</f>
        <v/>
      </c>
      <c r="E930" s="62" t="str">
        <f>IFERROR(VLOOKUP(B930,'MB51'!A:K,11,0),"")</f>
        <v/>
      </c>
      <c r="F930" s="42" t="str">
        <f>IFERROR(VLOOKUP(B930,'MB51'!A:F,6,0),"")</f>
        <v/>
      </c>
      <c r="G930" s="17" t="str">
        <f t="shared" si="42"/>
        <v>點揀料單</v>
      </c>
      <c r="H930" s="17">
        <f t="shared" si="43"/>
        <v>0</v>
      </c>
      <c r="I930" t="str">
        <f t="shared" si="44"/>
        <v/>
      </c>
      <c r="J930" t="str">
        <f>SUBSTITUTE(IF(COUNTIF(I$2:I930,I930)&gt;1,"",1)," ","")</f>
        <v/>
      </c>
    </row>
    <row r="931" spans="1:10" x14ac:dyDescent="0.2">
      <c r="A931" s="51" t="str">
        <f>IFERROR(VLOOKUP(B931,點上線資訊!A:R,18,0),"")</f>
        <v/>
      </c>
      <c r="B931" s="41">
        <f>'MB51'!A931</f>
        <v>0</v>
      </c>
      <c r="C931" s="60" t="str">
        <f>IFERROR(VLOOKUP(B931,'MB51'!A:I,9,0),"")</f>
        <v/>
      </c>
      <c r="D931" s="61" t="str">
        <f>IFERROR(VLOOKUP(B931,'MB51'!A:J,10,0),"")</f>
        <v/>
      </c>
      <c r="E931" s="62" t="str">
        <f>IFERROR(VLOOKUP(B931,'MB51'!A:K,11,0),"")</f>
        <v/>
      </c>
      <c r="F931" s="42" t="str">
        <f>IFERROR(VLOOKUP(B931,'MB51'!A:F,6,0),"")</f>
        <v/>
      </c>
      <c r="G931" s="17" t="str">
        <f t="shared" si="42"/>
        <v>點揀料單</v>
      </c>
      <c r="H931" s="17">
        <f t="shared" si="43"/>
        <v>0</v>
      </c>
      <c r="I931" t="str">
        <f t="shared" si="44"/>
        <v/>
      </c>
      <c r="J931" t="str">
        <f>SUBSTITUTE(IF(COUNTIF(I$2:I931,I931)&gt;1,"",1)," ","")</f>
        <v/>
      </c>
    </row>
    <row r="932" spans="1:10" x14ac:dyDescent="0.2">
      <c r="A932" s="51" t="str">
        <f>IFERROR(VLOOKUP(B932,點上線資訊!A:R,18,0),"")</f>
        <v/>
      </c>
      <c r="B932" s="41">
        <f>'MB51'!A932</f>
        <v>0</v>
      </c>
      <c r="C932" s="60" t="str">
        <f>IFERROR(VLOOKUP(B932,'MB51'!A:I,9,0),"")</f>
        <v/>
      </c>
      <c r="D932" s="61" t="str">
        <f>IFERROR(VLOOKUP(B932,'MB51'!A:J,10,0),"")</f>
        <v/>
      </c>
      <c r="E932" s="62" t="str">
        <f>IFERROR(VLOOKUP(B932,'MB51'!A:K,11,0),"")</f>
        <v/>
      </c>
      <c r="F932" s="42" t="str">
        <f>IFERROR(VLOOKUP(B932,'MB51'!A:F,6,0),"")</f>
        <v/>
      </c>
      <c r="G932" s="17" t="str">
        <f t="shared" si="42"/>
        <v>點揀料單</v>
      </c>
      <c r="H932" s="17">
        <f t="shared" si="43"/>
        <v>0</v>
      </c>
      <c r="I932" t="str">
        <f t="shared" si="44"/>
        <v/>
      </c>
      <c r="J932" t="str">
        <f>SUBSTITUTE(IF(COUNTIF(I$2:I932,I932)&gt;1,"",1)," ","")</f>
        <v/>
      </c>
    </row>
    <row r="933" spans="1:10" x14ac:dyDescent="0.2">
      <c r="A933" s="51" t="str">
        <f>IFERROR(VLOOKUP(B933,點上線資訊!A:R,18,0),"")</f>
        <v/>
      </c>
      <c r="B933" s="41">
        <f>'MB51'!A933</f>
        <v>0</v>
      </c>
      <c r="C933" s="60" t="str">
        <f>IFERROR(VLOOKUP(B933,'MB51'!A:I,9,0),"")</f>
        <v/>
      </c>
      <c r="D933" s="61" t="str">
        <f>IFERROR(VLOOKUP(B933,'MB51'!A:J,10,0),"")</f>
        <v/>
      </c>
      <c r="E933" s="62" t="str">
        <f>IFERROR(VLOOKUP(B933,'MB51'!A:K,11,0),"")</f>
        <v/>
      </c>
      <c r="F933" s="42" t="str">
        <f>IFERROR(VLOOKUP(B933,'MB51'!A:F,6,0),"")</f>
        <v/>
      </c>
      <c r="G933" s="17" t="str">
        <f t="shared" si="42"/>
        <v>點揀料單</v>
      </c>
      <c r="H933" s="17">
        <f t="shared" si="43"/>
        <v>0</v>
      </c>
      <c r="I933" t="str">
        <f t="shared" si="44"/>
        <v/>
      </c>
      <c r="J933" t="str">
        <f>SUBSTITUTE(IF(COUNTIF(I$2:I933,I933)&gt;1,"",1)," ","")</f>
        <v/>
      </c>
    </row>
    <row r="934" spans="1:10" x14ac:dyDescent="0.2">
      <c r="A934" s="51" t="str">
        <f>IFERROR(VLOOKUP(B934,點上線資訊!A:R,18,0),"")</f>
        <v/>
      </c>
      <c r="B934" s="41">
        <f>'MB51'!A934</f>
        <v>0</v>
      </c>
      <c r="C934" s="60" t="str">
        <f>IFERROR(VLOOKUP(B934,'MB51'!A:I,9,0),"")</f>
        <v/>
      </c>
      <c r="D934" s="61" t="str">
        <f>IFERROR(VLOOKUP(B934,'MB51'!A:J,10,0),"")</f>
        <v/>
      </c>
      <c r="E934" s="62" t="str">
        <f>IFERROR(VLOOKUP(B934,'MB51'!A:K,11,0),"")</f>
        <v/>
      </c>
      <c r="F934" s="42" t="str">
        <f>IFERROR(VLOOKUP(B934,'MB51'!A:F,6,0),"")</f>
        <v/>
      </c>
      <c r="G934" s="17" t="str">
        <f t="shared" si="42"/>
        <v>點揀料單</v>
      </c>
      <c r="H934" s="17">
        <f t="shared" si="43"/>
        <v>0</v>
      </c>
      <c r="I934" t="str">
        <f t="shared" si="44"/>
        <v/>
      </c>
      <c r="J934" t="str">
        <f>SUBSTITUTE(IF(COUNTIF(I$2:I934,I934)&gt;1,"",1)," ","")</f>
        <v/>
      </c>
    </row>
    <row r="935" spans="1:10" x14ac:dyDescent="0.2">
      <c r="A935" s="51" t="str">
        <f>IFERROR(VLOOKUP(B935,點上線資訊!A:R,18,0),"")</f>
        <v/>
      </c>
      <c r="B935" s="41">
        <f>'MB51'!A935</f>
        <v>0</v>
      </c>
      <c r="C935" s="60" t="str">
        <f>IFERROR(VLOOKUP(B935,'MB51'!A:I,9,0),"")</f>
        <v/>
      </c>
      <c r="D935" s="61" t="str">
        <f>IFERROR(VLOOKUP(B935,'MB51'!A:J,10,0),"")</f>
        <v/>
      </c>
      <c r="E935" s="62" t="str">
        <f>IFERROR(VLOOKUP(B935,'MB51'!A:K,11,0),"")</f>
        <v/>
      </c>
      <c r="F935" s="42" t="str">
        <f>IFERROR(VLOOKUP(B935,'MB51'!A:F,6,0),"")</f>
        <v/>
      </c>
      <c r="G935" s="17" t="str">
        <f t="shared" si="42"/>
        <v>點揀料單</v>
      </c>
      <c r="H935" s="17">
        <f t="shared" si="43"/>
        <v>0</v>
      </c>
      <c r="I935" t="str">
        <f t="shared" si="44"/>
        <v/>
      </c>
      <c r="J935" t="str">
        <f>SUBSTITUTE(IF(COUNTIF(I$2:I935,I935)&gt;1,"",1)," ","")</f>
        <v/>
      </c>
    </row>
    <row r="936" spans="1:10" x14ac:dyDescent="0.2">
      <c r="A936" s="51" t="str">
        <f>IFERROR(VLOOKUP(B936,點上線資訊!A:R,18,0),"")</f>
        <v/>
      </c>
      <c r="B936" s="41">
        <f>'MB51'!A936</f>
        <v>0</v>
      </c>
      <c r="C936" s="60" t="str">
        <f>IFERROR(VLOOKUP(B936,'MB51'!A:I,9,0),"")</f>
        <v/>
      </c>
      <c r="D936" s="61" t="str">
        <f>IFERROR(VLOOKUP(B936,'MB51'!A:J,10,0),"")</f>
        <v/>
      </c>
      <c r="E936" s="62" t="str">
        <f>IFERROR(VLOOKUP(B936,'MB51'!A:K,11,0),"")</f>
        <v/>
      </c>
      <c r="F936" s="42" t="str">
        <f>IFERROR(VLOOKUP(B936,'MB51'!A:F,6,0),"")</f>
        <v/>
      </c>
      <c r="G936" s="17" t="str">
        <f t="shared" si="42"/>
        <v>點揀料單</v>
      </c>
      <c r="H936" s="17">
        <f t="shared" si="43"/>
        <v>0</v>
      </c>
      <c r="I936" t="str">
        <f t="shared" si="44"/>
        <v/>
      </c>
      <c r="J936" t="str">
        <f>SUBSTITUTE(IF(COUNTIF(I$2:I936,I936)&gt;1,"",1)," ","")</f>
        <v/>
      </c>
    </row>
    <row r="937" spans="1:10" x14ac:dyDescent="0.2">
      <c r="A937" s="51" t="str">
        <f>IFERROR(VLOOKUP(B937,點上線資訊!A:R,18,0),"")</f>
        <v/>
      </c>
      <c r="B937" s="41">
        <f>'MB51'!A937</f>
        <v>0</v>
      </c>
      <c r="C937" s="60" t="str">
        <f>IFERROR(VLOOKUP(B937,'MB51'!A:I,9,0),"")</f>
        <v/>
      </c>
      <c r="D937" s="61" t="str">
        <f>IFERROR(VLOOKUP(B937,'MB51'!A:J,10,0),"")</f>
        <v/>
      </c>
      <c r="E937" s="62" t="str">
        <f>IFERROR(VLOOKUP(B937,'MB51'!A:K,11,0),"")</f>
        <v/>
      </c>
      <c r="F937" s="42" t="str">
        <f>IFERROR(VLOOKUP(B937,'MB51'!A:F,6,0),"")</f>
        <v/>
      </c>
      <c r="G937" s="17" t="str">
        <f t="shared" si="42"/>
        <v>點揀料單</v>
      </c>
      <c r="H937" s="17">
        <f t="shared" si="43"/>
        <v>0</v>
      </c>
      <c r="I937" t="str">
        <f t="shared" si="44"/>
        <v/>
      </c>
      <c r="J937" t="str">
        <f>SUBSTITUTE(IF(COUNTIF(I$2:I937,I937)&gt;1,"",1)," ","")</f>
        <v/>
      </c>
    </row>
    <row r="938" spans="1:10" x14ac:dyDescent="0.2">
      <c r="A938" s="51" t="str">
        <f>IFERROR(VLOOKUP(B938,點上線資訊!A:R,18,0),"")</f>
        <v/>
      </c>
      <c r="B938" s="41">
        <f>'MB51'!A938</f>
        <v>0</v>
      </c>
      <c r="C938" s="60" t="str">
        <f>IFERROR(VLOOKUP(B938,'MB51'!A:I,9,0),"")</f>
        <v/>
      </c>
      <c r="D938" s="61" t="str">
        <f>IFERROR(VLOOKUP(B938,'MB51'!A:J,10,0),"")</f>
        <v/>
      </c>
      <c r="E938" s="62" t="str">
        <f>IFERROR(VLOOKUP(B938,'MB51'!A:K,11,0),"")</f>
        <v/>
      </c>
      <c r="F938" s="42" t="str">
        <f>IFERROR(VLOOKUP(B938,'MB51'!A:F,6,0),"")</f>
        <v/>
      </c>
      <c r="G938" s="17" t="str">
        <f t="shared" si="42"/>
        <v>點揀料單</v>
      </c>
      <c r="H938" s="17">
        <f t="shared" si="43"/>
        <v>0</v>
      </c>
      <c r="I938" t="str">
        <f t="shared" si="44"/>
        <v/>
      </c>
      <c r="J938" t="str">
        <f>SUBSTITUTE(IF(COUNTIF(I$2:I938,I938)&gt;1,"",1)," ","")</f>
        <v/>
      </c>
    </row>
    <row r="939" spans="1:10" x14ac:dyDescent="0.2">
      <c r="A939" s="51" t="str">
        <f>IFERROR(VLOOKUP(B939,點上線資訊!A:R,18,0),"")</f>
        <v/>
      </c>
      <c r="B939" s="41">
        <f>'MB51'!A939</f>
        <v>0</v>
      </c>
      <c r="C939" s="60" t="str">
        <f>IFERROR(VLOOKUP(B939,'MB51'!A:I,9,0),"")</f>
        <v/>
      </c>
      <c r="D939" s="61" t="str">
        <f>IFERROR(VLOOKUP(B939,'MB51'!A:J,10,0),"")</f>
        <v/>
      </c>
      <c r="E939" s="62" t="str">
        <f>IFERROR(VLOOKUP(B939,'MB51'!A:K,11,0),"")</f>
        <v/>
      </c>
      <c r="F939" s="42" t="str">
        <f>IFERROR(VLOOKUP(B939,'MB51'!A:F,6,0),"")</f>
        <v/>
      </c>
      <c r="G939" s="17" t="str">
        <f t="shared" si="42"/>
        <v>點揀料單</v>
      </c>
      <c r="H939" s="17">
        <f t="shared" si="43"/>
        <v>0</v>
      </c>
      <c r="I939" t="str">
        <f t="shared" si="44"/>
        <v/>
      </c>
      <c r="J939" t="str">
        <f>SUBSTITUTE(IF(COUNTIF(I$2:I939,I939)&gt;1,"",1)," ","")</f>
        <v/>
      </c>
    </row>
    <row r="940" spans="1:10" x14ac:dyDescent="0.2">
      <c r="A940" s="51" t="str">
        <f>IFERROR(VLOOKUP(B940,點上線資訊!A:R,18,0),"")</f>
        <v/>
      </c>
      <c r="B940" s="41">
        <f>'MB51'!A940</f>
        <v>0</v>
      </c>
      <c r="C940" s="60" t="str">
        <f>IFERROR(VLOOKUP(B940,'MB51'!A:I,9,0),"")</f>
        <v/>
      </c>
      <c r="D940" s="61" t="str">
        <f>IFERROR(VLOOKUP(B940,'MB51'!A:J,10,0),"")</f>
        <v/>
      </c>
      <c r="E940" s="62" t="str">
        <f>IFERROR(VLOOKUP(B940,'MB51'!A:K,11,0),"")</f>
        <v/>
      </c>
      <c r="F940" s="42" t="str">
        <f>IFERROR(VLOOKUP(B940,'MB51'!A:F,6,0),"")</f>
        <v/>
      </c>
      <c r="G940" s="17" t="str">
        <f t="shared" si="42"/>
        <v>點揀料單</v>
      </c>
      <c r="H940" s="17">
        <f t="shared" si="43"/>
        <v>0</v>
      </c>
      <c r="I940" t="str">
        <f t="shared" si="44"/>
        <v/>
      </c>
      <c r="J940" t="str">
        <f>SUBSTITUTE(IF(COUNTIF(I$2:I940,I940)&gt;1,"",1)," ","")</f>
        <v/>
      </c>
    </row>
    <row r="941" spans="1:10" x14ac:dyDescent="0.2">
      <c r="A941" s="51" t="str">
        <f>IFERROR(VLOOKUP(B941,點上線資訊!A:R,18,0),"")</f>
        <v/>
      </c>
      <c r="B941" s="41">
        <f>'MB51'!A941</f>
        <v>0</v>
      </c>
      <c r="C941" s="60" t="str">
        <f>IFERROR(VLOOKUP(B941,'MB51'!A:I,9,0),"")</f>
        <v/>
      </c>
      <c r="D941" s="61" t="str">
        <f>IFERROR(VLOOKUP(B941,'MB51'!A:J,10,0),"")</f>
        <v/>
      </c>
      <c r="E941" s="62" t="str">
        <f>IFERROR(VLOOKUP(B941,'MB51'!A:K,11,0),"")</f>
        <v/>
      </c>
      <c r="F941" s="42" t="str">
        <f>IFERROR(VLOOKUP(B941,'MB51'!A:F,6,0),"")</f>
        <v/>
      </c>
      <c r="G941" s="17" t="str">
        <f t="shared" si="42"/>
        <v>點揀料單</v>
      </c>
      <c r="H941" s="17">
        <f t="shared" si="43"/>
        <v>0</v>
      </c>
      <c r="I941" t="str">
        <f t="shared" si="44"/>
        <v/>
      </c>
      <c r="J941" t="str">
        <f>SUBSTITUTE(IF(COUNTIF(I$2:I941,I941)&gt;1,"",1)," ","")</f>
        <v/>
      </c>
    </row>
    <row r="942" spans="1:10" x14ac:dyDescent="0.2">
      <c r="A942" s="51" t="str">
        <f>IFERROR(VLOOKUP(B942,點上線資訊!A:R,18,0),"")</f>
        <v/>
      </c>
      <c r="B942" s="41">
        <f>'MB51'!A942</f>
        <v>0</v>
      </c>
      <c r="C942" s="60" t="str">
        <f>IFERROR(VLOOKUP(B942,'MB51'!A:I,9,0),"")</f>
        <v/>
      </c>
      <c r="D942" s="61" t="str">
        <f>IFERROR(VLOOKUP(B942,'MB51'!A:J,10,0),"")</f>
        <v/>
      </c>
      <c r="E942" s="62" t="str">
        <f>IFERROR(VLOOKUP(B942,'MB51'!A:K,11,0),"")</f>
        <v/>
      </c>
      <c r="F942" s="42" t="str">
        <f>IFERROR(VLOOKUP(B942,'MB51'!A:F,6,0),"")</f>
        <v/>
      </c>
      <c r="G942" s="17" t="str">
        <f t="shared" si="42"/>
        <v>點揀料單</v>
      </c>
      <c r="H942" s="17">
        <f t="shared" si="43"/>
        <v>0</v>
      </c>
      <c r="I942" t="str">
        <f t="shared" si="44"/>
        <v/>
      </c>
      <c r="J942" t="str">
        <f>SUBSTITUTE(IF(COUNTIF(I$2:I942,I942)&gt;1,"",1)," ","")</f>
        <v/>
      </c>
    </row>
    <row r="943" spans="1:10" x14ac:dyDescent="0.2">
      <c r="A943" s="51" t="str">
        <f>IFERROR(VLOOKUP(B943,點上線資訊!A:R,18,0),"")</f>
        <v/>
      </c>
      <c r="B943" s="41">
        <f>'MB51'!A943</f>
        <v>0</v>
      </c>
      <c r="C943" s="60" t="str">
        <f>IFERROR(VLOOKUP(B943,'MB51'!A:I,9,0),"")</f>
        <v/>
      </c>
      <c r="D943" s="61" t="str">
        <f>IFERROR(VLOOKUP(B943,'MB51'!A:J,10,0),"")</f>
        <v/>
      </c>
      <c r="E943" s="62" t="str">
        <f>IFERROR(VLOOKUP(B943,'MB51'!A:K,11,0),"")</f>
        <v/>
      </c>
      <c r="F943" s="42" t="str">
        <f>IFERROR(VLOOKUP(B943,'MB51'!A:F,6,0),"")</f>
        <v/>
      </c>
      <c r="G943" s="17" t="str">
        <f t="shared" si="42"/>
        <v>點揀料單</v>
      </c>
      <c r="H943" s="17">
        <f t="shared" si="43"/>
        <v>0</v>
      </c>
      <c r="I943" t="str">
        <f t="shared" si="44"/>
        <v/>
      </c>
      <c r="J943" t="str">
        <f>SUBSTITUTE(IF(COUNTIF(I$2:I943,I943)&gt;1,"",1)," ","")</f>
        <v/>
      </c>
    </row>
    <row r="944" spans="1:10" x14ac:dyDescent="0.2">
      <c r="A944" s="51" t="str">
        <f>IFERROR(VLOOKUP(B944,點上線資訊!A:R,18,0),"")</f>
        <v/>
      </c>
      <c r="B944" s="41">
        <f>'MB51'!A944</f>
        <v>0</v>
      </c>
      <c r="C944" s="60" t="str">
        <f>IFERROR(VLOOKUP(B944,'MB51'!A:I,9,0),"")</f>
        <v/>
      </c>
      <c r="D944" s="61" t="str">
        <f>IFERROR(VLOOKUP(B944,'MB51'!A:J,10,0),"")</f>
        <v/>
      </c>
      <c r="E944" s="62" t="str">
        <f>IFERROR(VLOOKUP(B944,'MB51'!A:K,11,0),"")</f>
        <v/>
      </c>
      <c r="F944" s="42" t="str">
        <f>IFERROR(VLOOKUP(B944,'MB51'!A:F,6,0),"")</f>
        <v/>
      </c>
      <c r="G944" s="17" t="str">
        <f t="shared" si="42"/>
        <v>點揀料單</v>
      </c>
      <c r="H944" s="17">
        <f t="shared" si="43"/>
        <v>0</v>
      </c>
      <c r="I944" t="str">
        <f t="shared" si="44"/>
        <v/>
      </c>
      <c r="J944" t="str">
        <f>SUBSTITUTE(IF(COUNTIF(I$2:I944,I944)&gt;1,"",1)," ","")</f>
        <v/>
      </c>
    </row>
    <row r="945" spans="1:10" x14ac:dyDescent="0.2">
      <c r="A945" s="51" t="str">
        <f>IFERROR(VLOOKUP(B945,點上線資訊!A:R,18,0),"")</f>
        <v/>
      </c>
      <c r="B945" s="41">
        <f>'MB51'!A945</f>
        <v>0</v>
      </c>
      <c r="C945" s="60" t="str">
        <f>IFERROR(VLOOKUP(B945,'MB51'!A:I,9,0),"")</f>
        <v/>
      </c>
      <c r="D945" s="61" t="str">
        <f>IFERROR(VLOOKUP(B945,'MB51'!A:J,10,0),"")</f>
        <v/>
      </c>
      <c r="E945" s="62" t="str">
        <f>IFERROR(VLOOKUP(B945,'MB51'!A:K,11,0),"")</f>
        <v/>
      </c>
      <c r="F945" s="42" t="str">
        <f>IFERROR(VLOOKUP(B945,'MB51'!A:F,6,0),"")</f>
        <v/>
      </c>
      <c r="G945" s="17" t="str">
        <f t="shared" si="42"/>
        <v>點揀料單</v>
      </c>
      <c r="H945" s="17">
        <f t="shared" si="43"/>
        <v>0</v>
      </c>
      <c r="I945" t="str">
        <f t="shared" si="44"/>
        <v/>
      </c>
      <c r="J945" t="str">
        <f>SUBSTITUTE(IF(COUNTIF(I$2:I945,I945)&gt;1,"",1)," ","")</f>
        <v/>
      </c>
    </row>
    <row r="946" spans="1:10" x14ac:dyDescent="0.2">
      <c r="A946" s="51" t="str">
        <f>IFERROR(VLOOKUP(B946,點上線資訊!A:R,18,0),"")</f>
        <v/>
      </c>
      <c r="B946" s="41">
        <f>'MB51'!A946</f>
        <v>0</v>
      </c>
      <c r="C946" s="60" t="str">
        <f>IFERROR(VLOOKUP(B946,'MB51'!A:I,9,0),"")</f>
        <v/>
      </c>
      <c r="D946" s="61" t="str">
        <f>IFERROR(VLOOKUP(B946,'MB51'!A:J,10,0),"")</f>
        <v/>
      </c>
      <c r="E946" s="62" t="str">
        <f>IFERROR(VLOOKUP(B946,'MB51'!A:K,11,0),"")</f>
        <v/>
      </c>
      <c r="F946" s="42" t="str">
        <f>IFERROR(VLOOKUP(B946,'MB51'!A:F,6,0),"")</f>
        <v/>
      </c>
      <c r="G946" s="17" t="str">
        <f t="shared" si="42"/>
        <v>點揀料單</v>
      </c>
      <c r="H946" s="17">
        <f t="shared" si="43"/>
        <v>0</v>
      </c>
      <c r="I946" t="str">
        <f t="shared" si="44"/>
        <v/>
      </c>
      <c r="J946" t="str">
        <f>SUBSTITUTE(IF(COUNTIF(I$2:I946,I946)&gt;1,"",1)," ","")</f>
        <v/>
      </c>
    </row>
    <row r="947" spans="1:10" x14ac:dyDescent="0.2">
      <c r="A947" s="51" t="str">
        <f>IFERROR(VLOOKUP(B947,點上線資訊!A:R,18,0),"")</f>
        <v/>
      </c>
      <c r="B947" s="41">
        <f>'MB51'!A947</f>
        <v>0</v>
      </c>
      <c r="C947" s="60" t="str">
        <f>IFERROR(VLOOKUP(B947,'MB51'!A:I,9,0),"")</f>
        <v/>
      </c>
      <c r="D947" s="61" t="str">
        <f>IFERROR(VLOOKUP(B947,'MB51'!A:J,10,0),"")</f>
        <v/>
      </c>
      <c r="E947" s="62" t="str">
        <f>IFERROR(VLOOKUP(B947,'MB51'!A:K,11,0),"")</f>
        <v/>
      </c>
      <c r="F947" s="42" t="str">
        <f>IFERROR(VLOOKUP(B947,'MB51'!A:F,6,0),"")</f>
        <v/>
      </c>
      <c r="G947" s="17" t="str">
        <f t="shared" si="42"/>
        <v>點揀料單</v>
      </c>
      <c r="H947" s="17">
        <f t="shared" si="43"/>
        <v>0</v>
      </c>
      <c r="I947" t="str">
        <f t="shared" si="44"/>
        <v/>
      </c>
      <c r="J947" t="str">
        <f>SUBSTITUTE(IF(COUNTIF(I$2:I947,I947)&gt;1,"",1)," ","")</f>
        <v/>
      </c>
    </row>
    <row r="948" spans="1:10" x14ac:dyDescent="0.2">
      <c r="A948" s="51" t="str">
        <f>IFERROR(VLOOKUP(B948,點上線資訊!A:R,18,0),"")</f>
        <v/>
      </c>
      <c r="B948" s="41">
        <f>'MB51'!A948</f>
        <v>0</v>
      </c>
      <c r="C948" s="60" t="str">
        <f>IFERROR(VLOOKUP(B948,'MB51'!A:I,9,0),"")</f>
        <v/>
      </c>
      <c r="D948" s="61" t="str">
        <f>IFERROR(VLOOKUP(B948,'MB51'!A:J,10,0),"")</f>
        <v/>
      </c>
      <c r="E948" s="62" t="str">
        <f>IFERROR(VLOOKUP(B948,'MB51'!A:K,11,0),"")</f>
        <v/>
      </c>
      <c r="F948" s="42" t="str">
        <f>IFERROR(VLOOKUP(B948,'MB51'!A:F,6,0),"")</f>
        <v/>
      </c>
      <c r="G948" s="17" t="str">
        <f t="shared" si="42"/>
        <v>點揀料單</v>
      </c>
      <c r="H948" s="17">
        <f t="shared" si="43"/>
        <v>0</v>
      </c>
      <c r="I948" t="str">
        <f t="shared" si="44"/>
        <v/>
      </c>
      <c r="J948" t="str">
        <f>SUBSTITUTE(IF(COUNTIF(I$2:I948,I948)&gt;1,"",1)," ","")</f>
        <v/>
      </c>
    </row>
    <row r="949" spans="1:10" x14ac:dyDescent="0.2">
      <c r="A949" s="51" t="str">
        <f>IFERROR(VLOOKUP(B949,點上線資訊!A:R,18,0),"")</f>
        <v/>
      </c>
      <c r="B949" s="41">
        <f>'MB51'!A949</f>
        <v>0</v>
      </c>
      <c r="C949" s="60" t="str">
        <f>IFERROR(VLOOKUP(B949,'MB51'!A:I,9,0),"")</f>
        <v/>
      </c>
      <c r="D949" s="61" t="str">
        <f>IFERROR(VLOOKUP(B949,'MB51'!A:J,10,0),"")</f>
        <v/>
      </c>
      <c r="E949" s="62" t="str">
        <f>IFERROR(VLOOKUP(B949,'MB51'!A:K,11,0),"")</f>
        <v/>
      </c>
      <c r="F949" s="42" t="str">
        <f>IFERROR(VLOOKUP(B949,'MB51'!A:F,6,0),"")</f>
        <v/>
      </c>
      <c r="G949" s="17" t="str">
        <f t="shared" si="42"/>
        <v>點揀料單</v>
      </c>
      <c r="H949" s="17">
        <f t="shared" si="43"/>
        <v>0</v>
      </c>
      <c r="I949" t="str">
        <f t="shared" si="44"/>
        <v/>
      </c>
      <c r="J949" t="str">
        <f>SUBSTITUTE(IF(COUNTIF(I$2:I949,I949)&gt;1,"",1)," ","")</f>
        <v/>
      </c>
    </row>
    <row r="950" spans="1:10" x14ac:dyDescent="0.2">
      <c r="A950" s="51" t="str">
        <f>IFERROR(VLOOKUP(B950,點上線資訊!A:R,18,0),"")</f>
        <v/>
      </c>
      <c r="B950" s="41">
        <f>'MB51'!A950</f>
        <v>0</v>
      </c>
      <c r="C950" s="60" t="str">
        <f>IFERROR(VLOOKUP(B950,'MB51'!A:I,9,0),"")</f>
        <v/>
      </c>
      <c r="D950" s="61" t="str">
        <f>IFERROR(VLOOKUP(B950,'MB51'!A:J,10,0),"")</f>
        <v/>
      </c>
      <c r="E950" s="62" t="str">
        <f>IFERROR(VLOOKUP(B950,'MB51'!A:K,11,0),"")</f>
        <v/>
      </c>
      <c r="F950" s="42" t="str">
        <f>IFERROR(VLOOKUP(B950,'MB51'!A:F,6,0),"")</f>
        <v/>
      </c>
      <c r="G950" s="17" t="str">
        <f t="shared" si="42"/>
        <v>點揀料單</v>
      </c>
      <c r="H950" s="17">
        <f t="shared" si="43"/>
        <v>0</v>
      </c>
      <c r="I950" t="str">
        <f t="shared" si="44"/>
        <v/>
      </c>
      <c r="J950" t="str">
        <f>SUBSTITUTE(IF(COUNTIF(I$2:I950,I950)&gt;1,"",1)," ","")</f>
        <v/>
      </c>
    </row>
    <row r="951" spans="1:10" x14ac:dyDescent="0.2">
      <c r="A951" s="51" t="str">
        <f>IFERROR(VLOOKUP(B951,點上線資訊!A:R,18,0),"")</f>
        <v/>
      </c>
      <c r="B951" s="41">
        <f>'MB51'!A951</f>
        <v>0</v>
      </c>
      <c r="C951" s="60" t="str">
        <f>IFERROR(VLOOKUP(B951,'MB51'!A:I,9,0),"")</f>
        <v/>
      </c>
      <c r="D951" s="61" t="str">
        <f>IFERROR(VLOOKUP(B951,'MB51'!A:J,10,0),"")</f>
        <v/>
      </c>
      <c r="E951" s="62" t="str">
        <f>IFERROR(VLOOKUP(B951,'MB51'!A:K,11,0),"")</f>
        <v/>
      </c>
      <c r="F951" s="42" t="str">
        <f>IFERROR(VLOOKUP(B951,'MB51'!A:F,6,0),"")</f>
        <v/>
      </c>
      <c r="G951" s="17" t="str">
        <f t="shared" si="42"/>
        <v>點揀料單</v>
      </c>
      <c r="H951" s="17">
        <f t="shared" si="43"/>
        <v>0</v>
      </c>
      <c r="I951" t="str">
        <f t="shared" si="44"/>
        <v/>
      </c>
      <c r="J951" t="str">
        <f>SUBSTITUTE(IF(COUNTIF(I$2:I951,I951)&gt;1,"",1)," ","")</f>
        <v/>
      </c>
    </row>
    <row r="952" spans="1:10" x14ac:dyDescent="0.2">
      <c r="A952" s="51" t="str">
        <f>IFERROR(VLOOKUP(B952,點上線資訊!A:R,18,0),"")</f>
        <v/>
      </c>
      <c r="B952" s="41">
        <f>'MB51'!A952</f>
        <v>0</v>
      </c>
      <c r="C952" s="60" t="str">
        <f>IFERROR(VLOOKUP(B952,'MB51'!A:I,9,0),"")</f>
        <v/>
      </c>
      <c r="D952" s="61" t="str">
        <f>IFERROR(VLOOKUP(B952,'MB51'!A:J,10,0),"")</f>
        <v/>
      </c>
      <c r="E952" s="62" t="str">
        <f>IFERROR(VLOOKUP(B952,'MB51'!A:K,11,0),"")</f>
        <v/>
      </c>
      <c r="F952" s="42" t="str">
        <f>IFERROR(VLOOKUP(B952,'MB51'!A:F,6,0),"")</f>
        <v/>
      </c>
      <c r="G952" s="17" t="str">
        <f t="shared" si="42"/>
        <v>點揀料單</v>
      </c>
      <c r="H952" s="17">
        <f t="shared" si="43"/>
        <v>0</v>
      </c>
      <c r="I952" t="str">
        <f t="shared" si="44"/>
        <v/>
      </c>
      <c r="J952" t="str">
        <f>SUBSTITUTE(IF(COUNTIF(I$2:I952,I952)&gt;1,"",1)," ","")</f>
        <v/>
      </c>
    </row>
    <row r="953" spans="1:10" x14ac:dyDescent="0.2">
      <c r="A953" s="51" t="str">
        <f>IFERROR(VLOOKUP(B953,點上線資訊!A:R,18,0),"")</f>
        <v/>
      </c>
      <c r="B953" s="41">
        <f>'MB51'!A953</f>
        <v>0</v>
      </c>
      <c r="C953" s="60" t="str">
        <f>IFERROR(VLOOKUP(B953,'MB51'!A:I,9,0),"")</f>
        <v/>
      </c>
      <c r="D953" s="61" t="str">
        <f>IFERROR(VLOOKUP(B953,'MB51'!A:J,10,0),"")</f>
        <v/>
      </c>
      <c r="E953" s="62" t="str">
        <f>IFERROR(VLOOKUP(B953,'MB51'!A:K,11,0),"")</f>
        <v/>
      </c>
      <c r="F953" s="42" t="str">
        <f>IFERROR(VLOOKUP(B953,'MB51'!A:F,6,0),"")</f>
        <v/>
      </c>
      <c r="G953" s="17" t="str">
        <f t="shared" si="42"/>
        <v>點揀料單</v>
      </c>
      <c r="H953" s="17">
        <f t="shared" si="43"/>
        <v>0</v>
      </c>
      <c r="I953" t="str">
        <f t="shared" si="44"/>
        <v/>
      </c>
      <c r="J953" t="str">
        <f>SUBSTITUTE(IF(COUNTIF(I$2:I953,I953)&gt;1,"",1)," ","")</f>
        <v/>
      </c>
    </row>
    <row r="954" spans="1:10" x14ac:dyDescent="0.2">
      <c r="A954" s="51" t="str">
        <f>IFERROR(VLOOKUP(B954,點上線資訊!A:R,18,0),"")</f>
        <v/>
      </c>
      <c r="B954" s="41">
        <f>'MB51'!A954</f>
        <v>0</v>
      </c>
      <c r="C954" s="60" t="str">
        <f>IFERROR(VLOOKUP(B954,'MB51'!A:I,9,0),"")</f>
        <v/>
      </c>
      <c r="D954" s="61" t="str">
        <f>IFERROR(VLOOKUP(B954,'MB51'!A:J,10,0),"")</f>
        <v/>
      </c>
      <c r="E954" s="62" t="str">
        <f>IFERROR(VLOOKUP(B954,'MB51'!A:K,11,0),"")</f>
        <v/>
      </c>
      <c r="F954" s="42" t="str">
        <f>IFERROR(VLOOKUP(B954,'MB51'!A:F,6,0),"")</f>
        <v/>
      </c>
      <c r="G954" s="17" t="str">
        <f t="shared" si="42"/>
        <v>點揀料單</v>
      </c>
      <c r="H954" s="17">
        <f t="shared" si="43"/>
        <v>0</v>
      </c>
      <c r="I954" t="str">
        <f t="shared" si="44"/>
        <v/>
      </c>
      <c r="J954" t="str">
        <f>SUBSTITUTE(IF(COUNTIF(I$2:I954,I954)&gt;1,"",1)," ","")</f>
        <v/>
      </c>
    </row>
    <row r="955" spans="1:10" x14ac:dyDescent="0.2">
      <c r="A955" s="51" t="str">
        <f>IFERROR(VLOOKUP(B955,點上線資訊!A:R,18,0),"")</f>
        <v/>
      </c>
      <c r="B955" s="41">
        <f>'MB51'!A955</f>
        <v>0</v>
      </c>
      <c r="C955" s="60" t="str">
        <f>IFERROR(VLOOKUP(B955,'MB51'!A:I,9,0),"")</f>
        <v/>
      </c>
      <c r="D955" s="61" t="str">
        <f>IFERROR(VLOOKUP(B955,'MB51'!A:J,10,0),"")</f>
        <v/>
      </c>
      <c r="E955" s="62" t="str">
        <f>IFERROR(VLOOKUP(B955,'MB51'!A:K,11,0),"")</f>
        <v/>
      </c>
      <c r="F955" s="42" t="str">
        <f>IFERROR(VLOOKUP(B955,'MB51'!A:F,6,0),"")</f>
        <v/>
      </c>
      <c r="G955" s="17" t="str">
        <f t="shared" si="42"/>
        <v>點揀料單</v>
      </c>
      <c r="H955" s="17">
        <f t="shared" si="43"/>
        <v>0</v>
      </c>
      <c r="I955" t="str">
        <f t="shared" si="44"/>
        <v/>
      </c>
      <c r="J955" t="str">
        <f>SUBSTITUTE(IF(COUNTIF(I$2:I955,I955)&gt;1,"",1)," ","")</f>
        <v/>
      </c>
    </row>
    <row r="956" spans="1:10" x14ac:dyDescent="0.2">
      <c r="A956" s="51" t="str">
        <f>IFERROR(VLOOKUP(B956,點上線資訊!A:R,18,0),"")</f>
        <v/>
      </c>
      <c r="B956" s="41">
        <f>'MB51'!A956</f>
        <v>0</v>
      </c>
      <c r="C956" s="60" t="str">
        <f>IFERROR(VLOOKUP(B956,'MB51'!A:I,9,0),"")</f>
        <v/>
      </c>
      <c r="D956" s="61" t="str">
        <f>IFERROR(VLOOKUP(B956,'MB51'!A:J,10,0),"")</f>
        <v/>
      </c>
      <c r="E956" s="62" t="str">
        <f>IFERROR(VLOOKUP(B956,'MB51'!A:K,11,0),"")</f>
        <v/>
      </c>
      <c r="F956" s="42" t="str">
        <f>IFERROR(VLOOKUP(B956,'MB51'!A:F,6,0),"")</f>
        <v/>
      </c>
      <c r="G956" s="17" t="str">
        <f t="shared" si="42"/>
        <v>點揀料單</v>
      </c>
      <c r="H956" s="17">
        <f t="shared" si="43"/>
        <v>0</v>
      </c>
      <c r="I956" t="str">
        <f t="shared" si="44"/>
        <v/>
      </c>
      <c r="J956" t="str">
        <f>SUBSTITUTE(IF(COUNTIF(I$2:I956,I956)&gt;1,"",1)," ","")</f>
        <v/>
      </c>
    </row>
    <row r="957" spans="1:10" x14ac:dyDescent="0.2">
      <c r="A957" s="51" t="str">
        <f>IFERROR(VLOOKUP(B957,點上線資訊!A:R,18,0),"")</f>
        <v/>
      </c>
      <c r="B957" s="41">
        <f>'MB51'!A957</f>
        <v>0</v>
      </c>
      <c r="C957" s="60" t="str">
        <f>IFERROR(VLOOKUP(B957,'MB51'!A:I,9,0),"")</f>
        <v/>
      </c>
      <c r="D957" s="61" t="str">
        <f>IFERROR(VLOOKUP(B957,'MB51'!A:J,10,0),"")</f>
        <v/>
      </c>
      <c r="E957" s="62" t="str">
        <f>IFERROR(VLOOKUP(B957,'MB51'!A:K,11,0),"")</f>
        <v/>
      </c>
      <c r="F957" s="42" t="str">
        <f>IFERROR(VLOOKUP(B957,'MB51'!A:F,6,0),"")</f>
        <v/>
      </c>
      <c r="G957" s="17" t="str">
        <f t="shared" si="42"/>
        <v>點揀料單</v>
      </c>
      <c r="H957" s="17">
        <f t="shared" si="43"/>
        <v>0</v>
      </c>
      <c r="I957" t="str">
        <f t="shared" si="44"/>
        <v/>
      </c>
      <c r="J957" t="str">
        <f>SUBSTITUTE(IF(COUNTIF(I$2:I957,I957)&gt;1,"",1)," ","")</f>
        <v/>
      </c>
    </row>
    <row r="958" spans="1:10" x14ac:dyDescent="0.2">
      <c r="A958" s="51" t="str">
        <f>IFERROR(VLOOKUP(B958,點上線資訊!A:R,18,0),"")</f>
        <v/>
      </c>
      <c r="B958" s="41">
        <f>'MB51'!A958</f>
        <v>0</v>
      </c>
      <c r="C958" s="60" t="str">
        <f>IFERROR(VLOOKUP(B958,'MB51'!A:I,9,0),"")</f>
        <v/>
      </c>
      <c r="D958" s="61" t="str">
        <f>IFERROR(VLOOKUP(B958,'MB51'!A:J,10,0),"")</f>
        <v/>
      </c>
      <c r="E958" s="62" t="str">
        <f>IFERROR(VLOOKUP(B958,'MB51'!A:K,11,0),"")</f>
        <v/>
      </c>
      <c r="F958" s="42" t="str">
        <f>IFERROR(VLOOKUP(B958,'MB51'!A:F,6,0),"")</f>
        <v/>
      </c>
      <c r="G958" s="17" t="str">
        <f t="shared" si="42"/>
        <v>點揀料單</v>
      </c>
      <c r="H958" s="17">
        <f t="shared" si="43"/>
        <v>0</v>
      </c>
      <c r="I958" t="str">
        <f t="shared" si="44"/>
        <v/>
      </c>
      <c r="J958" t="str">
        <f>SUBSTITUTE(IF(COUNTIF(I$2:I958,I958)&gt;1,"",1)," ","")</f>
        <v/>
      </c>
    </row>
    <row r="959" spans="1:10" x14ac:dyDescent="0.2">
      <c r="A959" s="51" t="str">
        <f>IFERROR(VLOOKUP(B959,點上線資訊!A:R,18,0),"")</f>
        <v/>
      </c>
      <c r="B959" s="41">
        <f>'MB51'!A959</f>
        <v>0</v>
      </c>
      <c r="C959" s="60" t="str">
        <f>IFERROR(VLOOKUP(B959,'MB51'!A:I,9,0),"")</f>
        <v/>
      </c>
      <c r="D959" s="61" t="str">
        <f>IFERROR(VLOOKUP(B959,'MB51'!A:J,10,0),"")</f>
        <v/>
      </c>
      <c r="E959" s="62" t="str">
        <f>IFERROR(VLOOKUP(B959,'MB51'!A:K,11,0),"")</f>
        <v/>
      </c>
      <c r="F959" s="42" t="str">
        <f>IFERROR(VLOOKUP(B959,'MB51'!A:F,6,0),"")</f>
        <v/>
      </c>
      <c r="G959" s="17" t="str">
        <f t="shared" si="42"/>
        <v>點揀料單</v>
      </c>
      <c r="H959" s="17">
        <f t="shared" si="43"/>
        <v>0</v>
      </c>
      <c r="I959" t="str">
        <f t="shared" si="44"/>
        <v/>
      </c>
      <c r="J959" t="str">
        <f>SUBSTITUTE(IF(COUNTIF(I$2:I959,I959)&gt;1,"",1)," ","")</f>
        <v/>
      </c>
    </row>
    <row r="960" spans="1:10" x14ac:dyDescent="0.2">
      <c r="A960" s="51" t="str">
        <f>IFERROR(VLOOKUP(B960,點上線資訊!A:R,18,0),"")</f>
        <v/>
      </c>
      <c r="B960" s="41">
        <f>'MB51'!A960</f>
        <v>0</v>
      </c>
      <c r="C960" s="60" t="str">
        <f>IFERROR(VLOOKUP(B960,'MB51'!A:I,9,0),"")</f>
        <v/>
      </c>
      <c r="D960" s="61" t="str">
        <f>IFERROR(VLOOKUP(B960,'MB51'!A:J,10,0),"")</f>
        <v/>
      </c>
      <c r="E960" s="62" t="str">
        <f>IFERROR(VLOOKUP(B960,'MB51'!A:K,11,0),"")</f>
        <v/>
      </c>
      <c r="F960" s="42" t="str">
        <f>IFERROR(VLOOKUP(B960,'MB51'!A:F,6,0),"")</f>
        <v/>
      </c>
      <c r="G960" s="17" t="str">
        <f t="shared" si="42"/>
        <v>點揀料單</v>
      </c>
      <c r="H960" s="17">
        <f t="shared" si="43"/>
        <v>0</v>
      </c>
      <c r="I960" t="str">
        <f t="shared" si="44"/>
        <v/>
      </c>
      <c r="J960" t="str">
        <f>SUBSTITUTE(IF(COUNTIF(I$2:I960,I960)&gt;1,"",1)," ","")</f>
        <v/>
      </c>
    </row>
    <row r="961" spans="1:10" x14ac:dyDescent="0.2">
      <c r="A961" s="51" t="str">
        <f>IFERROR(VLOOKUP(B961,點上線資訊!A:R,18,0),"")</f>
        <v/>
      </c>
      <c r="B961" s="41">
        <f>'MB51'!A961</f>
        <v>0</v>
      </c>
      <c r="C961" s="60" t="str">
        <f>IFERROR(VLOOKUP(B961,'MB51'!A:I,9,0),"")</f>
        <v/>
      </c>
      <c r="D961" s="61" t="str">
        <f>IFERROR(VLOOKUP(B961,'MB51'!A:J,10,0),"")</f>
        <v/>
      </c>
      <c r="E961" s="62" t="str">
        <f>IFERROR(VLOOKUP(B961,'MB51'!A:K,11,0),"")</f>
        <v/>
      </c>
      <c r="F961" s="42" t="str">
        <f>IFERROR(VLOOKUP(B961,'MB51'!A:F,6,0),"")</f>
        <v/>
      </c>
      <c r="G961" s="17" t="str">
        <f t="shared" si="42"/>
        <v>點揀料單</v>
      </c>
      <c r="H961" s="17">
        <f t="shared" si="43"/>
        <v>0</v>
      </c>
      <c r="I961" t="str">
        <f t="shared" si="44"/>
        <v/>
      </c>
      <c r="J961" t="str">
        <f>SUBSTITUTE(IF(COUNTIF(I$2:I961,I961)&gt;1,"",1)," ","")</f>
        <v/>
      </c>
    </row>
    <row r="962" spans="1:10" x14ac:dyDescent="0.2">
      <c r="A962" s="51" t="str">
        <f>IFERROR(VLOOKUP(B962,點上線資訊!A:R,18,0),"")</f>
        <v/>
      </c>
      <c r="B962" s="41">
        <f>'MB51'!A962</f>
        <v>0</v>
      </c>
      <c r="C962" s="60" t="str">
        <f>IFERROR(VLOOKUP(B962,'MB51'!A:I,9,0),"")</f>
        <v/>
      </c>
      <c r="D962" s="61" t="str">
        <f>IFERROR(VLOOKUP(B962,'MB51'!A:J,10,0),"")</f>
        <v/>
      </c>
      <c r="E962" s="62" t="str">
        <f>IFERROR(VLOOKUP(B962,'MB51'!A:K,11,0),"")</f>
        <v/>
      </c>
      <c r="F962" s="42" t="str">
        <f>IFERROR(VLOOKUP(B962,'MB51'!A:F,6,0),"")</f>
        <v/>
      </c>
      <c r="G962" s="17" t="str">
        <f t="shared" si="42"/>
        <v>點揀料單</v>
      </c>
      <c r="H962" s="17">
        <f t="shared" si="43"/>
        <v>0</v>
      </c>
      <c r="I962" t="str">
        <f t="shared" si="44"/>
        <v/>
      </c>
      <c r="J962" t="str">
        <f>SUBSTITUTE(IF(COUNTIF(I$2:I962,I962)&gt;1,"",1)," ","")</f>
        <v/>
      </c>
    </row>
    <row r="963" spans="1:10" x14ac:dyDescent="0.2">
      <c r="A963" s="51" t="str">
        <f>IFERROR(VLOOKUP(B963,點上線資訊!A:R,18,0),"")</f>
        <v/>
      </c>
      <c r="B963" s="41">
        <f>'MB51'!A963</f>
        <v>0</v>
      </c>
      <c r="C963" s="60" t="str">
        <f>IFERROR(VLOOKUP(B963,'MB51'!A:I,9,0),"")</f>
        <v/>
      </c>
      <c r="D963" s="61" t="str">
        <f>IFERROR(VLOOKUP(B963,'MB51'!A:J,10,0),"")</f>
        <v/>
      </c>
      <c r="E963" s="62" t="str">
        <f>IFERROR(VLOOKUP(B963,'MB51'!A:K,11,0),"")</f>
        <v/>
      </c>
      <c r="F963" s="42" t="str">
        <f>IFERROR(VLOOKUP(B963,'MB51'!A:F,6,0),"")</f>
        <v/>
      </c>
      <c r="G963" s="17" t="str">
        <f t="shared" ref="G963:G1026" si="45">TEXT(D963,"MM/DD")&amp;TEXT(E963,"  HH")&amp;"點揀料單"</f>
        <v>點揀料單</v>
      </c>
      <c r="H963" s="17">
        <f t="shared" ref="H963:H1026" si="46">ABS(SUMIF(C:C,C963,F:F))</f>
        <v>0</v>
      </c>
      <c r="I963" t="str">
        <f t="shared" ref="I963:I1026" si="47">RIGHTB(C963,10)</f>
        <v/>
      </c>
      <c r="J963" t="str">
        <f>SUBSTITUTE(IF(COUNTIF(I$2:I963,I963)&gt;1,"",1)," ","")</f>
        <v/>
      </c>
    </row>
    <row r="964" spans="1:10" x14ac:dyDescent="0.2">
      <c r="A964" s="51" t="str">
        <f>IFERROR(VLOOKUP(B964,點上線資訊!A:R,18,0),"")</f>
        <v/>
      </c>
      <c r="B964" s="41">
        <f>'MB51'!A964</f>
        <v>0</v>
      </c>
      <c r="C964" s="60" t="str">
        <f>IFERROR(VLOOKUP(B964,'MB51'!A:I,9,0),"")</f>
        <v/>
      </c>
      <c r="D964" s="61" t="str">
        <f>IFERROR(VLOOKUP(B964,'MB51'!A:J,10,0),"")</f>
        <v/>
      </c>
      <c r="E964" s="62" t="str">
        <f>IFERROR(VLOOKUP(B964,'MB51'!A:K,11,0),"")</f>
        <v/>
      </c>
      <c r="F964" s="42" t="str">
        <f>IFERROR(VLOOKUP(B964,'MB51'!A:F,6,0),"")</f>
        <v/>
      </c>
      <c r="G964" s="17" t="str">
        <f t="shared" si="45"/>
        <v>點揀料單</v>
      </c>
      <c r="H964" s="17">
        <f t="shared" si="46"/>
        <v>0</v>
      </c>
      <c r="I964" t="str">
        <f t="shared" si="47"/>
        <v/>
      </c>
      <c r="J964" t="str">
        <f>SUBSTITUTE(IF(COUNTIF(I$2:I964,I964)&gt;1,"",1)," ","")</f>
        <v/>
      </c>
    </row>
    <row r="965" spans="1:10" x14ac:dyDescent="0.2">
      <c r="A965" s="51" t="str">
        <f>IFERROR(VLOOKUP(B965,點上線資訊!A:R,18,0),"")</f>
        <v/>
      </c>
      <c r="B965" s="41">
        <f>'MB51'!A965</f>
        <v>0</v>
      </c>
      <c r="C965" s="60" t="str">
        <f>IFERROR(VLOOKUP(B965,'MB51'!A:I,9,0),"")</f>
        <v/>
      </c>
      <c r="D965" s="61" t="str">
        <f>IFERROR(VLOOKUP(B965,'MB51'!A:J,10,0),"")</f>
        <v/>
      </c>
      <c r="E965" s="62" t="str">
        <f>IFERROR(VLOOKUP(B965,'MB51'!A:K,11,0),"")</f>
        <v/>
      </c>
      <c r="F965" s="42" t="str">
        <f>IFERROR(VLOOKUP(B965,'MB51'!A:F,6,0),"")</f>
        <v/>
      </c>
      <c r="G965" s="17" t="str">
        <f t="shared" si="45"/>
        <v>點揀料單</v>
      </c>
      <c r="H965" s="17">
        <f t="shared" si="46"/>
        <v>0</v>
      </c>
      <c r="I965" t="str">
        <f t="shared" si="47"/>
        <v/>
      </c>
      <c r="J965" t="str">
        <f>SUBSTITUTE(IF(COUNTIF(I$2:I965,I965)&gt;1,"",1)," ","")</f>
        <v/>
      </c>
    </row>
    <row r="966" spans="1:10" x14ac:dyDescent="0.2">
      <c r="A966" s="51" t="str">
        <f>IFERROR(VLOOKUP(B966,點上線資訊!A:R,18,0),"")</f>
        <v/>
      </c>
      <c r="B966" s="41">
        <f>'MB51'!A966</f>
        <v>0</v>
      </c>
      <c r="C966" s="60" t="str">
        <f>IFERROR(VLOOKUP(B966,'MB51'!A:I,9,0),"")</f>
        <v/>
      </c>
      <c r="D966" s="61" t="str">
        <f>IFERROR(VLOOKUP(B966,'MB51'!A:J,10,0),"")</f>
        <v/>
      </c>
      <c r="E966" s="62" t="str">
        <f>IFERROR(VLOOKUP(B966,'MB51'!A:K,11,0),"")</f>
        <v/>
      </c>
      <c r="F966" s="42" t="str">
        <f>IFERROR(VLOOKUP(B966,'MB51'!A:F,6,0),"")</f>
        <v/>
      </c>
      <c r="G966" s="17" t="str">
        <f t="shared" si="45"/>
        <v>點揀料單</v>
      </c>
      <c r="H966" s="17">
        <f t="shared" si="46"/>
        <v>0</v>
      </c>
      <c r="I966" t="str">
        <f t="shared" si="47"/>
        <v/>
      </c>
      <c r="J966" t="str">
        <f>SUBSTITUTE(IF(COUNTIF(I$2:I966,I966)&gt;1,"",1)," ","")</f>
        <v/>
      </c>
    </row>
    <row r="967" spans="1:10" x14ac:dyDescent="0.2">
      <c r="A967" s="51" t="str">
        <f>IFERROR(VLOOKUP(B967,點上線資訊!A:R,18,0),"")</f>
        <v/>
      </c>
      <c r="B967" s="41">
        <f>'MB51'!A967</f>
        <v>0</v>
      </c>
      <c r="C967" s="60" t="str">
        <f>IFERROR(VLOOKUP(B967,'MB51'!A:I,9,0),"")</f>
        <v/>
      </c>
      <c r="D967" s="61" t="str">
        <f>IFERROR(VLOOKUP(B967,'MB51'!A:J,10,0),"")</f>
        <v/>
      </c>
      <c r="E967" s="62" t="str">
        <f>IFERROR(VLOOKUP(B967,'MB51'!A:K,11,0),"")</f>
        <v/>
      </c>
      <c r="F967" s="42" t="str">
        <f>IFERROR(VLOOKUP(B967,'MB51'!A:F,6,0),"")</f>
        <v/>
      </c>
      <c r="G967" s="17" t="str">
        <f t="shared" si="45"/>
        <v>點揀料單</v>
      </c>
      <c r="H967" s="17">
        <f t="shared" si="46"/>
        <v>0</v>
      </c>
      <c r="I967" t="str">
        <f t="shared" si="47"/>
        <v/>
      </c>
      <c r="J967" t="str">
        <f>SUBSTITUTE(IF(COUNTIF(I$2:I967,I967)&gt;1,"",1)," ","")</f>
        <v/>
      </c>
    </row>
    <row r="968" spans="1:10" x14ac:dyDescent="0.2">
      <c r="A968" s="51" t="str">
        <f>IFERROR(VLOOKUP(B968,點上線資訊!A:R,18,0),"")</f>
        <v/>
      </c>
      <c r="B968" s="41">
        <f>'MB51'!A968</f>
        <v>0</v>
      </c>
      <c r="C968" s="60" t="str">
        <f>IFERROR(VLOOKUP(B968,'MB51'!A:I,9,0),"")</f>
        <v/>
      </c>
      <c r="D968" s="61" t="str">
        <f>IFERROR(VLOOKUP(B968,'MB51'!A:J,10,0),"")</f>
        <v/>
      </c>
      <c r="E968" s="62" t="str">
        <f>IFERROR(VLOOKUP(B968,'MB51'!A:K,11,0),"")</f>
        <v/>
      </c>
      <c r="F968" s="42" t="str">
        <f>IFERROR(VLOOKUP(B968,'MB51'!A:F,6,0),"")</f>
        <v/>
      </c>
      <c r="G968" s="17" t="str">
        <f t="shared" si="45"/>
        <v>點揀料單</v>
      </c>
      <c r="H968" s="17">
        <f t="shared" si="46"/>
        <v>0</v>
      </c>
      <c r="I968" t="str">
        <f t="shared" si="47"/>
        <v/>
      </c>
      <c r="J968" t="str">
        <f>SUBSTITUTE(IF(COUNTIF(I$2:I968,I968)&gt;1,"",1)," ","")</f>
        <v/>
      </c>
    </row>
    <row r="969" spans="1:10" x14ac:dyDescent="0.2">
      <c r="A969" s="51" t="str">
        <f>IFERROR(VLOOKUP(B969,點上線資訊!A:R,18,0),"")</f>
        <v/>
      </c>
      <c r="B969" s="41">
        <f>'MB51'!A969</f>
        <v>0</v>
      </c>
      <c r="C969" s="60" t="str">
        <f>IFERROR(VLOOKUP(B969,'MB51'!A:I,9,0),"")</f>
        <v/>
      </c>
      <c r="D969" s="61" t="str">
        <f>IFERROR(VLOOKUP(B969,'MB51'!A:J,10,0),"")</f>
        <v/>
      </c>
      <c r="E969" s="62" t="str">
        <f>IFERROR(VLOOKUP(B969,'MB51'!A:K,11,0),"")</f>
        <v/>
      </c>
      <c r="F969" s="42" t="str">
        <f>IFERROR(VLOOKUP(B969,'MB51'!A:F,6,0),"")</f>
        <v/>
      </c>
      <c r="G969" s="17" t="str">
        <f t="shared" si="45"/>
        <v>點揀料單</v>
      </c>
      <c r="H969" s="17">
        <f t="shared" si="46"/>
        <v>0</v>
      </c>
      <c r="I969" t="str">
        <f t="shared" si="47"/>
        <v/>
      </c>
      <c r="J969" t="str">
        <f>SUBSTITUTE(IF(COUNTIF(I$2:I969,I969)&gt;1,"",1)," ","")</f>
        <v/>
      </c>
    </row>
    <row r="970" spans="1:10" x14ac:dyDescent="0.2">
      <c r="A970" s="51" t="str">
        <f>IFERROR(VLOOKUP(B970,點上線資訊!A:R,18,0),"")</f>
        <v/>
      </c>
      <c r="B970" s="41">
        <f>'MB51'!A970</f>
        <v>0</v>
      </c>
      <c r="C970" s="60" t="str">
        <f>IFERROR(VLOOKUP(B970,'MB51'!A:I,9,0),"")</f>
        <v/>
      </c>
      <c r="D970" s="61" t="str">
        <f>IFERROR(VLOOKUP(B970,'MB51'!A:J,10,0),"")</f>
        <v/>
      </c>
      <c r="E970" s="62" t="str">
        <f>IFERROR(VLOOKUP(B970,'MB51'!A:K,11,0),"")</f>
        <v/>
      </c>
      <c r="F970" s="42" t="str">
        <f>IFERROR(VLOOKUP(B970,'MB51'!A:F,6,0),"")</f>
        <v/>
      </c>
      <c r="G970" s="17" t="str">
        <f t="shared" si="45"/>
        <v>點揀料單</v>
      </c>
      <c r="H970" s="17">
        <f t="shared" si="46"/>
        <v>0</v>
      </c>
      <c r="I970" t="str">
        <f t="shared" si="47"/>
        <v/>
      </c>
      <c r="J970" t="str">
        <f>SUBSTITUTE(IF(COUNTIF(I$2:I970,I970)&gt;1,"",1)," ","")</f>
        <v/>
      </c>
    </row>
    <row r="971" spans="1:10" x14ac:dyDescent="0.2">
      <c r="A971" s="51" t="str">
        <f>IFERROR(VLOOKUP(B971,點上線資訊!A:R,18,0),"")</f>
        <v/>
      </c>
      <c r="B971" s="41">
        <f>'MB51'!A971</f>
        <v>0</v>
      </c>
      <c r="C971" s="60" t="str">
        <f>IFERROR(VLOOKUP(B971,'MB51'!A:I,9,0),"")</f>
        <v/>
      </c>
      <c r="D971" s="61" t="str">
        <f>IFERROR(VLOOKUP(B971,'MB51'!A:J,10,0),"")</f>
        <v/>
      </c>
      <c r="E971" s="62" t="str">
        <f>IFERROR(VLOOKUP(B971,'MB51'!A:K,11,0),"")</f>
        <v/>
      </c>
      <c r="F971" s="42" t="str">
        <f>IFERROR(VLOOKUP(B971,'MB51'!A:F,6,0),"")</f>
        <v/>
      </c>
      <c r="G971" s="17" t="str">
        <f t="shared" si="45"/>
        <v>點揀料單</v>
      </c>
      <c r="H971" s="17">
        <f t="shared" si="46"/>
        <v>0</v>
      </c>
      <c r="I971" t="str">
        <f t="shared" si="47"/>
        <v/>
      </c>
      <c r="J971" t="str">
        <f>SUBSTITUTE(IF(COUNTIF(I$2:I971,I971)&gt;1,"",1)," ","")</f>
        <v/>
      </c>
    </row>
    <row r="972" spans="1:10" x14ac:dyDescent="0.2">
      <c r="A972" s="51" t="str">
        <f>IFERROR(VLOOKUP(B972,點上線資訊!A:R,18,0),"")</f>
        <v/>
      </c>
      <c r="B972" s="41">
        <f>'MB51'!A972</f>
        <v>0</v>
      </c>
      <c r="C972" s="60" t="str">
        <f>IFERROR(VLOOKUP(B972,'MB51'!A:I,9,0),"")</f>
        <v/>
      </c>
      <c r="D972" s="61" t="str">
        <f>IFERROR(VLOOKUP(B972,'MB51'!A:J,10,0),"")</f>
        <v/>
      </c>
      <c r="E972" s="62" t="str">
        <f>IFERROR(VLOOKUP(B972,'MB51'!A:K,11,0),"")</f>
        <v/>
      </c>
      <c r="F972" s="42" t="str">
        <f>IFERROR(VLOOKUP(B972,'MB51'!A:F,6,0),"")</f>
        <v/>
      </c>
      <c r="G972" s="17" t="str">
        <f t="shared" si="45"/>
        <v>點揀料單</v>
      </c>
      <c r="H972" s="17">
        <f t="shared" si="46"/>
        <v>0</v>
      </c>
      <c r="I972" t="str">
        <f t="shared" si="47"/>
        <v/>
      </c>
      <c r="J972" t="str">
        <f>SUBSTITUTE(IF(COUNTIF(I$2:I972,I972)&gt;1,"",1)," ","")</f>
        <v/>
      </c>
    </row>
    <row r="973" spans="1:10" x14ac:dyDescent="0.2">
      <c r="A973" s="51" t="str">
        <f>IFERROR(VLOOKUP(B973,點上線資訊!A:R,18,0),"")</f>
        <v/>
      </c>
      <c r="B973" s="41">
        <f>'MB51'!A973</f>
        <v>0</v>
      </c>
      <c r="C973" s="60" t="str">
        <f>IFERROR(VLOOKUP(B973,'MB51'!A:I,9,0),"")</f>
        <v/>
      </c>
      <c r="D973" s="61" t="str">
        <f>IFERROR(VLOOKUP(B973,'MB51'!A:J,10,0),"")</f>
        <v/>
      </c>
      <c r="E973" s="62" t="str">
        <f>IFERROR(VLOOKUP(B973,'MB51'!A:K,11,0),"")</f>
        <v/>
      </c>
      <c r="F973" s="42" t="str">
        <f>IFERROR(VLOOKUP(B973,'MB51'!A:F,6,0),"")</f>
        <v/>
      </c>
      <c r="G973" s="17" t="str">
        <f t="shared" si="45"/>
        <v>點揀料單</v>
      </c>
      <c r="H973" s="17">
        <f t="shared" si="46"/>
        <v>0</v>
      </c>
      <c r="I973" t="str">
        <f t="shared" si="47"/>
        <v/>
      </c>
      <c r="J973" t="str">
        <f>SUBSTITUTE(IF(COUNTIF(I$2:I973,I973)&gt;1,"",1)," ","")</f>
        <v/>
      </c>
    </row>
    <row r="974" spans="1:10" x14ac:dyDescent="0.2">
      <c r="A974" s="51" t="str">
        <f>IFERROR(VLOOKUP(B974,點上線資訊!A:R,18,0),"")</f>
        <v/>
      </c>
      <c r="B974" s="41">
        <f>'MB51'!A974</f>
        <v>0</v>
      </c>
      <c r="C974" s="60" t="str">
        <f>IFERROR(VLOOKUP(B974,'MB51'!A:I,9,0),"")</f>
        <v/>
      </c>
      <c r="D974" s="61" t="str">
        <f>IFERROR(VLOOKUP(B974,'MB51'!A:J,10,0),"")</f>
        <v/>
      </c>
      <c r="E974" s="62" t="str">
        <f>IFERROR(VLOOKUP(B974,'MB51'!A:K,11,0),"")</f>
        <v/>
      </c>
      <c r="F974" s="42" t="str">
        <f>IFERROR(VLOOKUP(B974,'MB51'!A:F,6,0),"")</f>
        <v/>
      </c>
      <c r="G974" s="17" t="str">
        <f t="shared" si="45"/>
        <v>點揀料單</v>
      </c>
      <c r="H974" s="17">
        <f t="shared" si="46"/>
        <v>0</v>
      </c>
      <c r="I974" t="str">
        <f t="shared" si="47"/>
        <v/>
      </c>
      <c r="J974" t="str">
        <f>SUBSTITUTE(IF(COUNTIF(I$2:I974,I974)&gt;1,"",1)," ","")</f>
        <v/>
      </c>
    </row>
    <row r="975" spans="1:10" x14ac:dyDescent="0.2">
      <c r="A975" s="51" t="str">
        <f>IFERROR(VLOOKUP(B975,點上線資訊!A:R,18,0),"")</f>
        <v/>
      </c>
      <c r="B975" s="41">
        <f>'MB51'!A975</f>
        <v>0</v>
      </c>
      <c r="C975" s="60" t="str">
        <f>IFERROR(VLOOKUP(B975,'MB51'!A:I,9,0),"")</f>
        <v/>
      </c>
      <c r="D975" s="61" t="str">
        <f>IFERROR(VLOOKUP(B975,'MB51'!A:J,10,0),"")</f>
        <v/>
      </c>
      <c r="E975" s="62" t="str">
        <f>IFERROR(VLOOKUP(B975,'MB51'!A:K,11,0),"")</f>
        <v/>
      </c>
      <c r="F975" s="42" t="str">
        <f>IFERROR(VLOOKUP(B975,'MB51'!A:F,6,0),"")</f>
        <v/>
      </c>
      <c r="G975" s="17" t="str">
        <f t="shared" si="45"/>
        <v>點揀料單</v>
      </c>
      <c r="H975" s="17">
        <f t="shared" si="46"/>
        <v>0</v>
      </c>
      <c r="I975" t="str">
        <f t="shared" si="47"/>
        <v/>
      </c>
      <c r="J975" t="str">
        <f>SUBSTITUTE(IF(COUNTIF(I$2:I975,I975)&gt;1,"",1)," ","")</f>
        <v/>
      </c>
    </row>
    <row r="976" spans="1:10" x14ac:dyDescent="0.2">
      <c r="A976" s="51" t="str">
        <f>IFERROR(VLOOKUP(B976,點上線資訊!A:R,18,0),"")</f>
        <v/>
      </c>
      <c r="B976" s="41">
        <f>'MB51'!A976</f>
        <v>0</v>
      </c>
      <c r="C976" s="60" t="str">
        <f>IFERROR(VLOOKUP(B976,'MB51'!A:I,9,0),"")</f>
        <v/>
      </c>
      <c r="D976" s="61" t="str">
        <f>IFERROR(VLOOKUP(B976,'MB51'!A:J,10,0),"")</f>
        <v/>
      </c>
      <c r="E976" s="62" t="str">
        <f>IFERROR(VLOOKUP(B976,'MB51'!A:K,11,0),"")</f>
        <v/>
      </c>
      <c r="F976" s="42" t="str">
        <f>IFERROR(VLOOKUP(B976,'MB51'!A:F,6,0),"")</f>
        <v/>
      </c>
      <c r="G976" s="17" t="str">
        <f t="shared" si="45"/>
        <v>點揀料單</v>
      </c>
      <c r="H976" s="17">
        <f t="shared" si="46"/>
        <v>0</v>
      </c>
      <c r="I976" t="str">
        <f t="shared" si="47"/>
        <v/>
      </c>
      <c r="J976" t="str">
        <f>SUBSTITUTE(IF(COUNTIF(I$2:I976,I976)&gt;1,"",1)," ","")</f>
        <v/>
      </c>
    </row>
    <row r="977" spans="1:10" x14ac:dyDescent="0.2">
      <c r="A977" s="51" t="str">
        <f>IFERROR(VLOOKUP(B977,點上線資訊!A:R,18,0),"")</f>
        <v/>
      </c>
      <c r="B977" s="41">
        <f>'MB51'!A977</f>
        <v>0</v>
      </c>
      <c r="C977" s="60" t="str">
        <f>IFERROR(VLOOKUP(B977,'MB51'!A:I,9,0),"")</f>
        <v/>
      </c>
      <c r="D977" s="61" t="str">
        <f>IFERROR(VLOOKUP(B977,'MB51'!A:J,10,0),"")</f>
        <v/>
      </c>
      <c r="E977" s="62" t="str">
        <f>IFERROR(VLOOKUP(B977,'MB51'!A:K,11,0),"")</f>
        <v/>
      </c>
      <c r="F977" s="42" t="str">
        <f>IFERROR(VLOOKUP(B977,'MB51'!A:F,6,0),"")</f>
        <v/>
      </c>
      <c r="G977" s="17" t="str">
        <f t="shared" si="45"/>
        <v>點揀料單</v>
      </c>
      <c r="H977" s="17">
        <f t="shared" si="46"/>
        <v>0</v>
      </c>
      <c r="I977" t="str">
        <f t="shared" si="47"/>
        <v/>
      </c>
      <c r="J977" t="str">
        <f>SUBSTITUTE(IF(COUNTIF(I$2:I977,I977)&gt;1,"",1)," ","")</f>
        <v/>
      </c>
    </row>
    <row r="978" spans="1:10" x14ac:dyDescent="0.2">
      <c r="A978" s="51" t="str">
        <f>IFERROR(VLOOKUP(B978,點上線資訊!A:R,18,0),"")</f>
        <v/>
      </c>
      <c r="B978" s="41">
        <f>'MB51'!A978</f>
        <v>0</v>
      </c>
      <c r="C978" s="60" t="str">
        <f>IFERROR(VLOOKUP(B978,'MB51'!A:I,9,0),"")</f>
        <v/>
      </c>
      <c r="D978" s="61" t="str">
        <f>IFERROR(VLOOKUP(B978,'MB51'!A:J,10,0),"")</f>
        <v/>
      </c>
      <c r="E978" s="62" t="str">
        <f>IFERROR(VLOOKUP(B978,'MB51'!A:K,11,0),"")</f>
        <v/>
      </c>
      <c r="F978" s="42" t="str">
        <f>IFERROR(VLOOKUP(B978,'MB51'!A:F,6,0),"")</f>
        <v/>
      </c>
      <c r="G978" s="17" t="str">
        <f t="shared" si="45"/>
        <v>點揀料單</v>
      </c>
      <c r="H978" s="17">
        <f t="shared" si="46"/>
        <v>0</v>
      </c>
      <c r="I978" t="str">
        <f t="shared" si="47"/>
        <v/>
      </c>
      <c r="J978" t="str">
        <f>SUBSTITUTE(IF(COUNTIF(I$2:I978,I978)&gt;1,"",1)," ","")</f>
        <v/>
      </c>
    </row>
    <row r="979" spans="1:10" x14ac:dyDescent="0.2">
      <c r="A979" s="51" t="str">
        <f>IFERROR(VLOOKUP(B979,點上線資訊!A:R,18,0),"")</f>
        <v/>
      </c>
      <c r="B979" s="41">
        <f>'MB51'!A979</f>
        <v>0</v>
      </c>
      <c r="C979" s="60" t="str">
        <f>IFERROR(VLOOKUP(B979,'MB51'!A:I,9,0),"")</f>
        <v/>
      </c>
      <c r="D979" s="61" t="str">
        <f>IFERROR(VLOOKUP(B979,'MB51'!A:J,10,0),"")</f>
        <v/>
      </c>
      <c r="E979" s="62" t="str">
        <f>IFERROR(VLOOKUP(B979,'MB51'!A:K,11,0),"")</f>
        <v/>
      </c>
      <c r="F979" s="42" t="str">
        <f>IFERROR(VLOOKUP(B979,'MB51'!A:F,6,0),"")</f>
        <v/>
      </c>
      <c r="G979" s="17" t="str">
        <f t="shared" si="45"/>
        <v>點揀料單</v>
      </c>
      <c r="H979" s="17">
        <f t="shared" si="46"/>
        <v>0</v>
      </c>
      <c r="I979" t="str">
        <f t="shared" si="47"/>
        <v/>
      </c>
      <c r="J979" t="str">
        <f>SUBSTITUTE(IF(COUNTIF(I$2:I979,I979)&gt;1,"",1)," ","")</f>
        <v/>
      </c>
    </row>
    <row r="980" spans="1:10" x14ac:dyDescent="0.2">
      <c r="A980" s="51" t="str">
        <f>IFERROR(VLOOKUP(B980,點上線資訊!A:R,18,0),"")</f>
        <v/>
      </c>
      <c r="B980" s="41">
        <f>'MB51'!A980</f>
        <v>0</v>
      </c>
      <c r="C980" s="60" t="str">
        <f>IFERROR(VLOOKUP(B980,'MB51'!A:I,9,0),"")</f>
        <v/>
      </c>
      <c r="D980" s="61" t="str">
        <f>IFERROR(VLOOKUP(B980,'MB51'!A:J,10,0),"")</f>
        <v/>
      </c>
      <c r="E980" s="62" t="str">
        <f>IFERROR(VLOOKUP(B980,'MB51'!A:K,11,0),"")</f>
        <v/>
      </c>
      <c r="F980" s="42" t="str">
        <f>IFERROR(VLOOKUP(B980,'MB51'!A:F,6,0),"")</f>
        <v/>
      </c>
      <c r="G980" s="17" t="str">
        <f t="shared" si="45"/>
        <v>點揀料單</v>
      </c>
      <c r="H980" s="17">
        <f t="shared" si="46"/>
        <v>0</v>
      </c>
      <c r="I980" t="str">
        <f t="shared" si="47"/>
        <v/>
      </c>
      <c r="J980" t="str">
        <f>SUBSTITUTE(IF(COUNTIF(I$2:I980,I980)&gt;1,"",1)," ","")</f>
        <v/>
      </c>
    </row>
    <row r="981" spans="1:10" x14ac:dyDescent="0.2">
      <c r="A981" s="51" t="str">
        <f>IFERROR(VLOOKUP(B981,點上線資訊!A:R,18,0),"")</f>
        <v/>
      </c>
      <c r="B981" s="41">
        <f>'MB51'!A981</f>
        <v>0</v>
      </c>
      <c r="C981" s="60" t="str">
        <f>IFERROR(VLOOKUP(B981,'MB51'!A:I,9,0),"")</f>
        <v/>
      </c>
      <c r="D981" s="61" t="str">
        <f>IFERROR(VLOOKUP(B981,'MB51'!A:J,10,0),"")</f>
        <v/>
      </c>
      <c r="E981" s="62" t="str">
        <f>IFERROR(VLOOKUP(B981,'MB51'!A:K,11,0),"")</f>
        <v/>
      </c>
      <c r="F981" s="42" t="str">
        <f>IFERROR(VLOOKUP(B981,'MB51'!A:F,6,0),"")</f>
        <v/>
      </c>
      <c r="G981" s="17" t="str">
        <f t="shared" si="45"/>
        <v>點揀料單</v>
      </c>
      <c r="H981" s="17">
        <f t="shared" si="46"/>
        <v>0</v>
      </c>
      <c r="I981" t="str">
        <f t="shared" si="47"/>
        <v/>
      </c>
      <c r="J981" t="str">
        <f>SUBSTITUTE(IF(COUNTIF(I$2:I981,I981)&gt;1,"",1)," ","")</f>
        <v/>
      </c>
    </row>
    <row r="982" spans="1:10" x14ac:dyDescent="0.2">
      <c r="A982" s="51" t="str">
        <f>IFERROR(VLOOKUP(B982,點上線資訊!A:R,18,0),"")</f>
        <v/>
      </c>
      <c r="B982" s="41">
        <f>'MB51'!A982</f>
        <v>0</v>
      </c>
      <c r="C982" s="60" t="str">
        <f>IFERROR(VLOOKUP(B982,'MB51'!A:I,9,0),"")</f>
        <v/>
      </c>
      <c r="D982" s="61" t="str">
        <f>IFERROR(VLOOKUP(B982,'MB51'!A:J,10,0),"")</f>
        <v/>
      </c>
      <c r="E982" s="62" t="str">
        <f>IFERROR(VLOOKUP(B982,'MB51'!A:K,11,0),"")</f>
        <v/>
      </c>
      <c r="F982" s="42" t="str">
        <f>IFERROR(VLOOKUP(B982,'MB51'!A:F,6,0),"")</f>
        <v/>
      </c>
      <c r="G982" s="17" t="str">
        <f t="shared" si="45"/>
        <v>點揀料單</v>
      </c>
      <c r="H982" s="17">
        <f t="shared" si="46"/>
        <v>0</v>
      </c>
      <c r="I982" t="str">
        <f t="shared" si="47"/>
        <v/>
      </c>
      <c r="J982" t="str">
        <f>SUBSTITUTE(IF(COUNTIF(I$2:I982,I982)&gt;1,"",1)," ","")</f>
        <v/>
      </c>
    </row>
    <row r="983" spans="1:10" x14ac:dyDescent="0.2">
      <c r="A983" s="51" t="str">
        <f>IFERROR(VLOOKUP(B983,點上線資訊!A:R,18,0),"")</f>
        <v/>
      </c>
      <c r="B983" s="41">
        <f>'MB51'!A983</f>
        <v>0</v>
      </c>
      <c r="C983" s="60" t="str">
        <f>IFERROR(VLOOKUP(B983,'MB51'!A:I,9,0),"")</f>
        <v/>
      </c>
      <c r="D983" s="61" t="str">
        <f>IFERROR(VLOOKUP(B983,'MB51'!A:J,10,0),"")</f>
        <v/>
      </c>
      <c r="E983" s="62" t="str">
        <f>IFERROR(VLOOKUP(B983,'MB51'!A:K,11,0),"")</f>
        <v/>
      </c>
      <c r="F983" s="42" t="str">
        <f>IFERROR(VLOOKUP(B983,'MB51'!A:F,6,0),"")</f>
        <v/>
      </c>
      <c r="G983" s="17" t="str">
        <f t="shared" si="45"/>
        <v>點揀料單</v>
      </c>
      <c r="H983" s="17">
        <f t="shared" si="46"/>
        <v>0</v>
      </c>
      <c r="I983" t="str">
        <f t="shared" si="47"/>
        <v/>
      </c>
      <c r="J983" t="str">
        <f>SUBSTITUTE(IF(COUNTIF(I$2:I983,I983)&gt;1,"",1)," ","")</f>
        <v/>
      </c>
    </row>
    <row r="984" spans="1:10" x14ac:dyDescent="0.2">
      <c r="A984" s="51" t="str">
        <f>IFERROR(VLOOKUP(B984,點上線資訊!A:R,18,0),"")</f>
        <v/>
      </c>
      <c r="B984" s="41">
        <f>'MB51'!A984</f>
        <v>0</v>
      </c>
      <c r="C984" s="60" t="str">
        <f>IFERROR(VLOOKUP(B984,'MB51'!A:I,9,0),"")</f>
        <v/>
      </c>
      <c r="D984" s="61" t="str">
        <f>IFERROR(VLOOKUP(B984,'MB51'!A:J,10,0),"")</f>
        <v/>
      </c>
      <c r="E984" s="62" t="str">
        <f>IFERROR(VLOOKUP(B984,'MB51'!A:K,11,0),"")</f>
        <v/>
      </c>
      <c r="F984" s="42" t="str">
        <f>IFERROR(VLOOKUP(B984,'MB51'!A:F,6,0),"")</f>
        <v/>
      </c>
      <c r="G984" s="17" t="str">
        <f t="shared" si="45"/>
        <v>點揀料單</v>
      </c>
      <c r="H984" s="17">
        <f t="shared" si="46"/>
        <v>0</v>
      </c>
      <c r="I984" t="str">
        <f t="shared" si="47"/>
        <v/>
      </c>
      <c r="J984" t="str">
        <f>SUBSTITUTE(IF(COUNTIF(I$2:I984,I984)&gt;1,"",1)," ","")</f>
        <v/>
      </c>
    </row>
    <row r="985" spans="1:10" x14ac:dyDescent="0.2">
      <c r="A985" s="51" t="str">
        <f>IFERROR(VLOOKUP(B985,點上線資訊!A:R,18,0),"")</f>
        <v/>
      </c>
      <c r="B985" s="41">
        <f>'MB51'!A985</f>
        <v>0</v>
      </c>
      <c r="C985" s="60" t="str">
        <f>IFERROR(VLOOKUP(B985,'MB51'!A:I,9,0),"")</f>
        <v/>
      </c>
      <c r="D985" s="61" t="str">
        <f>IFERROR(VLOOKUP(B985,'MB51'!A:J,10,0),"")</f>
        <v/>
      </c>
      <c r="E985" s="62" t="str">
        <f>IFERROR(VLOOKUP(B985,'MB51'!A:K,11,0),"")</f>
        <v/>
      </c>
      <c r="F985" s="42" t="str">
        <f>IFERROR(VLOOKUP(B985,'MB51'!A:F,6,0),"")</f>
        <v/>
      </c>
      <c r="G985" s="17" t="str">
        <f t="shared" si="45"/>
        <v>點揀料單</v>
      </c>
      <c r="H985" s="17">
        <f t="shared" si="46"/>
        <v>0</v>
      </c>
      <c r="I985" t="str">
        <f t="shared" si="47"/>
        <v/>
      </c>
      <c r="J985" t="str">
        <f>SUBSTITUTE(IF(COUNTIF(I$2:I985,I985)&gt;1,"",1)," ","")</f>
        <v/>
      </c>
    </row>
    <row r="986" spans="1:10" x14ac:dyDescent="0.2">
      <c r="A986" s="51" t="str">
        <f>IFERROR(VLOOKUP(B986,點上線資訊!A:R,18,0),"")</f>
        <v/>
      </c>
      <c r="B986" s="41">
        <f>'MB51'!A986</f>
        <v>0</v>
      </c>
      <c r="C986" s="60" t="str">
        <f>IFERROR(VLOOKUP(B986,'MB51'!A:I,9,0),"")</f>
        <v/>
      </c>
      <c r="D986" s="61" t="str">
        <f>IFERROR(VLOOKUP(B986,'MB51'!A:J,10,0),"")</f>
        <v/>
      </c>
      <c r="E986" s="62" t="str">
        <f>IFERROR(VLOOKUP(B986,'MB51'!A:K,11,0),"")</f>
        <v/>
      </c>
      <c r="F986" s="42" t="str">
        <f>IFERROR(VLOOKUP(B986,'MB51'!A:F,6,0),"")</f>
        <v/>
      </c>
      <c r="G986" s="17" t="str">
        <f t="shared" si="45"/>
        <v>點揀料單</v>
      </c>
      <c r="H986" s="17">
        <f t="shared" si="46"/>
        <v>0</v>
      </c>
      <c r="I986" t="str">
        <f t="shared" si="47"/>
        <v/>
      </c>
      <c r="J986" t="str">
        <f>SUBSTITUTE(IF(COUNTIF(I$2:I986,I986)&gt;1,"",1)," ","")</f>
        <v/>
      </c>
    </row>
    <row r="987" spans="1:10" x14ac:dyDescent="0.2">
      <c r="A987" s="51" t="str">
        <f>IFERROR(VLOOKUP(B987,點上線資訊!A:R,18,0),"")</f>
        <v/>
      </c>
      <c r="B987" s="41">
        <f>'MB51'!A987</f>
        <v>0</v>
      </c>
      <c r="C987" s="60" t="str">
        <f>IFERROR(VLOOKUP(B987,'MB51'!A:I,9,0),"")</f>
        <v/>
      </c>
      <c r="D987" s="61" t="str">
        <f>IFERROR(VLOOKUP(B987,'MB51'!A:J,10,0),"")</f>
        <v/>
      </c>
      <c r="E987" s="62" t="str">
        <f>IFERROR(VLOOKUP(B987,'MB51'!A:K,11,0),"")</f>
        <v/>
      </c>
      <c r="F987" s="42" t="str">
        <f>IFERROR(VLOOKUP(B987,'MB51'!A:F,6,0),"")</f>
        <v/>
      </c>
      <c r="G987" s="17" t="str">
        <f t="shared" si="45"/>
        <v>點揀料單</v>
      </c>
      <c r="H987" s="17">
        <f t="shared" si="46"/>
        <v>0</v>
      </c>
      <c r="I987" t="str">
        <f t="shared" si="47"/>
        <v/>
      </c>
      <c r="J987" t="str">
        <f>SUBSTITUTE(IF(COUNTIF(I$2:I987,I987)&gt;1,"",1)," ","")</f>
        <v/>
      </c>
    </row>
    <row r="988" spans="1:10" x14ac:dyDescent="0.2">
      <c r="A988" s="51" t="str">
        <f>IFERROR(VLOOKUP(B988,點上線資訊!A:R,18,0),"")</f>
        <v/>
      </c>
      <c r="B988" s="41">
        <f>'MB51'!A988</f>
        <v>0</v>
      </c>
      <c r="C988" s="60" t="str">
        <f>IFERROR(VLOOKUP(B988,'MB51'!A:I,9,0),"")</f>
        <v/>
      </c>
      <c r="D988" s="61" t="str">
        <f>IFERROR(VLOOKUP(B988,'MB51'!A:J,10,0),"")</f>
        <v/>
      </c>
      <c r="E988" s="62" t="str">
        <f>IFERROR(VLOOKUP(B988,'MB51'!A:K,11,0),"")</f>
        <v/>
      </c>
      <c r="F988" s="42" t="str">
        <f>IFERROR(VLOOKUP(B988,'MB51'!A:F,6,0),"")</f>
        <v/>
      </c>
      <c r="G988" s="17" t="str">
        <f t="shared" si="45"/>
        <v>點揀料單</v>
      </c>
      <c r="H988" s="17">
        <f t="shared" si="46"/>
        <v>0</v>
      </c>
      <c r="I988" t="str">
        <f t="shared" si="47"/>
        <v/>
      </c>
      <c r="J988" t="str">
        <f>SUBSTITUTE(IF(COUNTIF(I$2:I988,I988)&gt;1,"",1)," ","")</f>
        <v/>
      </c>
    </row>
    <row r="989" spans="1:10" x14ac:dyDescent="0.2">
      <c r="A989" s="51" t="str">
        <f>IFERROR(VLOOKUP(B989,點上線資訊!A:R,18,0),"")</f>
        <v/>
      </c>
      <c r="B989" s="41">
        <f>'MB51'!A989</f>
        <v>0</v>
      </c>
      <c r="C989" s="60" t="str">
        <f>IFERROR(VLOOKUP(B989,'MB51'!A:I,9,0),"")</f>
        <v/>
      </c>
      <c r="D989" s="61" t="str">
        <f>IFERROR(VLOOKUP(B989,'MB51'!A:J,10,0),"")</f>
        <v/>
      </c>
      <c r="E989" s="62" t="str">
        <f>IFERROR(VLOOKUP(B989,'MB51'!A:K,11,0),"")</f>
        <v/>
      </c>
      <c r="F989" s="42" t="str">
        <f>IFERROR(VLOOKUP(B989,'MB51'!A:F,6,0),"")</f>
        <v/>
      </c>
      <c r="G989" s="17" t="str">
        <f t="shared" si="45"/>
        <v>點揀料單</v>
      </c>
      <c r="H989" s="17">
        <f t="shared" si="46"/>
        <v>0</v>
      </c>
      <c r="I989" t="str">
        <f t="shared" si="47"/>
        <v/>
      </c>
      <c r="J989" t="str">
        <f>SUBSTITUTE(IF(COUNTIF(I$2:I989,I989)&gt;1,"",1)," ","")</f>
        <v/>
      </c>
    </row>
    <row r="990" spans="1:10" x14ac:dyDescent="0.2">
      <c r="A990" s="51" t="str">
        <f>IFERROR(VLOOKUP(B990,點上線資訊!A:R,18,0),"")</f>
        <v/>
      </c>
      <c r="B990" s="41">
        <f>'MB51'!A990</f>
        <v>0</v>
      </c>
      <c r="C990" s="60" t="str">
        <f>IFERROR(VLOOKUP(B990,'MB51'!A:I,9,0),"")</f>
        <v/>
      </c>
      <c r="D990" s="61" t="str">
        <f>IFERROR(VLOOKUP(B990,'MB51'!A:J,10,0),"")</f>
        <v/>
      </c>
      <c r="E990" s="62" t="str">
        <f>IFERROR(VLOOKUP(B990,'MB51'!A:K,11,0),"")</f>
        <v/>
      </c>
      <c r="F990" s="42" t="str">
        <f>IFERROR(VLOOKUP(B990,'MB51'!A:F,6,0),"")</f>
        <v/>
      </c>
      <c r="G990" s="17" t="str">
        <f t="shared" si="45"/>
        <v>點揀料單</v>
      </c>
      <c r="H990" s="17">
        <f t="shared" si="46"/>
        <v>0</v>
      </c>
      <c r="I990" t="str">
        <f t="shared" si="47"/>
        <v/>
      </c>
      <c r="J990" t="str">
        <f>SUBSTITUTE(IF(COUNTIF(I$2:I990,I990)&gt;1,"",1)," ","")</f>
        <v/>
      </c>
    </row>
    <row r="991" spans="1:10" x14ac:dyDescent="0.2">
      <c r="A991" s="51" t="str">
        <f>IFERROR(VLOOKUP(B991,點上線資訊!A:R,18,0),"")</f>
        <v/>
      </c>
      <c r="B991" s="41">
        <f>'MB51'!A991</f>
        <v>0</v>
      </c>
      <c r="C991" s="60" t="str">
        <f>IFERROR(VLOOKUP(B991,'MB51'!A:I,9,0),"")</f>
        <v/>
      </c>
      <c r="D991" s="61" t="str">
        <f>IFERROR(VLOOKUP(B991,'MB51'!A:J,10,0),"")</f>
        <v/>
      </c>
      <c r="E991" s="62" t="str">
        <f>IFERROR(VLOOKUP(B991,'MB51'!A:K,11,0),"")</f>
        <v/>
      </c>
      <c r="F991" s="42" t="str">
        <f>IFERROR(VLOOKUP(B991,'MB51'!A:F,6,0),"")</f>
        <v/>
      </c>
      <c r="G991" s="17" t="str">
        <f t="shared" si="45"/>
        <v>點揀料單</v>
      </c>
      <c r="H991" s="17">
        <f t="shared" si="46"/>
        <v>0</v>
      </c>
      <c r="I991" t="str">
        <f t="shared" si="47"/>
        <v/>
      </c>
      <c r="J991" t="str">
        <f>SUBSTITUTE(IF(COUNTIF(I$2:I991,I991)&gt;1,"",1)," ","")</f>
        <v/>
      </c>
    </row>
    <row r="992" spans="1:10" x14ac:dyDescent="0.2">
      <c r="A992" s="51" t="str">
        <f>IFERROR(VLOOKUP(B992,點上線資訊!A:R,18,0),"")</f>
        <v/>
      </c>
      <c r="B992" s="41">
        <f>'MB51'!A992</f>
        <v>0</v>
      </c>
      <c r="C992" s="60" t="str">
        <f>IFERROR(VLOOKUP(B992,'MB51'!A:I,9,0),"")</f>
        <v/>
      </c>
      <c r="D992" s="61" t="str">
        <f>IFERROR(VLOOKUP(B992,'MB51'!A:J,10,0),"")</f>
        <v/>
      </c>
      <c r="E992" s="62" t="str">
        <f>IFERROR(VLOOKUP(B992,'MB51'!A:K,11,0),"")</f>
        <v/>
      </c>
      <c r="F992" s="42" t="str">
        <f>IFERROR(VLOOKUP(B992,'MB51'!A:F,6,0),"")</f>
        <v/>
      </c>
      <c r="G992" s="17" t="str">
        <f t="shared" si="45"/>
        <v>點揀料單</v>
      </c>
      <c r="H992" s="17">
        <f t="shared" si="46"/>
        <v>0</v>
      </c>
      <c r="I992" t="str">
        <f t="shared" si="47"/>
        <v/>
      </c>
      <c r="J992" t="str">
        <f>SUBSTITUTE(IF(COUNTIF(I$2:I992,I992)&gt;1,"",1)," ","")</f>
        <v/>
      </c>
    </row>
    <row r="993" spans="1:10" x14ac:dyDescent="0.2">
      <c r="A993" s="51" t="str">
        <f>IFERROR(VLOOKUP(B993,點上線資訊!A:R,18,0),"")</f>
        <v/>
      </c>
      <c r="B993" s="41">
        <f>'MB51'!A993</f>
        <v>0</v>
      </c>
      <c r="C993" s="60" t="str">
        <f>IFERROR(VLOOKUP(B993,'MB51'!A:I,9,0),"")</f>
        <v/>
      </c>
      <c r="D993" s="61" t="str">
        <f>IFERROR(VLOOKUP(B993,'MB51'!A:J,10,0),"")</f>
        <v/>
      </c>
      <c r="E993" s="62" t="str">
        <f>IFERROR(VLOOKUP(B993,'MB51'!A:K,11,0),"")</f>
        <v/>
      </c>
      <c r="F993" s="42" t="str">
        <f>IFERROR(VLOOKUP(B993,'MB51'!A:F,6,0),"")</f>
        <v/>
      </c>
      <c r="G993" s="17" t="str">
        <f t="shared" si="45"/>
        <v>點揀料單</v>
      </c>
      <c r="H993" s="17">
        <f t="shared" si="46"/>
        <v>0</v>
      </c>
      <c r="I993" t="str">
        <f t="shared" si="47"/>
        <v/>
      </c>
      <c r="J993" t="str">
        <f>SUBSTITUTE(IF(COUNTIF(I$2:I993,I993)&gt;1,"",1)," ","")</f>
        <v/>
      </c>
    </row>
    <row r="994" spans="1:10" x14ac:dyDescent="0.2">
      <c r="A994" s="51" t="str">
        <f>IFERROR(VLOOKUP(B994,點上線資訊!A:R,18,0),"")</f>
        <v/>
      </c>
      <c r="B994" s="41">
        <f>'MB51'!A994</f>
        <v>0</v>
      </c>
      <c r="C994" s="60" t="str">
        <f>IFERROR(VLOOKUP(B994,'MB51'!A:I,9,0),"")</f>
        <v/>
      </c>
      <c r="D994" s="61" t="str">
        <f>IFERROR(VLOOKUP(B994,'MB51'!A:J,10,0),"")</f>
        <v/>
      </c>
      <c r="E994" s="62" t="str">
        <f>IFERROR(VLOOKUP(B994,'MB51'!A:K,11,0),"")</f>
        <v/>
      </c>
      <c r="F994" s="42" t="str">
        <f>IFERROR(VLOOKUP(B994,'MB51'!A:F,6,0),"")</f>
        <v/>
      </c>
      <c r="G994" s="17" t="str">
        <f t="shared" si="45"/>
        <v>點揀料單</v>
      </c>
      <c r="H994" s="17">
        <f t="shared" si="46"/>
        <v>0</v>
      </c>
      <c r="I994" t="str">
        <f t="shared" si="47"/>
        <v/>
      </c>
      <c r="J994" t="str">
        <f>SUBSTITUTE(IF(COUNTIF(I$2:I994,I994)&gt;1,"",1)," ","")</f>
        <v/>
      </c>
    </row>
    <row r="995" spans="1:10" x14ac:dyDescent="0.2">
      <c r="A995" s="51" t="str">
        <f>IFERROR(VLOOKUP(B995,點上線資訊!A:R,18,0),"")</f>
        <v/>
      </c>
      <c r="B995" s="41">
        <f>'MB51'!A995</f>
        <v>0</v>
      </c>
      <c r="C995" s="60" t="str">
        <f>IFERROR(VLOOKUP(B995,'MB51'!A:I,9,0),"")</f>
        <v/>
      </c>
      <c r="D995" s="61" t="str">
        <f>IFERROR(VLOOKUP(B995,'MB51'!A:J,10,0),"")</f>
        <v/>
      </c>
      <c r="E995" s="62" t="str">
        <f>IFERROR(VLOOKUP(B995,'MB51'!A:K,11,0),"")</f>
        <v/>
      </c>
      <c r="F995" s="42" t="str">
        <f>IFERROR(VLOOKUP(B995,'MB51'!A:F,6,0),"")</f>
        <v/>
      </c>
      <c r="G995" s="17" t="str">
        <f t="shared" si="45"/>
        <v>點揀料單</v>
      </c>
      <c r="H995" s="17">
        <f t="shared" si="46"/>
        <v>0</v>
      </c>
      <c r="I995" t="str">
        <f t="shared" si="47"/>
        <v/>
      </c>
      <c r="J995" t="str">
        <f>SUBSTITUTE(IF(COUNTIF(I$2:I995,I995)&gt;1,"",1)," ","")</f>
        <v/>
      </c>
    </row>
    <row r="996" spans="1:10" x14ac:dyDescent="0.2">
      <c r="A996" s="51" t="str">
        <f>IFERROR(VLOOKUP(B996,點上線資訊!A:R,18,0),"")</f>
        <v/>
      </c>
      <c r="B996" s="41">
        <f>'MB51'!A996</f>
        <v>0</v>
      </c>
      <c r="C996" s="60" t="str">
        <f>IFERROR(VLOOKUP(B996,'MB51'!A:I,9,0),"")</f>
        <v/>
      </c>
      <c r="D996" s="61" t="str">
        <f>IFERROR(VLOOKUP(B996,'MB51'!A:J,10,0),"")</f>
        <v/>
      </c>
      <c r="E996" s="62" t="str">
        <f>IFERROR(VLOOKUP(B996,'MB51'!A:K,11,0),"")</f>
        <v/>
      </c>
      <c r="F996" s="42" t="str">
        <f>IFERROR(VLOOKUP(B996,'MB51'!A:F,6,0),"")</f>
        <v/>
      </c>
      <c r="G996" s="17" t="str">
        <f t="shared" si="45"/>
        <v>點揀料單</v>
      </c>
      <c r="H996" s="17">
        <f t="shared" si="46"/>
        <v>0</v>
      </c>
      <c r="I996" t="str">
        <f t="shared" si="47"/>
        <v/>
      </c>
      <c r="J996" t="str">
        <f>SUBSTITUTE(IF(COUNTIF(I$2:I996,I996)&gt;1,"",1)," ","")</f>
        <v/>
      </c>
    </row>
    <row r="997" spans="1:10" x14ac:dyDescent="0.2">
      <c r="A997" s="51" t="str">
        <f>IFERROR(VLOOKUP(B997,點上線資訊!A:R,18,0),"")</f>
        <v/>
      </c>
      <c r="B997" s="41">
        <f>'MB51'!A997</f>
        <v>0</v>
      </c>
      <c r="C997" s="60" t="str">
        <f>IFERROR(VLOOKUP(B997,'MB51'!A:I,9,0),"")</f>
        <v/>
      </c>
      <c r="D997" s="61" t="str">
        <f>IFERROR(VLOOKUP(B997,'MB51'!A:J,10,0),"")</f>
        <v/>
      </c>
      <c r="E997" s="62" t="str">
        <f>IFERROR(VLOOKUP(B997,'MB51'!A:K,11,0),"")</f>
        <v/>
      </c>
      <c r="F997" s="42" t="str">
        <f>IFERROR(VLOOKUP(B997,'MB51'!A:F,6,0),"")</f>
        <v/>
      </c>
      <c r="G997" s="17" t="str">
        <f t="shared" si="45"/>
        <v>點揀料單</v>
      </c>
      <c r="H997" s="17">
        <f t="shared" si="46"/>
        <v>0</v>
      </c>
      <c r="I997" t="str">
        <f t="shared" si="47"/>
        <v/>
      </c>
      <c r="J997" t="str">
        <f>SUBSTITUTE(IF(COUNTIF(I$2:I997,I997)&gt;1,"",1)," ","")</f>
        <v/>
      </c>
    </row>
    <row r="998" spans="1:10" x14ac:dyDescent="0.2">
      <c r="A998" s="51" t="str">
        <f>IFERROR(VLOOKUP(B998,點上線資訊!A:R,18,0),"")</f>
        <v/>
      </c>
      <c r="B998" s="41">
        <f>'MB51'!A998</f>
        <v>0</v>
      </c>
      <c r="C998" s="60" t="str">
        <f>IFERROR(VLOOKUP(B998,'MB51'!A:I,9,0),"")</f>
        <v/>
      </c>
      <c r="D998" s="61" t="str">
        <f>IFERROR(VLOOKUP(B998,'MB51'!A:J,10,0),"")</f>
        <v/>
      </c>
      <c r="E998" s="62" t="str">
        <f>IFERROR(VLOOKUP(B998,'MB51'!A:K,11,0),"")</f>
        <v/>
      </c>
      <c r="F998" s="42" t="str">
        <f>IFERROR(VLOOKUP(B998,'MB51'!A:F,6,0),"")</f>
        <v/>
      </c>
      <c r="G998" s="17" t="str">
        <f t="shared" si="45"/>
        <v>點揀料單</v>
      </c>
      <c r="H998" s="17">
        <f t="shared" si="46"/>
        <v>0</v>
      </c>
      <c r="I998" t="str">
        <f t="shared" si="47"/>
        <v/>
      </c>
      <c r="J998" t="str">
        <f>SUBSTITUTE(IF(COUNTIF(I$2:I998,I998)&gt;1,"",1)," ","")</f>
        <v/>
      </c>
    </row>
    <row r="999" spans="1:10" x14ac:dyDescent="0.2">
      <c r="A999" s="51" t="str">
        <f>IFERROR(VLOOKUP(B999,點上線資訊!A:R,18,0),"")</f>
        <v/>
      </c>
      <c r="B999" s="41">
        <f>'MB51'!A999</f>
        <v>0</v>
      </c>
      <c r="C999" s="60" t="str">
        <f>IFERROR(VLOOKUP(B999,'MB51'!A:I,9,0),"")</f>
        <v/>
      </c>
      <c r="D999" s="61" t="str">
        <f>IFERROR(VLOOKUP(B999,'MB51'!A:J,10,0),"")</f>
        <v/>
      </c>
      <c r="E999" s="62" t="str">
        <f>IFERROR(VLOOKUP(B999,'MB51'!A:K,11,0),"")</f>
        <v/>
      </c>
      <c r="F999" s="42" t="str">
        <f>IFERROR(VLOOKUP(B999,'MB51'!A:F,6,0),"")</f>
        <v/>
      </c>
      <c r="G999" s="17" t="str">
        <f t="shared" si="45"/>
        <v>點揀料單</v>
      </c>
      <c r="H999" s="17">
        <f t="shared" si="46"/>
        <v>0</v>
      </c>
      <c r="I999" t="str">
        <f t="shared" si="47"/>
        <v/>
      </c>
      <c r="J999" t="str">
        <f>SUBSTITUTE(IF(COUNTIF(I$2:I999,I999)&gt;1,"",1)," ","")</f>
        <v/>
      </c>
    </row>
    <row r="1000" spans="1:10" x14ac:dyDescent="0.2">
      <c r="A1000" s="51" t="str">
        <f>IFERROR(VLOOKUP(B1000,點上線資訊!A:R,18,0),"")</f>
        <v/>
      </c>
      <c r="B1000" s="41">
        <f>'MB51'!A1000</f>
        <v>0</v>
      </c>
      <c r="C1000" s="60" t="str">
        <f>IFERROR(VLOOKUP(B1000,'MB51'!A:I,9,0),"")</f>
        <v/>
      </c>
      <c r="D1000" s="61" t="str">
        <f>IFERROR(VLOOKUP(B1000,'MB51'!A:J,10,0),"")</f>
        <v/>
      </c>
      <c r="E1000" s="62" t="str">
        <f>IFERROR(VLOOKUP(B1000,'MB51'!A:K,11,0),"")</f>
        <v/>
      </c>
      <c r="F1000" s="42" t="str">
        <f>IFERROR(VLOOKUP(B1000,'MB51'!A:F,6,0),"")</f>
        <v/>
      </c>
      <c r="G1000" s="17" t="str">
        <f t="shared" si="45"/>
        <v>點揀料單</v>
      </c>
      <c r="H1000" s="17">
        <f t="shared" si="46"/>
        <v>0</v>
      </c>
      <c r="I1000" t="str">
        <f t="shared" si="47"/>
        <v/>
      </c>
      <c r="J1000" t="str">
        <f>SUBSTITUTE(IF(COUNTIF(I$2:I1000,I1000)&gt;1,"",1)," ","")</f>
        <v/>
      </c>
    </row>
    <row r="1001" spans="1:10" x14ac:dyDescent="0.2">
      <c r="A1001" s="51" t="str">
        <f>IFERROR(VLOOKUP(B1001,點上線資訊!A:R,18,0),"")</f>
        <v/>
      </c>
      <c r="B1001" s="41">
        <f>'MB51'!A1001</f>
        <v>0</v>
      </c>
      <c r="C1001" s="60" t="str">
        <f>IFERROR(VLOOKUP(B1001,'MB51'!A:I,9,0),"")</f>
        <v/>
      </c>
      <c r="D1001" s="61" t="str">
        <f>IFERROR(VLOOKUP(B1001,'MB51'!A:J,10,0),"")</f>
        <v/>
      </c>
      <c r="E1001" s="62" t="str">
        <f>IFERROR(VLOOKUP(B1001,'MB51'!A:K,11,0),"")</f>
        <v/>
      </c>
      <c r="F1001" s="42" t="str">
        <f>IFERROR(VLOOKUP(B1001,'MB51'!A:F,6,0),"")</f>
        <v/>
      </c>
      <c r="G1001" s="17" t="str">
        <f t="shared" si="45"/>
        <v>點揀料單</v>
      </c>
      <c r="H1001" s="17">
        <f t="shared" si="46"/>
        <v>0</v>
      </c>
      <c r="I1001" t="str">
        <f t="shared" si="47"/>
        <v/>
      </c>
      <c r="J1001" t="str">
        <f>SUBSTITUTE(IF(COUNTIF(I$2:I1001,I1001)&gt;1,"",1)," ","")</f>
        <v/>
      </c>
    </row>
    <row r="1002" spans="1:10" x14ac:dyDescent="0.2">
      <c r="A1002" s="51" t="str">
        <f>IFERROR(VLOOKUP(B1002,點上線資訊!A:R,18,0),"")</f>
        <v/>
      </c>
      <c r="B1002" s="41">
        <f>'MB51'!A1002</f>
        <v>0</v>
      </c>
      <c r="C1002" s="60" t="str">
        <f>IFERROR(VLOOKUP(B1002,'MB51'!A:I,9,0),"")</f>
        <v/>
      </c>
      <c r="D1002" s="61" t="str">
        <f>IFERROR(VLOOKUP(B1002,'MB51'!A:J,10,0),"")</f>
        <v/>
      </c>
      <c r="E1002" s="62" t="str">
        <f>IFERROR(VLOOKUP(B1002,'MB51'!A:K,11,0),"")</f>
        <v/>
      </c>
      <c r="F1002" s="42" t="str">
        <f>IFERROR(VLOOKUP(B1002,'MB51'!A:F,6,0),"")</f>
        <v/>
      </c>
      <c r="G1002" s="17" t="str">
        <f t="shared" si="45"/>
        <v>點揀料單</v>
      </c>
      <c r="H1002" s="17">
        <f t="shared" si="46"/>
        <v>0</v>
      </c>
      <c r="I1002" t="str">
        <f t="shared" si="47"/>
        <v/>
      </c>
      <c r="J1002" t="str">
        <f>SUBSTITUTE(IF(COUNTIF(I$2:I1002,I1002)&gt;1,"",1)," ","")</f>
        <v/>
      </c>
    </row>
    <row r="1003" spans="1:10" x14ac:dyDescent="0.2">
      <c r="A1003" s="51" t="str">
        <f>IFERROR(VLOOKUP(B1003,點上線資訊!A:R,18,0),"")</f>
        <v/>
      </c>
      <c r="B1003" s="41">
        <f>'MB51'!A1003</f>
        <v>0</v>
      </c>
      <c r="C1003" s="60" t="str">
        <f>IFERROR(VLOOKUP(B1003,'MB51'!A:I,9,0),"")</f>
        <v/>
      </c>
      <c r="D1003" s="61" t="str">
        <f>IFERROR(VLOOKUP(B1003,'MB51'!A:J,10,0),"")</f>
        <v/>
      </c>
      <c r="E1003" s="62" t="str">
        <f>IFERROR(VLOOKUP(B1003,'MB51'!A:K,11,0),"")</f>
        <v/>
      </c>
      <c r="F1003" s="42" t="str">
        <f>IFERROR(VLOOKUP(B1003,'MB51'!A:F,6,0),"")</f>
        <v/>
      </c>
      <c r="G1003" s="17" t="str">
        <f t="shared" si="45"/>
        <v>點揀料單</v>
      </c>
      <c r="H1003" s="17">
        <f t="shared" si="46"/>
        <v>0</v>
      </c>
      <c r="I1003" t="str">
        <f t="shared" si="47"/>
        <v/>
      </c>
      <c r="J1003" t="str">
        <f>SUBSTITUTE(IF(COUNTIF(I$2:I1003,I1003)&gt;1,"",1)," ","")</f>
        <v/>
      </c>
    </row>
    <row r="1004" spans="1:10" x14ac:dyDescent="0.2">
      <c r="A1004" s="51" t="str">
        <f>IFERROR(VLOOKUP(B1004,點上線資訊!A:R,18,0),"")</f>
        <v/>
      </c>
      <c r="B1004" s="41">
        <f>'MB51'!A1004</f>
        <v>0</v>
      </c>
      <c r="C1004" s="60" t="str">
        <f>IFERROR(VLOOKUP(B1004,'MB51'!A:I,9,0),"")</f>
        <v/>
      </c>
      <c r="D1004" s="61" t="str">
        <f>IFERROR(VLOOKUP(B1004,'MB51'!A:J,10,0),"")</f>
        <v/>
      </c>
      <c r="E1004" s="62" t="str">
        <f>IFERROR(VLOOKUP(B1004,'MB51'!A:K,11,0),"")</f>
        <v/>
      </c>
      <c r="F1004" s="42" t="str">
        <f>IFERROR(VLOOKUP(B1004,'MB51'!A:F,6,0),"")</f>
        <v/>
      </c>
      <c r="G1004" s="17" t="str">
        <f t="shared" si="45"/>
        <v>點揀料單</v>
      </c>
      <c r="H1004" s="17">
        <f t="shared" si="46"/>
        <v>0</v>
      </c>
      <c r="I1004" t="str">
        <f t="shared" si="47"/>
        <v/>
      </c>
      <c r="J1004" t="str">
        <f>SUBSTITUTE(IF(COUNTIF(I$2:I1004,I1004)&gt;1,"",1)," ","")</f>
        <v/>
      </c>
    </row>
    <row r="1005" spans="1:10" x14ac:dyDescent="0.2">
      <c r="A1005" s="51" t="str">
        <f>IFERROR(VLOOKUP(B1005,點上線資訊!A:R,18,0),"")</f>
        <v/>
      </c>
      <c r="B1005" s="41">
        <f>'MB51'!A1005</f>
        <v>0</v>
      </c>
      <c r="C1005" s="60" t="str">
        <f>IFERROR(VLOOKUP(B1005,'MB51'!A:I,9,0),"")</f>
        <v/>
      </c>
      <c r="D1005" s="61" t="str">
        <f>IFERROR(VLOOKUP(B1005,'MB51'!A:J,10,0),"")</f>
        <v/>
      </c>
      <c r="E1005" s="62" t="str">
        <f>IFERROR(VLOOKUP(B1005,'MB51'!A:K,11,0),"")</f>
        <v/>
      </c>
      <c r="F1005" s="42" t="str">
        <f>IFERROR(VLOOKUP(B1005,'MB51'!A:F,6,0),"")</f>
        <v/>
      </c>
      <c r="G1005" s="17" t="str">
        <f t="shared" si="45"/>
        <v>點揀料單</v>
      </c>
      <c r="H1005" s="17">
        <f t="shared" si="46"/>
        <v>0</v>
      </c>
      <c r="I1005" t="str">
        <f t="shared" si="47"/>
        <v/>
      </c>
      <c r="J1005" t="str">
        <f>SUBSTITUTE(IF(COUNTIF(I$2:I1005,I1005)&gt;1,"",1)," ","")</f>
        <v/>
      </c>
    </row>
    <row r="1006" spans="1:10" x14ac:dyDescent="0.2">
      <c r="A1006" s="51" t="str">
        <f>IFERROR(VLOOKUP(B1006,點上線資訊!A:R,18,0),"")</f>
        <v/>
      </c>
      <c r="B1006" s="41">
        <f>'MB51'!A1006</f>
        <v>0</v>
      </c>
      <c r="C1006" s="60" t="str">
        <f>IFERROR(VLOOKUP(B1006,'MB51'!A:I,9,0),"")</f>
        <v/>
      </c>
      <c r="D1006" s="61" t="str">
        <f>IFERROR(VLOOKUP(B1006,'MB51'!A:J,10,0),"")</f>
        <v/>
      </c>
      <c r="E1006" s="62" t="str">
        <f>IFERROR(VLOOKUP(B1006,'MB51'!A:K,11,0),"")</f>
        <v/>
      </c>
      <c r="F1006" s="42" t="str">
        <f>IFERROR(VLOOKUP(B1006,'MB51'!A:F,6,0),"")</f>
        <v/>
      </c>
      <c r="G1006" s="17" t="str">
        <f t="shared" si="45"/>
        <v>點揀料單</v>
      </c>
      <c r="H1006" s="17">
        <f t="shared" si="46"/>
        <v>0</v>
      </c>
      <c r="I1006" t="str">
        <f t="shared" si="47"/>
        <v/>
      </c>
      <c r="J1006" t="str">
        <f>SUBSTITUTE(IF(COUNTIF(I$2:I1006,I1006)&gt;1,"",1)," ","")</f>
        <v/>
      </c>
    </row>
    <row r="1007" spans="1:10" x14ac:dyDescent="0.2">
      <c r="A1007" s="51" t="str">
        <f>IFERROR(VLOOKUP(B1007,點上線資訊!A:R,18,0),"")</f>
        <v/>
      </c>
      <c r="B1007" s="41">
        <f>'MB51'!A1007</f>
        <v>0</v>
      </c>
      <c r="C1007" s="60" t="str">
        <f>IFERROR(VLOOKUP(B1007,'MB51'!A:I,9,0),"")</f>
        <v/>
      </c>
      <c r="D1007" s="61" t="str">
        <f>IFERROR(VLOOKUP(B1007,'MB51'!A:J,10,0),"")</f>
        <v/>
      </c>
      <c r="E1007" s="62" t="str">
        <f>IFERROR(VLOOKUP(B1007,'MB51'!A:K,11,0),"")</f>
        <v/>
      </c>
      <c r="F1007" s="42" t="str">
        <f>IFERROR(VLOOKUP(B1007,'MB51'!A:F,6,0),"")</f>
        <v/>
      </c>
      <c r="G1007" s="17" t="str">
        <f t="shared" si="45"/>
        <v>點揀料單</v>
      </c>
      <c r="H1007" s="17">
        <f t="shared" si="46"/>
        <v>0</v>
      </c>
      <c r="I1007" t="str">
        <f t="shared" si="47"/>
        <v/>
      </c>
      <c r="J1007" t="str">
        <f>SUBSTITUTE(IF(COUNTIF(I$2:I1007,I1007)&gt;1,"",1)," ","")</f>
        <v/>
      </c>
    </row>
    <row r="1008" spans="1:10" x14ac:dyDescent="0.2">
      <c r="A1008" s="51" t="str">
        <f>IFERROR(VLOOKUP(B1008,點上線資訊!A:R,18,0),"")</f>
        <v/>
      </c>
      <c r="B1008" s="41">
        <f>'MB51'!A1008</f>
        <v>0</v>
      </c>
      <c r="C1008" s="60" t="str">
        <f>IFERROR(VLOOKUP(B1008,'MB51'!A:I,9,0),"")</f>
        <v/>
      </c>
      <c r="D1008" s="61" t="str">
        <f>IFERROR(VLOOKUP(B1008,'MB51'!A:J,10,0),"")</f>
        <v/>
      </c>
      <c r="E1008" s="62" t="str">
        <f>IFERROR(VLOOKUP(B1008,'MB51'!A:K,11,0),"")</f>
        <v/>
      </c>
      <c r="F1008" s="42" t="str">
        <f>IFERROR(VLOOKUP(B1008,'MB51'!A:F,6,0),"")</f>
        <v/>
      </c>
      <c r="G1008" s="17" t="str">
        <f t="shared" si="45"/>
        <v>點揀料單</v>
      </c>
      <c r="H1008" s="17">
        <f t="shared" si="46"/>
        <v>0</v>
      </c>
      <c r="I1008" t="str">
        <f t="shared" si="47"/>
        <v/>
      </c>
      <c r="J1008" t="str">
        <f>SUBSTITUTE(IF(COUNTIF(I$2:I1008,I1008)&gt;1,"",1)," ","")</f>
        <v/>
      </c>
    </row>
    <row r="1009" spans="1:10" x14ac:dyDescent="0.2">
      <c r="A1009" s="51" t="str">
        <f>IFERROR(VLOOKUP(B1009,點上線資訊!A:R,18,0),"")</f>
        <v/>
      </c>
      <c r="B1009" s="41">
        <f>'MB51'!A1009</f>
        <v>0</v>
      </c>
      <c r="C1009" s="60" t="str">
        <f>IFERROR(VLOOKUP(B1009,'MB51'!A:I,9,0),"")</f>
        <v/>
      </c>
      <c r="D1009" s="61" t="str">
        <f>IFERROR(VLOOKUP(B1009,'MB51'!A:J,10,0),"")</f>
        <v/>
      </c>
      <c r="E1009" s="62" t="str">
        <f>IFERROR(VLOOKUP(B1009,'MB51'!A:K,11,0),"")</f>
        <v/>
      </c>
      <c r="F1009" s="42" t="str">
        <f>IFERROR(VLOOKUP(B1009,'MB51'!A:F,6,0),"")</f>
        <v/>
      </c>
      <c r="G1009" s="17" t="str">
        <f t="shared" si="45"/>
        <v>點揀料單</v>
      </c>
      <c r="H1009" s="17">
        <f t="shared" si="46"/>
        <v>0</v>
      </c>
      <c r="I1009" t="str">
        <f t="shared" si="47"/>
        <v/>
      </c>
      <c r="J1009" t="str">
        <f>SUBSTITUTE(IF(COUNTIF(I$2:I1009,I1009)&gt;1,"",1)," ","")</f>
        <v/>
      </c>
    </row>
    <row r="1010" spans="1:10" x14ac:dyDescent="0.2">
      <c r="A1010" s="51" t="str">
        <f>IFERROR(VLOOKUP(B1010,點上線資訊!A:R,18,0),"")</f>
        <v/>
      </c>
      <c r="B1010" s="41">
        <f>'MB51'!A1010</f>
        <v>0</v>
      </c>
      <c r="C1010" s="60" t="str">
        <f>IFERROR(VLOOKUP(B1010,'MB51'!A:I,9,0),"")</f>
        <v/>
      </c>
      <c r="D1010" s="61" t="str">
        <f>IFERROR(VLOOKUP(B1010,'MB51'!A:J,10,0),"")</f>
        <v/>
      </c>
      <c r="E1010" s="62" t="str">
        <f>IFERROR(VLOOKUP(B1010,'MB51'!A:K,11,0),"")</f>
        <v/>
      </c>
      <c r="F1010" s="42" t="str">
        <f>IFERROR(VLOOKUP(B1010,'MB51'!A:F,6,0),"")</f>
        <v/>
      </c>
      <c r="G1010" s="17" t="str">
        <f t="shared" si="45"/>
        <v>點揀料單</v>
      </c>
      <c r="H1010" s="17">
        <f t="shared" si="46"/>
        <v>0</v>
      </c>
      <c r="I1010" t="str">
        <f t="shared" si="47"/>
        <v/>
      </c>
      <c r="J1010" t="str">
        <f>SUBSTITUTE(IF(COUNTIF(I$2:I1010,I1010)&gt;1,"",1)," ","")</f>
        <v/>
      </c>
    </row>
    <row r="1011" spans="1:10" x14ac:dyDescent="0.2">
      <c r="A1011" s="51" t="str">
        <f>IFERROR(VLOOKUP(B1011,點上線資訊!A:R,18,0),"")</f>
        <v/>
      </c>
      <c r="B1011" s="41">
        <f>'MB51'!A1011</f>
        <v>0</v>
      </c>
      <c r="C1011" s="60" t="str">
        <f>IFERROR(VLOOKUP(B1011,'MB51'!A:I,9,0),"")</f>
        <v/>
      </c>
      <c r="D1011" s="61" t="str">
        <f>IFERROR(VLOOKUP(B1011,'MB51'!A:J,10,0),"")</f>
        <v/>
      </c>
      <c r="E1011" s="62" t="str">
        <f>IFERROR(VLOOKUP(B1011,'MB51'!A:K,11,0),"")</f>
        <v/>
      </c>
      <c r="F1011" s="42" t="str">
        <f>IFERROR(VLOOKUP(B1011,'MB51'!A:F,6,0),"")</f>
        <v/>
      </c>
      <c r="G1011" s="17" t="str">
        <f t="shared" si="45"/>
        <v>點揀料單</v>
      </c>
      <c r="H1011" s="17">
        <f t="shared" si="46"/>
        <v>0</v>
      </c>
      <c r="I1011" t="str">
        <f t="shared" si="47"/>
        <v/>
      </c>
      <c r="J1011" t="str">
        <f>SUBSTITUTE(IF(COUNTIF(I$2:I1011,I1011)&gt;1,"",1)," ","")</f>
        <v/>
      </c>
    </row>
    <row r="1012" spans="1:10" x14ac:dyDescent="0.2">
      <c r="A1012" s="51" t="str">
        <f>IFERROR(VLOOKUP(B1012,點上線資訊!A:R,18,0),"")</f>
        <v/>
      </c>
      <c r="B1012" s="41">
        <f>'MB51'!A1012</f>
        <v>0</v>
      </c>
      <c r="C1012" s="60" t="str">
        <f>IFERROR(VLOOKUP(B1012,'MB51'!A:I,9,0),"")</f>
        <v/>
      </c>
      <c r="D1012" s="61" t="str">
        <f>IFERROR(VLOOKUP(B1012,'MB51'!A:J,10,0),"")</f>
        <v/>
      </c>
      <c r="E1012" s="62" t="str">
        <f>IFERROR(VLOOKUP(B1012,'MB51'!A:K,11,0),"")</f>
        <v/>
      </c>
      <c r="F1012" s="42" t="str">
        <f>IFERROR(VLOOKUP(B1012,'MB51'!A:F,6,0),"")</f>
        <v/>
      </c>
      <c r="G1012" s="17" t="str">
        <f t="shared" si="45"/>
        <v>點揀料單</v>
      </c>
      <c r="H1012" s="17">
        <f t="shared" si="46"/>
        <v>0</v>
      </c>
      <c r="I1012" t="str">
        <f t="shared" si="47"/>
        <v/>
      </c>
      <c r="J1012" t="str">
        <f>SUBSTITUTE(IF(COUNTIF(I$2:I1012,I1012)&gt;1,"",1)," ","")</f>
        <v/>
      </c>
    </row>
    <row r="1013" spans="1:10" x14ac:dyDescent="0.2">
      <c r="A1013" s="51" t="str">
        <f>IFERROR(VLOOKUP(B1013,點上線資訊!A:R,18,0),"")</f>
        <v/>
      </c>
      <c r="B1013" s="41">
        <f>'MB51'!A1013</f>
        <v>0</v>
      </c>
      <c r="C1013" s="60" t="str">
        <f>IFERROR(VLOOKUP(B1013,'MB51'!A:I,9,0),"")</f>
        <v/>
      </c>
      <c r="D1013" s="61" t="str">
        <f>IFERROR(VLOOKUP(B1013,'MB51'!A:J,10,0),"")</f>
        <v/>
      </c>
      <c r="E1013" s="62" t="str">
        <f>IFERROR(VLOOKUP(B1013,'MB51'!A:K,11,0),"")</f>
        <v/>
      </c>
      <c r="F1013" s="42" t="str">
        <f>IFERROR(VLOOKUP(B1013,'MB51'!A:F,6,0),"")</f>
        <v/>
      </c>
      <c r="G1013" s="17" t="str">
        <f t="shared" si="45"/>
        <v>點揀料單</v>
      </c>
      <c r="H1013" s="17">
        <f t="shared" si="46"/>
        <v>0</v>
      </c>
      <c r="I1013" t="str">
        <f t="shared" si="47"/>
        <v/>
      </c>
      <c r="J1013" t="str">
        <f>SUBSTITUTE(IF(COUNTIF(I$2:I1013,I1013)&gt;1,"",1)," ","")</f>
        <v/>
      </c>
    </row>
    <row r="1014" spans="1:10" x14ac:dyDescent="0.2">
      <c r="A1014" s="51" t="str">
        <f>IFERROR(VLOOKUP(B1014,點上線資訊!A:R,18,0),"")</f>
        <v/>
      </c>
      <c r="B1014" s="41">
        <f>'MB51'!A1014</f>
        <v>0</v>
      </c>
      <c r="C1014" s="60" t="str">
        <f>IFERROR(VLOOKUP(B1014,'MB51'!A:I,9,0),"")</f>
        <v/>
      </c>
      <c r="D1014" s="61" t="str">
        <f>IFERROR(VLOOKUP(B1014,'MB51'!A:J,10,0),"")</f>
        <v/>
      </c>
      <c r="E1014" s="62" t="str">
        <f>IFERROR(VLOOKUP(B1014,'MB51'!A:K,11,0),"")</f>
        <v/>
      </c>
      <c r="F1014" s="42" t="str">
        <f>IFERROR(VLOOKUP(B1014,'MB51'!A:F,6,0),"")</f>
        <v/>
      </c>
      <c r="G1014" s="17" t="str">
        <f t="shared" si="45"/>
        <v>點揀料單</v>
      </c>
      <c r="H1014" s="17">
        <f t="shared" si="46"/>
        <v>0</v>
      </c>
      <c r="I1014" t="str">
        <f t="shared" si="47"/>
        <v/>
      </c>
      <c r="J1014" t="str">
        <f>SUBSTITUTE(IF(COUNTIF(I$2:I1014,I1014)&gt;1,"",1)," ","")</f>
        <v/>
      </c>
    </row>
    <row r="1015" spans="1:10" x14ac:dyDescent="0.2">
      <c r="A1015" s="51" t="str">
        <f>IFERROR(VLOOKUP(B1015,點上線資訊!A:R,18,0),"")</f>
        <v/>
      </c>
      <c r="B1015" s="41">
        <f>'MB51'!A1015</f>
        <v>0</v>
      </c>
      <c r="C1015" s="60" t="str">
        <f>IFERROR(VLOOKUP(B1015,'MB51'!A:I,9,0),"")</f>
        <v/>
      </c>
      <c r="D1015" s="61" t="str">
        <f>IFERROR(VLOOKUP(B1015,'MB51'!A:J,10,0),"")</f>
        <v/>
      </c>
      <c r="E1015" s="62" t="str">
        <f>IFERROR(VLOOKUP(B1015,'MB51'!A:K,11,0),"")</f>
        <v/>
      </c>
      <c r="F1015" s="42" t="str">
        <f>IFERROR(VLOOKUP(B1015,'MB51'!A:F,6,0),"")</f>
        <v/>
      </c>
      <c r="G1015" s="17" t="str">
        <f t="shared" si="45"/>
        <v>點揀料單</v>
      </c>
      <c r="H1015" s="17">
        <f t="shared" si="46"/>
        <v>0</v>
      </c>
      <c r="I1015" t="str">
        <f t="shared" si="47"/>
        <v/>
      </c>
      <c r="J1015" t="str">
        <f>SUBSTITUTE(IF(COUNTIF(I$2:I1015,I1015)&gt;1,"",1)," ","")</f>
        <v/>
      </c>
    </row>
    <row r="1016" spans="1:10" x14ac:dyDescent="0.2">
      <c r="A1016" s="51" t="str">
        <f>IFERROR(VLOOKUP(B1016,點上線資訊!A:R,18,0),"")</f>
        <v/>
      </c>
      <c r="B1016" s="41">
        <f>'MB51'!A1016</f>
        <v>0</v>
      </c>
      <c r="C1016" s="60" t="str">
        <f>IFERROR(VLOOKUP(B1016,'MB51'!A:I,9,0),"")</f>
        <v/>
      </c>
      <c r="D1016" s="61" t="str">
        <f>IFERROR(VLOOKUP(B1016,'MB51'!A:J,10,0),"")</f>
        <v/>
      </c>
      <c r="E1016" s="62" t="str">
        <f>IFERROR(VLOOKUP(B1016,'MB51'!A:K,11,0),"")</f>
        <v/>
      </c>
      <c r="F1016" s="42" t="str">
        <f>IFERROR(VLOOKUP(B1016,'MB51'!A:F,6,0),"")</f>
        <v/>
      </c>
      <c r="G1016" s="17" t="str">
        <f t="shared" si="45"/>
        <v>點揀料單</v>
      </c>
      <c r="H1016" s="17">
        <f t="shared" si="46"/>
        <v>0</v>
      </c>
      <c r="I1016" t="str">
        <f t="shared" si="47"/>
        <v/>
      </c>
      <c r="J1016" t="str">
        <f>SUBSTITUTE(IF(COUNTIF(I$2:I1016,I1016)&gt;1,"",1)," ","")</f>
        <v/>
      </c>
    </row>
    <row r="1017" spans="1:10" x14ac:dyDescent="0.2">
      <c r="A1017" s="51" t="str">
        <f>IFERROR(VLOOKUP(B1017,點上線資訊!A:R,18,0),"")</f>
        <v/>
      </c>
      <c r="B1017" s="41">
        <f>'MB51'!A1017</f>
        <v>0</v>
      </c>
      <c r="C1017" s="60" t="str">
        <f>IFERROR(VLOOKUP(B1017,'MB51'!A:I,9,0),"")</f>
        <v/>
      </c>
      <c r="D1017" s="61" t="str">
        <f>IFERROR(VLOOKUP(B1017,'MB51'!A:J,10,0),"")</f>
        <v/>
      </c>
      <c r="E1017" s="62" t="str">
        <f>IFERROR(VLOOKUP(B1017,'MB51'!A:K,11,0),"")</f>
        <v/>
      </c>
      <c r="F1017" s="42" t="str">
        <f>IFERROR(VLOOKUP(B1017,'MB51'!A:F,6,0),"")</f>
        <v/>
      </c>
      <c r="G1017" s="17" t="str">
        <f t="shared" si="45"/>
        <v>點揀料單</v>
      </c>
      <c r="H1017" s="17">
        <f t="shared" si="46"/>
        <v>0</v>
      </c>
      <c r="I1017" t="str">
        <f t="shared" si="47"/>
        <v/>
      </c>
      <c r="J1017" t="str">
        <f>SUBSTITUTE(IF(COUNTIF(I$2:I1017,I1017)&gt;1,"",1)," ","")</f>
        <v/>
      </c>
    </row>
    <row r="1018" spans="1:10" x14ac:dyDescent="0.2">
      <c r="A1018" s="51" t="str">
        <f>IFERROR(VLOOKUP(B1018,點上線資訊!A:R,18,0),"")</f>
        <v/>
      </c>
      <c r="B1018" s="41">
        <f>'MB51'!A1018</f>
        <v>0</v>
      </c>
      <c r="C1018" s="60" t="str">
        <f>IFERROR(VLOOKUP(B1018,'MB51'!A:I,9,0),"")</f>
        <v/>
      </c>
      <c r="D1018" s="61" t="str">
        <f>IFERROR(VLOOKUP(B1018,'MB51'!A:J,10,0),"")</f>
        <v/>
      </c>
      <c r="E1018" s="62" t="str">
        <f>IFERROR(VLOOKUP(B1018,'MB51'!A:K,11,0),"")</f>
        <v/>
      </c>
      <c r="F1018" s="42" t="str">
        <f>IFERROR(VLOOKUP(B1018,'MB51'!A:F,6,0),"")</f>
        <v/>
      </c>
      <c r="G1018" s="17" t="str">
        <f t="shared" si="45"/>
        <v>點揀料單</v>
      </c>
      <c r="H1018" s="17">
        <f t="shared" si="46"/>
        <v>0</v>
      </c>
      <c r="I1018" t="str">
        <f t="shared" si="47"/>
        <v/>
      </c>
      <c r="J1018" t="str">
        <f>SUBSTITUTE(IF(COUNTIF(I$2:I1018,I1018)&gt;1,"",1)," ","")</f>
        <v/>
      </c>
    </row>
    <row r="1019" spans="1:10" x14ac:dyDescent="0.2">
      <c r="A1019" s="51" t="str">
        <f>IFERROR(VLOOKUP(B1019,點上線資訊!A:R,18,0),"")</f>
        <v/>
      </c>
      <c r="B1019" s="41">
        <f>'MB51'!A1019</f>
        <v>0</v>
      </c>
      <c r="C1019" s="60" t="str">
        <f>IFERROR(VLOOKUP(B1019,'MB51'!A:I,9,0),"")</f>
        <v/>
      </c>
      <c r="D1019" s="61" t="str">
        <f>IFERROR(VLOOKUP(B1019,'MB51'!A:J,10,0),"")</f>
        <v/>
      </c>
      <c r="E1019" s="62" t="str">
        <f>IFERROR(VLOOKUP(B1019,'MB51'!A:K,11,0),"")</f>
        <v/>
      </c>
      <c r="F1019" s="42" t="str">
        <f>IFERROR(VLOOKUP(B1019,'MB51'!A:F,6,0),"")</f>
        <v/>
      </c>
      <c r="G1019" s="17" t="str">
        <f t="shared" si="45"/>
        <v>點揀料單</v>
      </c>
      <c r="H1019" s="17">
        <f t="shared" si="46"/>
        <v>0</v>
      </c>
      <c r="I1019" t="str">
        <f t="shared" si="47"/>
        <v/>
      </c>
      <c r="J1019" t="str">
        <f>SUBSTITUTE(IF(COUNTIF(I$2:I1019,I1019)&gt;1,"",1)," ","")</f>
        <v/>
      </c>
    </row>
    <row r="1020" spans="1:10" x14ac:dyDescent="0.2">
      <c r="A1020" s="51" t="str">
        <f>IFERROR(VLOOKUP(B1020,點上線資訊!A:R,18,0),"")</f>
        <v/>
      </c>
      <c r="B1020" s="41">
        <f>'MB51'!A1020</f>
        <v>0</v>
      </c>
      <c r="C1020" s="60" t="str">
        <f>IFERROR(VLOOKUP(B1020,'MB51'!A:I,9,0),"")</f>
        <v/>
      </c>
      <c r="D1020" s="61" t="str">
        <f>IFERROR(VLOOKUP(B1020,'MB51'!A:J,10,0),"")</f>
        <v/>
      </c>
      <c r="E1020" s="62" t="str">
        <f>IFERROR(VLOOKUP(B1020,'MB51'!A:K,11,0),"")</f>
        <v/>
      </c>
      <c r="F1020" s="42" t="str">
        <f>IFERROR(VLOOKUP(B1020,'MB51'!A:F,6,0),"")</f>
        <v/>
      </c>
      <c r="G1020" s="17" t="str">
        <f t="shared" si="45"/>
        <v>點揀料單</v>
      </c>
      <c r="H1020" s="17">
        <f t="shared" si="46"/>
        <v>0</v>
      </c>
      <c r="I1020" t="str">
        <f t="shared" si="47"/>
        <v/>
      </c>
      <c r="J1020" t="str">
        <f>SUBSTITUTE(IF(COUNTIF(I$2:I1020,I1020)&gt;1,"",1)," ","")</f>
        <v/>
      </c>
    </row>
    <row r="1021" spans="1:10" x14ac:dyDescent="0.2">
      <c r="A1021" s="51" t="str">
        <f>IFERROR(VLOOKUP(B1021,點上線資訊!A:R,18,0),"")</f>
        <v/>
      </c>
      <c r="B1021" s="41">
        <f>'MB51'!A1021</f>
        <v>0</v>
      </c>
      <c r="C1021" s="60" t="str">
        <f>IFERROR(VLOOKUP(B1021,'MB51'!A:I,9,0),"")</f>
        <v/>
      </c>
      <c r="D1021" s="61" t="str">
        <f>IFERROR(VLOOKUP(B1021,'MB51'!A:J,10,0),"")</f>
        <v/>
      </c>
      <c r="E1021" s="62" t="str">
        <f>IFERROR(VLOOKUP(B1021,'MB51'!A:K,11,0),"")</f>
        <v/>
      </c>
      <c r="F1021" s="42" t="str">
        <f>IFERROR(VLOOKUP(B1021,'MB51'!A:F,6,0),"")</f>
        <v/>
      </c>
      <c r="G1021" s="17" t="str">
        <f t="shared" si="45"/>
        <v>點揀料單</v>
      </c>
      <c r="H1021" s="17">
        <f t="shared" si="46"/>
        <v>0</v>
      </c>
      <c r="I1021" t="str">
        <f t="shared" si="47"/>
        <v/>
      </c>
      <c r="J1021" t="str">
        <f>SUBSTITUTE(IF(COUNTIF(I$2:I1021,I1021)&gt;1,"",1)," ","")</f>
        <v/>
      </c>
    </row>
    <row r="1022" spans="1:10" x14ac:dyDescent="0.2">
      <c r="A1022" s="51" t="str">
        <f>IFERROR(VLOOKUP(B1022,點上線資訊!A:R,18,0),"")</f>
        <v/>
      </c>
      <c r="B1022" s="41">
        <f>'MB51'!A1022</f>
        <v>0</v>
      </c>
      <c r="C1022" s="60" t="str">
        <f>IFERROR(VLOOKUP(B1022,'MB51'!A:I,9,0),"")</f>
        <v/>
      </c>
      <c r="D1022" s="61" t="str">
        <f>IFERROR(VLOOKUP(B1022,'MB51'!A:J,10,0),"")</f>
        <v/>
      </c>
      <c r="E1022" s="62" t="str">
        <f>IFERROR(VLOOKUP(B1022,'MB51'!A:K,11,0),"")</f>
        <v/>
      </c>
      <c r="F1022" s="42" t="str">
        <f>IFERROR(VLOOKUP(B1022,'MB51'!A:F,6,0),"")</f>
        <v/>
      </c>
      <c r="G1022" s="17" t="str">
        <f t="shared" si="45"/>
        <v>點揀料單</v>
      </c>
      <c r="H1022" s="17">
        <f t="shared" si="46"/>
        <v>0</v>
      </c>
      <c r="I1022" t="str">
        <f t="shared" si="47"/>
        <v/>
      </c>
      <c r="J1022" t="str">
        <f>SUBSTITUTE(IF(COUNTIF(I$2:I1022,I1022)&gt;1,"",1)," ","")</f>
        <v/>
      </c>
    </row>
    <row r="1023" spans="1:10" x14ac:dyDescent="0.2">
      <c r="A1023" s="51" t="str">
        <f>IFERROR(VLOOKUP(B1023,點上線資訊!A:R,18,0),"")</f>
        <v/>
      </c>
      <c r="B1023" s="41">
        <f>'MB51'!A1023</f>
        <v>0</v>
      </c>
      <c r="C1023" s="60" t="str">
        <f>IFERROR(VLOOKUP(B1023,'MB51'!A:I,9,0),"")</f>
        <v/>
      </c>
      <c r="D1023" s="61" t="str">
        <f>IFERROR(VLOOKUP(B1023,'MB51'!A:J,10,0),"")</f>
        <v/>
      </c>
      <c r="E1023" s="62" t="str">
        <f>IFERROR(VLOOKUP(B1023,'MB51'!A:K,11,0),"")</f>
        <v/>
      </c>
      <c r="F1023" s="42" t="str">
        <f>IFERROR(VLOOKUP(B1023,'MB51'!A:F,6,0),"")</f>
        <v/>
      </c>
      <c r="G1023" s="17" t="str">
        <f t="shared" si="45"/>
        <v>點揀料單</v>
      </c>
      <c r="H1023" s="17">
        <f t="shared" si="46"/>
        <v>0</v>
      </c>
      <c r="I1023" t="str">
        <f t="shared" si="47"/>
        <v/>
      </c>
      <c r="J1023" t="str">
        <f>SUBSTITUTE(IF(COUNTIF(I$2:I1023,I1023)&gt;1,"",1)," ","")</f>
        <v/>
      </c>
    </row>
    <row r="1024" spans="1:10" x14ac:dyDescent="0.2">
      <c r="A1024" s="51" t="str">
        <f>IFERROR(VLOOKUP(B1024,點上線資訊!A:R,18,0),"")</f>
        <v/>
      </c>
      <c r="B1024" s="41">
        <f>'MB51'!A1024</f>
        <v>0</v>
      </c>
      <c r="C1024" s="60" t="str">
        <f>IFERROR(VLOOKUP(B1024,'MB51'!A:I,9,0),"")</f>
        <v/>
      </c>
      <c r="D1024" s="61" t="str">
        <f>IFERROR(VLOOKUP(B1024,'MB51'!A:J,10,0),"")</f>
        <v/>
      </c>
      <c r="E1024" s="62" t="str">
        <f>IFERROR(VLOOKUP(B1024,'MB51'!A:K,11,0),"")</f>
        <v/>
      </c>
      <c r="F1024" s="42" t="str">
        <f>IFERROR(VLOOKUP(B1024,'MB51'!A:F,6,0),"")</f>
        <v/>
      </c>
      <c r="G1024" s="17" t="str">
        <f t="shared" si="45"/>
        <v>點揀料單</v>
      </c>
      <c r="H1024" s="17">
        <f t="shared" si="46"/>
        <v>0</v>
      </c>
      <c r="I1024" t="str">
        <f t="shared" si="47"/>
        <v/>
      </c>
      <c r="J1024" t="str">
        <f>SUBSTITUTE(IF(COUNTIF(I$2:I1024,I1024)&gt;1,"",1)," ","")</f>
        <v/>
      </c>
    </row>
    <row r="1025" spans="1:10" x14ac:dyDescent="0.2">
      <c r="A1025" s="51" t="str">
        <f>IFERROR(VLOOKUP(B1025,點上線資訊!A:R,18,0),"")</f>
        <v/>
      </c>
      <c r="B1025" s="41">
        <f>'MB51'!A1025</f>
        <v>0</v>
      </c>
      <c r="C1025" s="60" t="str">
        <f>IFERROR(VLOOKUP(B1025,'MB51'!A:I,9,0),"")</f>
        <v/>
      </c>
      <c r="D1025" s="61" t="str">
        <f>IFERROR(VLOOKUP(B1025,'MB51'!A:J,10,0),"")</f>
        <v/>
      </c>
      <c r="E1025" s="62" t="str">
        <f>IFERROR(VLOOKUP(B1025,'MB51'!A:K,11,0),"")</f>
        <v/>
      </c>
      <c r="F1025" s="42" t="str">
        <f>IFERROR(VLOOKUP(B1025,'MB51'!A:F,6,0),"")</f>
        <v/>
      </c>
      <c r="G1025" s="17" t="str">
        <f t="shared" si="45"/>
        <v>點揀料單</v>
      </c>
      <c r="H1025" s="17">
        <f t="shared" si="46"/>
        <v>0</v>
      </c>
      <c r="I1025" t="str">
        <f t="shared" si="47"/>
        <v/>
      </c>
      <c r="J1025" t="str">
        <f>SUBSTITUTE(IF(COUNTIF(I$2:I1025,I1025)&gt;1,"",1)," ","")</f>
        <v/>
      </c>
    </row>
    <row r="1026" spans="1:10" x14ac:dyDescent="0.2">
      <c r="A1026" s="51" t="str">
        <f>IFERROR(VLOOKUP(B1026,點上線資訊!A:R,18,0),"")</f>
        <v/>
      </c>
      <c r="B1026" s="41">
        <f>'MB51'!A1026</f>
        <v>0</v>
      </c>
      <c r="C1026" s="60" t="str">
        <f>IFERROR(VLOOKUP(B1026,'MB51'!A:I,9,0),"")</f>
        <v/>
      </c>
      <c r="D1026" s="61" t="str">
        <f>IFERROR(VLOOKUP(B1026,'MB51'!A:J,10,0),"")</f>
        <v/>
      </c>
      <c r="E1026" s="62" t="str">
        <f>IFERROR(VLOOKUP(B1026,'MB51'!A:K,11,0),"")</f>
        <v/>
      </c>
      <c r="F1026" s="42" t="str">
        <f>IFERROR(VLOOKUP(B1026,'MB51'!A:F,6,0),"")</f>
        <v/>
      </c>
      <c r="G1026" s="17" t="str">
        <f t="shared" si="45"/>
        <v>點揀料單</v>
      </c>
      <c r="H1026" s="17">
        <f t="shared" si="46"/>
        <v>0</v>
      </c>
      <c r="I1026" t="str">
        <f t="shared" si="47"/>
        <v/>
      </c>
      <c r="J1026" t="str">
        <f>SUBSTITUTE(IF(COUNTIF(I$2:I1026,I1026)&gt;1,"",1)," ","")</f>
        <v/>
      </c>
    </row>
    <row r="1027" spans="1:10" x14ac:dyDescent="0.2">
      <c r="A1027" s="51" t="str">
        <f>IFERROR(VLOOKUP(B1027,點上線資訊!A:R,18,0),"")</f>
        <v/>
      </c>
      <c r="B1027" s="41">
        <f>'MB51'!A1027</f>
        <v>0</v>
      </c>
      <c r="C1027" s="60" t="str">
        <f>IFERROR(VLOOKUP(B1027,'MB51'!A:I,9,0),"")</f>
        <v/>
      </c>
      <c r="D1027" s="61" t="str">
        <f>IFERROR(VLOOKUP(B1027,'MB51'!A:J,10,0),"")</f>
        <v/>
      </c>
      <c r="E1027" s="62" t="str">
        <f>IFERROR(VLOOKUP(B1027,'MB51'!A:K,11,0),"")</f>
        <v/>
      </c>
      <c r="F1027" s="42" t="str">
        <f>IFERROR(VLOOKUP(B1027,'MB51'!A:F,6,0),"")</f>
        <v/>
      </c>
      <c r="G1027" s="17" t="str">
        <f t="shared" ref="G1027:G1090" si="48">TEXT(D1027,"MM/DD")&amp;TEXT(E1027,"  HH")&amp;"點揀料單"</f>
        <v>點揀料單</v>
      </c>
      <c r="H1027" s="17">
        <f t="shared" ref="H1027:H1090" si="49">ABS(SUMIF(C:C,C1027,F:F))</f>
        <v>0</v>
      </c>
      <c r="I1027" t="str">
        <f t="shared" ref="I1027:I1090" si="50">RIGHTB(C1027,10)</f>
        <v/>
      </c>
      <c r="J1027" t="str">
        <f>SUBSTITUTE(IF(COUNTIF(I$2:I1027,I1027)&gt;1,"",1)," ","")</f>
        <v/>
      </c>
    </row>
    <row r="1028" spans="1:10" x14ac:dyDescent="0.2">
      <c r="A1028" s="51" t="str">
        <f>IFERROR(VLOOKUP(B1028,點上線資訊!A:R,18,0),"")</f>
        <v/>
      </c>
      <c r="B1028" s="41">
        <f>'MB51'!A1028</f>
        <v>0</v>
      </c>
      <c r="C1028" s="60" t="str">
        <f>IFERROR(VLOOKUP(B1028,'MB51'!A:I,9,0),"")</f>
        <v/>
      </c>
      <c r="D1028" s="61" t="str">
        <f>IFERROR(VLOOKUP(B1028,'MB51'!A:J,10,0),"")</f>
        <v/>
      </c>
      <c r="E1028" s="62" t="str">
        <f>IFERROR(VLOOKUP(B1028,'MB51'!A:K,11,0),"")</f>
        <v/>
      </c>
      <c r="F1028" s="42" t="str">
        <f>IFERROR(VLOOKUP(B1028,'MB51'!A:F,6,0),"")</f>
        <v/>
      </c>
      <c r="G1028" s="17" t="str">
        <f t="shared" si="48"/>
        <v>點揀料單</v>
      </c>
      <c r="H1028" s="17">
        <f t="shared" si="49"/>
        <v>0</v>
      </c>
      <c r="I1028" t="str">
        <f t="shared" si="50"/>
        <v/>
      </c>
      <c r="J1028" t="str">
        <f>SUBSTITUTE(IF(COUNTIF(I$2:I1028,I1028)&gt;1,"",1)," ","")</f>
        <v/>
      </c>
    </row>
    <row r="1029" spans="1:10" x14ac:dyDescent="0.2">
      <c r="A1029" s="51" t="str">
        <f>IFERROR(VLOOKUP(B1029,點上線資訊!A:R,18,0),"")</f>
        <v/>
      </c>
      <c r="B1029" s="41">
        <f>'MB51'!A1029</f>
        <v>0</v>
      </c>
      <c r="C1029" s="60" t="str">
        <f>IFERROR(VLOOKUP(B1029,'MB51'!A:I,9,0),"")</f>
        <v/>
      </c>
      <c r="D1029" s="61" t="str">
        <f>IFERROR(VLOOKUP(B1029,'MB51'!A:J,10,0),"")</f>
        <v/>
      </c>
      <c r="E1029" s="62" t="str">
        <f>IFERROR(VLOOKUP(B1029,'MB51'!A:K,11,0),"")</f>
        <v/>
      </c>
      <c r="F1029" s="42" t="str">
        <f>IFERROR(VLOOKUP(B1029,'MB51'!A:F,6,0),"")</f>
        <v/>
      </c>
      <c r="G1029" s="17" t="str">
        <f t="shared" si="48"/>
        <v>點揀料單</v>
      </c>
      <c r="H1029" s="17">
        <f t="shared" si="49"/>
        <v>0</v>
      </c>
      <c r="I1029" t="str">
        <f t="shared" si="50"/>
        <v/>
      </c>
      <c r="J1029" t="str">
        <f>SUBSTITUTE(IF(COUNTIF(I$2:I1029,I1029)&gt;1,"",1)," ","")</f>
        <v/>
      </c>
    </row>
    <row r="1030" spans="1:10" x14ac:dyDescent="0.2">
      <c r="A1030" s="51" t="str">
        <f>IFERROR(VLOOKUP(B1030,點上線資訊!A:R,18,0),"")</f>
        <v/>
      </c>
      <c r="B1030" s="41">
        <f>'MB51'!A1030</f>
        <v>0</v>
      </c>
      <c r="C1030" s="60" t="str">
        <f>IFERROR(VLOOKUP(B1030,'MB51'!A:I,9,0),"")</f>
        <v/>
      </c>
      <c r="D1030" s="61" t="str">
        <f>IFERROR(VLOOKUP(B1030,'MB51'!A:J,10,0),"")</f>
        <v/>
      </c>
      <c r="E1030" s="62" t="str">
        <f>IFERROR(VLOOKUP(B1030,'MB51'!A:K,11,0),"")</f>
        <v/>
      </c>
      <c r="F1030" s="42" t="str">
        <f>IFERROR(VLOOKUP(B1030,'MB51'!A:F,6,0),"")</f>
        <v/>
      </c>
      <c r="G1030" s="17" t="str">
        <f t="shared" si="48"/>
        <v>點揀料單</v>
      </c>
      <c r="H1030" s="17">
        <f t="shared" si="49"/>
        <v>0</v>
      </c>
      <c r="I1030" t="str">
        <f t="shared" si="50"/>
        <v/>
      </c>
      <c r="J1030" t="str">
        <f>SUBSTITUTE(IF(COUNTIF(I$2:I1030,I1030)&gt;1,"",1)," ","")</f>
        <v/>
      </c>
    </row>
    <row r="1031" spans="1:10" x14ac:dyDescent="0.2">
      <c r="A1031" s="51" t="str">
        <f>IFERROR(VLOOKUP(B1031,點上線資訊!A:R,18,0),"")</f>
        <v/>
      </c>
      <c r="B1031" s="41">
        <f>'MB51'!A1031</f>
        <v>0</v>
      </c>
      <c r="C1031" s="60" t="str">
        <f>IFERROR(VLOOKUP(B1031,'MB51'!A:I,9,0),"")</f>
        <v/>
      </c>
      <c r="D1031" s="61" t="str">
        <f>IFERROR(VLOOKUP(B1031,'MB51'!A:J,10,0),"")</f>
        <v/>
      </c>
      <c r="E1031" s="62" t="str">
        <f>IFERROR(VLOOKUP(B1031,'MB51'!A:K,11,0),"")</f>
        <v/>
      </c>
      <c r="F1031" s="42" t="str">
        <f>IFERROR(VLOOKUP(B1031,'MB51'!A:F,6,0),"")</f>
        <v/>
      </c>
      <c r="G1031" s="17" t="str">
        <f t="shared" si="48"/>
        <v>點揀料單</v>
      </c>
      <c r="H1031" s="17">
        <f t="shared" si="49"/>
        <v>0</v>
      </c>
      <c r="I1031" t="str">
        <f t="shared" si="50"/>
        <v/>
      </c>
      <c r="J1031" t="str">
        <f>SUBSTITUTE(IF(COUNTIF(I$2:I1031,I1031)&gt;1,"",1)," ","")</f>
        <v/>
      </c>
    </row>
    <row r="1032" spans="1:10" x14ac:dyDescent="0.2">
      <c r="A1032" s="51" t="str">
        <f>IFERROR(VLOOKUP(B1032,點上線資訊!A:R,18,0),"")</f>
        <v/>
      </c>
      <c r="B1032" s="41">
        <f>'MB51'!A1032</f>
        <v>0</v>
      </c>
      <c r="C1032" s="60" t="str">
        <f>IFERROR(VLOOKUP(B1032,'MB51'!A:I,9,0),"")</f>
        <v/>
      </c>
      <c r="D1032" s="61" t="str">
        <f>IFERROR(VLOOKUP(B1032,'MB51'!A:J,10,0),"")</f>
        <v/>
      </c>
      <c r="E1032" s="62" t="str">
        <f>IFERROR(VLOOKUP(B1032,'MB51'!A:K,11,0),"")</f>
        <v/>
      </c>
      <c r="F1032" s="42" t="str">
        <f>IFERROR(VLOOKUP(B1032,'MB51'!A:F,6,0),"")</f>
        <v/>
      </c>
      <c r="G1032" s="17" t="str">
        <f t="shared" si="48"/>
        <v>點揀料單</v>
      </c>
      <c r="H1032" s="17">
        <f t="shared" si="49"/>
        <v>0</v>
      </c>
      <c r="I1032" t="str">
        <f t="shared" si="50"/>
        <v/>
      </c>
      <c r="J1032" t="str">
        <f>SUBSTITUTE(IF(COUNTIF(I$2:I1032,I1032)&gt;1,"",1)," ","")</f>
        <v/>
      </c>
    </row>
    <row r="1033" spans="1:10" x14ac:dyDescent="0.2">
      <c r="A1033" s="51" t="str">
        <f>IFERROR(VLOOKUP(B1033,點上線資訊!A:R,18,0),"")</f>
        <v/>
      </c>
      <c r="B1033" s="41">
        <f>'MB51'!A1033</f>
        <v>0</v>
      </c>
      <c r="C1033" s="60" t="str">
        <f>IFERROR(VLOOKUP(B1033,'MB51'!A:I,9,0),"")</f>
        <v/>
      </c>
      <c r="D1033" s="61" t="str">
        <f>IFERROR(VLOOKUP(B1033,'MB51'!A:J,10,0),"")</f>
        <v/>
      </c>
      <c r="E1033" s="62" t="str">
        <f>IFERROR(VLOOKUP(B1033,'MB51'!A:K,11,0),"")</f>
        <v/>
      </c>
      <c r="F1033" s="42" t="str">
        <f>IFERROR(VLOOKUP(B1033,'MB51'!A:F,6,0),"")</f>
        <v/>
      </c>
      <c r="G1033" s="17" t="str">
        <f t="shared" si="48"/>
        <v>點揀料單</v>
      </c>
      <c r="H1033" s="17">
        <f t="shared" si="49"/>
        <v>0</v>
      </c>
      <c r="I1033" t="str">
        <f t="shared" si="50"/>
        <v/>
      </c>
      <c r="J1033" t="str">
        <f>SUBSTITUTE(IF(COUNTIF(I$2:I1033,I1033)&gt;1,"",1)," ","")</f>
        <v/>
      </c>
    </row>
    <row r="1034" spans="1:10" x14ac:dyDescent="0.2">
      <c r="A1034" s="51" t="str">
        <f>IFERROR(VLOOKUP(B1034,點上線資訊!A:R,18,0),"")</f>
        <v/>
      </c>
      <c r="B1034" s="41">
        <f>'MB51'!A1034</f>
        <v>0</v>
      </c>
      <c r="C1034" s="60" t="str">
        <f>IFERROR(VLOOKUP(B1034,'MB51'!A:I,9,0),"")</f>
        <v/>
      </c>
      <c r="D1034" s="61" t="str">
        <f>IFERROR(VLOOKUP(B1034,'MB51'!A:J,10,0),"")</f>
        <v/>
      </c>
      <c r="E1034" s="62" t="str">
        <f>IFERROR(VLOOKUP(B1034,'MB51'!A:K,11,0),"")</f>
        <v/>
      </c>
      <c r="F1034" s="42" t="str">
        <f>IFERROR(VLOOKUP(B1034,'MB51'!A:F,6,0),"")</f>
        <v/>
      </c>
      <c r="G1034" s="17" t="str">
        <f t="shared" si="48"/>
        <v>點揀料單</v>
      </c>
      <c r="H1034" s="17">
        <f t="shared" si="49"/>
        <v>0</v>
      </c>
      <c r="I1034" t="str">
        <f t="shared" si="50"/>
        <v/>
      </c>
      <c r="J1034" t="str">
        <f>SUBSTITUTE(IF(COUNTIF(I$2:I1034,I1034)&gt;1,"",1)," ","")</f>
        <v/>
      </c>
    </row>
    <row r="1035" spans="1:10" x14ac:dyDescent="0.2">
      <c r="A1035" s="51" t="str">
        <f>IFERROR(VLOOKUP(B1035,點上線資訊!A:R,18,0),"")</f>
        <v/>
      </c>
      <c r="B1035" s="41">
        <f>'MB51'!A1035</f>
        <v>0</v>
      </c>
      <c r="C1035" s="60" t="str">
        <f>IFERROR(VLOOKUP(B1035,'MB51'!A:I,9,0),"")</f>
        <v/>
      </c>
      <c r="D1035" s="61" t="str">
        <f>IFERROR(VLOOKUP(B1035,'MB51'!A:J,10,0),"")</f>
        <v/>
      </c>
      <c r="E1035" s="62" t="str">
        <f>IFERROR(VLOOKUP(B1035,'MB51'!A:K,11,0),"")</f>
        <v/>
      </c>
      <c r="F1035" s="42" t="str">
        <f>IFERROR(VLOOKUP(B1035,'MB51'!A:F,6,0),"")</f>
        <v/>
      </c>
      <c r="G1035" s="17" t="str">
        <f t="shared" si="48"/>
        <v>點揀料單</v>
      </c>
      <c r="H1035" s="17">
        <f t="shared" si="49"/>
        <v>0</v>
      </c>
      <c r="I1035" t="str">
        <f t="shared" si="50"/>
        <v/>
      </c>
      <c r="J1035" t="str">
        <f>SUBSTITUTE(IF(COUNTIF(I$2:I1035,I1035)&gt;1,"",1)," ","")</f>
        <v/>
      </c>
    </row>
    <row r="1036" spans="1:10" x14ac:dyDescent="0.2">
      <c r="A1036" s="51" t="str">
        <f>IFERROR(VLOOKUP(B1036,點上線資訊!A:R,18,0),"")</f>
        <v/>
      </c>
      <c r="B1036" s="41">
        <f>'MB51'!A1036</f>
        <v>0</v>
      </c>
      <c r="C1036" s="60" t="str">
        <f>IFERROR(VLOOKUP(B1036,'MB51'!A:I,9,0),"")</f>
        <v/>
      </c>
      <c r="D1036" s="61" t="str">
        <f>IFERROR(VLOOKUP(B1036,'MB51'!A:J,10,0),"")</f>
        <v/>
      </c>
      <c r="E1036" s="62" t="str">
        <f>IFERROR(VLOOKUP(B1036,'MB51'!A:K,11,0),"")</f>
        <v/>
      </c>
      <c r="F1036" s="42" t="str">
        <f>IFERROR(VLOOKUP(B1036,'MB51'!A:F,6,0),"")</f>
        <v/>
      </c>
      <c r="G1036" s="17" t="str">
        <f t="shared" si="48"/>
        <v>點揀料單</v>
      </c>
      <c r="H1036" s="17">
        <f t="shared" si="49"/>
        <v>0</v>
      </c>
      <c r="I1036" t="str">
        <f t="shared" si="50"/>
        <v/>
      </c>
      <c r="J1036" t="str">
        <f>SUBSTITUTE(IF(COUNTIF(I$2:I1036,I1036)&gt;1,"",1)," ","")</f>
        <v/>
      </c>
    </row>
    <row r="1037" spans="1:10" x14ac:dyDescent="0.2">
      <c r="A1037" s="51" t="str">
        <f>IFERROR(VLOOKUP(B1037,點上線資訊!A:R,18,0),"")</f>
        <v/>
      </c>
      <c r="B1037" s="41">
        <f>'MB51'!A1037</f>
        <v>0</v>
      </c>
      <c r="C1037" s="60" t="str">
        <f>IFERROR(VLOOKUP(B1037,'MB51'!A:I,9,0),"")</f>
        <v/>
      </c>
      <c r="D1037" s="61" t="str">
        <f>IFERROR(VLOOKUP(B1037,'MB51'!A:J,10,0),"")</f>
        <v/>
      </c>
      <c r="E1037" s="62" t="str">
        <f>IFERROR(VLOOKUP(B1037,'MB51'!A:K,11,0),"")</f>
        <v/>
      </c>
      <c r="F1037" s="42" t="str">
        <f>IFERROR(VLOOKUP(B1037,'MB51'!A:F,6,0),"")</f>
        <v/>
      </c>
      <c r="G1037" s="17" t="str">
        <f t="shared" si="48"/>
        <v>點揀料單</v>
      </c>
      <c r="H1037" s="17">
        <f t="shared" si="49"/>
        <v>0</v>
      </c>
      <c r="I1037" t="str">
        <f t="shared" si="50"/>
        <v/>
      </c>
      <c r="J1037" t="str">
        <f>SUBSTITUTE(IF(COUNTIF(I$2:I1037,I1037)&gt;1,"",1)," ","")</f>
        <v/>
      </c>
    </row>
    <row r="1038" spans="1:10" x14ac:dyDescent="0.2">
      <c r="A1038" s="51" t="str">
        <f>IFERROR(VLOOKUP(B1038,點上線資訊!A:R,18,0),"")</f>
        <v/>
      </c>
      <c r="B1038" s="41">
        <f>'MB51'!A1038</f>
        <v>0</v>
      </c>
      <c r="C1038" s="60" t="str">
        <f>IFERROR(VLOOKUP(B1038,'MB51'!A:I,9,0),"")</f>
        <v/>
      </c>
      <c r="D1038" s="61" t="str">
        <f>IFERROR(VLOOKUP(B1038,'MB51'!A:J,10,0),"")</f>
        <v/>
      </c>
      <c r="E1038" s="62" t="str">
        <f>IFERROR(VLOOKUP(B1038,'MB51'!A:K,11,0),"")</f>
        <v/>
      </c>
      <c r="F1038" s="42" t="str">
        <f>IFERROR(VLOOKUP(B1038,'MB51'!A:F,6,0),"")</f>
        <v/>
      </c>
      <c r="G1038" s="17" t="str">
        <f t="shared" si="48"/>
        <v>點揀料單</v>
      </c>
      <c r="H1038" s="17">
        <f t="shared" si="49"/>
        <v>0</v>
      </c>
      <c r="I1038" t="str">
        <f t="shared" si="50"/>
        <v/>
      </c>
      <c r="J1038" t="str">
        <f>SUBSTITUTE(IF(COUNTIF(I$2:I1038,I1038)&gt;1,"",1)," ","")</f>
        <v/>
      </c>
    </row>
    <row r="1039" spans="1:10" x14ac:dyDescent="0.2">
      <c r="A1039" s="51" t="str">
        <f>IFERROR(VLOOKUP(B1039,點上線資訊!A:R,18,0),"")</f>
        <v/>
      </c>
      <c r="B1039" s="41">
        <f>'MB51'!A1039</f>
        <v>0</v>
      </c>
      <c r="C1039" s="60" t="str">
        <f>IFERROR(VLOOKUP(B1039,'MB51'!A:I,9,0),"")</f>
        <v/>
      </c>
      <c r="D1039" s="61" t="str">
        <f>IFERROR(VLOOKUP(B1039,'MB51'!A:J,10,0),"")</f>
        <v/>
      </c>
      <c r="E1039" s="62" t="str">
        <f>IFERROR(VLOOKUP(B1039,'MB51'!A:K,11,0),"")</f>
        <v/>
      </c>
      <c r="F1039" s="42" t="str">
        <f>IFERROR(VLOOKUP(B1039,'MB51'!A:F,6,0),"")</f>
        <v/>
      </c>
      <c r="G1039" s="17" t="str">
        <f t="shared" si="48"/>
        <v>點揀料單</v>
      </c>
      <c r="H1039" s="17">
        <f t="shared" si="49"/>
        <v>0</v>
      </c>
      <c r="I1039" t="str">
        <f t="shared" si="50"/>
        <v/>
      </c>
      <c r="J1039" t="str">
        <f>SUBSTITUTE(IF(COUNTIF(I$2:I1039,I1039)&gt;1,"",1)," ","")</f>
        <v/>
      </c>
    </row>
    <row r="1040" spans="1:10" x14ac:dyDescent="0.2">
      <c r="A1040" s="51" t="str">
        <f>IFERROR(VLOOKUP(B1040,點上線資訊!A:R,18,0),"")</f>
        <v/>
      </c>
      <c r="B1040" s="41">
        <f>'MB51'!A1040</f>
        <v>0</v>
      </c>
      <c r="C1040" s="60" t="str">
        <f>IFERROR(VLOOKUP(B1040,'MB51'!A:I,9,0),"")</f>
        <v/>
      </c>
      <c r="D1040" s="61" t="str">
        <f>IFERROR(VLOOKUP(B1040,'MB51'!A:J,10,0),"")</f>
        <v/>
      </c>
      <c r="E1040" s="62" t="str">
        <f>IFERROR(VLOOKUP(B1040,'MB51'!A:K,11,0),"")</f>
        <v/>
      </c>
      <c r="F1040" s="42" t="str">
        <f>IFERROR(VLOOKUP(B1040,'MB51'!A:F,6,0),"")</f>
        <v/>
      </c>
      <c r="G1040" s="17" t="str">
        <f t="shared" si="48"/>
        <v>點揀料單</v>
      </c>
      <c r="H1040" s="17">
        <f t="shared" si="49"/>
        <v>0</v>
      </c>
      <c r="I1040" t="str">
        <f t="shared" si="50"/>
        <v/>
      </c>
      <c r="J1040" t="str">
        <f>SUBSTITUTE(IF(COUNTIF(I$2:I1040,I1040)&gt;1,"",1)," ","")</f>
        <v/>
      </c>
    </row>
    <row r="1041" spans="1:10" x14ac:dyDescent="0.2">
      <c r="A1041" s="51" t="str">
        <f>IFERROR(VLOOKUP(B1041,點上線資訊!A:R,18,0),"")</f>
        <v/>
      </c>
      <c r="B1041" s="41">
        <f>'MB51'!A1041</f>
        <v>0</v>
      </c>
      <c r="C1041" s="60" t="str">
        <f>IFERROR(VLOOKUP(B1041,'MB51'!A:I,9,0),"")</f>
        <v/>
      </c>
      <c r="D1041" s="61" t="str">
        <f>IFERROR(VLOOKUP(B1041,'MB51'!A:J,10,0),"")</f>
        <v/>
      </c>
      <c r="E1041" s="62" t="str">
        <f>IFERROR(VLOOKUP(B1041,'MB51'!A:K,11,0),"")</f>
        <v/>
      </c>
      <c r="F1041" s="42" t="str">
        <f>IFERROR(VLOOKUP(B1041,'MB51'!A:F,6,0),"")</f>
        <v/>
      </c>
      <c r="G1041" s="17" t="str">
        <f t="shared" si="48"/>
        <v>點揀料單</v>
      </c>
      <c r="H1041" s="17">
        <f t="shared" si="49"/>
        <v>0</v>
      </c>
      <c r="I1041" t="str">
        <f t="shared" si="50"/>
        <v/>
      </c>
      <c r="J1041" t="str">
        <f>SUBSTITUTE(IF(COUNTIF(I$2:I1041,I1041)&gt;1,"",1)," ","")</f>
        <v/>
      </c>
    </row>
    <row r="1042" spans="1:10" x14ac:dyDescent="0.2">
      <c r="A1042" s="51" t="str">
        <f>IFERROR(VLOOKUP(B1042,點上線資訊!A:R,18,0),"")</f>
        <v/>
      </c>
      <c r="B1042" s="41">
        <f>'MB51'!A1042</f>
        <v>0</v>
      </c>
      <c r="C1042" s="60" t="str">
        <f>IFERROR(VLOOKUP(B1042,'MB51'!A:I,9,0),"")</f>
        <v/>
      </c>
      <c r="D1042" s="61" t="str">
        <f>IFERROR(VLOOKUP(B1042,'MB51'!A:J,10,0),"")</f>
        <v/>
      </c>
      <c r="E1042" s="62" t="str">
        <f>IFERROR(VLOOKUP(B1042,'MB51'!A:K,11,0),"")</f>
        <v/>
      </c>
      <c r="F1042" s="42" t="str">
        <f>IFERROR(VLOOKUP(B1042,'MB51'!A:F,6,0),"")</f>
        <v/>
      </c>
      <c r="G1042" s="17" t="str">
        <f t="shared" si="48"/>
        <v>點揀料單</v>
      </c>
      <c r="H1042" s="17">
        <f t="shared" si="49"/>
        <v>0</v>
      </c>
      <c r="I1042" t="str">
        <f t="shared" si="50"/>
        <v/>
      </c>
      <c r="J1042" t="str">
        <f>SUBSTITUTE(IF(COUNTIF(I$2:I1042,I1042)&gt;1,"",1)," ","")</f>
        <v/>
      </c>
    </row>
    <row r="1043" spans="1:10" x14ac:dyDescent="0.2">
      <c r="A1043" s="51" t="str">
        <f>IFERROR(VLOOKUP(B1043,點上線資訊!A:R,18,0),"")</f>
        <v/>
      </c>
      <c r="B1043" s="41">
        <f>'MB51'!A1043</f>
        <v>0</v>
      </c>
      <c r="C1043" s="60" t="str">
        <f>IFERROR(VLOOKUP(B1043,'MB51'!A:I,9,0),"")</f>
        <v/>
      </c>
      <c r="D1043" s="61" t="str">
        <f>IFERROR(VLOOKUP(B1043,'MB51'!A:J,10,0),"")</f>
        <v/>
      </c>
      <c r="E1043" s="62" t="str">
        <f>IFERROR(VLOOKUP(B1043,'MB51'!A:K,11,0),"")</f>
        <v/>
      </c>
      <c r="F1043" s="42" t="str">
        <f>IFERROR(VLOOKUP(B1043,'MB51'!A:F,6,0),"")</f>
        <v/>
      </c>
      <c r="G1043" s="17" t="str">
        <f t="shared" si="48"/>
        <v>點揀料單</v>
      </c>
      <c r="H1043" s="17">
        <f t="shared" si="49"/>
        <v>0</v>
      </c>
      <c r="I1043" t="str">
        <f t="shared" si="50"/>
        <v/>
      </c>
      <c r="J1043" t="str">
        <f>SUBSTITUTE(IF(COUNTIF(I$2:I1043,I1043)&gt;1,"",1)," ","")</f>
        <v/>
      </c>
    </row>
    <row r="1044" spans="1:10" x14ac:dyDescent="0.2">
      <c r="A1044" s="51" t="str">
        <f>IFERROR(VLOOKUP(B1044,點上線資訊!A:R,18,0),"")</f>
        <v/>
      </c>
      <c r="B1044" s="41">
        <f>'MB51'!A1044</f>
        <v>0</v>
      </c>
      <c r="C1044" s="60" t="str">
        <f>IFERROR(VLOOKUP(B1044,'MB51'!A:I,9,0),"")</f>
        <v/>
      </c>
      <c r="D1044" s="61" t="str">
        <f>IFERROR(VLOOKUP(B1044,'MB51'!A:J,10,0),"")</f>
        <v/>
      </c>
      <c r="E1044" s="62" t="str">
        <f>IFERROR(VLOOKUP(B1044,'MB51'!A:K,11,0),"")</f>
        <v/>
      </c>
      <c r="F1044" s="42" t="str">
        <f>IFERROR(VLOOKUP(B1044,'MB51'!A:F,6,0),"")</f>
        <v/>
      </c>
      <c r="G1044" s="17" t="str">
        <f t="shared" si="48"/>
        <v>點揀料單</v>
      </c>
      <c r="H1044" s="17">
        <f t="shared" si="49"/>
        <v>0</v>
      </c>
      <c r="I1044" t="str">
        <f t="shared" si="50"/>
        <v/>
      </c>
      <c r="J1044" t="str">
        <f>SUBSTITUTE(IF(COUNTIF(I$2:I1044,I1044)&gt;1,"",1)," ","")</f>
        <v/>
      </c>
    </row>
    <row r="1045" spans="1:10" x14ac:dyDescent="0.2">
      <c r="A1045" s="51" t="str">
        <f>IFERROR(VLOOKUP(B1045,點上線資訊!A:R,18,0),"")</f>
        <v/>
      </c>
      <c r="B1045" s="41">
        <f>'MB51'!A1045</f>
        <v>0</v>
      </c>
      <c r="C1045" s="60" t="str">
        <f>IFERROR(VLOOKUP(B1045,'MB51'!A:I,9,0),"")</f>
        <v/>
      </c>
      <c r="D1045" s="61" t="str">
        <f>IFERROR(VLOOKUP(B1045,'MB51'!A:J,10,0),"")</f>
        <v/>
      </c>
      <c r="E1045" s="62" t="str">
        <f>IFERROR(VLOOKUP(B1045,'MB51'!A:K,11,0),"")</f>
        <v/>
      </c>
      <c r="F1045" s="42" t="str">
        <f>IFERROR(VLOOKUP(B1045,'MB51'!A:F,6,0),"")</f>
        <v/>
      </c>
      <c r="G1045" s="17" t="str">
        <f t="shared" si="48"/>
        <v>點揀料單</v>
      </c>
      <c r="H1045" s="17">
        <f t="shared" si="49"/>
        <v>0</v>
      </c>
      <c r="I1045" t="str">
        <f t="shared" si="50"/>
        <v/>
      </c>
      <c r="J1045" t="str">
        <f>SUBSTITUTE(IF(COUNTIF(I$2:I1045,I1045)&gt;1,"",1)," ","")</f>
        <v/>
      </c>
    </row>
    <row r="1046" spans="1:10" x14ac:dyDescent="0.2">
      <c r="A1046" s="51" t="str">
        <f>IFERROR(VLOOKUP(B1046,點上線資訊!A:R,18,0),"")</f>
        <v/>
      </c>
      <c r="B1046" s="41">
        <f>'MB51'!A1046</f>
        <v>0</v>
      </c>
      <c r="C1046" s="60" t="str">
        <f>IFERROR(VLOOKUP(B1046,'MB51'!A:I,9,0),"")</f>
        <v/>
      </c>
      <c r="D1046" s="61" t="str">
        <f>IFERROR(VLOOKUP(B1046,'MB51'!A:J,10,0),"")</f>
        <v/>
      </c>
      <c r="E1046" s="62" t="str">
        <f>IFERROR(VLOOKUP(B1046,'MB51'!A:K,11,0),"")</f>
        <v/>
      </c>
      <c r="F1046" s="42" t="str">
        <f>IFERROR(VLOOKUP(B1046,'MB51'!A:F,6,0),"")</f>
        <v/>
      </c>
      <c r="G1046" s="17" t="str">
        <f t="shared" si="48"/>
        <v>點揀料單</v>
      </c>
      <c r="H1046" s="17">
        <f t="shared" si="49"/>
        <v>0</v>
      </c>
      <c r="I1046" t="str">
        <f t="shared" si="50"/>
        <v/>
      </c>
      <c r="J1046" t="str">
        <f>SUBSTITUTE(IF(COUNTIF(I$2:I1046,I1046)&gt;1,"",1)," ","")</f>
        <v/>
      </c>
    </row>
    <row r="1047" spans="1:10" x14ac:dyDescent="0.2">
      <c r="A1047" s="51" t="str">
        <f>IFERROR(VLOOKUP(B1047,點上線資訊!A:R,18,0),"")</f>
        <v/>
      </c>
      <c r="B1047" s="41">
        <f>'MB51'!A1047</f>
        <v>0</v>
      </c>
      <c r="C1047" s="60" t="str">
        <f>IFERROR(VLOOKUP(B1047,'MB51'!A:I,9,0),"")</f>
        <v/>
      </c>
      <c r="D1047" s="61" t="str">
        <f>IFERROR(VLOOKUP(B1047,'MB51'!A:J,10,0),"")</f>
        <v/>
      </c>
      <c r="E1047" s="62" t="str">
        <f>IFERROR(VLOOKUP(B1047,'MB51'!A:K,11,0),"")</f>
        <v/>
      </c>
      <c r="F1047" s="42" t="str">
        <f>IFERROR(VLOOKUP(B1047,'MB51'!A:F,6,0),"")</f>
        <v/>
      </c>
      <c r="G1047" s="17" t="str">
        <f t="shared" si="48"/>
        <v>點揀料單</v>
      </c>
      <c r="H1047" s="17">
        <f t="shared" si="49"/>
        <v>0</v>
      </c>
      <c r="I1047" t="str">
        <f t="shared" si="50"/>
        <v/>
      </c>
      <c r="J1047" t="str">
        <f>SUBSTITUTE(IF(COUNTIF(I$2:I1047,I1047)&gt;1,"",1)," ","")</f>
        <v/>
      </c>
    </row>
    <row r="1048" spans="1:10" x14ac:dyDescent="0.2">
      <c r="A1048" s="51" t="str">
        <f>IFERROR(VLOOKUP(B1048,點上線資訊!A:R,18,0),"")</f>
        <v/>
      </c>
      <c r="B1048" s="41">
        <f>'MB51'!A1048</f>
        <v>0</v>
      </c>
      <c r="C1048" s="60" t="str">
        <f>IFERROR(VLOOKUP(B1048,'MB51'!A:I,9,0),"")</f>
        <v/>
      </c>
      <c r="D1048" s="61" t="str">
        <f>IFERROR(VLOOKUP(B1048,'MB51'!A:J,10,0),"")</f>
        <v/>
      </c>
      <c r="E1048" s="62" t="str">
        <f>IFERROR(VLOOKUP(B1048,'MB51'!A:K,11,0),"")</f>
        <v/>
      </c>
      <c r="F1048" s="42" t="str">
        <f>IFERROR(VLOOKUP(B1048,'MB51'!A:F,6,0),"")</f>
        <v/>
      </c>
      <c r="G1048" s="17" t="str">
        <f t="shared" si="48"/>
        <v>點揀料單</v>
      </c>
      <c r="H1048" s="17">
        <f t="shared" si="49"/>
        <v>0</v>
      </c>
      <c r="I1048" t="str">
        <f t="shared" si="50"/>
        <v/>
      </c>
      <c r="J1048" t="str">
        <f>SUBSTITUTE(IF(COUNTIF(I$2:I1048,I1048)&gt;1,"",1)," ","")</f>
        <v/>
      </c>
    </row>
    <row r="1049" spans="1:10" x14ac:dyDescent="0.2">
      <c r="A1049" s="51" t="str">
        <f>IFERROR(VLOOKUP(B1049,點上線資訊!A:R,18,0),"")</f>
        <v/>
      </c>
      <c r="B1049" s="41">
        <f>'MB51'!A1049</f>
        <v>0</v>
      </c>
      <c r="C1049" s="60" t="str">
        <f>IFERROR(VLOOKUP(B1049,'MB51'!A:I,9,0),"")</f>
        <v/>
      </c>
      <c r="D1049" s="61" t="str">
        <f>IFERROR(VLOOKUP(B1049,'MB51'!A:J,10,0),"")</f>
        <v/>
      </c>
      <c r="E1049" s="62" t="str">
        <f>IFERROR(VLOOKUP(B1049,'MB51'!A:K,11,0),"")</f>
        <v/>
      </c>
      <c r="F1049" s="42" t="str">
        <f>IFERROR(VLOOKUP(B1049,'MB51'!A:F,6,0),"")</f>
        <v/>
      </c>
      <c r="G1049" s="17" t="str">
        <f t="shared" si="48"/>
        <v>點揀料單</v>
      </c>
      <c r="H1049" s="17">
        <f t="shared" si="49"/>
        <v>0</v>
      </c>
      <c r="I1049" t="str">
        <f t="shared" si="50"/>
        <v/>
      </c>
      <c r="J1049" t="str">
        <f>SUBSTITUTE(IF(COUNTIF(I$2:I1049,I1049)&gt;1,"",1)," ","")</f>
        <v/>
      </c>
    </row>
    <row r="1050" spans="1:10" x14ac:dyDescent="0.2">
      <c r="A1050" s="51" t="str">
        <f>IFERROR(VLOOKUP(B1050,點上線資訊!A:R,18,0),"")</f>
        <v/>
      </c>
      <c r="B1050" s="41">
        <f>'MB51'!A1050</f>
        <v>0</v>
      </c>
      <c r="C1050" s="60" t="str">
        <f>IFERROR(VLOOKUP(B1050,'MB51'!A:I,9,0),"")</f>
        <v/>
      </c>
      <c r="D1050" s="61" t="str">
        <f>IFERROR(VLOOKUP(B1050,'MB51'!A:J,10,0),"")</f>
        <v/>
      </c>
      <c r="E1050" s="62" t="str">
        <f>IFERROR(VLOOKUP(B1050,'MB51'!A:K,11,0),"")</f>
        <v/>
      </c>
      <c r="F1050" s="42" t="str">
        <f>IFERROR(VLOOKUP(B1050,'MB51'!A:F,6,0),"")</f>
        <v/>
      </c>
      <c r="G1050" s="17" t="str">
        <f t="shared" si="48"/>
        <v>點揀料單</v>
      </c>
      <c r="H1050" s="17">
        <f t="shared" si="49"/>
        <v>0</v>
      </c>
      <c r="I1050" t="str">
        <f t="shared" si="50"/>
        <v/>
      </c>
      <c r="J1050" t="str">
        <f>SUBSTITUTE(IF(COUNTIF(I$2:I1050,I1050)&gt;1,"",1)," ","")</f>
        <v/>
      </c>
    </row>
    <row r="1051" spans="1:10" x14ac:dyDescent="0.2">
      <c r="A1051" s="51" t="str">
        <f>IFERROR(VLOOKUP(B1051,點上線資訊!A:R,18,0),"")</f>
        <v/>
      </c>
      <c r="B1051" s="41">
        <f>'MB51'!A1051</f>
        <v>0</v>
      </c>
      <c r="C1051" s="60" t="str">
        <f>IFERROR(VLOOKUP(B1051,'MB51'!A:I,9,0),"")</f>
        <v/>
      </c>
      <c r="D1051" s="61" t="str">
        <f>IFERROR(VLOOKUP(B1051,'MB51'!A:J,10,0),"")</f>
        <v/>
      </c>
      <c r="E1051" s="62" t="str">
        <f>IFERROR(VLOOKUP(B1051,'MB51'!A:K,11,0),"")</f>
        <v/>
      </c>
      <c r="F1051" s="42" t="str">
        <f>IFERROR(VLOOKUP(B1051,'MB51'!A:F,6,0),"")</f>
        <v/>
      </c>
      <c r="G1051" s="17" t="str">
        <f t="shared" si="48"/>
        <v>點揀料單</v>
      </c>
      <c r="H1051" s="17">
        <f t="shared" si="49"/>
        <v>0</v>
      </c>
      <c r="I1051" t="str">
        <f t="shared" si="50"/>
        <v/>
      </c>
      <c r="J1051" t="str">
        <f>SUBSTITUTE(IF(COUNTIF(I$2:I1051,I1051)&gt;1,"",1)," ","")</f>
        <v/>
      </c>
    </row>
    <row r="1052" spans="1:10" x14ac:dyDescent="0.2">
      <c r="A1052" s="51" t="str">
        <f>IFERROR(VLOOKUP(B1052,點上線資訊!A:R,18,0),"")</f>
        <v/>
      </c>
      <c r="B1052" s="41">
        <f>'MB51'!A1052</f>
        <v>0</v>
      </c>
      <c r="C1052" s="60" t="str">
        <f>IFERROR(VLOOKUP(B1052,'MB51'!A:I,9,0),"")</f>
        <v/>
      </c>
      <c r="D1052" s="61" t="str">
        <f>IFERROR(VLOOKUP(B1052,'MB51'!A:J,10,0),"")</f>
        <v/>
      </c>
      <c r="E1052" s="62" t="str">
        <f>IFERROR(VLOOKUP(B1052,'MB51'!A:K,11,0),"")</f>
        <v/>
      </c>
      <c r="F1052" s="42" t="str">
        <f>IFERROR(VLOOKUP(B1052,'MB51'!A:F,6,0),"")</f>
        <v/>
      </c>
      <c r="G1052" s="17" t="str">
        <f t="shared" si="48"/>
        <v>點揀料單</v>
      </c>
      <c r="H1052" s="17">
        <f t="shared" si="49"/>
        <v>0</v>
      </c>
      <c r="I1052" t="str">
        <f t="shared" si="50"/>
        <v/>
      </c>
      <c r="J1052" t="str">
        <f>SUBSTITUTE(IF(COUNTIF(I$2:I1052,I1052)&gt;1,"",1)," ","")</f>
        <v/>
      </c>
    </row>
    <row r="1053" spans="1:10" x14ac:dyDescent="0.2">
      <c r="A1053" s="51" t="str">
        <f>IFERROR(VLOOKUP(B1053,點上線資訊!A:R,18,0),"")</f>
        <v/>
      </c>
      <c r="B1053" s="41">
        <f>'MB51'!A1053</f>
        <v>0</v>
      </c>
      <c r="C1053" s="60" t="str">
        <f>IFERROR(VLOOKUP(B1053,'MB51'!A:I,9,0),"")</f>
        <v/>
      </c>
      <c r="D1053" s="61" t="str">
        <f>IFERROR(VLOOKUP(B1053,'MB51'!A:J,10,0),"")</f>
        <v/>
      </c>
      <c r="E1053" s="62" t="str">
        <f>IFERROR(VLOOKUP(B1053,'MB51'!A:K,11,0),"")</f>
        <v/>
      </c>
      <c r="F1053" s="42" t="str">
        <f>IFERROR(VLOOKUP(B1053,'MB51'!A:F,6,0),"")</f>
        <v/>
      </c>
      <c r="G1053" s="17" t="str">
        <f t="shared" si="48"/>
        <v>點揀料單</v>
      </c>
      <c r="H1053" s="17">
        <f t="shared" si="49"/>
        <v>0</v>
      </c>
      <c r="I1053" t="str">
        <f t="shared" si="50"/>
        <v/>
      </c>
      <c r="J1053" t="str">
        <f>SUBSTITUTE(IF(COUNTIF(I$2:I1053,I1053)&gt;1,"",1)," ","")</f>
        <v/>
      </c>
    </row>
    <row r="1054" spans="1:10" x14ac:dyDescent="0.2">
      <c r="A1054" s="51" t="str">
        <f>IFERROR(VLOOKUP(B1054,點上線資訊!A:R,18,0),"")</f>
        <v/>
      </c>
      <c r="B1054" s="41">
        <f>'MB51'!A1054</f>
        <v>0</v>
      </c>
      <c r="C1054" s="60" t="str">
        <f>IFERROR(VLOOKUP(B1054,'MB51'!A:I,9,0),"")</f>
        <v/>
      </c>
      <c r="D1054" s="61" t="str">
        <f>IFERROR(VLOOKUP(B1054,'MB51'!A:J,10,0),"")</f>
        <v/>
      </c>
      <c r="E1054" s="62" t="str">
        <f>IFERROR(VLOOKUP(B1054,'MB51'!A:K,11,0),"")</f>
        <v/>
      </c>
      <c r="F1054" s="42" t="str">
        <f>IFERROR(VLOOKUP(B1054,'MB51'!A:F,6,0),"")</f>
        <v/>
      </c>
      <c r="G1054" s="17" t="str">
        <f t="shared" si="48"/>
        <v>點揀料單</v>
      </c>
      <c r="H1054" s="17">
        <f t="shared" si="49"/>
        <v>0</v>
      </c>
      <c r="I1054" t="str">
        <f t="shared" si="50"/>
        <v/>
      </c>
      <c r="J1054" t="str">
        <f>SUBSTITUTE(IF(COUNTIF(I$2:I1054,I1054)&gt;1,"",1)," ","")</f>
        <v/>
      </c>
    </row>
    <row r="1055" spans="1:10" x14ac:dyDescent="0.2">
      <c r="A1055" s="51" t="str">
        <f>IFERROR(VLOOKUP(B1055,點上線資訊!A:R,18,0),"")</f>
        <v/>
      </c>
      <c r="B1055" s="41">
        <f>'MB51'!A1055</f>
        <v>0</v>
      </c>
      <c r="C1055" s="60" t="str">
        <f>IFERROR(VLOOKUP(B1055,'MB51'!A:I,9,0),"")</f>
        <v/>
      </c>
      <c r="D1055" s="61" t="str">
        <f>IFERROR(VLOOKUP(B1055,'MB51'!A:J,10,0),"")</f>
        <v/>
      </c>
      <c r="E1055" s="62" t="str">
        <f>IFERROR(VLOOKUP(B1055,'MB51'!A:K,11,0),"")</f>
        <v/>
      </c>
      <c r="F1055" s="42" t="str">
        <f>IFERROR(VLOOKUP(B1055,'MB51'!A:F,6,0),"")</f>
        <v/>
      </c>
      <c r="G1055" s="17" t="str">
        <f t="shared" si="48"/>
        <v>點揀料單</v>
      </c>
      <c r="H1055" s="17">
        <f t="shared" si="49"/>
        <v>0</v>
      </c>
      <c r="I1055" t="str">
        <f t="shared" si="50"/>
        <v/>
      </c>
      <c r="J1055" t="str">
        <f>SUBSTITUTE(IF(COUNTIF(I$2:I1055,I1055)&gt;1,"",1)," ","")</f>
        <v/>
      </c>
    </row>
    <row r="1056" spans="1:10" x14ac:dyDescent="0.2">
      <c r="A1056" s="51" t="str">
        <f>IFERROR(VLOOKUP(B1056,點上線資訊!A:R,18,0),"")</f>
        <v/>
      </c>
      <c r="B1056" s="41">
        <f>'MB51'!A1056</f>
        <v>0</v>
      </c>
      <c r="C1056" s="60" t="str">
        <f>IFERROR(VLOOKUP(B1056,'MB51'!A:I,9,0),"")</f>
        <v/>
      </c>
      <c r="D1056" s="61" t="str">
        <f>IFERROR(VLOOKUP(B1056,'MB51'!A:J,10,0),"")</f>
        <v/>
      </c>
      <c r="E1056" s="62" t="str">
        <f>IFERROR(VLOOKUP(B1056,'MB51'!A:K,11,0),"")</f>
        <v/>
      </c>
      <c r="F1056" s="42" t="str">
        <f>IFERROR(VLOOKUP(B1056,'MB51'!A:F,6,0),"")</f>
        <v/>
      </c>
      <c r="G1056" s="17" t="str">
        <f t="shared" si="48"/>
        <v>點揀料單</v>
      </c>
      <c r="H1056" s="17">
        <f t="shared" si="49"/>
        <v>0</v>
      </c>
      <c r="I1056" t="str">
        <f t="shared" si="50"/>
        <v/>
      </c>
      <c r="J1056" t="str">
        <f>SUBSTITUTE(IF(COUNTIF(I$2:I1056,I1056)&gt;1,"",1)," ","")</f>
        <v/>
      </c>
    </row>
    <row r="1057" spans="1:10" x14ac:dyDescent="0.2">
      <c r="A1057" s="51" t="str">
        <f>IFERROR(VLOOKUP(B1057,點上線資訊!A:R,18,0),"")</f>
        <v/>
      </c>
      <c r="B1057" s="41">
        <f>'MB51'!A1057</f>
        <v>0</v>
      </c>
      <c r="C1057" s="60" t="str">
        <f>IFERROR(VLOOKUP(B1057,'MB51'!A:I,9,0),"")</f>
        <v/>
      </c>
      <c r="D1057" s="61" t="str">
        <f>IFERROR(VLOOKUP(B1057,'MB51'!A:J,10,0),"")</f>
        <v/>
      </c>
      <c r="E1057" s="62" t="str">
        <f>IFERROR(VLOOKUP(B1057,'MB51'!A:K,11,0),"")</f>
        <v/>
      </c>
      <c r="F1057" s="42" t="str">
        <f>IFERROR(VLOOKUP(B1057,'MB51'!A:F,6,0),"")</f>
        <v/>
      </c>
      <c r="G1057" s="17" t="str">
        <f t="shared" si="48"/>
        <v>點揀料單</v>
      </c>
      <c r="H1057" s="17">
        <f t="shared" si="49"/>
        <v>0</v>
      </c>
      <c r="I1057" t="str">
        <f t="shared" si="50"/>
        <v/>
      </c>
      <c r="J1057" t="str">
        <f>SUBSTITUTE(IF(COUNTIF(I$2:I1057,I1057)&gt;1,"",1)," ","")</f>
        <v/>
      </c>
    </row>
    <row r="1058" spans="1:10" x14ac:dyDescent="0.2">
      <c r="A1058" s="51" t="str">
        <f>IFERROR(VLOOKUP(B1058,點上線資訊!A:R,18,0),"")</f>
        <v/>
      </c>
      <c r="B1058" s="41">
        <f>'MB51'!A1058</f>
        <v>0</v>
      </c>
      <c r="C1058" s="60" t="str">
        <f>IFERROR(VLOOKUP(B1058,'MB51'!A:I,9,0),"")</f>
        <v/>
      </c>
      <c r="D1058" s="61" t="str">
        <f>IFERROR(VLOOKUP(B1058,'MB51'!A:J,10,0),"")</f>
        <v/>
      </c>
      <c r="E1058" s="62" t="str">
        <f>IFERROR(VLOOKUP(B1058,'MB51'!A:K,11,0),"")</f>
        <v/>
      </c>
      <c r="F1058" s="42" t="str">
        <f>IFERROR(VLOOKUP(B1058,'MB51'!A:F,6,0),"")</f>
        <v/>
      </c>
      <c r="G1058" s="17" t="str">
        <f t="shared" si="48"/>
        <v>點揀料單</v>
      </c>
      <c r="H1058" s="17">
        <f t="shared" si="49"/>
        <v>0</v>
      </c>
      <c r="I1058" t="str">
        <f t="shared" si="50"/>
        <v/>
      </c>
      <c r="J1058" t="str">
        <f>SUBSTITUTE(IF(COUNTIF(I$2:I1058,I1058)&gt;1,"",1)," ","")</f>
        <v/>
      </c>
    </row>
    <row r="1059" spans="1:10" x14ac:dyDescent="0.2">
      <c r="A1059" s="51" t="str">
        <f>IFERROR(VLOOKUP(B1059,點上線資訊!A:R,18,0),"")</f>
        <v/>
      </c>
      <c r="B1059" s="41">
        <f>'MB51'!A1059</f>
        <v>0</v>
      </c>
      <c r="C1059" s="60" t="str">
        <f>IFERROR(VLOOKUP(B1059,'MB51'!A:I,9,0),"")</f>
        <v/>
      </c>
      <c r="D1059" s="61" t="str">
        <f>IFERROR(VLOOKUP(B1059,'MB51'!A:J,10,0),"")</f>
        <v/>
      </c>
      <c r="E1059" s="62" t="str">
        <f>IFERROR(VLOOKUP(B1059,'MB51'!A:K,11,0),"")</f>
        <v/>
      </c>
      <c r="F1059" s="42" t="str">
        <f>IFERROR(VLOOKUP(B1059,'MB51'!A:F,6,0),"")</f>
        <v/>
      </c>
      <c r="G1059" s="17" t="str">
        <f t="shared" si="48"/>
        <v>點揀料單</v>
      </c>
      <c r="H1059" s="17">
        <f t="shared" si="49"/>
        <v>0</v>
      </c>
      <c r="I1059" t="str">
        <f t="shared" si="50"/>
        <v/>
      </c>
      <c r="J1059" t="str">
        <f>SUBSTITUTE(IF(COUNTIF(I$2:I1059,I1059)&gt;1,"",1)," ","")</f>
        <v/>
      </c>
    </row>
    <row r="1060" spans="1:10" x14ac:dyDescent="0.2">
      <c r="A1060" s="51" t="str">
        <f>IFERROR(VLOOKUP(B1060,點上線資訊!A:R,18,0),"")</f>
        <v/>
      </c>
      <c r="B1060" s="41">
        <f>'MB51'!A1060</f>
        <v>0</v>
      </c>
      <c r="C1060" s="60" t="str">
        <f>IFERROR(VLOOKUP(B1060,'MB51'!A:I,9,0),"")</f>
        <v/>
      </c>
      <c r="D1060" s="61" t="str">
        <f>IFERROR(VLOOKUP(B1060,'MB51'!A:J,10,0),"")</f>
        <v/>
      </c>
      <c r="E1060" s="62" t="str">
        <f>IFERROR(VLOOKUP(B1060,'MB51'!A:K,11,0),"")</f>
        <v/>
      </c>
      <c r="F1060" s="42" t="str">
        <f>IFERROR(VLOOKUP(B1060,'MB51'!A:F,6,0),"")</f>
        <v/>
      </c>
      <c r="G1060" s="17" t="str">
        <f t="shared" si="48"/>
        <v>點揀料單</v>
      </c>
      <c r="H1060" s="17">
        <f t="shared" si="49"/>
        <v>0</v>
      </c>
      <c r="I1060" t="str">
        <f t="shared" si="50"/>
        <v/>
      </c>
      <c r="J1060" t="str">
        <f>SUBSTITUTE(IF(COUNTIF(I$2:I1060,I1060)&gt;1,"",1)," ","")</f>
        <v/>
      </c>
    </row>
    <row r="1061" spans="1:10" x14ac:dyDescent="0.2">
      <c r="A1061" s="51" t="str">
        <f>IFERROR(VLOOKUP(B1061,點上線資訊!A:R,18,0),"")</f>
        <v/>
      </c>
      <c r="B1061" s="41">
        <f>'MB51'!A1061</f>
        <v>0</v>
      </c>
      <c r="C1061" s="60" t="str">
        <f>IFERROR(VLOOKUP(B1061,'MB51'!A:I,9,0),"")</f>
        <v/>
      </c>
      <c r="D1061" s="61" t="str">
        <f>IFERROR(VLOOKUP(B1061,'MB51'!A:J,10,0),"")</f>
        <v/>
      </c>
      <c r="E1061" s="62" t="str">
        <f>IFERROR(VLOOKUP(B1061,'MB51'!A:K,11,0),"")</f>
        <v/>
      </c>
      <c r="F1061" s="42" t="str">
        <f>IFERROR(VLOOKUP(B1061,'MB51'!A:F,6,0),"")</f>
        <v/>
      </c>
      <c r="G1061" s="17" t="str">
        <f t="shared" si="48"/>
        <v>點揀料單</v>
      </c>
      <c r="H1061" s="17">
        <f t="shared" si="49"/>
        <v>0</v>
      </c>
      <c r="I1061" t="str">
        <f t="shared" si="50"/>
        <v/>
      </c>
      <c r="J1061" t="str">
        <f>SUBSTITUTE(IF(COUNTIF(I$2:I1061,I1061)&gt;1,"",1)," ","")</f>
        <v/>
      </c>
    </row>
    <row r="1062" spans="1:10" x14ac:dyDescent="0.2">
      <c r="A1062" s="51" t="str">
        <f>IFERROR(VLOOKUP(B1062,點上線資訊!A:R,18,0),"")</f>
        <v/>
      </c>
      <c r="B1062" s="41">
        <f>'MB51'!A1062</f>
        <v>0</v>
      </c>
      <c r="C1062" s="60" t="str">
        <f>IFERROR(VLOOKUP(B1062,'MB51'!A:I,9,0),"")</f>
        <v/>
      </c>
      <c r="D1062" s="61" t="str">
        <f>IFERROR(VLOOKUP(B1062,'MB51'!A:J,10,0),"")</f>
        <v/>
      </c>
      <c r="E1062" s="62" t="str">
        <f>IFERROR(VLOOKUP(B1062,'MB51'!A:K,11,0),"")</f>
        <v/>
      </c>
      <c r="F1062" s="42" t="str">
        <f>IFERROR(VLOOKUP(B1062,'MB51'!A:F,6,0),"")</f>
        <v/>
      </c>
      <c r="G1062" s="17" t="str">
        <f t="shared" si="48"/>
        <v>點揀料單</v>
      </c>
      <c r="H1062" s="17">
        <f t="shared" si="49"/>
        <v>0</v>
      </c>
      <c r="I1062" t="str">
        <f t="shared" si="50"/>
        <v/>
      </c>
      <c r="J1062" t="str">
        <f>SUBSTITUTE(IF(COUNTIF(I$2:I1062,I1062)&gt;1,"",1)," ","")</f>
        <v/>
      </c>
    </row>
    <row r="1063" spans="1:10" x14ac:dyDescent="0.2">
      <c r="A1063" s="51" t="str">
        <f>IFERROR(VLOOKUP(B1063,點上線資訊!A:R,18,0),"")</f>
        <v/>
      </c>
      <c r="B1063" s="41">
        <f>'MB51'!A1063</f>
        <v>0</v>
      </c>
      <c r="C1063" s="60" t="str">
        <f>IFERROR(VLOOKUP(B1063,'MB51'!A:I,9,0),"")</f>
        <v/>
      </c>
      <c r="D1063" s="61" t="str">
        <f>IFERROR(VLOOKUP(B1063,'MB51'!A:J,10,0),"")</f>
        <v/>
      </c>
      <c r="E1063" s="62" t="str">
        <f>IFERROR(VLOOKUP(B1063,'MB51'!A:K,11,0),"")</f>
        <v/>
      </c>
      <c r="F1063" s="42" t="str">
        <f>IFERROR(VLOOKUP(B1063,'MB51'!A:F,6,0),"")</f>
        <v/>
      </c>
      <c r="G1063" s="17" t="str">
        <f t="shared" si="48"/>
        <v>點揀料單</v>
      </c>
      <c r="H1063" s="17">
        <f t="shared" si="49"/>
        <v>0</v>
      </c>
      <c r="I1063" t="str">
        <f t="shared" si="50"/>
        <v/>
      </c>
      <c r="J1063" t="str">
        <f>SUBSTITUTE(IF(COUNTIF(I$2:I1063,I1063)&gt;1,"",1)," ","")</f>
        <v/>
      </c>
    </row>
    <row r="1064" spans="1:10" x14ac:dyDescent="0.2">
      <c r="A1064" s="51" t="str">
        <f>IFERROR(VLOOKUP(B1064,點上線資訊!A:R,18,0),"")</f>
        <v/>
      </c>
      <c r="B1064" s="41">
        <f>'MB51'!A1064</f>
        <v>0</v>
      </c>
      <c r="C1064" s="60" t="str">
        <f>IFERROR(VLOOKUP(B1064,'MB51'!A:I,9,0),"")</f>
        <v/>
      </c>
      <c r="D1064" s="61" t="str">
        <f>IFERROR(VLOOKUP(B1064,'MB51'!A:J,10,0),"")</f>
        <v/>
      </c>
      <c r="E1064" s="62" t="str">
        <f>IFERROR(VLOOKUP(B1064,'MB51'!A:K,11,0),"")</f>
        <v/>
      </c>
      <c r="F1064" s="42" t="str">
        <f>IFERROR(VLOOKUP(B1064,'MB51'!A:F,6,0),"")</f>
        <v/>
      </c>
      <c r="G1064" s="17" t="str">
        <f t="shared" si="48"/>
        <v>點揀料單</v>
      </c>
      <c r="H1064" s="17">
        <f t="shared" si="49"/>
        <v>0</v>
      </c>
      <c r="I1064" t="str">
        <f t="shared" si="50"/>
        <v/>
      </c>
      <c r="J1064" t="str">
        <f>SUBSTITUTE(IF(COUNTIF(I$2:I1064,I1064)&gt;1,"",1)," ","")</f>
        <v/>
      </c>
    </row>
    <row r="1065" spans="1:10" x14ac:dyDescent="0.2">
      <c r="A1065" s="51" t="str">
        <f>IFERROR(VLOOKUP(B1065,點上線資訊!A:R,18,0),"")</f>
        <v/>
      </c>
      <c r="B1065" s="41">
        <f>'MB51'!A1065</f>
        <v>0</v>
      </c>
      <c r="C1065" s="60" t="str">
        <f>IFERROR(VLOOKUP(B1065,'MB51'!A:I,9,0),"")</f>
        <v/>
      </c>
      <c r="D1065" s="61" t="str">
        <f>IFERROR(VLOOKUP(B1065,'MB51'!A:J,10,0),"")</f>
        <v/>
      </c>
      <c r="E1065" s="62" t="str">
        <f>IFERROR(VLOOKUP(B1065,'MB51'!A:K,11,0),"")</f>
        <v/>
      </c>
      <c r="F1065" s="42" t="str">
        <f>IFERROR(VLOOKUP(B1065,'MB51'!A:F,6,0),"")</f>
        <v/>
      </c>
      <c r="G1065" s="17" t="str">
        <f t="shared" si="48"/>
        <v>點揀料單</v>
      </c>
      <c r="H1065" s="17">
        <f t="shared" si="49"/>
        <v>0</v>
      </c>
      <c r="I1065" t="str">
        <f t="shared" si="50"/>
        <v/>
      </c>
      <c r="J1065" t="str">
        <f>SUBSTITUTE(IF(COUNTIF(I$2:I1065,I1065)&gt;1,"",1)," ","")</f>
        <v/>
      </c>
    </row>
    <row r="1066" spans="1:10" x14ac:dyDescent="0.2">
      <c r="A1066" s="51" t="str">
        <f>IFERROR(VLOOKUP(B1066,點上線資訊!A:R,18,0),"")</f>
        <v/>
      </c>
      <c r="B1066" s="41">
        <f>'MB51'!A1066</f>
        <v>0</v>
      </c>
      <c r="C1066" s="60" t="str">
        <f>IFERROR(VLOOKUP(B1066,'MB51'!A:I,9,0),"")</f>
        <v/>
      </c>
      <c r="D1066" s="61" t="str">
        <f>IFERROR(VLOOKUP(B1066,'MB51'!A:J,10,0),"")</f>
        <v/>
      </c>
      <c r="E1066" s="62" t="str">
        <f>IFERROR(VLOOKUP(B1066,'MB51'!A:K,11,0),"")</f>
        <v/>
      </c>
      <c r="F1066" s="42" t="str">
        <f>IFERROR(VLOOKUP(B1066,'MB51'!A:F,6,0),"")</f>
        <v/>
      </c>
      <c r="G1066" s="17" t="str">
        <f t="shared" si="48"/>
        <v>點揀料單</v>
      </c>
      <c r="H1066" s="17">
        <f t="shared" si="49"/>
        <v>0</v>
      </c>
      <c r="I1066" t="str">
        <f t="shared" si="50"/>
        <v/>
      </c>
      <c r="J1066" t="str">
        <f>SUBSTITUTE(IF(COUNTIF(I$2:I1066,I1066)&gt;1,"",1)," ","")</f>
        <v/>
      </c>
    </row>
    <row r="1067" spans="1:10" x14ac:dyDescent="0.2">
      <c r="A1067" s="51" t="str">
        <f>IFERROR(VLOOKUP(B1067,點上線資訊!A:R,18,0),"")</f>
        <v/>
      </c>
      <c r="B1067" s="41">
        <f>'MB51'!A1067</f>
        <v>0</v>
      </c>
      <c r="C1067" s="60" t="str">
        <f>IFERROR(VLOOKUP(B1067,'MB51'!A:I,9,0),"")</f>
        <v/>
      </c>
      <c r="D1067" s="61" t="str">
        <f>IFERROR(VLOOKUP(B1067,'MB51'!A:J,10,0),"")</f>
        <v/>
      </c>
      <c r="E1067" s="62" t="str">
        <f>IFERROR(VLOOKUP(B1067,'MB51'!A:K,11,0),"")</f>
        <v/>
      </c>
      <c r="F1067" s="42" t="str">
        <f>IFERROR(VLOOKUP(B1067,'MB51'!A:F,6,0),"")</f>
        <v/>
      </c>
      <c r="G1067" s="17" t="str">
        <f t="shared" si="48"/>
        <v>點揀料單</v>
      </c>
      <c r="H1067" s="17">
        <f t="shared" si="49"/>
        <v>0</v>
      </c>
      <c r="I1067" t="str">
        <f t="shared" si="50"/>
        <v/>
      </c>
      <c r="J1067" t="str">
        <f>SUBSTITUTE(IF(COUNTIF(I$2:I1067,I1067)&gt;1,"",1)," ","")</f>
        <v/>
      </c>
    </row>
    <row r="1068" spans="1:10" x14ac:dyDescent="0.2">
      <c r="A1068" s="51" t="str">
        <f>IFERROR(VLOOKUP(B1068,點上線資訊!A:R,18,0),"")</f>
        <v/>
      </c>
      <c r="B1068" s="41">
        <f>'MB51'!A1068</f>
        <v>0</v>
      </c>
      <c r="C1068" s="60" t="str">
        <f>IFERROR(VLOOKUP(B1068,'MB51'!A:I,9,0),"")</f>
        <v/>
      </c>
      <c r="D1068" s="61" t="str">
        <f>IFERROR(VLOOKUP(B1068,'MB51'!A:J,10,0),"")</f>
        <v/>
      </c>
      <c r="E1068" s="62" t="str">
        <f>IFERROR(VLOOKUP(B1068,'MB51'!A:K,11,0),"")</f>
        <v/>
      </c>
      <c r="F1068" s="42" t="str">
        <f>IFERROR(VLOOKUP(B1068,'MB51'!A:F,6,0),"")</f>
        <v/>
      </c>
      <c r="G1068" s="17" t="str">
        <f t="shared" si="48"/>
        <v>點揀料單</v>
      </c>
      <c r="H1068" s="17">
        <f t="shared" si="49"/>
        <v>0</v>
      </c>
      <c r="I1068" t="str">
        <f t="shared" si="50"/>
        <v/>
      </c>
      <c r="J1068" t="str">
        <f>SUBSTITUTE(IF(COUNTIF(I$2:I1068,I1068)&gt;1,"",1)," ","")</f>
        <v/>
      </c>
    </row>
    <row r="1069" spans="1:10" x14ac:dyDescent="0.2">
      <c r="A1069" s="51" t="str">
        <f>IFERROR(VLOOKUP(B1069,點上線資訊!A:R,18,0),"")</f>
        <v/>
      </c>
      <c r="B1069" s="41">
        <f>'MB51'!A1069</f>
        <v>0</v>
      </c>
      <c r="C1069" s="60" t="str">
        <f>IFERROR(VLOOKUP(B1069,'MB51'!A:I,9,0),"")</f>
        <v/>
      </c>
      <c r="D1069" s="61" t="str">
        <f>IFERROR(VLOOKUP(B1069,'MB51'!A:J,10,0),"")</f>
        <v/>
      </c>
      <c r="E1069" s="62" t="str">
        <f>IFERROR(VLOOKUP(B1069,'MB51'!A:K,11,0),"")</f>
        <v/>
      </c>
      <c r="F1069" s="42" t="str">
        <f>IFERROR(VLOOKUP(B1069,'MB51'!A:F,6,0),"")</f>
        <v/>
      </c>
      <c r="G1069" s="17" t="str">
        <f t="shared" si="48"/>
        <v>點揀料單</v>
      </c>
      <c r="H1069" s="17">
        <f t="shared" si="49"/>
        <v>0</v>
      </c>
      <c r="I1069" t="str">
        <f t="shared" si="50"/>
        <v/>
      </c>
      <c r="J1069" t="str">
        <f>SUBSTITUTE(IF(COUNTIF(I$2:I1069,I1069)&gt;1,"",1)," ","")</f>
        <v/>
      </c>
    </row>
    <row r="1070" spans="1:10" x14ac:dyDescent="0.2">
      <c r="A1070" s="51" t="str">
        <f>IFERROR(VLOOKUP(B1070,點上線資訊!A:R,18,0),"")</f>
        <v/>
      </c>
      <c r="B1070" s="41">
        <f>'MB51'!A1070</f>
        <v>0</v>
      </c>
      <c r="C1070" s="60" t="str">
        <f>IFERROR(VLOOKUP(B1070,'MB51'!A:I,9,0),"")</f>
        <v/>
      </c>
      <c r="D1070" s="61" t="str">
        <f>IFERROR(VLOOKUP(B1070,'MB51'!A:J,10,0),"")</f>
        <v/>
      </c>
      <c r="E1070" s="62" t="str">
        <f>IFERROR(VLOOKUP(B1070,'MB51'!A:K,11,0),"")</f>
        <v/>
      </c>
      <c r="F1070" s="42" t="str">
        <f>IFERROR(VLOOKUP(B1070,'MB51'!A:F,6,0),"")</f>
        <v/>
      </c>
      <c r="G1070" s="17" t="str">
        <f t="shared" si="48"/>
        <v>點揀料單</v>
      </c>
      <c r="H1070" s="17">
        <f t="shared" si="49"/>
        <v>0</v>
      </c>
      <c r="I1070" t="str">
        <f t="shared" si="50"/>
        <v/>
      </c>
      <c r="J1070" t="str">
        <f>SUBSTITUTE(IF(COUNTIF(I$2:I1070,I1070)&gt;1,"",1)," ","")</f>
        <v/>
      </c>
    </row>
    <row r="1071" spans="1:10" x14ac:dyDescent="0.2">
      <c r="A1071" s="51" t="str">
        <f>IFERROR(VLOOKUP(B1071,點上線資訊!A:R,18,0),"")</f>
        <v/>
      </c>
      <c r="B1071" s="41">
        <f>'MB51'!A1071</f>
        <v>0</v>
      </c>
      <c r="C1071" s="60" t="str">
        <f>IFERROR(VLOOKUP(B1071,'MB51'!A:I,9,0),"")</f>
        <v/>
      </c>
      <c r="D1071" s="61" t="str">
        <f>IFERROR(VLOOKUP(B1071,'MB51'!A:J,10,0),"")</f>
        <v/>
      </c>
      <c r="E1071" s="62" t="str">
        <f>IFERROR(VLOOKUP(B1071,'MB51'!A:K,11,0),"")</f>
        <v/>
      </c>
      <c r="F1071" s="42" t="str">
        <f>IFERROR(VLOOKUP(B1071,'MB51'!A:F,6,0),"")</f>
        <v/>
      </c>
      <c r="G1071" s="17" t="str">
        <f t="shared" si="48"/>
        <v>點揀料單</v>
      </c>
      <c r="H1071" s="17">
        <f t="shared" si="49"/>
        <v>0</v>
      </c>
      <c r="I1071" t="str">
        <f t="shared" si="50"/>
        <v/>
      </c>
      <c r="J1071" t="str">
        <f>SUBSTITUTE(IF(COUNTIF(I$2:I1071,I1071)&gt;1,"",1)," ","")</f>
        <v/>
      </c>
    </row>
    <row r="1072" spans="1:10" x14ac:dyDescent="0.2">
      <c r="A1072" s="51" t="str">
        <f>IFERROR(VLOOKUP(B1072,點上線資訊!A:R,18,0),"")</f>
        <v/>
      </c>
      <c r="B1072" s="41">
        <f>'MB51'!A1072</f>
        <v>0</v>
      </c>
      <c r="C1072" s="60" t="str">
        <f>IFERROR(VLOOKUP(B1072,'MB51'!A:I,9,0),"")</f>
        <v/>
      </c>
      <c r="D1072" s="61" t="str">
        <f>IFERROR(VLOOKUP(B1072,'MB51'!A:J,10,0),"")</f>
        <v/>
      </c>
      <c r="E1072" s="62" t="str">
        <f>IFERROR(VLOOKUP(B1072,'MB51'!A:K,11,0),"")</f>
        <v/>
      </c>
      <c r="F1072" s="42" t="str">
        <f>IFERROR(VLOOKUP(B1072,'MB51'!A:F,6,0),"")</f>
        <v/>
      </c>
      <c r="G1072" s="17" t="str">
        <f t="shared" si="48"/>
        <v>點揀料單</v>
      </c>
      <c r="H1072" s="17">
        <f t="shared" si="49"/>
        <v>0</v>
      </c>
      <c r="I1072" t="str">
        <f t="shared" si="50"/>
        <v/>
      </c>
      <c r="J1072" t="str">
        <f>SUBSTITUTE(IF(COUNTIF(I$2:I1072,I1072)&gt;1,"",1)," ","")</f>
        <v/>
      </c>
    </row>
    <row r="1073" spans="1:10" x14ac:dyDescent="0.2">
      <c r="A1073" s="51" t="str">
        <f>IFERROR(VLOOKUP(B1073,點上線資訊!A:R,18,0),"")</f>
        <v/>
      </c>
      <c r="B1073" s="41">
        <f>'MB51'!A1073</f>
        <v>0</v>
      </c>
      <c r="C1073" s="60" t="str">
        <f>IFERROR(VLOOKUP(B1073,'MB51'!A:I,9,0),"")</f>
        <v/>
      </c>
      <c r="D1073" s="61" t="str">
        <f>IFERROR(VLOOKUP(B1073,'MB51'!A:J,10,0),"")</f>
        <v/>
      </c>
      <c r="E1073" s="62" t="str">
        <f>IFERROR(VLOOKUP(B1073,'MB51'!A:K,11,0),"")</f>
        <v/>
      </c>
      <c r="F1073" s="42" t="str">
        <f>IFERROR(VLOOKUP(B1073,'MB51'!A:F,6,0),"")</f>
        <v/>
      </c>
      <c r="G1073" s="17" t="str">
        <f t="shared" si="48"/>
        <v>點揀料單</v>
      </c>
      <c r="H1073" s="17">
        <f t="shared" si="49"/>
        <v>0</v>
      </c>
      <c r="I1073" t="str">
        <f t="shared" si="50"/>
        <v/>
      </c>
      <c r="J1073" t="str">
        <f>SUBSTITUTE(IF(COUNTIF(I$2:I1073,I1073)&gt;1,"",1)," ","")</f>
        <v/>
      </c>
    </row>
    <row r="1074" spans="1:10" x14ac:dyDescent="0.2">
      <c r="A1074" s="51" t="str">
        <f>IFERROR(VLOOKUP(B1074,點上線資訊!A:R,18,0),"")</f>
        <v/>
      </c>
      <c r="B1074" s="41">
        <f>'MB51'!A1074</f>
        <v>0</v>
      </c>
      <c r="C1074" s="60" t="str">
        <f>IFERROR(VLOOKUP(B1074,'MB51'!A:I,9,0),"")</f>
        <v/>
      </c>
      <c r="D1074" s="61" t="str">
        <f>IFERROR(VLOOKUP(B1074,'MB51'!A:J,10,0),"")</f>
        <v/>
      </c>
      <c r="E1074" s="62" t="str">
        <f>IFERROR(VLOOKUP(B1074,'MB51'!A:K,11,0),"")</f>
        <v/>
      </c>
      <c r="F1074" s="42" t="str">
        <f>IFERROR(VLOOKUP(B1074,'MB51'!A:F,6,0),"")</f>
        <v/>
      </c>
      <c r="G1074" s="17" t="str">
        <f t="shared" si="48"/>
        <v>點揀料單</v>
      </c>
      <c r="H1074" s="17">
        <f t="shared" si="49"/>
        <v>0</v>
      </c>
      <c r="I1074" t="str">
        <f t="shared" si="50"/>
        <v/>
      </c>
      <c r="J1074" t="str">
        <f>SUBSTITUTE(IF(COUNTIF(I$2:I1074,I1074)&gt;1,"",1)," ","")</f>
        <v/>
      </c>
    </row>
    <row r="1075" spans="1:10" x14ac:dyDescent="0.2">
      <c r="A1075" s="51" t="str">
        <f>IFERROR(VLOOKUP(B1075,點上線資訊!A:R,18,0),"")</f>
        <v/>
      </c>
      <c r="B1075" s="41">
        <f>'MB51'!A1075</f>
        <v>0</v>
      </c>
      <c r="C1075" s="60" t="str">
        <f>IFERROR(VLOOKUP(B1075,'MB51'!A:I,9,0),"")</f>
        <v/>
      </c>
      <c r="D1075" s="61" t="str">
        <f>IFERROR(VLOOKUP(B1075,'MB51'!A:J,10,0),"")</f>
        <v/>
      </c>
      <c r="E1075" s="62" t="str">
        <f>IFERROR(VLOOKUP(B1075,'MB51'!A:K,11,0),"")</f>
        <v/>
      </c>
      <c r="F1075" s="42" t="str">
        <f>IFERROR(VLOOKUP(B1075,'MB51'!A:F,6,0),"")</f>
        <v/>
      </c>
      <c r="G1075" s="17" t="str">
        <f t="shared" si="48"/>
        <v>點揀料單</v>
      </c>
      <c r="H1075" s="17">
        <f t="shared" si="49"/>
        <v>0</v>
      </c>
      <c r="I1075" t="str">
        <f t="shared" si="50"/>
        <v/>
      </c>
      <c r="J1075" t="str">
        <f>SUBSTITUTE(IF(COUNTIF(I$2:I1075,I1075)&gt;1,"",1)," ","")</f>
        <v/>
      </c>
    </row>
    <row r="1076" spans="1:10" x14ac:dyDescent="0.2">
      <c r="A1076" s="51" t="str">
        <f>IFERROR(VLOOKUP(B1076,點上線資訊!A:R,18,0),"")</f>
        <v/>
      </c>
      <c r="B1076" s="41">
        <f>'MB51'!A1076</f>
        <v>0</v>
      </c>
      <c r="C1076" s="60" t="str">
        <f>IFERROR(VLOOKUP(B1076,'MB51'!A:I,9,0),"")</f>
        <v/>
      </c>
      <c r="D1076" s="61" t="str">
        <f>IFERROR(VLOOKUP(B1076,'MB51'!A:J,10,0),"")</f>
        <v/>
      </c>
      <c r="E1076" s="62" t="str">
        <f>IFERROR(VLOOKUP(B1076,'MB51'!A:K,11,0),"")</f>
        <v/>
      </c>
      <c r="F1076" s="42" t="str">
        <f>IFERROR(VLOOKUP(B1076,'MB51'!A:F,6,0),"")</f>
        <v/>
      </c>
      <c r="G1076" s="17" t="str">
        <f t="shared" si="48"/>
        <v>點揀料單</v>
      </c>
      <c r="H1076" s="17">
        <f t="shared" si="49"/>
        <v>0</v>
      </c>
      <c r="I1076" t="str">
        <f t="shared" si="50"/>
        <v/>
      </c>
      <c r="J1076" t="str">
        <f>SUBSTITUTE(IF(COUNTIF(I$2:I1076,I1076)&gt;1,"",1)," ","")</f>
        <v/>
      </c>
    </row>
    <row r="1077" spans="1:10" x14ac:dyDescent="0.2">
      <c r="A1077" s="51" t="str">
        <f>IFERROR(VLOOKUP(B1077,點上線資訊!A:R,18,0),"")</f>
        <v/>
      </c>
      <c r="B1077" s="41">
        <f>'MB51'!A1077</f>
        <v>0</v>
      </c>
      <c r="C1077" s="60" t="str">
        <f>IFERROR(VLOOKUP(B1077,'MB51'!A:I,9,0),"")</f>
        <v/>
      </c>
      <c r="D1077" s="61" t="str">
        <f>IFERROR(VLOOKUP(B1077,'MB51'!A:J,10,0),"")</f>
        <v/>
      </c>
      <c r="E1077" s="62" t="str">
        <f>IFERROR(VLOOKUP(B1077,'MB51'!A:K,11,0),"")</f>
        <v/>
      </c>
      <c r="F1077" s="42" t="str">
        <f>IFERROR(VLOOKUP(B1077,'MB51'!A:F,6,0),"")</f>
        <v/>
      </c>
      <c r="G1077" s="17" t="str">
        <f t="shared" si="48"/>
        <v>點揀料單</v>
      </c>
      <c r="H1077" s="17">
        <f t="shared" si="49"/>
        <v>0</v>
      </c>
      <c r="I1077" t="str">
        <f t="shared" si="50"/>
        <v/>
      </c>
      <c r="J1077" t="str">
        <f>SUBSTITUTE(IF(COUNTIF(I$2:I1077,I1077)&gt;1,"",1)," ","")</f>
        <v/>
      </c>
    </row>
    <row r="1078" spans="1:10" x14ac:dyDescent="0.2">
      <c r="A1078" s="51" t="str">
        <f>IFERROR(VLOOKUP(B1078,點上線資訊!A:R,18,0),"")</f>
        <v/>
      </c>
      <c r="B1078" s="41">
        <f>'MB51'!A1078</f>
        <v>0</v>
      </c>
      <c r="C1078" s="60" t="str">
        <f>IFERROR(VLOOKUP(B1078,'MB51'!A:I,9,0),"")</f>
        <v/>
      </c>
      <c r="D1078" s="61" t="str">
        <f>IFERROR(VLOOKUP(B1078,'MB51'!A:J,10,0),"")</f>
        <v/>
      </c>
      <c r="E1078" s="62" t="str">
        <f>IFERROR(VLOOKUP(B1078,'MB51'!A:K,11,0),"")</f>
        <v/>
      </c>
      <c r="F1078" s="42" t="str">
        <f>IFERROR(VLOOKUP(B1078,'MB51'!A:F,6,0),"")</f>
        <v/>
      </c>
      <c r="G1078" s="17" t="str">
        <f t="shared" si="48"/>
        <v>點揀料單</v>
      </c>
      <c r="H1078" s="17">
        <f t="shared" si="49"/>
        <v>0</v>
      </c>
      <c r="I1078" t="str">
        <f t="shared" si="50"/>
        <v/>
      </c>
      <c r="J1078" t="str">
        <f>SUBSTITUTE(IF(COUNTIF(I$2:I1078,I1078)&gt;1,"",1)," ","")</f>
        <v/>
      </c>
    </row>
    <row r="1079" spans="1:10" x14ac:dyDescent="0.2">
      <c r="A1079" s="51" t="str">
        <f>IFERROR(VLOOKUP(B1079,點上線資訊!A:R,18,0),"")</f>
        <v/>
      </c>
      <c r="B1079" s="41">
        <f>'MB51'!A1079</f>
        <v>0</v>
      </c>
      <c r="C1079" s="60" t="str">
        <f>IFERROR(VLOOKUP(B1079,'MB51'!A:I,9,0),"")</f>
        <v/>
      </c>
      <c r="D1079" s="61" t="str">
        <f>IFERROR(VLOOKUP(B1079,'MB51'!A:J,10,0),"")</f>
        <v/>
      </c>
      <c r="E1079" s="62" t="str">
        <f>IFERROR(VLOOKUP(B1079,'MB51'!A:K,11,0),"")</f>
        <v/>
      </c>
      <c r="F1079" s="42" t="str">
        <f>IFERROR(VLOOKUP(B1079,'MB51'!A:F,6,0),"")</f>
        <v/>
      </c>
      <c r="G1079" s="17" t="str">
        <f t="shared" si="48"/>
        <v>點揀料單</v>
      </c>
      <c r="H1079" s="17">
        <f t="shared" si="49"/>
        <v>0</v>
      </c>
      <c r="I1079" t="str">
        <f t="shared" si="50"/>
        <v/>
      </c>
      <c r="J1079" t="str">
        <f>SUBSTITUTE(IF(COUNTIF(I$2:I1079,I1079)&gt;1,"",1)," ","")</f>
        <v/>
      </c>
    </row>
    <row r="1080" spans="1:10" x14ac:dyDescent="0.2">
      <c r="A1080" s="51" t="str">
        <f>IFERROR(VLOOKUP(B1080,點上線資訊!A:R,18,0),"")</f>
        <v/>
      </c>
      <c r="B1080" s="41">
        <f>'MB51'!A1080</f>
        <v>0</v>
      </c>
      <c r="C1080" s="60" t="str">
        <f>IFERROR(VLOOKUP(B1080,'MB51'!A:I,9,0),"")</f>
        <v/>
      </c>
      <c r="D1080" s="61" t="str">
        <f>IFERROR(VLOOKUP(B1080,'MB51'!A:J,10,0),"")</f>
        <v/>
      </c>
      <c r="E1080" s="62" t="str">
        <f>IFERROR(VLOOKUP(B1080,'MB51'!A:K,11,0),"")</f>
        <v/>
      </c>
      <c r="F1080" s="42" t="str">
        <f>IFERROR(VLOOKUP(B1080,'MB51'!A:F,6,0),"")</f>
        <v/>
      </c>
      <c r="G1080" s="17" t="str">
        <f t="shared" si="48"/>
        <v>點揀料單</v>
      </c>
      <c r="H1080" s="17">
        <f t="shared" si="49"/>
        <v>0</v>
      </c>
      <c r="I1080" t="str">
        <f t="shared" si="50"/>
        <v/>
      </c>
      <c r="J1080" t="str">
        <f>SUBSTITUTE(IF(COUNTIF(I$2:I1080,I1080)&gt;1,"",1)," ","")</f>
        <v/>
      </c>
    </row>
    <row r="1081" spans="1:10" x14ac:dyDescent="0.2">
      <c r="A1081" s="51" t="str">
        <f>IFERROR(VLOOKUP(B1081,點上線資訊!A:R,18,0),"")</f>
        <v/>
      </c>
      <c r="B1081" s="41">
        <f>'MB51'!A1081</f>
        <v>0</v>
      </c>
      <c r="C1081" s="60" t="str">
        <f>IFERROR(VLOOKUP(B1081,'MB51'!A:I,9,0),"")</f>
        <v/>
      </c>
      <c r="D1081" s="61" t="str">
        <f>IFERROR(VLOOKUP(B1081,'MB51'!A:J,10,0),"")</f>
        <v/>
      </c>
      <c r="E1081" s="62" t="str">
        <f>IFERROR(VLOOKUP(B1081,'MB51'!A:K,11,0),"")</f>
        <v/>
      </c>
      <c r="F1081" s="42" t="str">
        <f>IFERROR(VLOOKUP(B1081,'MB51'!A:F,6,0),"")</f>
        <v/>
      </c>
      <c r="G1081" s="17" t="str">
        <f t="shared" si="48"/>
        <v>點揀料單</v>
      </c>
      <c r="H1081" s="17">
        <f t="shared" si="49"/>
        <v>0</v>
      </c>
      <c r="I1081" t="str">
        <f t="shared" si="50"/>
        <v/>
      </c>
      <c r="J1081" t="str">
        <f>SUBSTITUTE(IF(COUNTIF(I$2:I1081,I1081)&gt;1,"",1)," ","")</f>
        <v/>
      </c>
    </row>
    <row r="1082" spans="1:10" x14ac:dyDescent="0.2">
      <c r="A1082" s="51" t="str">
        <f>IFERROR(VLOOKUP(B1082,點上線資訊!A:R,18,0),"")</f>
        <v/>
      </c>
      <c r="B1082" s="41">
        <f>'MB51'!A1082</f>
        <v>0</v>
      </c>
      <c r="C1082" s="60" t="str">
        <f>IFERROR(VLOOKUP(B1082,'MB51'!A:I,9,0),"")</f>
        <v/>
      </c>
      <c r="D1082" s="61" t="str">
        <f>IFERROR(VLOOKUP(B1082,'MB51'!A:J,10,0),"")</f>
        <v/>
      </c>
      <c r="E1082" s="62" t="str">
        <f>IFERROR(VLOOKUP(B1082,'MB51'!A:K,11,0),"")</f>
        <v/>
      </c>
      <c r="F1082" s="42" t="str">
        <f>IFERROR(VLOOKUP(B1082,'MB51'!A:F,6,0),"")</f>
        <v/>
      </c>
      <c r="G1082" s="17" t="str">
        <f t="shared" si="48"/>
        <v>點揀料單</v>
      </c>
      <c r="H1082" s="17">
        <f t="shared" si="49"/>
        <v>0</v>
      </c>
      <c r="I1082" t="str">
        <f t="shared" si="50"/>
        <v/>
      </c>
      <c r="J1082" t="str">
        <f>SUBSTITUTE(IF(COUNTIF(I$2:I1082,I1082)&gt;1,"",1)," ","")</f>
        <v/>
      </c>
    </row>
    <row r="1083" spans="1:10" x14ac:dyDescent="0.2">
      <c r="A1083" s="51" t="str">
        <f>IFERROR(VLOOKUP(B1083,點上線資訊!A:R,18,0),"")</f>
        <v/>
      </c>
      <c r="B1083" s="41">
        <f>'MB51'!A1083</f>
        <v>0</v>
      </c>
      <c r="C1083" s="60" t="str">
        <f>IFERROR(VLOOKUP(B1083,'MB51'!A:I,9,0),"")</f>
        <v/>
      </c>
      <c r="D1083" s="61" t="str">
        <f>IFERROR(VLOOKUP(B1083,'MB51'!A:J,10,0),"")</f>
        <v/>
      </c>
      <c r="E1083" s="62" t="str">
        <f>IFERROR(VLOOKUP(B1083,'MB51'!A:K,11,0),"")</f>
        <v/>
      </c>
      <c r="F1083" s="42" t="str">
        <f>IFERROR(VLOOKUP(B1083,'MB51'!A:F,6,0),"")</f>
        <v/>
      </c>
      <c r="G1083" s="17" t="str">
        <f t="shared" si="48"/>
        <v>點揀料單</v>
      </c>
      <c r="H1083" s="17">
        <f t="shared" si="49"/>
        <v>0</v>
      </c>
      <c r="I1083" t="str">
        <f t="shared" si="50"/>
        <v/>
      </c>
      <c r="J1083" t="str">
        <f>SUBSTITUTE(IF(COUNTIF(I$2:I1083,I1083)&gt;1,"",1)," ","")</f>
        <v/>
      </c>
    </row>
    <row r="1084" spans="1:10" x14ac:dyDescent="0.2">
      <c r="A1084" s="51" t="str">
        <f>IFERROR(VLOOKUP(B1084,點上線資訊!A:R,18,0),"")</f>
        <v/>
      </c>
      <c r="B1084" s="41">
        <f>'MB51'!A1084</f>
        <v>0</v>
      </c>
      <c r="C1084" s="60" t="str">
        <f>IFERROR(VLOOKUP(B1084,'MB51'!A:I,9,0),"")</f>
        <v/>
      </c>
      <c r="D1084" s="61" t="str">
        <f>IFERROR(VLOOKUP(B1084,'MB51'!A:J,10,0),"")</f>
        <v/>
      </c>
      <c r="E1084" s="62" t="str">
        <f>IFERROR(VLOOKUP(B1084,'MB51'!A:K,11,0),"")</f>
        <v/>
      </c>
      <c r="F1084" s="42" t="str">
        <f>IFERROR(VLOOKUP(B1084,'MB51'!A:F,6,0),"")</f>
        <v/>
      </c>
      <c r="G1084" s="17" t="str">
        <f t="shared" si="48"/>
        <v>點揀料單</v>
      </c>
      <c r="H1084" s="17">
        <f t="shared" si="49"/>
        <v>0</v>
      </c>
      <c r="I1084" t="str">
        <f t="shared" si="50"/>
        <v/>
      </c>
      <c r="J1084" t="str">
        <f>SUBSTITUTE(IF(COUNTIF(I$2:I1084,I1084)&gt;1,"",1)," ","")</f>
        <v/>
      </c>
    </row>
    <row r="1085" spans="1:10" x14ac:dyDescent="0.2">
      <c r="A1085" s="51" t="str">
        <f>IFERROR(VLOOKUP(B1085,點上線資訊!A:R,18,0),"")</f>
        <v/>
      </c>
      <c r="B1085" s="41">
        <f>'MB51'!A1085</f>
        <v>0</v>
      </c>
      <c r="C1085" s="60" t="str">
        <f>IFERROR(VLOOKUP(B1085,'MB51'!A:I,9,0),"")</f>
        <v/>
      </c>
      <c r="D1085" s="61" t="str">
        <f>IFERROR(VLOOKUP(B1085,'MB51'!A:J,10,0),"")</f>
        <v/>
      </c>
      <c r="E1085" s="62" t="str">
        <f>IFERROR(VLOOKUP(B1085,'MB51'!A:K,11,0),"")</f>
        <v/>
      </c>
      <c r="F1085" s="42" t="str">
        <f>IFERROR(VLOOKUP(B1085,'MB51'!A:F,6,0),"")</f>
        <v/>
      </c>
      <c r="G1085" s="17" t="str">
        <f t="shared" si="48"/>
        <v>點揀料單</v>
      </c>
      <c r="H1085" s="17">
        <f t="shared" si="49"/>
        <v>0</v>
      </c>
      <c r="I1085" t="str">
        <f t="shared" si="50"/>
        <v/>
      </c>
      <c r="J1085" t="str">
        <f>SUBSTITUTE(IF(COUNTIF(I$2:I1085,I1085)&gt;1,"",1)," ","")</f>
        <v/>
      </c>
    </row>
    <row r="1086" spans="1:10" x14ac:dyDescent="0.2">
      <c r="A1086" s="51" t="str">
        <f>IFERROR(VLOOKUP(B1086,點上線資訊!A:R,18,0),"")</f>
        <v/>
      </c>
      <c r="B1086" s="41">
        <f>'MB51'!A1086</f>
        <v>0</v>
      </c>
      <c r="C1086" s="60" t="str">
        <f>IFERROR(VLOOKUP(B1086,'MB51'!A:I,9,0),"")</f>
        <v/>
      </c>
      <c r="D1086" s="61" t="str">
        <f>IFERROR(VLOOKUP(B1086,'MB51'!A:J,10,0),"")</f>
        <v/>
      </c>
      <c r="E1086" s="62" t="str">
        <f>IFERROR(VLOOKUP(B1086,'MB51'!A:K,11,0),"")</f>
        <v/>
      </c>
      <c r="F1086" s="42" t="str">
        <f>IFERROR(VLOOKUP(B1086,'MB51'!A:F,6,0),"")</f>
        <v/>
      </c>
      <c r="G1086" s="17" t="str">
        <f t="shared" si="48"/>
        <v>點揀料單</v>
      </c>
      <c r="H1086" s="17">
        <f t="shared" si="49"/>
        <v>0</v>
      </c>
      <c r="I1086" t="str">
        <f t="shared" si="50"/>
        <v/>
      </c>
      <c r="J1086" t="str">
        <f>SUBSTITUTE(IF(COUNTIF(I$2:I1086,I1086)&gt;1,"",1)," ","")</f>
        <v/>
      </c>
    </row>
    <row r="1087" spans="1:10" x14ac:dyDescent="0.2">
      <c r="A1087" s="51" t="str">
        <f>IFERROR(VLOOKUP(B1087,點上線資訊!A:R,18,0),"")</f>
        <v/>
      </c>
      <c r="B1087" s="41">
        <f>'MB51'!A1087</f>
        <v>0</v>
      </c>
      <c r="C1087" s="60" t="str">
        <f>IFERROR(VLOOKUP(B1087,'MB51'!A:I,9,0),"")</f>
        <v/>
      </c>
      <c r="D1087" s="61" t="str">
        <f>IFERROR(VLOOKUP(B1087,'MB51'!A:J,10,0),"")</f>
        <v/>
      </c>
      <c r="E1087" s="62" t="str">
        <f>IFERROR(VLOOKUP(B1087,'MB51'!A:K,11,0),"")</f>
        <v/>
      </c>
      <c r="F1087" s="42" t="str">
        <f>IFERROR(VLOOKUP(B1087,'MB51'!A:F,6,0),"")</f>
        <v/>
      </c>
      <c r="G1087" s="17" t="str">
        <f t="shared" si="48"/>
        <v>點揀料單</v>
      </c>
      <c r="H1087" s="17">
        <f t="shared" si="49"/>
        <v>0</v>
      </c>
      <c r="I1087" t="str">
        <f t="shared" si="50"/>
        <v/>
      </c>
      <c r="J1087" t="str">
        <f>SUBSTITUTE(IF(COUNTIF(I$2:I1087,I1087)&gt;1,"",1)," ","")</f>
        <v/>
      </c>
    </row>
    <row r="1088" spans="1:10" x14ac:dyDescent="0.2">
      <c r="A1088" s="51" t="str">
        <f>IFERROR(VLOOKUP(B1088,點上線資訊!A:R,18,0),"")</f>
        <v/>
      </c>
      <c r="B1088" s="41">
        <f>'MB51'!A1088</f>
        <v>0</v>
      </c>
      <c r="C1088" s="60" t="str">
        <f>IFERROR(VLOOKUP(B1088,'MB51'!A:I,9,0),"")</f>
        <v/>
      </c>
      <c r="D1088" s="61" t="str">
        <f>IFERROR(VLOOKUP(B1088,'MB51'!A:J,10,0),"")</f>
        <v/>
      </c>
      <c r="E1088" s="62" t="str">
        <f>IFERROR(VLOOKUP(B1088,'MB51'!A:K,11,0),"")</f>
        <v/>
      </c>
      <c r="F1088" s="42" t="str">
        <f>IFERROR(VLOOKUP(B1088,'MB51'!A:F,6,0),"")</f>
        <v/>
      </c>
      <c r="G1088" s="17" t="str">
        <f t="shared" si="48"/>
        <v>點揀料單</v>
      </c>
      <c r="H1088" s="17">
        <f t="shared" si="49"/>
        <v>0</v>
      </c>
      <c r="I1088" t="str">
        <f t="shared" si="50"/>
        <v/>
      </c>
      <c r="J1088" t="str">
        <f>SUBSTITUTE(IF(COUNTIF(I$2:I1088,I1088)&gt;1,"",1)," ","")</f>
        <v/>
      </c>
    </row>
    <row r="1089" spans="1:10" x14ac:dyDescent="0.2">
      <c r="A1089" s="51" t="str">
        <f>IFERROR(VLOOKUP(B1089,點上線資訊!A:R,18,0),"")</f>
        <v/>
      </c>
      <c r="B1089" s="41">
        <f>'MB51'!A1089</f>
        <v>0</v>
      </c>
      <c r="C1089" s="60" t="str">
        <f>IFERROR(VLOOKUP(B1089,'MB51'!A:I,9,0),"")</f>
        <v/>
      </c>
      <c r="D1089" s="61" t="str">
        <f>IFERROR(VLOOKUP(B1089,'MB51'!A:J,10,0),"")</f>
        <v/>
      </c>
      <c r="E1089" s="62" t="str">
        <f>IFERROR(VLOOKUP(B1089,'MB51'!A:K,11,0),"")</f>
        <v/>
      </c>
      <c r="F1089" s="42" t="str">
        <f>IFERROR(VLOOKUP(B1089,'MB51'!A:F,6,0),"")</f>
        <v/>
      </c>
      <c r="G1089" s="17" t="str">
        <f t="shared" si="48"/>
        <v>點揀料單</v>
      </c>
      <c r="H1089" s="17">
        <f t="shared" si="49"/>
        <v>0</v>
      </c>
      <c r="I1089" t="str">
        <f t="shared" si="50"/>
        <v/>
      </c>
      <c r="J1089" t="str">
        <f>SUBSTITUTE(IF(COUNTIF(I$2:I1089,I1089)&gt;1,"",1)," ","")</f>
        <v/>
      </c>
    </row>
    <row r="1090" spans="1:10" x14ac:dyDescent="0.2">
      <c r="A1090" s="51" t="str">
        <f>IFERROR(VLOOKUP(B1090,點上線資訊!A:R,18,0),"")</f>
        <v/>
      </c>
      <c r="B1090" s="41">
        <f>'MB51'!A1090</f>
        <v>0</v>
      </c>
      <c r="C1090" s="60" t="str">
        <f>IFERROR(VLOOKUP(B1090,'MB51'!A:I,9,0),"")</f>
        <v/>
      </c>
      <c r="D1090" s="61" t="str">
        <f>IFERROR(VLOOKUP(B1090,'MB51'!A:J,10,0),"")</f>
        <v/>
      </c>
      <c r="E1090" s="62" t="str">
        <f>IFERROR(VLOOKUP(B1090,'MB51'!A:K,11,0),"")</f>
        <v/>
      </c>
      <c r="F1090" s="42" t="str">
        <f>IFERROR(VLOOKUP(B1090,'MB51'!A:F,6,0),"")</f>
        <v/>
      </c>
      <c r="G1090" s="17" t="str">
        <f t="shared" si="48"/>
        <v>點揀料單</v>
      </c>
      <c r="H1090" s="17">
        <f t="shared" si="49"/>
        <v>0</v>
      </c>
      <c r="I1090" t="str">
        <f t="shared" si="50"/>
        <v/>
      </c>
      <c r="J1090" t="str">
        <f>SUBSTITUTE(IF(COUNTIF(I$2:I1090,I1090)&gt;1,"",1)," ","")</f>
        <v/>
      </c>
    </row>
    <row r="1091" spans="1:10" x14ac:dyDescent="0.2">
      <c r="A1091" s="51" t="str">
        <f>IFERROR(VLOOKUP(B1091,點上線資訊!A:R,18,0),"")</f>
        <v/>
      </c>
      <c r="B1091" s="41">
        <f>'MB51'!A1091</f>
        <v>0</v>
      </c>
      <c r="C1091" s="60" t="str">
        <f>IFERROR(VLOOKUP(B1091,'MB51'!A:I,9,0),"")</f>
        <v/>
      </c>
      <c r="D1091" s="61" t="str">
        <f>IFERROR(VLOOKUP(B1091,'MB51'!A:J,10,0),"")</f>
        <v/>
      </c>
      <c r="E1091" s="62" t="str">
        <f>IFERROR(VLOOKUP(B1091,'MB51'!A:K,11,0),"")</f>
        <v/>
      </c>
      <c r="F1091" s="42" t="str">
        <f>IFERROR(VLOOKUP(B1091,'MB51'!A:F,6,0),"")</f>
        <v/>
      </c>
      <c r="G1091" s="17" t="str">
        <f t="shared" ref="G1091:G1154" si="51">TEXT(D1091,"MM/DD")&amp;TEXT(E1091,"  HH")&amp;"點揀料單"</f>
        <v>點揀料單</v>
      </c>
      <c r="H1091" s="17">
        <f t="shared" ref="H1091:H1154" si="52">ABS(SUMIF(C:C,C1091,F:F))</f>
        <v>0</v>
      </c>
      <c r="I1091" t="str">
        <f t="shared" ref="I1091:I1154" si="53">RIGHTB(C1091,10)</f>
        <v/>
      </c>
      <c r="J1091" t="str">
        <f>SUBSTITUTE(IF(COUNTIF(I$2:I1091,I1091)&gt;1,"",1)," ","")</f>
        <v/>
      </c>
    </row>
    <row r="1092" spans="1:10" x14ac:dyDescent="0.2">
      <c r="A1092" s="51" t="str">
        <f>IFERROR(VLOOKUP(B1092,點上線資訊!A:R,18,0),"")</f>
        <v/>
      </c>
      <c r="B1092" s="41">
        <f>'MB51'!A1092</f>
        <v>0</v>
      </c>
      <c r="C1092" s="60" t="str">
        <f>IFERROR(VLOOKUP(B1092,'MB51'!A:I,9,0),"")</f>
        <v/>
      </c>
      <c r="D1092" s="61" t="str">
        <f>IFERROR(VLOOKUP(B1092,'MB51'!A:J,10,0),"")</f>
        <v/>
      </c>
      <c r="E1092" s="62" t="str">
        <f>IFERROR(VLOOKUP(B1092,'MB51'!A:K,11,0),"")</f>
        <v/>
      </c>
      <c r="F1092" s="42" t="str">
        <f>IFERROR(VLOOKUP(B1092,'MB51'!A:F,6,0),"")</f>
        <v/>
      </c>
      <c r="G1092" s="17" t="str">
        <f t="shared" si="51"/>
        <v>點揀料單</v>
      </c>
      <c r="H1092" s="17">
        <f t="shared" si="52"/>
        <v>0</v>
      </c>
      <c r="I1092" t="str">
        <f t="shared" si="53"/>
        <v/>
      </c>
      <c r="J1092" t="str">
        <f>SUBSTITUTE(IF(COUNTIF(I$2:I1092,I1092)&gt;1,"",1)," ","")</f>
        <v/>
      </c>
    </row>
    <row r="1093" spans="1:10" x14ac:dyDescent="0.2">
      <c r="A1093" s="51" t="str">
        <f>IFERROR(VLOOKUP(B1093,點上線資訊!A:R,18,0),"")</f>
        <v/>
      </c>
      <c r="B1093" s="41">
        <f>'MB51'!A1093</f>
        <v>0</v>
      </c>
      <c r="C1093" s="60" t="str">
        <f>IFERROR(VLOOKUP(B1093,'MB51'!A:I,9,0),"")</f>
        <v/>
      </c>
      <c r="D1093" s="61" t="str">
        <f>IFERROR(VLOOKUP(B1093,'MB51'!A:J,10,0),"")</f>
        <v/>
      </c>
      <c r="E1093" s="62" t="str">
        <f>IFERROR(VLOOKUP(B1093,'MB51'!A:K,11,0),"")</f>
        <v/>
      </c>
      <c r="F1093" s="42" t="str">
        <f>IFERROR(VLOOKUP(B1093,'MB51'!A:F,6,0),"")</f>
        <v/>
      </c>
      <c r="G1093" s="17" t="str">
        <f t="shared" si="51"/>
        <v>點揀料單</v>
      </c>
      <c r="H1093" s="17">
        <f t="shared" si="52"/>
        <v>0</v>
      </c>
      <c r="I1093" t="str">
        <f t="shared" si="53"/>
        <v/>
      </c>
      <c r="J1093" t="str">
        <f>SUBSTITUTE(IF(COUNTIF(I$2:I1093,I1093)&gt;1,"",1)," ","")</f>
        <v/>
      </c>
    </row>
    <row r="1094" spans="1:10" x14ac:dyDescent="0.2">
      <c r="A1094" s="51" t="str">
        <f>IFERROR(VLOOKUP(B1094,點上線資訊!A:R,18,0),"")</f>
        <v/>
      </c>
      <c r="B1094" s="41">
        <f>'MB51'!A1094</f>
        <v>0</v>
      </c>
      <c r="C1094" s="60" t="str">
        <f>IFERROR(VLOOKUP(B1094,'MB51'!A:I,9,0),"")</f>
        <v/>
      </c>
      <c r="D1094" s="61" t="str">
        <f>IFERROR(VLOOKUP(B1094,'MB51'!A:J,10,0),"")</f>
        <v/>
      </c>
      <c r="E1094" s="62" t="str">
        <f>IFERROR(VLOOKUP(B1094,'MB51'!A:K,11,0),"")</f>
        <v/>
      </c>
      <c r="F1094" s="42" t="str">
        <f>IFERROR(VLOOKUP(B1094,'MB51'!A:F,6,0),"")</f>
        <v/>
      </c>
      <c r="G1094" s="17" t="str">
        <f t="shared" si="51"/>
        <v>點揀料單</v>
      </c>
      <c r="H1094" s="17">
        <f t="shared" si="52"/>
        <v>0</v>
      </c>
      <c r="I1094" t="str">
        <f t="shared" si="53"/>
        <v/>
      </c>
      <c r="J1094" t="str">
        <f>SUBSTITUTE(IF(COUNTIF(I$2:I1094,I1094)&gt;1,"",1)," ","")</f>
        <v/>
      </c>
    </row>
    <row r="1095" spans="1:10" x14ac:dyDescent="0.2">
      <c r="A1095" s="51" t="str">
        <f>IFERROR(VLOOKUP(B1095,點上線資訊!A:R,18,0),"")</f>
        <v/>
      </c>
      <c r="B1095" s="41">
        <f>'MB51'!A1095</f>
        <v>0</v>
      </c>
      <c r="C1095" s="60" t="str">
        <f>IFERROR(VLOOKUP(B1095,'MB51'!A:I,9,0),"")</f>
        <v/>
      </c>
      <c r="D1095" s="61" t="str">
        <f>IFERROR(VLOOKUP(B1095,'MB51'!A:J,10,0),"")</f>
        <v/>
      </c>
      <c r="E1095" s="62" t="str">
        <f>IFERROR(VLOOKUP(B1095,'MB51'!A:K,11,0),"")</f>
        <v/>
      </c>
      <c r="F1095" s="42" t="str">
        <f>IFERROR(VLOOKUP(B1095,'MB51'!A:F,6,0),"")</f>
        <v/>
      </c>
      <c r="G1095" s="17" t="str">
        <f t="shared" si="51"/>
        <v>點揀料單</v>
      </c>
      <c r="H1095" s="17">
        <f t="shared" si="52"/>
        <v>0</v>
      </c>
      <c r="I1095" t="str">
        <f t="shared" si="53"/>
        <v/>
      </c>
      <c r="J1095" t="str">
        <f>SUBSTITUTE(IF(COUNTIF(I$2:I1095,I1095)&gt;1,"",1)," ","")</f>
        <v/>
      </c>
    </row>
    <row r="1096" spans="1:10" x14ac:dyDescent="0.2">
      <c r="A1096" s="51" t="str">
        <f>IFERROR(VLOOKUP(B1096,點上線資訊!A:R,18,0),"")</f>
        <v/>
      </c>
      <c r="B1096" s="41">
        <f>'MB51'!A1096</f>
        <v>0</v>
      </c>
      <c r="C1096" s="60" t="str">
        <f>IFERROR(VLOOKUP(B1096,'MB51'!A:I,9,0),"")</f>
        <v/>
      </c>
      <c r="D1096" s="61" t="str">
        <f>IFERROR(VLOOKUP(B1096,'MB51'!A:J,10,0),"")</f>
        <v/>
      </c>
      <c r="E1096" s="62" t="str">
        <f>IFERROR(VLOOKUP(B1096,'MB51'!A:K,11,0),"")</f>
        <v/>
      </c>
      <c r="F1096" s="42" t="str">
        <f>IFERROR(VLOOKUP(B1096,'MB51'!A:F,6,0),"")</f>
        <v/>
      </c>
      <c r="G1096" s="17" t="str">
        <f t="shared" si="51"/>
        <v>點揀料單</v>
      </c>
      <c r="H1096" s="17">
        <f t="shared" si="52"/>
        <v>0</v>
      </c>
      <c r="I1096" t="str">
        <f t="shared" si="53"/>
        <v/>
      </c>
      <c r="J1096" t="str">
        <f>SUBSTITUTE(IF(COUNTIF(I$2:I1096,I1096)&gt;1,"",1)," ","")</f>
        <v/>
      </c>
    </row>
    <row r="1097" spans="1:10" x14ac:dyDescent="0.2">
      <c r="A1097" s="51" t="str">
        <f>IFERROR(VLOOKUP(B1097,點上線資訊!A:R,18,0),"")</f>
        <v/>
      </c>
      <c r="B1097" s="41">
        <f>'MB51'!A1097</f>
        <v>0</v>
      </c>
      <c r="C1097" s="60" t="str">
        <f>IFERROR(VLOOKUP(B1097,'MB51'!A:I,9,0),"")</f>
        <v/>
      </c>
      <c r="D1097" s="61" t="str">
        <f>IFERROR(VLOOKUP(B1097,'MB51'!A:J,10,0),"")</f>
        <v/>
      </c>
      <c r="E1097" s="62" t="str">
        <f>IFERROR(VLOOKUP(B1097,'MB51'!A:K,11,0),"")</f>
        <v/>
      </c>
      <c r="F1097" s="42" t="str">
        <f>IFERROR(VLOOKUP(B1097,'MB51'!A:F,6,0),"")</f>
        <v/>
      </c>
      <c r="G1097" s="17" t="str">
        <f t="shared" si="51"/>
        <v>點揀料單</v>
      </c>
      <c r="H1097" s="17">
        <f t="shared" si="52"/>
        <v>0</v>
      </c>
      <c r="I1097" t="str">
        <f t="shared" si="53"/>
        <v/>
      </c>
      <c r="J1097" t="str">
        <f>SUBSTITUTE(IF(COUNTIF(I$2:I1097,I1097)&gt;1,"",1)," ","")</f>
        <v/>
      </c>
    </row>
    <row r="1098" spans="1:10" x14ac:dyDescent="0.2">
      <c r="A1098" s="51" t="str">
        <f>IFERROR(VLOOKUP(B1098,點上線資訊!A:R,18,0),"")</f>
        <v/>
      </c>
      <c r="B1098" s="41">
        <f>'MB51'!A1098</f>
        <v>0</v>
      </c>
      <c r="C1098" s="60" t="str">
        <f>IFERROR(VLOOKUP(B1098,'MB51'!A:I,9,0),"")</f>
        <v/>
      </c>
      <c r="D1098" s="61" t="str">
        <f>IFERROR(VLOOKUP(B1098,'MB51'!A:J,10,0),"")</f>
        <v/>
      </c>
      <c r="E1098" s="62" t="str">
        <f>IFERROR(VLOOKUP(B1098,'MB51'!A:K,11,0),"")</f>
        <v/>
      </c>
      <c r="F1098" s="42" t="str">
        <f>IFERROR(VLOOKUP(B1098,'MB51'!A:F,6,0),"")</f>
        <v/>
      </c>
      <c r="G1098" s="17" t="str">
        <f t="shared" si="51"/>
        <v>點揀料單</v>
      </c>
      <c r="H1098" s="17">
        <f t="shared" si="52"/>
        <v>0</v>
      </c>
      <c r="I1098" t="str">
        <f t="shared" si="53"/>
        <v/>
      </c>
      <c r="J1098" t="str">
        <f>SUBSTITUTE(IF(COUNTIF(I$2:I1098,I1098)&gt;1,"",1)," ","")</f>
        <v/>
      </c>
    </row>
    <row r="1099" spans="1:10" x14ac:dyDescent="0.2">
      <c r="A1099" s="51" t="str">
        <f>IFERROR(VLOOKUP(B1099,點上線資訊!A:R,18,0),"")</f>
        <v/>
      </c>
      <c r="B1099" s="41">
        <f>'MB51'!A1099</f>
        <v>0</v>
      </c>
      <c r="C1099" s="60" t="str">
        <f>IFERROR(VLOOKUP(B1099,'MB51'!A:I,9,0),"")</f>
        <v/>
      </c>
      <c r="D1099" s="61" t="str">
        <f>IFERROR(VLOOKUP(B1099,'MB51'!A:J,10,0),"")</f>
        <v/>
      </c>
      <c r="E1099" s="62" t="str">
        <f>IFERROR(VLOOKUP(B1099,'MB51'!A:K,11,0),"")</f>
        <v/>
      </c>
      <c r="F1099" s="42" t="str">
        <f>IFERROR(VLOOKUP(B1099,'MB51'!A:F,6,0),"")</f>
        <v/>
      </c>
      <c r="G1099" s="17" t="str">
        <f t="shared" si="51"/>
        <v>點揀料單</v>
      </c>
      <c r="H1099" s="17">
        <f t="shared" si="52"/>
        <v>0</v>
      </c>
      <c r="I1099" t="str">
        <f t="shared" si="53"/>
        <v/>
      </c>
      <c r="J1099" t="str">
        <f>SUBSTITUTE(IF(COUNTIF(I$2:I1099,I1099)&gt;1,"",1)," ","")</f>
        <v/>
      </c>
    </row>
    <row r="1100" spans="1:10" x14ac:dyDescent="0.2">
      <c r="A1100" s="51" t="str">
        <f>IFERROR(VLOOKUP(B1100,點上線資訊!A:R,18,0),"")</f>
        <v/>
      </c>
      <c r="B1100" s="41">
        <f>'MB51'!A1100</f>
        <v>0</v>
      </c>
      <c r="C1100" s="60" t="str">
        <f>IFERROR(VLOOKUP(B1100,'MB51'!A:I,9,0),"")</f>
        <v/>
      </c>
      <c r="D1100" s="61" t="str">
        <f>IFERROR(VLOOKUP(B1100,'MB51'!A:J,10,0),"")</f>
        <v/>
      </c>
      <c r="E1100" s="62" t="str">
        <f>IFERROR(VLOOKUP(B1100,'MB51'!A:K,11,0),"")</f>
        <v/>
      </c>
      <c r="F1100" s="42" t="str">
        <f>IFERROR(VLOOKUP(B1100,'MB51'!A:F,6,0),"")</f>
        <v/>
      </c>
      <c r="G1100" s="17" t="str">
        <f t="shared" si="51"/>
        <v>點揀料單</v>
      </c>
      <c r="H1100" s="17">
        <f t="shared" si="52"/>
        <v>0</v>
      </c>
      <c r="I1100" t="str">
        <f t="shared" si="53"/>
        <v/>
      </c>
      <c r="J1100" t="str">
        <f>SUBSTITUTE(IF(COUNTIF(I$2:I1100,I1100)&gt;1,"",1)," ","")</f>
        <v/>
      </c>
    </row>
    <row r="1101" spans="1:10" x14ac:dyDescent="0.2">
      <c r="A1101" s="51" t="str">
        <f>IFERROR(VLOOKUP(B1101,點上線資訊!A:R,18,0),"")</f>
        <v/>
      </c>
      <c r="B1101" s="41">
        <f>'MB51'!A1101</f>
        <v>0</v>
      </c>
      <c r="C1101" s="60" t="str">
        <f>IFERROR(VLOOKUP(B1101,'MB51'!A:I,9,0),"")</f>
        <v/>
      </c>
      <c r="D1101" s="61" t="str">
        <f>IFERROR(VLOOKUP(B1101,'MB51'!A:J,10,0),"")</f>
        <v/>
      </c>
      <c r="E1101" s="62" t="str">
        <f>IFERROR(VLOOKUP(B1101,'MB51'!A:K,11,0),"")</f>
        <v/>
      </c>
      <c r="F1101" s="42" t="str">
        <f>IFERROR(VLOOKUP(B1101,'MB51'!A:F,6,0),"")</f>
        <v/>
      </c>
      <c r="G1101" s="17" t="str">
        <f t="shared" si="51"/>
        <v>點揀料單</v>
      </c>
      <c r="H1101" s="17">
        <f t="shared" si="52"/>
        <v>0</v>
      </c>
      <c r="I1101" t="str">
        <f t="shared" si="53"/>
        <v/>
      </c>
      <c r="J1101" t="str">
        <f>SUBSTITUTE(IF(COUNTIF(I$2:I1101,I1101)&gt;1,"",1)," ","")</f>
        <v/>
      </c>
    </row>
    <row r="1102" spans="1:10" x14ac:dyDescent="0.2">
      <c r="A1102" s="51" t="str">
        <f>IFERROR(VLOOKUP(B1102,點上線資訊!A:R,18,0),"")</f>
        <v/>
      </c>
      <c r="B1102" s="41">
        <f>'MB51'!A1102</f>
        <v>0</v>
      </c>
      <c r="C1102" s="60" t="str">
        <f>IFERROR(VLOOKUP(B1102,'MB51'!A:I,9,0),"")</f>
        <v/>
      </c>
      <c r="D1102" s="61" t="str">
        <f>IFERROR(VLOOKUP(B1102,'MB51'!A:J,10,0),"")</f>
        <v/>
      </c>
      <c r="E1102" s="62" t="str">
        <f>IFERROR(VLOOKUP(B1102,'MB51'!A:K,11,0),"")</f>
        <v/>
      </c>
      <c r="F1102" s="42" t="str">
        <f>IFERROR(VLOOKUP(B1102,'MB51'!A:F,6,0),"")</f>
        <v/>
      </c>
      <c r="G1102" s="17" t="str">
        <f t="shared" si="51"/>
        <v>點揀料單</v>
      </c>
      <c r="H1102" s="17">
        <f t="shared" si="52"/>
        <v>0</v>
      </c>
      <c r="I1102" t="str">
        <f t="shared" si="53"/>
        <v/>
      </c>
      <c r="J1102" t="str">
        <f>SUBSTITUTE(IF(COUNTIF(I$2:I1102,I1102)&gt;1,"",1)," ","")</f>
        <v/>
      </c>
    </row>
    <row r="1103" spans="1:10" x14ac:dyDescent="0.2">
      <c r="A1103" s="51" t="str">
        <f>IFERROR(VLOOKUP(B1103,點上線資訊!A:R,18,0),"")</f>
        <v/>
      </c>
      <c r="B1103" s="41">
        <f>'MB51'!A1103</f>
        <v>0</v>
      </c>
      <c r="C1103" s="60" t="str">
        <f>IFERROR(VLOOKUP(B1103,'MB51'!A:I,9,0),"")</f>
        <v/>
      </c>
      <c r="D1103" s="61" t="str">
        <f>IFERROR(VLOOKUP(B1103,'MB51'!A:J,10,0),"")</f>
        <v/>
      </c>
      <c r="E1103" s="62" t="str">
        <f>IFERROR(VLOOKUP(B1103,'MB51'!A:K,11,0),"")</f>
        <v/>
      </c>
      <c r="F1103" s="42" t="str">
        <f>IFERROR(VLOOKUP(B1103,'MB51'!A:F,6,0),"")</f>
        <v/>
      </c>
      <c r="G1103" s="17" t="str">
        <f t="shared" si="51"/>
        <v>點揀料單</v>
      </c>
      <c r="H1103" s="17">
        <f t="shared" si="52"/>
        <v>0</v>
      </c>
      <c r="I1103" t="str">
        <f t="shared" si="53"/>
        <v/>
      </c>
      <c r="J1103" t="str">
        <f>SUBSTITUTE(IF(COUNTIF(I$2:I1103,I1103)&gt;1,"",1)," ","")</f>
        <v/>
      </c>
    </row>
    <row r="1104" spans="1:10" x14ac:dyDescent="0.2">
      <c r="A1104" s="51" t="str">
        <f>IFERROR(VLOOKUP(B1104,點上線資訊!A:R,18,0),"")</f>
        <v/>
      </c>
      <c r="B1104" s="41">
        <f>'MB51'!A1104</f>
        <v>0</v>
      </c>
      <c r="C1104" s="60" t="str">
        <f>IFERROR(VLOOKUP(B1104,'MB51'!A:I,9,0),"")</f>
        <v/>
      </c>
      <c r="D1104" s="61" t="str">
        <f>IFERROR(VLOOKUP(B1104,'MB51'!A:J,10,0),"")</f>
        <v/>
      </c>
      <c r="E1104" s="62" t="str">
        <f>IFERROR(VLOOKUP(B1104,'MB51'!A:K,11,0),"")</f>
        <v/>
      </c>
      <c r="F1104" s="42" t="str">
        <f>IFERROR(VLOOKUP(B1104,'MB51'!A:F,6,0),"")</f>
        <v/>
      </c>
      <c r="G1104" s="17" t="str">
        <f t="shared" si="51"/>
        <v>點揀料單</v>
      </c>
      <c r="H1104" s="17">
        <f t="shared" si="52"/>
        <v>0</v>
      </c>
      <c r="I1104" t="str">
        <f t="shared" si="53"/>
        <v/>
      </c>
      <c r="J1104" t="str">
        <f>SUBSTITUTE(IF(COUNTIF(I$2:I1104,I1104)&gt;1,"",1)," ","")</f>
        <v/>
      </c>
    </row>
    <row r="1105" spans="1:10" x14ac:dyDescent="0.2">
      <c r="A1105" s="51" t="str">
        <f>IFERROR(VLOOKUP(B1105,點上線資訊!A:R,18,0),"")</f>
        <v/>
      </c>
      <c r="B1105" s="41">
        <f>'MB51'!A1105</f>
        <v>0</v>
      </c>
      <c r="C1105" s="60" t="str">
        <f>IFERROR(VLOOKUP(B1105,'MB51'!A:I,9,0),"")</f>
        <v/>
      </c>
      <c r="D1105" s="61" t="str">
        <f>IFERROR(VLOOKUP(B1105,'MB51'!A:J,10,0),"")</f>
        <v/>
      </c>
      <c r="E1105" s="62" t="str">
        <f>IFERROR(VLOOKUP(B1105,'MB51'!A:K,11,0),"")</f>
        <v/>
      </c>
      <c r="F1105" s="42" t="str">
        <f>IFERROR(VLOOKUP(B1105,'MB51'!A:F,6,0),"")</f>
        <v/>
      </c>
      <c r="G1105" s="17" t="str">
        <f t="shared" si="51"/>
        <v>點揀料單</v>
      </c>
      <c r="H1105" s="17">
        <f t="shared" si="52"/>
        <v>0</v>
      </c>
      <c r="I1105" t="str">
        <f t="shared" si="53"/>
        <v/>
      </c>
      <c r="J1105" t="str">
        <f>SUBSTITUTE(IF(COUNTIF(I$2:I1105,I1105)&gt;1,"",1)," ","")</f>
        <v/>
      </c>
    </row>
    <row r="1106" spans="1:10" x14ac:dyDescent="0.2">
      <c r="A1106" s="51" t="str">
        <f>IFERROR(VLOOKUP(B1106,點上線資訊!A:R,18,0),"")</f>
        <v/>
      </c>
      <c r="B1106" s="41">
        <f>'MB51'!A1106</f>
        <v>0</v>
      </c>
      <c r="C1106" s="60" t="str">
        <f>IFERROR(VLOOKUP(B1106,'MB51'!A:I,9,0),"")</f>
        <v/>
      </c>
      <c r="D1106" s="61" t="str">
        <f>IFERROR(VLOOKUP(B1106,'MB51'!A:J,10,0),"")</f>
        <v/>
      </c>
      <c r="E1106" s="62" t="str">
        <f>IFERROR(VLOOKUP(B1106,'MB51'!A:K,11,0),"")</f>
        <v/>
      </c>
      <c r="F1106" s="42" t="str">
        <f>IFERROR(VLOOKUP(B1106,'MB51'!A:F,6,0),"")</f>
        <v/>
      </c>
      <c r="G1106" s="17" t="str">
        <f t="shared" si="51"/>
        <v>點揀料單</v>
      </c>
      <c r="H1106" s="17">
        <f t="shared" si="52"/>
        <v>0</v>
      </c>
      <c r="I1106" t="str">
        <f t="shared" si="53"/>
        <v/>
      </c>
      <c r="J1106" t="str">
        <f>SUBSTITUTE(IF(COUNTIF(I$2:I1106,I1106)&gt;1,"",1)," ","")</f>
        <v/>
      </c>
    </row>
    <row r="1107" spans="1:10" x14ac:dyDescent="0.2">
      <c r="A1107" s="51" t="str">
        <f>IFERROR(VLOOKUP(B1107,點上線資訊!A:R,18,0),"")</f>
        <v/>
      </c>
      <c r="B1107" s="41">
        <f>'MB51'!A1107</f>
        <v>0</v>
      </c>
      <c r="C1107" s="60" t="str">
        <f>IFERROR(VLOOKUP(B1107,'MB51'!A:I,9,0),"")</f>
        <v/>
      </c>
      <c r="D1107" s="61" t="str">
        <f>IFERROR(VLOOKUP(B1107,'MB51'!A:J,10,0),"")</f>
        <v/>
      </c>
      <c r="E1107" s="62" t="str">
        <f>IFERROR(VLOOKUP(B1107,'MB51'!A:K,11,0),"")</f>
        <v/>
      </c>
      <c r="F1107" s="42" t="str">
        <f>IFERROR(VLOOKUP(B1107,'MB51'!A:F,6,0),"")</f>
        <v/>
      </c>
      <c r="G1107" s="17" t="str">
        <f t="shared" si="51"/>
        <v>點揀料單</v>
      </c>
      <c r="H1107" s="17">
        <f t="shared" si="52"/>
        <v>0</v>
      </c>
      <c r="I1107" t="str">
        <f t="shared" si="53"/>
        <v/>
      </c>
      <c r="J1107" t="str">
        <f>SUBSTITUTE(IF(COUNTIF(I$2:I1107,I1107)&gt;1,"",1)," ","")</f>
        <v/>
      </c>
    </row>
    <row r="1108" spans="1:10" x14ac:dyDescent="0.2">
      <c r="A1108" s="51" t="str">
        <f>IFERROR(VLOOKUP(B1108,點上線資訊!A:R,18,0),"")</f>
        <v/>
      </c>
      <c r="B1108" s="41">
        <f>'MB51'!A1108</f>
        <v>0</v>
      </c>
      <c r="C1108" s="60" t="str">
        <f>IFERROR(VLOOKUP(B1108,'MB51'!A:I,9,0),"")</f>
        <v/>
      </c>
      <c r="D1108" s="61" t="str">
        <f>IFERROR(VLOOKUP(B1108,'MB51'!A:J,10,0),"")</f>
        <v/>
      </c>
      <c r="E1108" s="62" t="str">
        <f>IFERROR(VLOOKUP(B1108,'MB51'!A:K,11,0),"")</f>
        <v/>
      </c>
      <c r="F1108" s="42" t="str">
        <f>IFERROR(VLOOKUP(B1108,'MB51'!A:F,6,0),"")</f>
        <v/>
      </c>
      <c r="G1108" s="17" t="str">
        <f t="shared" si="51"/>
        <v>點揀料單</v>
      </c>
      <c r="H1108" s="17">
        <f t="shared" si="52"/>
        <v>0</v>
      </c>
      <c r="I1108" t="str">
        <f t="shared" si="53"/>
        <v/>
      </c>
      <c r="J1108" t="str">
        <f>SUBSTITUTE(IF(COUNTIF(I$2:I1108,I1108)&gt;1,"",1)," ","")</f>
        <v/>
      </c>
    </row>
    <row r="1109" spans="1:10" x14ac:dyDescent="0.2">
      <c r="A1109" s="51" t="str">
        <f>IFERROR(VLOOKUP(B1109,點上線資訊!A:R,18,0),"")</f>
        <v/>
      </c>
      <c r="B1109" s="41">
        <f>'MB51'!A1109</f>
        <v>0</v>
      </c>
      <c r="C1109" s="60" t="str">
        <f>IFERROR(VLOOKUP(B1109,'MB51'!A:I,9,0),"")</f>
        <v/>
      </c>
      <c r="D1109" s="61" t="str">
        <f>IFERROR(VLOOKUP(B1109,'MB51'!A:J,10,0),"")</f>
        <v/>
      </c>
      <c r="E1109" s="62" t="str">
        <f>IFERROR(VLOOKUP(B1109,'MB51'!A:K,11,0),"")</f>
        <v/>
      </c>
      <c r="F1109" s="42" t="str">
        <f>IFERROR(VLOOKUP(B1109,'MB51'!A:F,6,0),"")</f>
        <v/>
      </c>
      <c r="G1109" s="17" t="str">
        <f t="shared" si="51"/>
        <v>點揀料單</v>
      </c>
      <c r="H1109" s="17">
        <f t="shared" si="52"/>
        <v>0</v>
      </c>
      <c r="I1109" t="str">
        <f t="shared" si="53"/>
        <v/>
      </c>
      <c r="J1109" t="str">
        <f>SUBSTITUTE(IF(COUNTIF(I$2:I1109,I1109)&gt;1,"",1)," ","")</f>
        <v/>
      </c>
    </row>
    <row r="1110" spans="1:10" x14ac:dyDescent="0.2">
      <c r="A1110" s="51" t="str">
        <f>IFERROR(VLOOKUP(B1110,點上線資訊!A:R,18,0),"")</f>
        <v/>
      </c>
      <c r="B1110" s="41">
        <f>'MB51'!A1110</f>
        <v>0</v>
      </c>
      <c r="C1110" s="60" t="str">
        <f>IFERROR(VLOOKUP(B1110,'MB51'!A:I,9,0),"")</f>
        <v/>
      </c>
      <c r="D1110" s="61" t="str">
        <f>IFERROR(VLOOKUP(B1110,'MB51'!A:J,10,0),"")</f>
        <v/>
      </c>
      <c r="E1110" s="62" t="str">
        <f>IFERROR(VLOOKUP(B1110,'MB51'!A:K,11,0),"")</f>
        <v/>
      </c>
      <c r="F1110" s="42" t="str">
        <f>IFERROR(VLOOKUP(B1110,'MB51'!A:F,6,0),"")</f>
        <v/>
      </c>
      <c r="G1110" s="17" t="str">
        <f t="shared" si="51"/>
        <v>點揀料單</v>
      </c>
      <c r="H1110" s="17">
        <f t="shared" si="52"/>
        <v>0</v>
      </c>
      <c r="I1110" t="str">
        <f t="shared" si="53"/>
        <v/>
      </c>
      <c r="J1110" t="str">
        <f>SUBSTITUTE(IF(COUNTIF(I$2:I1110,I1110)&gt;1,"",1)," ","")</f>
        <v/>
      </c>
    </row>
    <row r="1111" spans="1:10" x14ac:dyDescent="0.2">
      <c r="A1111" s="51" t="str">
        <f>IFERROR(VLOOKUP(B1111,點上線資訊!A:R,18,0),"")</f>
        <v/>
      </c>
      <c r="B1111" s="41">
        <f>'MB51'!A1111</f>
        <v>0</v>
      </c>
      <c r="C1111" s="60" t="str">
        <f>IFERROR(VLOOKUP(B1111,'MB51'!A:I,9,0),"")</f>
        <v/>
      </c>
      <c r="D1111" s="61" t="str">
        <f>IFERROR(VLOOKUP(B1111,'MB51'!A:J,10,0),"")</f>
        <v/>
      </c>
      <c r="E1111" s="62" t="str">
        <f>IFERROR(VLOOKUP(B1111,'MB51'!A:K,11,0),"")</f>
        <v/>
      </c>
      <c r="F1111" s="42" t="str">
        <f>IFERROR(VLOOKUP(B1111,'MB51'!A:F,6,0),"")</f>
        <v/>
      </c>
      <c r="G1111" s="17" t="str">
        <f t="shared" si="51"/>
        <v>點揀料單</v>
      </c>
      <c r="H1111" s="17">
        <f t="shared" si="52"/>
        <v>0</v>
      </c>
      <c r="I1111" t="str">
        <f t="shared" si="53"/>
        <v/>
      </c>
      <c r="J1111" t="str">
        <f>SUBSTITUTE(IF(COUNTIF(I$2:I1111,I1111)&gt;1,"",1)," ","")</f>
        <v/>
      </c>
    </row>
    <row r="1112" spans="1:10" x14ac:dyDescent="0.2">
      <c r="A1112" s="51" t="str">
        <f>IFERROR(VLOOKUP(B1112,點上線資訊!A:R,18,0),"")</f>
        <v/>
      </c>
      <c r="B1112" s="41">
        <f>'MB51'!A1112</f>
        <v>0</v>
      </c>
      <c r="C1112" s="60" t="str">
        <f>IFERROR(VLOOKUP(B1112,'MB51'!A:I,9,0),"")</f>
        <v/>
      </c>
      <c r="D1112" s="61" t="str">
        <f>IFERROR(VLOOKUP(B1112,'MB51'!A:J,10,0),"")</f>
        <v/>
      </c>
      <c r="E1112" s="62" t="str">
        <f>IFERROR(VLOOKUP(B1112,'MB51'!A:K,11,0),"")</f>
        <v/>
      </c>
      <c r="F1112" s="42" t="str">
        <f>IFERROR(VLOOKUP(B1112,'MB51'!A:F,6,0),"")</f>
        <v/>
      </c>
      <c r="G1112" s="17" t="str">
        <f t="shared" si="51"/>
        <v>點揀料單</v>
      </c>
      <c r="H1112" s="17">
        <f t="shared" si="52"/>
        <v>0</v>
      </c>
      <c r="I1112" t="str">
        <f t="shared" si="53"/>
        <v/>
      </c>
      <c r="J1112" t="str">
        <f>SUBSTITUTE(IF(COUNTIF(I$2:I1112,I1112)&gt;1,"",1)," ","")</f>
        <v/>
      </c>
    </row>
    <row r="1113" spans="1:10" x14ac:dyDescent="0.2">
      <c r="A1113" s="51" t="str">
        <f>IFERROR(VLOOKUP(B1113,點上線資訊!A:R,18,0),"")</f>
        <v/>
      </c>
      <c r="B1113" s="41">
        <f>'MB51'!A1113</f>
        <v>0</v>
      </c>
      <c r="C1113" s="60" t="str">
        <f>IFERROR(VLOOKUP(B1113,'MB51'!A:I,9,0),"")</f>
        <v/>
      </c>
      <c r="D1113" s="61" t="str">
        <f>IFERROR(VLOOKUP(B1113,'MB51'!A:J,10,0),"")</f>
        <v/>
      </c>
      <c r="E1113" s="62" t="str">
        <f>IFERROR(VLOOKUP(B1113,'MB51'!A:K,11,0),"")</f>
        <v/>
      </c>
      <c r="F1113" s="42" t="str">
        <f>IFERROR(VLOOKUP(B1113,'MB51'!A:F,6,0),"")</f>
        <v/>
      </c>
      <c r="G1113" s="17" t="str">
        <f t="shared" si="51"/>
        <v>點揀料單</v>
      </c>
      <c r="H1113" s="17">
        <f t="shared" si="52"/>
        <v>0</v>
      </c>
      <c r="I1113" t="str">
        <f t="shared" si="53"/>
        <v/>
      </c>
      <c r="J1113" t="str">
        <f>SUBSTITUTE(IF(COUNTIF(I$2:I1113,I1113)&gt;1,"",1)," ","")</f>
        <v/>
      </c>
    </row>
    <row r="1114" spans="1:10" x14ac:dyDescent="0.2">
      <c r="A1114" s="51" t="str">
        <f>IFERROR(VLOOKUP(B1114,點上線資訊!A:R,18,0),"")</f>
        <v/>
      </c>
      <c r="B1114" s="41">
        <f>'MB51'!A1114</f>
        <v>0</v>
      </c>
      <c r="C1114" s="60" t="str">
        <f>IFERROR(VLOOKUP(B1114,'MB51'!A:I,9,0),"")</f>
        <v/>
      </c>
      <c r="D1114" s="61" t="str">
        <f>IFERROR(VLOOKUP(B1114,'MB51'!A:J,10,0),"")</f>
        <v/>
      </c>
      <c r="E1114" s="62" t="str">
        <f>IFERROR(VLOOKUP(B1114,'MB51'!A:K,11,0),"")</f>
        <v/>
      </c>
      <c r="F1114" s="42" t="str">
        <f>IFERROR(VLOOKUP(B1114,'MB51'!A:F,6,0),"")</f>
        <v/>
      </c>
      <c r="G1114" s="17" t="str">
        <f t="shared" si="51"/>
        <v>點揀料單</v>
      </c>
      <c r="H1114" s="17">
        <f t="shared" si="52"/>
        <v>0</v>
      </c>
      <c r="I1114" t="str">
        <f t="shared" si="53"/>
        <v/>
      </c>
      <c r="J1114" t="str">
        <f>SUBSTITUTE(IF(COUNTIF(I$2:I1114,I1114)&gt;1,"",1)," ","")</f>
        <v/>
      </c>
    </row>
    <row r="1115" spans="1:10" x14ac:dyDescent="0.2">
      <c r="A1115" s="51" t="str">
        <f>IFERROR(VLOOKUP(B1115,點上線資訊!A:R,18,0),"")</f>
        <v/>
      </c>
      <c r="B1115" s="41">
        <f>'MB51'!A1115</f>
        <v>0</v>
      </c>
      <c r="C1115" s="60" t="str">
        <f>IFERROR(VLOOKUP(B1115,'MB51'!A:I,9,0),"")</f>
        <v/>
      </c>
      <c r="D1115" s="61" t="str">
        <f>IFERROR(VLOOKUP(B1115,'MB51'!A:J,10,0),"")</f>
        <v/>
      </c>
      <c r="E1115" s="62" t="str">
        <f>IFERROR(VLOOKUP(B1115,'MB51'!A:K,11,0),"")</f>
        <v/>
      </c>
      <c r="F1115" s="42" t="str">
        <f>IFERROR(VLOOKUP(B1115,'MB51'!A:F,6,0),"")</f>
        <v/>
      </c>
      <c r="G1115" s="17" t="str">
        <f t="shared" si="51"/>
        <v>點揀料單</v>
      </c>
      <c r="H1115" s="17">
        <f t="shared" si="52"/>
        <v>0</v>
      </c>
      <c r="I1115" t="str">
        <f t="shared" si="53"/>
        <v/>
      </c>
      <c r="J1115" t="str">
        <f>SUBSTITUTE(IF(COUNTIF(I$2:I1115,I1115)&gt;1,"",1)," ","")</f>
        <v/>
      </c>
    </row>
    <row r="1116" spans="1:10" x14ac:dyDescent="0.2">
      <c r="A1116" s="51" t="str">
        <f>IFERROR(VLOOKUP(B1116,點上線資訊!A:R,18,0),"")</f>
        <v/>
      </c>
      <c r="B1116" s="41">
        <f>'MB51'!A1116</f>
        <v>0</v>
      </c>
      <c r="C1116" s="60" t="str">
        <f>IFERROR(VLOOKUP(B1116,'MB51'!A:I,9,0),"")</f>
        <v/>
      </c>
      <c r="D1116" s="61" t="str">
        <f>IFERROR(VLOOKUP(B1116,'MB51'!A:J,10,0),"")</f>
        <v/>
      </c>
      <c r="E1116" s="62" t="str">
        <f>IFERROR(VLOOKUP(B1116,'MB51'!A:K,11,0),"")</f>
        <v/>
      </c>
      <c r="F1116" s="42" t="str">
        <f>IFERROR(VLOOKUP(B1116,'MB51'!A:F,6,0),"")</f>
        <v/>
      </c>
      <c r="G1116" s="17" t="str">
        <f t="shared" si="51"/>
        <v>點揀料單</v>
      </c>
      <c r="H1116" s="17">
        <f t="shared" si="52"/>
        <v>0</v>
      </c>
      <c r="I1116" t="str">
        <f t="shared" si="53"/>
        <v/>
      </c>
      <c r="J1116" t="str">
        <f>SUBSTITUTE(IF(COUNTIF(I$2:I1116,I1116)&gt;1,"",1)," ","")</f>
        <v/>
      </c>
    </row>
    <row r="1117" spans="1:10" x14ac:dyDescent="0.2">
      <c r="A1117" s="51" t="str">
        <f>IFERROR(VLOOKUP(B1117,點上線資訊!A:R,18,0),"")</f>
        <v/>
      </c>
      <c r="B1117" s="41">
        <f>'MB51'!A1117</f>
        <v>0</v>
      </c>
      <c r="C1117" s="60" t="str">
        <f>IFERROR(VLOOKUP(B1117,'MB51'!A:I,9,0),"")</f>
        <v/>
      </c>
      <c r="D1117" s="61" t="str">
        <f>IFERROR(VLOOKUP(B1117,'MB51'!A:J,10,0),"")</f>
        <v/>
      </c>
      <c r="E1117" s="62" t="str">
        <f>IFERROR(VLOOKUP(B1117,'MB51'!A:K,11,0),"")</f>
        <v/>
      </c>
      <c r="F1117" s="42" t="str">
        <f>IFERROR(VLOOKUP(B1117,'MB51'!A:F,6,0),"")</f>
        <v/>
      </c>
      <c r="G1117" s="17" t="str">
        <f t="shared" si="51"/>
        <v>點揀料單</v>
      </c>
      <c r="H1117" s="17">
        <f t="shared" si="52"/>
        <v>0</v>
      </c>
      <c r="I1117" t="str">
        <f t="shared" si="53"/>
        <v/>
      </c>
      <c r="J1117" t="str">
        <f>SUBSTITUTE(IF(COUNTIF(I$2:I1117,I1117)&gt;1,"",1)," ","")</f>
        <v/>
      </c>
    </row>
    <row r="1118" spans="1:10" x14ac:dyDescent="0.2">
      <c r="A1118" s="51" t="str">
        <f>IFERROR(VLOOKUP(B1118,點上線資訊!A:R,18,0),"")</f>
        <v/>
      </c>
      <c r="B1118" s="41">
        <f>'MB51'!A1118</f>
        <v>0</v>
      </c>
      <c r="C1118" s="60" t="str">
        <f>IFERROR(VLOOKUP(B1118,'MB51'!A:I,9,0),"")</f>
        <v/>
      </c>
      <c r="D1118" s="61" t="str">
        <f>IFERROR(VLOOKUP(B1118,'MB51'!A:J,10,0),"")</f>
        <v/>
      </c>
      <c r="E1118" s="62" t="str">
        <f>IFERROR(VLOOKUP(B1118,'MB51'!A:K,11,0),"")</f>
        <v/>
      </c>
      <c r="F1118" s="42" t="str">
        <f>IFERROR(VLOOKUP(B1118,'MB51'!A:F,6,0),"")</f>
        <v/>
      </c>
      <c r="G1118" s="17" t="str">
        <f t="shared" si="51"/>
        <v>點揀料單</v>
      </c>
      <c r="H1118" s="17">
        <f t="shared" si="52"/>
        <v>0</v>
      </c>
      <c r="I1118" t="str">
        <f t="shared" si="53"/>
        <v/>
      </c>
      <c r="J1118" t="str">
        <f>SUBSTITUTE(IF(COUNTIF(I$2:I1118,I1118)&gt;1,"",1)," ","")</f>
        <v/>
      </c>
    </row>
    <row r="1119" spans="1:10" x14ac:dyDescent="0.2">
      <c r="A1119" s="51" t="str">
        <f>IFERROR(VLOOKUP(B1119,點上線資訊!A:R,18,0),"")</f>
        <v/>
      </c>
      <c r="B1119" s="41">
        <f>'MB51'!A1119</f>
        <v>0</v>
      </c>
      <c r="C1119" s="60" t="str">
        <f>IFERROR(VLOOKUP(B1119,'MB51'!A:I,9,0),"")</f>
        <v/>
      </c>
      <c r="D1119" s="61" t="str">
        <f>IFERROR(VLOOKUP(B1119,'MB51'!A:J,10,0),"")</f>
        <v/>
      </c>
      <c r="E1119" s="62" t="str">
        <f>IFERROR(VLOOKUP(B1119,'MB51'!A:K,11,0),"")</f>
        <v/>
      </c>
      <c r="F1119" s="42" t="str">
        <f>IFERROR(VLOOKUP(B1119,'MB51'!A:F,6,0),"")</f>
        <v/>
      </c>
      <c r="G1119" s="17" t="str">
        <f t="shared" si="51"/>
        <v>點揀料單</v>
      </c>
      <c r="H1119" s="17">
        <f t="shared" si="52"/>
        <v>0</v>
      </c>
      <c r="I1119" t="str">
        <f t="shared" si="53"/>
        <v/>
      </c>
      <c r="J1119" t="str">
        <f>SUBSTITUTE(IF(COUNTIF(I$2:I1119,I1119)&gt;1,"",1)," ","")</f>
        <v/>
      </c>
    </row>
    <row r="1120" spans="1:10" x14ac:dyDescent="0.2">
      <c r="A1120" s="51" t="str">
        <f>IFERROR(VLOOKUP(B1120,點上線資訊!A:R,18,0),"")</f>
        <v/>
      </c>
      <c r="B1120" s="41">
        <f>'MB51'!A1120</f>
        <v>0</v>
      </c>
      <c r="C1120" s="60" t="str">
        <f>IFERROR(VLOOKUP(B1120,'MB51'!A:I,9,0),"")</f>
        <v/>
      </c>
      <c r="D1120" s="61" t="str">
        <f>IFERROR(VLOOKUP(B1120,'MB51'!A:J,10,0),"")</f>
        <v/>
      </c>
      <c r="E1120" s="62" t="str">
        <f>IFERROR(VLOOKUP(B1120,'MB51'!A:K,11,0),"")</f>
        <v/>
      </c>
      <c r="F1120" s="42" t="str">
        <f>IFERROR(VLOOKUP(B1120,'MB51'!A:F,6,0),"")</f>
        <v/>
      </c>
      <c r="G1120" s="17" t="str">
        <f t="shared" si="51"/>
        <v>點揀料單</v>
      </c>
      <c r="H1120" s="17">
        <f t="shared" si="52"/>
        <v>0</v>
      </c>
      <c r="I1120" t="str">
        <f t="shared" si="53"/>
        <v/>
      </c>
      <c r="J1120" t="str">
        <f>SUBSTITUTE(IF(COUNTIF(I$2:I1120,I1120)&gt;1,"",1)," ","")</f>
        <v/>
      </c>
    </row>
    <row r="1121" spans="1:10" x14ac:dyDescent="0.2">
      <c r="A1121" s="51" t="str">
        <f>IFERROR(VLOOKUP(B1121,點上線資訊!A:R,18,0),"")</f>
        <v/>
      </c>
      <c r="B1121" s="41">
        <f>'MB51'!A1121</f>
        <v>0</v>
      </c>
      <c r="C1121" s="60" t="str">
        <f>IFERROR(VLOOKUP(B1121,'MB51'!A:I,9,0),"")</f>
        <v/>
      </c>
      <c r="D1121" s="61" t="str">
        <f>IFERROR(VLOOKUP(B1121,'MB51'!A:J,10,0),"")</f>
        <v/>
      </c>
      <c r="E1121" s="62" t="str">
        <f>IFERROR(VLOOKUP(B1121,'MB51'!A:K,11,0),"")</f>
        <v/>
      </c>
      <c r="F1121" s="42" t="str">
        <f>IFERROR(VLOOKUP(B1121,'MB51'!A:F,6,0),"")</f>
        <v/>
      </c>
      <c r="G1121" s="17" t="str">
        <f t="shared" si="51"/>
        <v>點揀料單</v>
      </c>
      <c r="H1121" s="17">
        <f t="shared" si="52"/>
        <v>0</v>
      </c>
      <c r="I1121" t="str">
        <f t="shared" si="53"/>
        <v/>
      </c>
      <c r="J1121" t="str">
        <f>SUBSTITUTE(IF(COUNTIF(I$2:I1121,I1121)&gt;1,"",1)," ","")</f>
        <v/>
      </c>
    </row>
    <row r="1122" spans="1:10" x14ac:dyDescent="0.2">
      <c r="A1122" s="51" t="str">
        <f>IFERROR(VLOOKUP(B1122,點上線資訊!A:R,18,0),"")</f>
        <v/>
      </c>
      <c r="B1122" s="41">
        <f>'MB51'!A1122</f>
        <v>0</v>
      </c>
      <c r="C1122" s="60" t="str">
        <f>IFERROR(VLOOKUP(B1122,'MB51'!A:I,9,0),"")</f>
        <v/>
      </c>
      <c r="D1122" s="61" t="str">
        <f>IFERROR(VLOOKUP(B1122,'MB51'!A:J,10,0),"")</f>
        <v/>
      </c>
      <c r="E1122" s="62" t="str">
        <f>IFERROR(VLOOKUP(B1122,'MB51'!A:K,11,0),"")</f>
        <v/>
      </c>
      <c r="F1122" s="42" t="str">
        <f>IFERROR(VLOOKUP(B1122,'MB51'!A:F,6,0),"")</f>
        <v/>
      </c>
      <c r="G1122" s="17" t="str">
        <f t="shared" si="51"/>
        <v>點揀料單</v>
      </c>
      <c r="H1122" s="17">
        <f t="shared" si="52"/>
        <v>0</v>
      </c>
      <c r="I1122" t="str">
        <f t="shared" si="53"/>
        <v/>
      </c>
      <c r="J1122" t="str">
        <f>SUBSTITUTE(IF(COUNTIF(I$2:I1122,I1122)&gt;1,"",1)," ","")</f>
        <v/>
      </c>
    </row>
    <row r="1123" spans="1:10" x14ac:dyDescent="0.2">
      <c r="A1123" s="51" t="str">
        <f>IFERROR(VLOOKUP(B1123,點上線資訊!A:R,18,0),"")</f>
        <v/>
      </c>
      <c r="B1123" s="41">
        <f>'MB51'!A1123</f>
        <v>0</v>
      </c>
      <c r="C1123" s="60" t="str">
        <f>IFERROR(VLOOKUP(B1123,'MB51'!A:I,9,0),"")</f>
        <v/>
      </c>
      <c r="D1123" s="61" t="str">
        <f>IFERROR(VLOOKUP(B1123,'MB51'!A:J,10,0),"")</f>
        <v/>
      </c>
      <c r="E1123" s="62" t="str">
        <f>IFERROR(VLOOKUP(B1123,'MB51'!A:K,11,0),"")</f>
        <v/>
      </c>
      <c r="F1123" s="42" t="str">
        <f>IFERROR(VLOOKUP(B1123,'MB51'!A:F,6,0),"")</f>
        <v/>
      </c>
      <c r="G1123" s="17" t="str">
        <f t="shared" si="51"/>
        <v>點揀料單</v>
      </c>
      <c r="H1123" s="17">
        <f t="shared" si="52"/>
        <v>0</v>
      </c>
      <c r="I1123" t="str">
        <f t="shared" si="53"/>
        <v/>
      </c>
      <c r="J1123" t="str">
        <f>SUBSTITUTE(IF(COUNTIF(I$2:I1123,I1123)&gt;1,"",1)," ","")</f>
        <v/>
      </c>
    </row>
    <row r="1124" spans="1:10" x14ac:dyDescent="0.2">
      <c r="A1124" s="51" t="str">
        <f>IFERROR(VLOOKUP(B1124,點上線資訊!A:R,18,0),"")</f>
        <v/>
      </c>
      <c r="B1124" s="41">
        <f>'MB51'!A1124</f>
        <v>0</v>
      </c>
      <c r="C1124" s="60" t="str">
        <f>IFERROR(VLOOKUP(B1124,'MB51'!A:I,9,0),"")</f>
        <v/>
      </c>
      <c r="D1124" s="61" t="str">
        <f>IFERROR(VLOOKUP(B1124,'MB51'!A:J,10,0),"")</f>
        <v/>
      </c>
      <c r="E1124" s="62" t="str">
        <f>IFERROR(VLOOKUP(B1124,'MB51'!A:K,11,0),"")</f>
        <v/>
      </c>
      <c r="F1124" s="42" t="str">
        <f>IFERROR(VLOOKUP(B1124,'MB51'!A:F,6,0),"")</f>
        <v/>
      </c>
      <c r="G1124" s="17" t="str">
        <f t="shared" si="51"/>
        <v>點揀料單</v>
      </c>
      <c r="H1124" s="17">
        <f t="shared" si="52"/>
        <v>0</v>
      </c>
      <c r="I1124" t="str">
        <f t="shared" si="53"/>
        <v/>
      </c>
      <c r="J1124" t="str">
        <f>SUBSTITUTE(IF(COUNTIF(I$2:I1124,I1124)&gt;1,"",1)," ","")</f>
        <v/>
      </c>
    </row>
    <row r="1125" spans="1:10" x14ac:dyDescent="0.2">
      <c r="A1125" s="51" t="str">
        <f>IFERROR(VLOOKUP(B1125,點上線資訊!A:R,18,0),"")</f>
        <v/>
      </c>
      <c r="B1125" s="41">
        <f>'MB51'!A1125</f>
        <v>0</v>
      </c>
      <c r="C1125" s="60" t="str">
        <f>IFERROR(VLOOKUP(B1125,'MB51'!A:I,9,0),"")</f>
        <v/>
      </c>
      <c r="D1125" s="61" t="str">
        <f>IFERROR(VLOOKUP(B1125,'MB51'!A:J,10,0),"")</f>
        <v/>
      </c>
      <c r="E1125" s="62" t="str">
        <f>IFERROR(VLOOKUP(B1125,'MB51'!A:K,11,0),"")</f>
        <v/>
      </c>
      <c r="F1125" s="42" t="str">
        <f>IFERROR(VLOOKUP(B1125,'MB51'!A:F,6,0),"")</f>
        <v/>
      </c>
      <c r="G1125" s="17" t="str">
        <f t="shared" si="51"/>
        <v>點揀料單</v>
      </c>
      <c r="H1125" s="17">
        <f t="shared" si="52"/>
        <v>0</v>
      </c>
      <c r="I1125" t="str">
        <f t="shared" si="53"/>
        <v/>
      </c>
      <c r="J1125" t="str">
        <f>SUBSTITUTE(IF(COUNTIF(I$2:I1125,I1125)&gt;1,"",1)," ","")</f>
        <v/>
      </c>
    </row>
    <row r="1126" spans="1:10" x14ac:dyDescent="0.2">
      <c r="A1126" s="51" t="str">
        <f>IFERROR(VLOOKUP(B1126,點上線資訊!A:R,18,0),"")</f>
        <v/>
      </c>
      <c r="B1126" s="41">
        <f>'MB51'!A1126</f>
        <v>0</v>
      </c>
      <c r="C1126" s="60" t="str">
        <f>IFERROR(VLOOKUP(B1126,'MB51'!A:I,9,0),"")</f>
        <v/>
      </c>
      <c r="D1126" s="61" t="str">
        <f>IFERROR(VLOOKUP(B1126,'MB51'!A:J,10,0),"")</f>
        <v/>
      </c>
      <c r="E1126" s="62" t="str">
        <f>IFERROR(VLOOKUP(B1126,'MB51'!A:K,11,0),"")</f>
        <v/>
      </c>
      <c r="F1126" s="42" t="str">
        <f>IFERROR(VLOOKUP(B1126,'MB51'!A:F,6,0),"")</f>
        <v/>
      </c>
      <c r="G1126" s="17" t="str">
        <f t="shared" si="51"/>
        <v>點揀料單</v>
      </c>
      <c r="H1126" s="17">
        <f t="shared" si="52"/>
        <v>0</v>
      </c>
      <c r="I1126" t="str">
        <f t="shared" si="53"/>
        <v/>
      </c>
      <c r="J1126" t="str">
        <f>SUBSTITUTE(IF(COUNTIF(I$2:I1126,I1126)&gt;1,"",1)," ","")</f>
        <v/>
      </c>
    </row>
    <row r="1127" spans="1:10" x14ac:dyDescent="0.2">
      <c r="A1127" s="51" t="str">
        <f>IFERROR(VLOOKUP(B1127,點上線資訊!A:R,18,0),"")</f>
        <v/>
      </c>
      <c r="B1127" s="41">
        <f>'MB51'!A1127</f>
        <v>0</v>
      </c>
      <c r="C1127" s="60" t="str">
        <f>IFERROR(VLOOKUP(B1127,'MB51'!A:I,9,0),"")</f>
        <v/>
      </c>
      <c r="D1127" s="61" t="str">
        <f>IFERROR(VLOOKUP(B1127,'MB51'!A:J,10,0),"")</f>
        <v/>
      </c>
      <c r="E1127" s="62" t="str">
        <f>IFERROR(VLOOKUP(B1127,'MB51'!A:K,11,0),"")</f>
        <v/>
      </c>
      <c r="F1127" s="42" t="str">
        <f>IFERROR(VLOOKUP(B1127,'MB51'!A:F,6,0),"")</f>
        <v/>
      </c>
      <c r="G1127" s="17" t="str">
        <f t="shared" si="51"/>
        <v>點揀料單</v>
      </c>
      <c r="H1127" s="17">
        <f t="shared" si="52"/>
        <v>0</v>
      </c>
      <c r="I1127" t="str">
        <f t="shared" si="53"/>
        <v/>
      </c>
      <c r="J1127" t="str">
        <f>SUBSTITUTE(IF(COUNTIF(I$2:I1127,I1127)&gt;1,"",1)," ","")</f>
        <v/>
      </c>
    </row>
    <row r="1128" spans="1:10" x14ac:dyDescent="0.2">
      <c r="A1128" s="51" t="str">
        <f>IFERROR(VLOOKUP(B1128,點上線資訊!A:R,18,0),"")</f>
        <v/>
      </c>
      <c r="B1128" s="41">
        <f>'MB51'!A1128</f>
        <v>0</v>
      </c>
      <c r="C1128" s="60" t="str">
        <f>IFERROR(VLOOKUP(B1128,'MB51'!A:I,9,0),"")</f>
        <v/>
      </c>
      <c r="D1128" s="61" t="str">
        <f>IFERROR(VLOOKUP(B1128,'MB51'!A:J,10,0),"")</f>
        <v/>
      </c>
      <c r="E1128" s="62" t="str">
        <f>IFERROR(VLOOKUP(B1128,'MB51'!A:K,11,0),"")</f>
        <v/>
      </c>
      <c r="F1128" s="42" t="str">
        <f>IFERROR(VLOOKUP(B1128,'MB51'!A:F,6,0),"")</f>
        <v/>
      </c>
      <c r="G1128" s="17" t="str">
        <f t="shared" si="51"/>
        <v>點揀料單</v>
      </c>
      <c r="H1128" s="17">
        <f t="shared" si="52"/>
        <v>0</v>
      </c>
      <c r="I1128" t="str">
        <f t="shared" si="53"/>
        <v/>
      </c>
      <c r="J1128" t="str">
        <f>SUBSTITUTE(IF(COUNTIF(I$2:I1128,I1128)&gt;1,"",1)," ","")</f>
        <v/>
      </c>
    </row>
    <row r="1129" spans="1:10" x14ac:dyDescent="0.2">
      <c r="A1129" s="51" t="str">
        <f>IFERROR(VLOOKUP(B1129,點上線資訊!A:R,18,0),"")</f>
        <v/>
      </c>
      <c r="B1129" s="41">
        <f>'MB51'!A1129</f>
        <v>0</v>
      </c>
      <c r="C1129" s="60" t="str">
        <f>IFERROR(VLOOKUP(B1129,'MB51'!A:I,9,0),"")</f>
        <v/>
      </c>
      <c r="D1129" s="61" t="str">
        <f>IFERROR(VLOOKUP(B1129,'MB51'!A:J,10,0),"")</f>
        <v/>
      </c>
      <c r="E1129" s="62" t="str">
        <f>IFERROR(VLOOKUP(B1129,'MB51'!A:K,11,0),"")</f>
        <v/>
      </c>
      <c r="F1129" s="42" t="str">
        <f>IFERROR(VLOOKUP(B1129,'MB51'!A:F,6,0),"")</f>
        <v/>
      </c>
      <c r="G1129" s="17" t="str">
        <f t="shared" si="51"/>
        <v>點揀料單</v>
      </c>
      <c r="H1129" s="17">
        <f t="shared" si="52"/>
        <v>0</v>
      </c>
      <c r="I1129" t="str">
        <f t="shared" si="53"/>
        <v/>
      </c>
      <c r="J1129" t="str">
        <f>SUBSTITUTE(IF(COUNTIF(I$2:I1129,I1129)&gt;1,"",1)," ","")</f>
        <v/>
      </c>
    </row>
    <row r="1130" spans="1:10" x14ac:dyDescent="0.2">
      <c r="A1130" s="51" t="str">
        <f>IFERROR(VLOOKUP(B1130,點上線資訊!A:R,18,0),"")</f>
        <v/>
      </c>
      <c r="B1130" s="41">
        <f>'MB51'!A1130</f>
        <v>0</v>
      </c>
      <c r="C1130" s="60" t="str">
        <f>IFERROR(VLOOKUP(B1130,'MB51'!A:I,9,0),"")</f>
        <v/>
      </c>
      <c r="D1130" s="61" t="str">
        <f>IFERROR(VLOOKUP(B1130,'MB51'!A:J,10,0),"")</f>
        <v/>
      </c>
      <c r="E1130" s="62" t="str">
        <f>IFERROR(VLOOKUP(B1130,'MB51'!A:K,11,0),"")</f>
        <v/>
      </c>
      <c r="F1130" s="42" t="str">
        <f>IFERROR(VLOOKUP(B1130,'MB51'!A:F,6,0),"")</f>
        <v/>
      </c>
      <c r="G1130" s="17" t="str">
        <f t="shared" si="51"/>
        <v>點揀料單</v>
      </c>
      <c r="H1130" s="17">
        <f t="shared" si="52"/>
        <v>0</v>
      </c>
      <c r="I1130" t="str">
        <f t="shared" si="53"/>
        <v/>
      </c>
      <c r="J1130" t="str">
        <f>SUBSTITUTE(IF(COUNTIF(I$2:I1130,I1130)&gt;1,"",1)," ","")</f>
        <v/>
      </c>
    </row>
    <row r="1131" spans="1:10" x14ac:dyDescent="0.2">
      <c r="A1131" s="51" t="str">
        <f>IFERROR(VLOOKUP(B1131,點上線資訊!A:R,18,0),"")</f>
        <v/>
      </c>
      <c r="B1131" s="41">
        <f>'MB51'!A1131</f>
        <v>0</v>
      </c>
      <c r="C1131" s="60" t="str">
        <f>IFERROR(VLOOKUP(B1131,'MB51'!A:I,9,0),"")</f>
        <v/>
      </c>
      <c r="D1131" s="61" t="str">
        <f>IFERROR(VLOOKUP(B1131,'MB51'!A:J,10,0),"")</f>
        <v/>
      </c>
      <c r="E1131" s="62" t="str">
        <f>IFERROR(VLOOKUP(B1131,'MB51'!A:K,11,0),"")</f>
        <v/>
      </c>
      <c r="F1131" s="42" t="str">
        <f>IFERROR(VLOOKUP(B1131,'MB51'!A:F,6,0),"")</f>
        <v/>
      </c>
      <c r="G1131" s="17" t="str">
        <f t="shared" si="51"/>
        <v>點揀料單</v>
      </c>
      <c r="H1131" s="17">
        <f t="shared" si="52"/>
        <v>0</v>
      </c>
      <c r="I1131" t="str">
        <f t="shared" si="53"/>
        <v/>
      </c>
      <c r="J1131" t="str">
        <f>SUBSTITUTE(IF(COUNTIF(I$2:I1131,I1131)&gt;1,"",1)," ","")</f>
        <v/>
      </c>
    </row>
    <row r="1132" spans="1:10" x14ac:dyDescent="0.2">
      <c r="A1132" s="51" t="str">
        <f>IFERROR(VLOOKUP(B1132,點上線資訊!A:R,18,0),"")</f>
        <v/>
      </c>
      <c r="B1132" s="41">
        <f>'MB51'!A1132</f>
        <v>0</v>
      </c>
      <c r="C1132" s="60" t="str">
        <f>IFERROR(VLOOKUP(B1132,'MB51'!A:I,9,0),"")</f>
        <v/>
      </c>
      <c r="D1132" s="61" t="str">
        <f>IFERROR(VLOOKUP(B1132,'MB51'!A:J,10,0),"")</f>
        <v/>
      </c>
      <c r="E1132" s="62" t="str">
        <f>IFERROR(VLOOKUP(B1132,'MB51'!A:K,11,0),"")</f>
        <v/>
      </c>
      <c r="F1132" s="42" t="str">
        <f>IFERROR(VLOOKUP(B1132,'MB51'!A:F,6,0),"")</f>
        <v/>
      </c>
      <c r="G1132" s="17" t="str">
        <f t="shared" si="51"/>
        <v>點揀料單</v>
      </c>
      <c r="H1132" s="17">
        <f t="shared" si="52"/>
        <v>0</v>
      </c>
      <c r="I1132" t="str">
        <f t="shared" si="53"/>
        <v/>
      </c>
      <c r="J1132" t="str">
        <f>SUBSTITUTE(IF(COUNTIF(I$2:I1132,I1132)&gt;1,"",1)," ","")</f>
        <v/>
      </c>
    </row>
    <row r="1133" spans="1:10" x14ac:dyDescent="0.2">
      <c r="A1133" s="51" t="str">
        <f>IFERROR(VLOOKUP(B1133,點上線資訊!A:R,18,0),"")</f>
        <v/>
      </c>
      <c r="B1133" s="41">
        <f>'MB51'!A1133</f>
        <v>0</v>
      </c>
      <c r="C1133" s="60" t="str">
        <f>IFERROR(VLOOKUP(B1133,'MB51'!A:I,9,0),"")</f>
        <v/>
      </c>
      <c r="D1133" s="61" t="str">
        <f>IFERROR(VLOOKUP(B1133,'MB51'!A:J,10,0),"")</f>
        <v/>
      </c>
      <c r="E1133" s="62" t="str">
        <f>IFERROR(VLOOKUP(B1133,'MB51'!A:K,11,0),"")</f>
        <v/>
      </c>
      <c r="F1133" s="42" t="str">
        <f>IFERROR(VLOOKUP(B1133,'MB51'!A:F,6,0),"")</f>
        <v/>
      </c>
      <c r="G1133" s="17" t="str">
        <f t="shared" si="51"/>
        <v>點揀料單</v>
      </c>
      <c r="H1133" s="17">
        <f t="shared" si="52"/>
        <v>0</v>
      </c>
      <c r="I1133" t="str">
        <f t="shared" si="53"/>
        <v/>
      </c>
      <c r="J1133" t="str">
        <f>SUBSTITUTE(IF(COUNTIF(I$2:I1133,I1133)&gt;1,"",1)," ","")</f>
        <v/>
      </c>
    </row>
    <row r="1134" spans="1:10" x14ac:dyDescent="0.2">
      <c r="A1134" s="51" t="str">
        <f>IFERROR(VLOOKUP(B1134,點上線資訊!A:R,18,0),"")</f>
        <v/>
      </c>
      <c r="B1134" s="41">
        <f>'MB51'!A1134</f>
        <v>0</v>
      </c>
      <c r="C1134" s="60" t="str">
        <f>IFERROR(VLOOKUP(B1134,'MB51'!A:I,9,0),"")</f>
        <v/>
      </c>
      <c r="D1134" s="61" t="str">
        <f>IFERROR(VLOOKUP(B1134,'MB51'!A:J,10,0),"")</f>
        <v/>
      </c>
      <c r="E1134" s="62" t="str">
        <f>IFERROR(VLOOKUP(B1134,'MB51'!A:K,11,0),"")</f>
        <v/>
      </c>
      <c r="F1134" s="42" t="str">
        <f>IFERROR(VLOOKUP(B1134,'MB51'!A:F,6,0),"")</f>
        <v/>
      </c>
      <c r="G1134" s="17" t="str">
        <f t="shared" si="51"/>
        <v>點揀料單</v>
      </c>
      <c r="H1134" s="17">
        <f t="shared" si="52"/>
        <v>0</v>
      </c>
      <c r="I1134" t="str">
        <f t="shared" si="53"/>
        <v/>
      </c>
      <c r="J1134" t="str">
        <f>SUBSTITUTE(IF(COUNTIF(I$2:I1134,I1134)&gt;1,"",1)," ","")</f>
        <v/>
      </c>
    </row>
    <row r="1135" spans="1:10" x14ac:dyDescent="0.2">
      <c r="A1135" s="51" t="str">
        <f>IFERROR(VLOOKUP(B1135,點上線資訊!A:R,18,0),"")</f>
        <v/>
      </c>
      <c r="B1135" s="41">
        <f>'MB51'!A1135</f>
        <v>0</v>
      </c>
      <c r="C1135" s="60" t="str">
        <f>IFERROR(VLOOKUP(B1135,'MB51'!A:I,9,0),"")</f>
        <v/>
      </c>
      <c r="D1135" s="61" t="str">
        <f>IFERROR(VLOOKUP(B1135,'MB51'!A:J,10,0),"")</f>
        <v/>
      </c>
      <c r="E1135" s="62" t="str">
        <f>IFERROR(VLOOKUP(B1135,'MB51'!A:K,11,0),"")</f>
        <v/>
      </c>
      <c r="F1135" s="42" t="str">
        <f>IFERROR(VLOOKUP(B1135,'MB51'!A:F,6,0),"")</f>
        <v/>
      </c>
      <c r="G1135" s="17" t="str">
        <f t="shared" si="51"/>
        <v>點揀料單</v>
      </c>
      <c r="H1135" s="17">
        <f t="shared" si="52"/>
        <v>0</v>
      </c>
      <c r="I1135" t="str">
        <f t="shared" si="53"/>
        <v/>
      </c>
      <c r="J1135" t="str">
        <f>SUBSTITUTE(IF(COUNTIF(I$2:I1135,I1135)&gt;1,"",1)," ","")</f>
        <v/>
      </c>
    </row>
    <row r="1136" spans="1:10" x14ac:dyDescent="0.2">
      <c r="A1136" s="51" t="str">
        <f>IFERROR(VLOOKUP(B1136,點上線資訊!A:R,18,0),"")</f>
        <v/>
      </c>
      <c r="B1136" s="41">
        <f>'MB51'!A1136</f>
        <v>0</v>
      </c>
      <c r="C1136" s="60" t="str">
        <f>IFERROR(VLOOKUP(B1136,'MB51'!A:I,9,0),"")</f>
        <v/>
      </c>
      <c r="D1136" s="61" t="str">
        <f>IFERROR(VLOOKUP(B1136,'MB51'!A:J,10,0),"")</f>
        <v/>
      </c>
      <c r="E1136" s="62" t="str">
        <f>IFERROR(VLOOKUP(B1136,'MB51'!A:K,11,0),"")</f>
        <v/>
      </c>
      <c r="F1136" s="42" t="str">
        <f>IFERROR(VLOOKUP(B1136,'MB51'!A:F,6,0),"")</f>
        <v/>
      </c>
      <c r="G1136" s="17" t="str">
        <f t="shared" si="51"/>
        <v>點揀料單</v>
      </c>
      <c r="H1136" s="17">
        <f t="shared" si="52"/>
        <v>0</v>
      </c>
      <c r="I1136" t="str">
        <f t="shared" si="53"/>
        <v/>
      </c>
      <c r="J1136" t="str">
        <f>SUBSTITUTE(IF(COUNTIF(I$2:I1136,I1136)&gt;1,"",1)," ","")</f>
        <v/>
      </c>
    </row>
    <row r="1137" spans="1:10" x14ac:dyDescent="0.2">
      <c r="A1137" s="51" t="str">
        <f>IFERROR(VLOOKUP(B1137,點上線資訊!A:R,18,0),"")</f>
        <v/>
      </c>
      <c r="B1137" s="41">
        <f>'MB51'!A1137</f>
        <v>0</v>
      </c>
      <c r="C1137" s="60" t="str">
        <f>IFERROR(VLOOKUP(B1137,'MB51'!A:I,9,0),"")</f>
        <v/>
      </c>
      <c r="D1137" s="61" t="str">
        <f>IFERROR(VLOOKUP(B1137,'MB51'!A:J,10,0),"")</f>
        <v/>
      </c>
      <c r="E1137" s="62" t="str">
        <f>IFERROR(VLOOKUP(B1137,'MB51'!A:K,11,0),"")</f>
        <v/>
      </c>
      <c r="F1137" s="42" t="str">
        <f>IFERROR(VLOOKUP(B1137,'MB51'!A:F,6,0),"")</f>
        <v/>
      </c>
      <c r="G1137" s="17" t="str">
        <f t="shared" si="51"/>
        <v>點揀料單</v>
      </c>
      <c r="H1137" s="17">
        <f t="shared" si="52"/>
        <v>0</v>
      </c>
      <c r="I1137" t="str">
        <f t="shared" si="53"/>
        <v/>
      </c>
      <c r="J1137" t="str">
        <f>SUBSTITUTE(IF(COUNTIF(I$2:I1137,I1137)&gt;1,"",1)," ","")</f>
        <v/>
      </c>
    </row>
    <row r="1138" spans="1:10" x14ac:dyDescent="0.2">
      <c r="A1138" s="51" t="str">
        <f>IFERROR(VLOOKUP(B1138,點上線資訊!A:R,18,0),"")</f>
        <v/>
      </c>
      <c r="B1138" s="41">
        <f>'MB51'!A1138</f>
        <v>0</v>
      </c>
      <c r="C1138" s="60" t="str">
        <f>IFERROR(VLOOKUP(B1138,'MB51'!A:I,9,0),"")</f>
        <v/>
      </c>
      <c r="D1138" s="61" t="str">
        <f>IFERROR(VLOOKUP(B1138,'MB51'!A:J,10,0),"")</f>
        <v/>
      </c>
      <c r="E1138" s="62" t="str">
        <f>IFERROR(VLOOKUP(B1138,'MB51'!A:K,11,0),"")</f>
        <v/>
      </c>
      <c r="F1138" s="42" t="str">
        <f>IFERROR(VLOOKUP(B1138,'MB51'!A:F,6,0),"")</f>
        <v/>
      </c>
      <c r="G1138" s="17" t="str">
        <f t="shared" si="51"/>
        <v>點揀料單</v>
      </c>
      <c r="H1138" s="17">
        <f t="shared" si="52"/>
        <v>0</v>
      </c>
      <c r="I1138" t="str">
        <f t="shared" si="53"/>
        <v/>
      </c>
      <c r="J1138" t="str">
        <f>SUBSTITUTE(IF(COUNTIF(I$2:I1138,I1138)&gt;1,"",1)," ","")</f>
        <v/>
      </c>
    </row>
    <row r="1139" spans="1:10" x14ac:dyDescent="0.2">
      <c r="A1139" s="51" t="str">
        <f>IFERROR(VLOOKUP(B1139,點上線資訊!A:R,18,0),"")</f>
        <v/>
      </c>
      <c r="B1139" s="41">
        <f>'MB51'!A1139</f>
        <v>0</v>
      </c>
      <c r="C1139" s="60" t="str">
        <f>IFERROR(VLOOKUP(B1139,'MB51'!A:I,9,0),"")</f>
        <v/>
      </c>
      <c r="D1139" s="61" t="str">
        <f>IFERROR(VLOOKUP(B1139,'MB51'!A:J,10,0),"")</f>
        <v/>
      </c>
      <c r="E1139" s="62" t="str">
        <f>IFERROR(VLOOKUP(B1139,'MB51'!A:K,11,0),"")</f>
        <v/>
      </c>
      <c r="F1139" s="42" t="str">
        <f>IFERROR(VLOOKUP(B1139,'MB51'!A:F,6,0),"")</f>
        <v/>
      </c>
      <c r="G1139" s="17" t="str">
        <f t="shared" si="51"/>
        <v>點揀料單</v>
      </c>
      <c r="H1139" s="17">
        <f t="shared" si="52"/>
        <v>0</v>
      </c>
      <c r="I1139" t="str">
        <f t="shared" si="53"/>
        <v/>
      </c>
      <c r="J1139" t="str">
        <f>SUBSTITUTE(IF(COUNTIF(I$2:I1139,I1139)&gt;1,"",1)," ","")</f>
        <v/>
      </c>
    </row>
    <row r="1140" spans="1:10" x14ac:dyDescent="0.2">
      <c r="A1140" s="51" t="str">
        <f>IFERROR(VLOOKUP(B1140,點上線資訊!A:R,18,0),"")</f>
        <v/>
      </c>
      <c r="B1140" s="41">
        <f>'MB51'!A1140</f>
        <v>0</v>
      </c>
      <c r="C1140" s="60" t="str">
        <f>IFERROR(VLOOKUP(B1140,'MB51'!A:I,9,0),"")</f>
        <v/>
      </c>
      <c r="D1140" s="61" t="str">
        <f>IFERROR(VLOOKUP(B1140,'MB51'!A:J,10,0),"")</f>
        <v/>
      </c>
      <c r="E1140" s="62" t="str">
        <f>IFERROR(VLOOKUP(B1140,'MB51'!A:K,11,0),"")</f>
        <v/>
      </c>
      <c r="F1140" s="42" t="str">
        <f>IFERROR(VLOOKUP(B1140,'MB51'!A:F,6,0),"")</f>
        <v/>
      </c>
      <c r="G1140" s="17" t="str">
        <f t="shared" si="51"/>
        <v>點揀料單</v>
      </c>
      <c r="H1140" s="17">
        <f t="shared" si="52"/>
        <v>0</v>
      </c>
      <c r="I1140" t="str">
        <f t="shared" si="53"/>
        <v/>
      </c>
      <c r="J1140" t="str">
        <f>SUBSTITUTE(IF(COUNTIF(I$2:I1140,I1140)&gt;1,"",1)," ","")</f>
        <v/>
      </c>
    </row>
    <row r="1141" spans="1:10" x14ac:dyDescent="0.2">
      <c r="A1141" s="51" t="str">
        <f>IFERROR(VLOOKUP(B1141,點上線資訊!A:R,18,0),"")</f>
        <v/>
      </c>
      <c r="B1141" s="41">
        <f>'MB51'!A1141</f>
        <v>0</v>
      </c>
      <c r="C1141" s="60" t="str">
        <f>IFERROR(VLOOKUP(B1141,'MB51'!A:I,9,0),"")</f>
        <v/>
      </c>
      <c r="D1141" s="61" t="str">
        <f>IFERROR(VLOOKUP(B1141,'MB51'!A:J,10,0),"")</f>
        <v/>
      </c>
      <c r="E1141" s="62" t="str">
        <f>IFERROR(VLOOKUP(B1141,'MB51'!A:K,11,0),"")</f>
        <v/>
      </c>
      <c r="F1141" s="42" t="str">
        <f>IFERROR(VLOOKUP(B1141,'MB51'!A:F,6,0),"")</f>
        <v/>
      </c>
      <c r="G1141" s="17" t="str">
        <f t="shared" si="51"/>
        <v>點揀料單</v>
      </c>
      <c r="H1141" s="17">
        <f t="shared" si="52"/>
        <v>0</v>
      </c>
      <c r="I1141" t="str">
        <f t="shared" si="53"/>
        <v/>
      </c>
      <c r="J1141" t="str">
        <f>SUBSTITUTE(IF(COUNTIF(I$2:I1141,I1141)&gt;1,"",1)," ","")</f>
        <v/>
      </c>
    </row>
    <row r="1142" spans="1:10" x14ac:dyDescent="0.2">
      <c r="A1142" s="51" t="str">
        <f>IFERROR(VLOOKUP(B1142,點上線資訊!A:R,18,0),"")</f>
        <v/>
      </c>
      <c r="B1142" s="41">
        <f>'MB51'!A1142</f>
        <v>0</v>
      </c>
      <c r="C1142" s="60" t="str">
        <f>IFERROR(VLOOKUP(B1142,'MB51'!A:I,9,0),"")</f>
        <v/>
      </c>
      <c r="D1142" s="61" t="str">
        <f>IFERROR(VLOOKUP(B1142,'MB51'!A:J,10,0),"")</f>
        <v/>
      </c>
      <c r="E1142" s="62" t="str">
        <f>IFERROR(VLOOKUP(B1142,'MB51'!A:K,11,0),"")</f>
        <v/>
      </c>
      <c r="F1142" s="42" t="str">
        <f>IFERROR(VLOOKUP(B1142,'MB51'!A:F,6,0),"")</f>
        <v/>
      </c>
      <c r="G1142" s="17" t="str">
        <f t="shared" si="51"/>
        <v>點揀料單</v>
      </c>
      <c r="H1142" s="17">
        <f t="shared" si="52"/>
        <v>0</v>
      </c>
      <c r="I1142" t="str">
        <f t="shared" si="53"/>
        <v/>
      </c>
      <c r="J1142" t="str">
        <f>SUBSTITUTE(IF(COUNTIF(I$2:I1142,I1142)&gt;1,"",1)," ","")</f>
        <v/>
      </c>
    </row>
    <row r="1143" spans="1:10" x14ac:dyDescent="0.2">
      <c r="A1143" s="51" t="str">
        <f>IFERROR(VLOOKUP(B1143,點上線資訊!A:R,18,0),"")</f>
        <v/>
      </c>
      <c r="B1143" s="41">
        <f>'MB51'!A1143</f>
        <v>0</v>
      </c>
      <c r="C1143" s="60" t="str">
        <f>IFERROR(VLOOKUP(B1143,'MB51'!A:I,9,0),"")</f>
        <v/>
      </c>
      <c r="D1143" s="61" t="str">
        <f>IFERROR(VLOOKUP(B1143,'MB51'!A:J,10,0),"")</f>
        <v/>
      </c>
      <c r="E1143" s="62" t="str">
        <f>IFERROR(VLOOKUP(B1143,'MB51'!A:K,11,0),"")</f>
        <v/>
      </c>
      <c r="F1143" s="42" t="str">
        <f>IFERROR(VLOOKUP(B1143,'MB51'!A:F,6,0),"")</f>
        <v/>
      </c>
      <c r="G1143" s="17" t="str">
        <f t="shared" si="51"/>
        <v>點揀料單</v>
      </c>
      <c r="H1143" s="17">
        <f t="shared" si="52"/>
        <v>0</v>
      </c>
      <c r="I1143" t="str">
        <f t="shared" si="53"/>
        <v/>
      </c>
      <c r="J1143" t="str">
        <f>SUBSTITUTE(IF(COUNTIF(I$2:I1143,I1143)&gt;1,"",1)," ","")</f>
        <v/>
      </c>
    </row>
    <row r="1144" spans="1:10" x14ac:dyDescent="0.2">
      <c r="A1144" s="51" t="str">
        <f>IFERROR(VLOOKUP(B1144,點上線資訊!A:R,18,0),"")</f>
        <v/>
      </c>
      <c r="B1144" s="41">
        <f>'MB51'!A1144</f>
        <v>0</v>
      </c>
      <c r="C1144" s="60" t="str">
        <f>IFERROR(VLOOKUP(B1144,'MB51'!A:I,9,0),"")</f>
        <v/>
      </c>
      <c r="D1144" s="61" t="str">
        <f>IFERROR(VLOOKUP(B1144,'MB51'!A:J,10,0),"")</f>
        <v/>
      </c>
      <c r="E1144" s="62" t="str">
        <f>IFERROR(VLOOKUP(B1144,'MB51'!A:K,11,0),"")</f>
        <v/>
      </c>
      <c r="F1144" s="42" t="str">
        <f>IFERROR(VLOOKUP(B1144,'MB51'!A:F,6,0),"")</f>
        <v/>
      </c>
      <c r="G1144" s="17" t="str">
        <f t="shared" si="51"/>
        <v>點揀料單</v>
      </c>
      <c r="H1144" s="17">
        <f t="shared" si="52"/>
        <v>0</v>
      </c>
      <c r="I1144" t="str">
        <f t="shared" si="53"/>
        <v/>
      </c>
      <c r="J1144" t="str">
        <f>SUBSTITUTE(IF(COUNTIF(I$2:I1144,I1144)&gt;1,"",1)," ","")</f>
        <v/>
      </c>
    </row>
    <row r="1145" spans="1:10" x14ac:dyDescent="0.2">
      <c r="A1145" s="51" t="str">
        <f>IFERROR(VLOOKUP(B1145,點上線資訊!A:R,18,0),"")</f>
        <v/>
      </c>
      <c r="B1145" s="41">
        <f>'MB51'!A1145</f>
        <v>0</v>
      </c>
      <c r="C1145" s="60" t="str">
        <f>IFERROR(VLOOKUP(B1145,'MB51'!A:I,9,0),"")</f>
        <v/>
      </c>
      <c r="D1145" s="61" t="str">
        <f>IFERROR(VLOOKUP(B1145,'MB51'!A:J,10,0),"")</f>
        <v/>
      </c>
      <c r="E1145" s="62" t="str">
        <f>IFERROR(VLOOKUP(B1145,'MB51'!A:K,11,0),"")</f>
        <v/>
      </c>
      <c r="F1145" s="42" t="str">
        <f>IFERROR(VLOOKUP(B1145,'MB51'!A:F,6,0),"")</f>
        <v/>
      </c>
      <c r="G1145" s="17" t="str">
        <f t="shared" si="51"/>
        <v>點揀料單</v>
      </c>
      <c r="H1145" s="17">
        <f t="shared" si="52"/>
        <v>0</v>
      </c>
      <c r="I1145" t="str">
        <f t="shared" si="53"/>
        <v/>
      </c>
      <c r="J1145" t="str">
        <f>SUBSTITUTE(IF(COUNTIF(I$2:I1145,I1145)&gt;1,"",1)," ","")</f>
        <v/>
      </c>
    </row>
    <row r="1146" spans="1:10" x14ac:dyDescent="0.2">
      <c r="A1146" s="51" t="str">
        <f>IFERROR(VLOOKUP(B1146,點上線資訊!A:R,18,0),"")</f>
        <v/>
      </c>
      <c r="B1146" s="41">
        <f>'MB51'!A1146</f>
        <v>0</v>
      </c>
      <c r="C1146" s="60" t="str">
        <f>IFERROR(VLOOKUP(B1146,'MB51'!A:I,9,0),"")</f>
        <v/>
      </c>
      <c r="D1146" s="61" t="str">
        <f>IFERROR(VLOOKUP(B1146,'MB51'!A:J,10,0),"")</f>
        <v/>
      </c>
      <c r="E1146" s="62" t="str">
        <f>IFERROR(VLOOKUP(B1146,'MB51'!A:K,11,0),"")</f>
        <v/>
      </c>
      <c r="F1146" s="42" t="str">
        <f>IFERROR(VLOOKUP(B1146,'MB51'!A:F,6,0),"")</f>
        <v/>
      </c>
      <c r="G1146" s="17" t="str">
        <f t="shared" si="51"/>
        <v>點揀料單</v>
      </c>
      <c r="H1146" s="17">
        <f t="shared" si="52"/>
        <v>0</v>
      </c>
      <c r="I1146" t="str">
        <f t="shared" si="53"/>
        <v/>
      </c>
      <c r="J1146" t="str">
        <f>SUBSTITUTE(IF(COUNTIF(I$2:I1146,I1146)&gt;1,"",1)," ","")</f>
        <v/>
      </c>
    </row>
    <row r="1147" spans="1:10" x14ac:dyDescent="0.2">
      <c r="A1147" s="51" t="str">
        <f>IFERROR(VLOOKUP(B1147,點上線資訊!A:R,18,0),"")</f>
        <v/>
      </c>
      <c r="B1147" s="41">
        <f>'MB51'!A1147</f>
        <v>0</v>
      </c>
      <c r="C1147" s="60" t="str">
        <f>IFERROR(VLOOKUP(B1147,'MB51'!A:I,9,0),"")</f>
        <v/>
      </c>
      <c r="D1147" s="61" t="str">
        <f>IFERROR(VLOOKUP(B1147,'MB51'!A:J,10,0),"")</f>
        <v/>
      </c>
      <c r="E1147" s="62" t="str">
        <f>IFERROR(VLOOKUP(B1147,'MB51'!A:K,11,0),"")</f>
        <v/>
      </c>
      <c r="F1147" s="42" t="str">
        <f>IFERROR(VLOOKUP(B1147,'MB51'!A:F,6,0),"")</f>
        <v/>
      </c>
      <c r="G1147" s="17" t="str">
        <f t="shared" si="51"/>
        <v>點揀料單</v>
      </c>
      <c r="H1147" s="17">
        <f t="shared" si="52"/>
        <v>0</v>
      </c>
      <c r="I1147" t="str">
        <f t="shared" si="53"/>
        <v/>
      </c>
      <c r="J1147" t="str">
        <f>SUBSTITUTE(IF(COUNTIF(I$2:I1147,I1147)&gt;1,"",1)," ","")</f>
        <v/>
      </c>
    </row>
    <row r="1148" spans="1:10" x14ac:dyDescent="0.2">
      <c r="A1148" s="51" t="str">
        <f>IFERROR(VLOOKUP(B1148,點上線資訊!A:R,18,0),"")</f>
        <v/>
      </c>
      <c r="B1148" s="41">
        <f>'MB51'!A1148</f>
        <v>0</v>
      </c>
      <c r="C1148" s="60" t="str">
        <f>IFERROR(VLOOKUP(B1148,'MB51'!A:I,9,0),"")</f>
        <v/>
      </c>
      <c r="D1148" s="61" t="str">
        <f>IFERROR(VLOOKUP(B1148,'MB51'!A:J,10,0),"")</f>
        <v/>
      </c>
      <c r="E1148" s="62" t="str">
        <f>IFERROR(VLOOKUP(B1148,'MB51'!A:K,11,0),"")</f>
        <v/>
      </c>
      <c r="F1148" s="42" t="str">
        <f>IFERROR(VLOOKUP(B1148,'MB51'!A:F,6,0),"")</f>
        <v/>
      </c>
      <c r="G1148" s="17" t="str">
        <f t="shared" si="51"/>
        <v>點揀料單</v>
      </c>
      <c r="H1148" s="17">
        <f t="shared" si="52"/>
        <v>0</v>
      </c>
      <c r="I1148" t="str">
        <f t="shared" si="53"/>
        <v/>
      </c>
      <c r="J1148" t="str">
        <f>SUBSTITUTE(IF(COUNTIF(I$2:I1148,I1148)&gt;1,"",1)," ","")</f>
        <v/>
      </c>
    </row>
    <row r="1149" spans="1:10" x14ac:dyDescent="0.2">
      <c r="A1149" s="51" t="str">
        <f>IFERROR(VLOOKUP(B1149,點上線資訊!A:R,18,0),"")</f>
        <v/>
      </c>
      <c r="B1149" s="41">
        <f>'MB51'!A1149</f>
        <v>0</v>
      </c>
      <c r="C1149" s="60" t="str">
        <f>IFERROR(VLOOKUP(B1149,'MB51'!A:I,9,0),"")</f>
        <v/>
      </c>
      <c r="D1149" s="61" t="str">
        <f>IFERROR(VLOOKUP(B1149,'MB51'!A:J,10,0),"")</f>
        <v/>
      </c>
      <c r="E1149" s="62" t="str">
        <f>IFERROR(VLOOKUP(B1149,'MB51'!A:K,11,0),"")</f>
        <v/>
      </c>
      <c r="F1149" s="42" t="str">
        <f>IFERROR(VLOOKUP(B1149,'MB51'!A:F,6,0),"")</f>
        <v/>
      </c>
      <c r="G1149" s="17" t="str">
        <f t="shared" si="51"/>
        <v>點揀料單</v>
      </c>
      <c r="H1149" s="17">
        <f t="shared" si="52"/>
        <v>0</v>
      </c>
      <c r="I1149" t="str">
        <f t="shared" si="53"/>
        <v/>
      </c>
      <c r="J1149" t="str">
        <f>SUBSTITUTE(IF(COUNTIF(I$2:I1149,I1149)&gt;1,"",1)," ","")</f>
        <v/>
      </c>
    </row>
    <row r="1150" spans="1:10" x14ac:dyDescent="0.2">
      <c r="A1150" s="51" t="str">
        <f>IFERROR(VLOOKUP(B1150,點上線資訊!A:R,18,0),"")</f>
        <v/>
      </c>
      <c r="B1150" s="41">
        <f>'MB51'!A1150</f>
        <v>0</v>
      </c>
      <c r="C1150" s="60" t="str">
        <f>IFERROR(VLOOKUP(B1150,'MB51'!A:I,9,0),"")</f>
        <v/>
      </c>
      <c r="D1150" s="61" t="str">
        <f>IFERROR(VLOOKUP(B1150,'MB51'!A:J,10,0),"")</f>
        <v/>
      </c>
      <c r="E1150" s="62" t="str">
        <f>IFERROR(VLOOKUP(B1150,'MB51'!A:K,11,0),"")</f>
        <v/>
      </c>
      <c r="F1150" s="42" t="str">
        <f>IFERROR(VLOOKUP(B1150,'MB51'!A:F,6,0),"")</f>
        <v/>
      </c>
      <c r="G1150" s="17" t="str">
        <f t="shared" si="51"/>
        <v>點揀料單</v>
      </c>
      <c r="H1150" s="17">
        <f t="shared" si="52"/>
        <v>0</v>
      </c>
      <c r="I1150" t="str">
        <f t="shared" si="53"/>
        <v/>
      </c>
      <c r="J1150" t="str">
        <f>SUBSTITUTE(IF(COUNTIF(I$2:I1150,I1150)&gt;1,"",1)," ","")</f>
        <v/>
      </c>
    </row>
    <row r="1151" spans="1:10" x14ac:dyDescent="0.2">
      <c r="A1151" s="51" t="str">
        <f>IFERROR(VLOOKUP(B1151,點上線資訊!A:R,18,0),"")</f>
        <v/>
      </c>
      <c r="B1151" s="41">
        <f>'MB51'!A1151</f>
        <v>0</v>
      </c>
      <c r="C1151" s="60" t="str">
        <f>IFERROR(VLOOKUP(B1151,'MB51'!A:I,9,0),"")</f>
        <v/>
      </c>
      <c r="D1151" s="61" t="str">
        <f>IFERROR(VLOOKUP(B1151,'MB51'!A:J,10,0),"")</f>
        <v/>
      </c>
      <c r="E1151" s="62" t="str">
        <f>IFERROR(VLOOKUP(B1151,'MB51'!A:K,11,0),"")</f>
        <v/>
      </c>
      <c r="F1151" s="42" t="str">
        <f>IFERROR(VLOOKUP(B1151,'MB51'!A:F,6,0),"")</f>
        <v/>
      </c>
      <c r="G1151" s="17" t="str">
        <f t="shared" si="51"/>
        <v>點揀料單</v>
      </c>
      <c r="H1151" s="17">
        <f t="shared" si="52"/>
        <v>0</v>
      </c>
      <c r="I1151" t="str">
        <f t="shared" si="53"/>
        <v/>
      </c>
      <c r="J1151" t="str">
        <f>SUBSTITUTE(IF(COUNTIF(I$2:I1151,I1151)&gt;1,"",1)," ","")</f>
        <v/>
      </c>
    </row>
    <row r="1152" spans="1:10" x14ac:dyDescent="0.2">
      <c r="A1152" s="51" t="str">
        <f>IFERROR(VLOOKUP(B1152,點上線資訊!A:R,18,0),"")</f>
        <v/>
      </c>
      <c r="B1152" s="41">
        <f>'MB51'!A1152</f>
        <v>0</v>
      </c>
      <c r="C1152" s="60" t="str">
        <f>IFERROR(VLOOKUP(B1152,'MB51'!A:I,9,0),"")</f>
        <v/>
      </c>
      <c r="D1152" s="61" t="str">
        <f>IFERROR(VLOOKUP(B1152,'MB51'!A:J,10,0),"")</f>
        <v/>
      </c>
      <c r="E1152" s="62" t="str">
        <f>IFERROR(VLOOKUP(B1152,'MB51'!A:K,11,0),"")</f>
        <v/>
      </c>
      <c r="F1152" s="42" t="str">
        <f>IFERROR(VLOOKUP(B1152,'MB51'!A:F,6,0),"")</f>
        <v/>
      </c>
      <c r="G1152" s="17" t="str">
        <f t="shared" si="51"/>
        <v>點揀料單</v>
      </c>
      <c r="H1152" s="17">
        <f t="shared" si="52"/>
        <v>0</v>
      </c>
      <c r="I1152" t="str">
        <f t="shared" si="53"/>
        <v/>
      </c>
      <c r="J1152" t="str">
        <f>SUBSTITUTE(IF(COUNTIF(I$2:I1152,I1152)&gt;1,"",1)," ","")</f>
        <v/>
      </c>
    </row>
    <row r="1153" spans="1:10" x14ac:dyDescent="0.2">
      <c r="A1153" s="51" t="str">
        <f>IFERROR(VLOOKUP(B1153,點上線資訊!A:R,18,0),"")</f>
        <v/>
      </c>
      <c r="B1153" s="41">
        <f>'MB51'!A1153</f>
        <v>0</v>
      </c>
      <c r="C1153" s="60" t="str">
        <f>IFERROR(VLOOKUP(B1153,'MB51'!A:I,9,0),"")</f>
        <v/>
      </c>
      <c r="D1153" s="61" t="str">
        <f>IFERROR(VLOOKUP(B1153,'MB51'!A:J,10,0),"")</f>
        <v/>
      </c>
      <c r="E1153" s="62" t="str">
        <f>IFERROR(VLOOKUP(B1153,'MB51'!A:K,11,0),"")</f>
        <v/>
      </c>
      <c r="F1153" s="42" t="str">
        <f>IFERROR(VLOOKUP(B1153,'MB51'!A:F,6,0),"")</f>
        <v/>
      </c>
      <c r="G1153" s="17" t="str">
        <f t="shared" si="51"/>
        <v>點揀料單</v>
      </c>
      <c r="H1153" s="17">
        <f t="shared" si="52"/>
        <v>0</v>
      </c>
      <c r="I1153" t="str">
        <f t="shared" si="53"/>
        <v/>
      </c>
      <c r="J1153" t="str">
        <f>SUBSTITUTE(IF(COUNTIF(I$2:I1153,I1153)&gt;1,"",1)," ","")</f>
        <v/>
      </c>
    </row>
    <row r="1154" spans="1:10" x14ac:dyDescent="0.2">
      <c r="A1154" s="51" t="str">
        <f>IFERROR(VLOOKUP(B1154,點上線資訊!A:R,18,0),"")</f>
        <v/>
      </c>
      <c r="B1154" s="41">
        <f>'MB51'!A1154</f>
        <v>0</v>
      </c>
      <c r="C1154" s="60" t="str">
        <f>IFERROR(VLOOKUP(B1154,'MB51'!A:I,9,0),"")</f>
        <v/>
      </c>
      <c r="D1154" s="61" t="str">
        <f>IFERROR(VLOOKUP(B1154,'MB51'!A:J,10,0),"")</f>
        <v/>
      </c>
      <c r="E1154" s="62" t="str">
        <f>IFERROR(VLOOKUP(B1154,'MB51'!A:K,11,0),"")</f>
        <v/>
      </c>
      <c r="F1154" s="42" t="str">
        <f>IFERROR(VLOOKUP(B1154,'MB51'!A:F,6,0),"")</f>
        <v/>
      </c>
      <c r="G1154" s="17" t="str">
        <f t="shared" si="51"/>
        <v>點揀料單</v>
      </c>
      <c r="H1154" s="17">
        <f t="shared" si="52"/>
        <v>0</v>
      </c>
      <c r="I1154" t="str">
        <f t="shared" si="53"/>
        <v/>
      </c>
      <c r="J1154" t="str">
        <f>SUBSTITUTE(IF(COUNTIF(I$2:I1154,I1154)&gt;1,"",1)," ","")</f>
        <v/>
      </c>
    </row>
    <row r="1155" spans="1:10" x14ac:dyDescent="0.2">
      <c r="A1155" s="51" t="str">
        <f>IFERROR(VLOOKUP(B1155,點上線資訊!A:R,18,0),"")</f>
        <v/>
      </c>
      <c r="B1155" s="41">
        <f>'MB51'!A1155</f>
        <v>0</v>
      </c>
      <c r="C1155" s="60" t="str">
        <f>IFERROR(VLOOKUP(B1155,'MB51'!A:I,9,0),"")</f>
        <v/>
      </c>
      <c r="D1155" s="61" t="str">
        <f>IFERROR(VLOOKUP(B1155,'MB51'!A:J,10,0),"")</f>
        <v/>
      </c>
      <c r="E1155" s="62" t="str">
        <f>IFERROR(VLOOKUP(B1155,'MB51'!A:K,11,0),"")</f>
        <v/>
      </c>
      <c r="F1155" s="42" t="str">
        <f>IFERROR(VLOOKUP(B1155,'MB51'!A:F,6,0),"")</f>
        <v/>
      </c>
      <c r="G1155" s="17" t="str">
        <f t="shared" ref="G1155:G1218" si="54">TEXT(D1155,"MM/DD")&amp;TEXT(E1155,"  HH")&amp;"點揀料單"</f>
        <v>點揀料單</v>
      </c>
      <c r="H1155" s="17">
        <f t="shared" ref="H1155:H1218" si="55">ABS(SUMIF(C:C,C1155,F:F))</f>
        <v>0</v>
      </c>
      <c r="I1155" t="str">
        <f t="shared" ref="I1155:I1218" si="56">RIGHTB(C1155,10)</f>
        <v/>
      </c>
      <c r="J1155" t="str">
        <f>SUBSTITUTE(IF(COUNTIF(I$2:I1155,I1155)&gt;1,"",1)," ","")</f>
        <v/>
      </c>
    </row>
    <row r="1156" spans="1:10" x14ac:dyDescent="0.2">
      <c r="A1156" s="51" t="str">
        <f>IFERROR(VLOOKUP(B1156,點上線資訊!A:R,18,0),"")</f>
        <v/>
      </c>
      <c r="B1156" s="41">
        <f>'MB51'!A1156</f>
        <v>0</v>
      </c>
      <c r="C1156" s="60" t="str">
        <f>IFERROR(VLOOKUP(B1156,'MB51'!A:I,9,0),"")</f>
        <v/>
      </c>
      <c r="D1156" s="61" t="str">
        <f>IFERROR(VLOOKUP(B1156,'MB51'!A:J,10,0),"")</f>
        <v/>
      </c>
      <c r="E1156" s="62" t="str">
        <f>IFERROR(VLOOKUP(B1156,'MB51'!A:K,11,0),"")</f>
        <v/>
      </c>
      <c r="F1156" s="42" t="str">
        <f>IFERROR(VLOOKUP(B1156,'MB51'!A:F,6,0),"")</f>
        <v/>
      </c>
      <c r="G1156" s="17" t="str">
        <f t="shared" si="54"/>
        <v>點揀料單</v>
      </c>
      <c r="H1156" s="17">
        <f t="shared" si="55"/>
        <v>0</v>
      </c>
      <c r="I1156" t="str">
        <f t="shared" si="56"/>
        <v/>
      </c>
      <c r="J1156" t="str">
        <f>SUBSTITUTE(IF(COUNTIF(I$2:I1156,I1156)&gt;1,"",1)," ","")</f>
        <v/>
      </c>
    </row>
    <row r="1157" spans="1:10" x14ac:dyDescent="0.2">
      <c r="A1157" s="51" t="str">
        <f>IFERROR(VLOOKUP(B1157,點上線資訊!A:R,18,0),"")</f>
        <v/>
      </c>
      <c r="B1157" s="41">
        <f>'MB51'!A1157</f>
        <v>0</v>
      </c>
      <c r="C1157" s="60" t="str">
        <f>IFERROR(VLOOKUP(B1157,'MB51'!A:I,9,0),"")</f>
        <v/>
      </c>
      <c r="D1157" s="61" t="str">
        <f>IFERROR(VLOOKUP(B1157,'MB51'!A:J,10,0),"")</f>
        <v/>
      </c>
      <c r="E1157" s="62" t="str">
        <f>IFERROR(VLOOKUP(B1157,'MB51'!A:K,11,0),"")</f>
        <v/>
      </c>
      <c r="F1157" s="42" t="str">
        <f>IFERROR(VLOOKUP(B1157,'MB51'!A:F,6,0),"")</f>
        <v/>
      </c>
      <c r="G1157" s="17" t="str">
        <f t="shared" si="54"/>
        <v>點揀料單</v>
      </c>
      <c r="H1157" s="17">
        <f t="shared" si="55"/>
        <v>0</v>
      </c>
      <c r="I1157" t="str">
        <f t="shared" si="56"/>
        <v/>
      </c>
      <c r="J1157" t="str">
        <f>SUBSTITUTE(IF(COUNTIF(I$2:I1157,I1157)&gt;1,"",1)," ","")</f>
        <v/>
      </c>
    </row>
    <row r="1158" spans="1:10" x14ac:dyDescent="0.2">
      <c r="A1158" s="51" t="str">
        <f>IFERROR(VLOOKUP(B1158,點上線資訊!A:R,18,0),"")</f>
        <v/>
      </c>
      <c r="B1158" s="41">
        <f>'MB51'!A1158</f>
        <v>0</v>
      </c>
      <c r="C1158" s="60" t="str">
        <f>IFERROR(VLOOKUP(B1158,'MB51'!A:I,9,0),"")</f>
        <v/>
      </c>
      <c r="D1158" s="61" t="str">
        <f>IFERROR(VLOOKUP(B1158,'MB51'!A:J,10,0),"")</f>
        <v/>
      </c>
      <c r="E1158" s="62" t="str">
        <f>IFERROR(VLOOKUP(B1158,'MB51'!A:K,11,0),"")</f>
        <v/>
      </c>
      <c r="F1158" s="42" t="str">
        <f>IFERROR(VLOOKUP(B1158,'MB51'!A:F,6,0),"")</f>
        <v/>
      </c>
      <c r="G1158" s="17" t="str">
        <f t="shared" si="54"/>
        <v>點揀料單</v>
      </c>
      <c r="H1158" s="17">
        <f t="shared" si="55"/>
        <v>0</v>
      </c>
      <c r="I1158" t="str">
        <f t="shared" si="56"/>
        <v/>
      </c>
      <c r="J1158" t="str">
        <f>SUBSTITUTE(IF(COUNTIF(I$2:I1158,I1158)&gt;1,"",1)," ","")</f>
        <v/>
      </c>
    </row>
    <row r="1159" spans="1:10" x14ac:dyDescent="0.2">
      <c r="A1159" s="51" t="str">
        <f>IFERROR(VLOOKUP(B1159,點上線資訊!A:R,18,0),"")</f>
        <v/>
      </c>
      <c r="B1159" s="41">
        <f>'MB51'!A1159</f>
        <v>0</v>
      </c>
      <c r="C1159" s="60" t="str">
        <f>IFERROR(VLOOKUP(B1159,'MB51'!A:I,9,0),"")</f>
        <v/>
      </c>
      <c r="D1159" s="61" t="str">
        <f>IFERROR(VLOOKUP(B1159,'MB51'!A:J,10,0),"")</f>
        <v/>
      </c>
      <c r="E1159" s="62" t="str">
        <f>IFERROR(VLOOKUP(B1159,'MB51'!A:K,11,0),"")</f>
        <v/>
      </c>
      <c r="F1159" s="42" t="str">
        <f>IFERROR(VLOOKUP(B1159,'MB51'!A:F,6,0),"")</f>
        <v/>
      </c>
      <c r="G1159" s="17" t="str">
        <f t="shared" si="54"/>
        <v>點揀料單</v>
      </c>
      <c r="H1159" s="17">
        <f t="shared" si="55"/>
        <v>0</v>
      </c>
      <c r="I1159" t="str">
        <f t="shared" si="56"/>
        <v/>
      </c>
      <c r="J1159" t="str">
        <f>SUBSTITUTE(IF(COUNTIF(I$2:I1159,I1159)&gt;1,"",1)," ","")</f>
        <v/>
      </c>
    </row>
    <row r="1160" spans="1:10" x14ac:dyDescent="0.2">
      <c r="A1160" s="51" t="str">
        <f>IFERROR(VLOOKUP(B1160,點上線資訊!A:R,18,0),"")</f>
        <v/>
      </c>
      <c r="B1160" s="41">
        <f>'MB51'!A1160</f>
        <v>0</v>
      </c>
      <c r="C1160" s="60" t="str">
        <f>IFERROR(VLOOKUP(B1160,'MB51'!A:I,9,0),"")</f>
        <v/>
      </c>
      <c r="D1160" s="61" t="str">
        <f>IFERROR(VLOOKUP(B1160,'MB51'!A:J,10,0),"")</f>
        <v/>
      </c>
      <c r="E1160" s="62" t="str">
        <f>IFERROR(VLOOKUP(B1160,'MB51'!A:K,11,0),"")</f>
        <v/>
      </c>
      <c r="F1160" s="42" t="str">
        <f>IFERROR(VLOOKUP(B1160,'MB51'!A:F,6,0),"")</f>
        <v/>
      </c>
      <c r="G1160" s="17" t="str">
        <f t="shared" si="54"/>
        <v>點揀料單</v>
      </c>
      <c r="H1160" s="17">
        <f t="shared" si="55"/>
        <v>0</v>
      </c>
      <c r="I1160" t="str">
        <f t="shared" si="56"/>
        <v/>
      </c>
      <c r="J1160" t="str">
        <f>SUBSTITUTE(IF(COUNTIF(I$2:I1160,I1160)&gt;1,"",1)," ","")</f>
        <v/>
      </c>
    </row>
    <row r="1161" spans="1:10" x14ac:dyDescent="0.2">
      <c r="A1161" s="51" t="str">
        <f>IFERROR(VLOOKUP(B1161,點上線資訊!A:R,18,0),"")</f>
        <v/>
      </c>
      <c r="B1161" s="41">
        <f>'MB51'!A1161</f>
        <v>0</v>
      </c>
      <c r="C1161" s="60" t="str">
        <f>IFERROR(VLOOKUP(B1161,'MB51'!A:I,9,0),"")</f>
        <v/>
      </c>
      <c r="D1161" s="61" t="str">
        <f>IFERROR(VLOOKUP(B1161,'MB51'!A:J,10,0),"")</f>
        <v/>
      </c>
      <c r="E1161" s="62" t="str">
        <f>IFERROR(VLOOKUP(B1161,'MB51'!A:K,11,0),"")</f>
        <v/>
      </c>
      <c r="F1161" s="42" t="str">
        <f>IFERROR(VLOOKUP(B1161,'MB51'!A:F,6,0),"")</f>
        <v/>
      </c>
      <c r="G1161" s="17" t="str">
        <f t="shared" si="54"/>
        <v>點揀料單</v>
      </c>
      <c r="H1161" s="17">
        <f t="shared" si="55"/>
        <v>0</v>
      </c>
      <c r="I1161" t="str">
        <f t="shared" si="56"/>
        <v/>
      </c>
      <c r="J1161" t="str">
        <f>SUBSTITUTE(IF(COUNTIF(I$2:I1161,I1161)&gt;1,"",1)," ","")</f>
        <v/>
      </c>
    </row>
    <row r="1162" spans="1:10" x14ac:dyDescent="0.2">
      <c r="A1162" s="51" t="str">
        <f>IFERROR(VLOOKUP(B1162,點上線資訊!A:R,18,0),"")</f>
        <v/>
      </c>
      <c r="B1162" s="41">
        <f>'MB51'!A1162</f>
        <v>0</v>
      </c>
      <c r="C1162" s="60" t="str">
        <f>IFERROR(VLOOKUP(B1162,'MB51'!A:I,9,0),"")</f>
        <v/>
      </c>
      <c r="D1162" s="61" t="str">
        <f>IFERROR(VLOOKUP(B1162,'MB51'!A:J,10,0),"")</f>
        <v/>
      </c>
      <c r="E1162" s="62" t="str">
        <f>IFERROR(VLOOKUP(B1162,'MB51'!A:K,11,0),"")</f>
        <v/>
      </c>
      <c r="F1162" s="42" t="str">
        <f>IFERROR(VLOOKUP(B1162,'MB51'!A:F,6,0),"")</f>
        <v/>
      </c>
      <c r="G1162" s="17" t="str">
        <f t="shared" si="54"/>
        <v>點揀料單</v>
      </c>
      <c r="H1162" s="17">
        <f t="shared" si="55"/>
        <v>0</v>
      </c>
      <c r="I1162" t="str">
        <f t="shared" si="56"/>
        <v/>
      </c>
      <c r="J1162" t="str">
        <f>SUBSTITUTE(IF(COUNTIF(I$2:I1162,I1162)&gt;1,"",1)," ","")</f>
        <v/>
      </c>
    </row>
    <row r="1163" spans="1:10" x14ac:dyDescent="0.2">
      <c r="A1163" s="51" t="str">
        <f>IFERROR(VLOOKUP(B1163,點上線資訊!A:R,18,0),"")</f>
        <v/>
      </c>
      <c r="B1163" s="41">
        <f>'MB51'!A1163</f>
        <v>0</v>
      </c>
      <c r="C1163" s="60" t="str">
        <f>IFERROR(VLOOKUP(B1163,'MB51'!A:I,9,0),"")</f>
        <v/>
      </c>
      <c r="D1163" s="61" t="str">
        <f>IFERROR(VLOOKUP(B1163,'MB51'!A:J,10,0),"")</f>
        <v/>
      </c>
      <c r="E1163" s="62" t="str">
        <f>IFERROR(VLOOKUP(B1163,'MB51'!A:K,11,0),"")</f>
        <v/>
      </c>
      <c r="F1163" s="42" t="str">
        <f>IFERROR(VLOOKUP(B1163,'MB51'!A:F,6,0),"")</f>
        <v/>
      </c>
      <c r="G1163" s="17" t="str">
        <f t="shared" si="54"/>
        <v>點揀料單</v>
      </c>
      <c r="H1163" s="17">
        <f t="shared" si="55"/>
        <v>0</v>
      </c>
      <c r="I1163" t="str">
        <f t="shared" si="56"/>
        <v/>
      </c>
      <c r="J1163" t="str">
        <f>SUBSTITUTE(IF(COUNTIF(I$2:I1163,I1163)&gt;1,"",1)," ","")</f>
        <v/>
      </c>
    </row>
    <row r="1164" spans="1:10" x14ac:dyDescent="0.2">
      <c r="A1164" s="51" t="str">
        <f>IFERROR(VLOOKUP(B1164,點上線資訊!A:R,18,0),"")</f>
        <v/>
      </c>
      <c r="B1164" s="41">
        <f>'MB51'!A1164</f>
        <v>0</v>
      </c>
      <c r="C1164" s="60" t="str">
        <f>IFERROR(VLOOKUP(B1164,'MB51'!A:I,9,0),"")</f>
        <v/>
      </c>
      <c r="D1164" s="61" t="str">
        <f>IFERROR(VLOOKUP(B1164,'MB51'!A:J,10,0),"")</f>
        <v/>
      </c>
      <c r="E1164" s="62" t="str">
        <f>IFERROR(VLOOKUP(B1164,'MB51'!A:K,11,0),"")</f>
        <v/>
      </c>
      <c r="F1164" s="42" t="str">
        <f>IFERROR(VLOOKUP(B1164,'MB51'!A:F,6,0),"")</f>
        <v/>
      </c>
      <c r="G1164" s="17" t="str">
        <f t="shared" si="54"/>
        <v>點揀料單</v>
      </c>
      <c r="H1164" s="17">
        <f t="shared" si="55"/>
        <v>0</v>
      </c>
      <c r="I1164" t="str">
        <f t="shared" si="56"/>
        <v/>
      </c>
      <c r="J1164" t="str">
        <f>SUBSTITUTE(IF(COUNTIF(I$2:I1164,I1164)&gt;1,"",1)," ","")</f>
        <v/>
      </c>
    </row>
    <row r="1165" spans="1:10" x14ac:dyDescent="0.2">
      <c r="A1165" s="51" t="str">
        <f>IFERROR(VLOOKUP(B1165,點上線資訊!A:R,18,0),"")</f>
        <v/>
      </c>
      <c r="B1165" s="41">
        <f>'MB51'!A1165</f>
        <v>0</v>
      </c>
      <c r="C1165" s="60" t="str">
        <f>IFERROR(VLOOKUP(B1165,'MB51'!A:I,9,0),"")</f>
        <v/>
      </c>
      <c r="D1165" s="61" t="str">
        <f>IFERROR(VLOOKUP(B1165,'MB51'!A:J,10,0),"")</f>
        <v/>
      </c>
      <c r="E1165" s="62" t="str">
        <f>IFERROR(VLOOKUP(B1165,'MB51'!A:K,11,0),"")</f>
        <v/>
      </c>
      <c r="F1165" s="42" t="str">
        <f>IFERROR(VLOOKUP(B1165,'MB51'!A:F,6,0),"")</f>
        <v/>
      </c>
      <c r="G1165" s="17" t="str">
        <f t="shared" si="54"/>
        <v>點揀料單</v>
      </c>
      <c r="H1165" s="17">
        <f t="shared" si="55"/>
        <v>0</v>
      </c>
      <c r="I1165" t="str">
        <f t="shared" si="56"/>
        <v/>
      </c>
      <c r="J1165" t="str">
        <f>SUBSTITUTE(IF(COUNTIF(I$2:I1165,I1165)&gt;1,"",1)," ","")</f>
        <v/>
      </c>
    </row>
    <row r="1166" spans="1:10" x14ac:dyDescent="0.2">
      <c r="A1166" s="51" t="str">
        <f>IFERROR(VLOOKUP(B1166,點上線資訊!A:R,18,0),"")</f>
        <v/>
      </c>
      <c r="B1166" s="41">
        <f>'MB51'!A1166</f>
        <v>0</v>
      </c>
      <c r="C1166" s="60" t="str">
        <f>IFERROR(VLOOKUP(B1166,'MB51'!A:I,9,0),"")</f>
        <v/>
      </c>
      <c r="D1166" s="61" t="str">
        <f>IFERROR(VLOOKUP(B1166,'MB51'!A:J,10,0),"")</f>
        <v/>
      </c>
      <c r="E1166" s="62" t="str">
        <f>IFERROR(VLOOKUP(B1166,'MB51'!A:K,11,0),"")</f>
        <v/>
      </c>
      <c r="F1166" s="42" t="str">
        <f>IFERROR(VLOOKUP(B1166,'MB51'!A:F,6,0),"")</f>
        <v/>
      </c>
      <c r="G1166" s="17" t="str">
        <f t="shared" si="54"/>
        <v>點揀料單</v>
      </c>
      <c r="H1166" s="17">
        <f t="shared" si="55"/>
        <v>0</v>
      </c>
      <c r="I1166" t="str">
        <f t="shared" si="56"/>
        <v/>
      </c>
      <c r="J1166" t="str">
        <f>SUBSTITUTE(IF(COUNTIF(I$2:I1166,I1166)&gt;1,"",1)," ","")</f>
        <v/>
      </c>
    </row>
    <row r="1167" spans="1:10" x14ac:dyDescent="0.2">
      <c r="A1167" s="51" t="str">
        <f>IFERROR(VLOOKUP(B1167,點上線資訊!A:R,18,0),"")</f>
        <v/>
      </c>
      <c r="B1167" s="41">
        <f>'MB51'!A1167</f>
        <v>0</v>
      </c>
      <c r="C1167" s="60" t="str">
        <f>IFERROR(VLOOKUP(B1167,'MB51'!A:I,9,0),"")</f>
        <v/>
      </c>
      <c r="D1167" s="61" t="str">
        <f>IFERROR(VLOOKUP(B1167,'MB51'!A:J,10,0),"")</f>
        <v/>
      </c>
      <c r="E1167" s="62" t="str">
        <f>IFERROR(VLOOKUP(B1167,'MB51'!A:K,11,0),"")</f>
        <v/>
      </c>
      <c r="F1167" s="42" t="str">
        <f>IFERROR(VLOOKUP(B1167,'MB51'!A:F,6,0),"")</f>
        <v/>
      </c>
      <c r="G1167" s="17" t="str">
        <f t="shared" si="54"/>
        <v>點揀料單</v>
      </c>
      <c r="H1167" s="17">
        <f t="shared" si="55"/>
        <v>0</v>
      </c>
      <c r="I1167" t="str">
        <f t="shared" si="56"/>
        <v/>
      </c>
      <c r="J1167" t="str">
        <f>SUBSTITUTE(IF(COUNTIF(I$2:I1167,I1167)&gt;1,"",1)," ","")</f>
        <v/>
      </c>
    </row>
    <row r="1168" spans="1:10" x14ac:dyDescent="0.2">
      <c r="A1168" s="51" t="str">
        <f>IFERROR(VLOOKUP(B1168,點上線資訊!A:R,18,0),"")</f>
        <v/>
      </c>
      <c r="B1168" s="41">
        <f>'MB51'!A1168</f>
        <v>0</v>
      </c>
      <c r="C1168" s="60" t="str">
        <f>IFERROR(VLOOKUP(B1168,'MB51'!A:I,9,0),"")</f>
        <v/>
      </c>
      <c r="D1168" s="61" t="str">
        <f>IFERROR(VLOOKUP(B1168,'MB51'!A:J,10,0),"")</f>
        <v/>
      </c>
      <c r="E1168" s="62" t="str">
        <f>IFERROR(VLOOKUP(B1168,'MB51'!A:K,11,0),"")</f>
        <v/>
      </c>
      <c r="F1168" s="42" t="str">
        <f>IFERROR(VLOOKUP(B1168,'MB51'!A:F,6,0),"")</f>
        <v/>
      </c>
      <c r="G1168" s="17" t="str">
        <f t="shared" si="54"/>
        <v>點揀料單</v>
      </c>
      <c r="H1168" s="17">
        <f t="shared" si="55"/>
        <v>0</v>
      </c>
      <c r="I1168" t="str">
        <f t="shared" si="56"/>
        <v/>
      </c>
      <c r="J1168" t="str">
        <f>SUBSTITUTE(IF(COUNTIF(I$2:I1168,I1168)&gt;1,"",1)," ","")</f>
        <v/>
      </c>
    </row>
    <row r="1169" spans="1:10" x14ac:dyDescent="0.2">
      <c r="A1169" s="51" t="str">
        <f>IFERROR(VLOOKUP(B1169,點上線資訊!A:R,18,0),"")</f>
        <v/>
      </c>
      <c r="B1169" s="41">
        <f>'MB51'!A1169</f>
        <v>0</v>
      </c>
      <c r="C1169" s="60" t="str">
        <f>IFERROR(VLOOKUP(B1169,'MB51'!A:I,9,0),"")</f>
        <v/>
      </c>
      <c r="D1169" s="61" t="str">
        <f>IFERROR(VLOOKUP(B1169,'MB51'!A:J,10,0),"")</f>
        <v/>
      </c>
      <c r="E1169" s="62" t="str">
        <f>IFERROR(VLOOKUP(B1169,'MB51'!A:K,11,0),"")</f>
        <v/>
      </c>
      <c r="F1169" s="42" t="str">
        <f>IFERROR(VLOOKUP(B1169,'MB51'!A:F,6,0),"")</f>
        <v/>
      </c>
      <c r="G1169" s="17" t="str">
        <f t="shared" si="54"/>
        <v>點揀料單</v>
      </c>
      <c r="H1169" s="17">
        <f t="shared" si="55"/>
        <v>0</v>
      </c>
      <c r="I1169" t="str">
        <f t="shared" si="56"/>
        <v/>
      </c>
      <c r="J1169" t="str">
        <f>SUBSTITUTE(IF(COUNTIF(I$2:I1169,I1169)&gt;1,"",1)," ","")</f>
        <v/>
      </c>
    </row>
    <row r="1170" spans="1:10" x14ac:dyDescent="0.2">
      <c r="A1170" s="51" t="str">
        <f>IFERROR(VLOOKUP(B1170,點上線資訊!A:R,18,0),"")</f>
        <v/>
      </c>
      <c r="B1170" s="41">
        <f>'MB51'!A1170</f>
        <v>0</v>
      </c>
      <c r="C1170" s="60" t="str">
        <f>IFERROR(VLOOKUP(B1170,'MB51'!A:I,9,0),"")</f>
        <v/>
      </c>
      <c r="D1170" s="61" t="str">
        <f>IFERROR(VLOOKUP(B1170,'MB51'!A:J,10,0),"")</f>
        <v/>
      </c>
      <c r="E1170" s="62" t="str">
        <f>IFERROR(VLOOKUP(B1170,'MB51'!A:K,11,0),"")</f>
        <v/>
      </c>
      <c r="F1170" s="42" t="str">
        <f>IFERROR(VLOOKUP(B1170,'MB51'!A:F,6,0),"")</f>
        <v/>
      </c>
      <c r="G1170" s="17" t="str">
        <f t="shared" si="54"/>
        <v>點揀料單</v>
      </c>
      <c r="H1170" s="17">
        <f t="shared" si="55"/>
        <v>0</v>
      </c>
      <c r="I1170" t="str">
        <f t="shared" si="56"/>
        <v/>
      </c>
      <c r="J1170" t="str">
        <f>SUBSTITUTE(IF(COUNTIF(I$2:I1170,I1170)&gt;1,"",1)," ","")</f>
        <v/>
      </c>
    </row>
    <row r="1171" spans="1:10" x14ac:dyDescent="0.2">
      <c r="A1171" s="51" t="str">
        <f>IFERROR(VLOOKUP(B1171,點上線資訊!A:R,18,0),"")</f>
        <v/>
      </c>
      <c r="B1171" s="41">
        <f>'MB51'!A1171</f>
        <v>0</v>
      </c>
      <c r="C1171" s="60" t="str">
        <f>IFERROR(VLOOKUP(B1171,'MB51'!A:I,9,0),"")</f>
        <v/>
      </c>
      <c r="D1171" s="61" t="str">
        <f>IFERROR(VLOOKUP(B1171,'MB51'!A:J,10,0),"")</f>
        <v/>
      </c>
      <c r="E1171" s="62" t="str">
        <f>IFERROR(VLOOKUP(B1171,'MB51'!A:K,11,0),"")</f>
        <v/>
      </c>
      <c r="F1171" s="42" t="str">
        <f>IFERROR(VLOOKUP(B1171,'MB51'!A:F,6,0),"")</f>
        <v/>
      </c>
      <c r="G1171" s="17" t="str">
        <f t="shared" si="54"/>
        <v>點揀料單</v>
      </c>
      <c r="H1171" s="17">
        <f t="shared" si="55"/>
        <v>0</v>
      </c>
      <c r="I1171" t="str">
        <f t="shared" si="56"/>
        <v/>
      </c>
      <c r="J1171" t="str">
        <f>SUBSTITUTE(IF(COUNTIF(I$2:I1171,I1171)&gt;1,"",1)," ","")</f>
        <v/>
      </c>
    </row>
    <row r="1172" spans="1:10" x14ac:dyDescent="0.2">
      <c r="A1172" s="51" t="str">
        <f>IFERROR(VLOOKUP(B1172,點上線資訊!A:R,18,0),"")</f>
        <v/>
      </c>
      <c r="B1172" s="41">
        <f>'MB51'!A1172</f>
        <v>0</v>
      </c>
      <c r="C1172" s="60" t="str">
        <f>IFERROR(VLOOKUP(B1172,'MB51'!A:I,9,0),"")</f>
        <v/>
      </c>
      <c r="D1172" s="61" t="str">
        <f>IFERROR(VLOOKUP(B1172,'MB51'!A:J,10,0),"")</f>
        <v/>
      </c>
      <c r="E1172" s="62" t="str">
        <f>IFERROR(VLOOKUP(B1172,'MB51'!A:K,11,0),"")</f>
        <v/>
      </c>
      <c r="F1172" s="42" t="str">
        <f>IFERROR(VLOOKUP(B1172,'MB51'!A:F,6,0),"")</f>
        <v/>
      </c>
      <c r="G1172" s="17" t="str">
        <f t="shared" si="54"/>
        <v>點揀料單</v>
      </c>
      <c r="H1172" s="17">
        <f t="shared" si="55"/>
        <v>0</v>
      </c>
      <c r="I1172" t="str">
        <f t="shared" si="56"/>
        <v/>
      </c>
      <c r="J1172" t="str">
        <f>SUBSTITUTE(IF(COUNTIF(I$2:I1172,I1172)&gt;1,"",1)," ","")</f>
        <v/>
      </c>
    </row>
    <row r="1173" spans="1:10" x14ac:dyDescent="0.2">
      <c r="A1173" s="51" t="str">
        <f>IFERROR(VLOOKUP(B1173,點上線資訊!A:R,18,0),"")</f>
        <v/>
      </c>
      <c r="B1173" s="41">
        <f>'MB51'!A1173</f>
        <v>0</v>
      </c>
      <c r="C1173" s="60" t="str">
        <f>IFERROR(VLOOKUP(B1173,'MB51'!A:I,9,0),"")</f>
        <v/>
      </c>
      <c r="D1173" s="61" t="str">
        <f>IFERROR(VLOOKUP(B1173,'MB51'!A:J,10,0),"")</f>
        <v/>
      </c>
      <c r="E1173" s="62" t="str">
        <f>IFERROR(VLOOKUP(B1173,'MB51'!A:K,11,0),"")</f>
        <v/>
      </c>
      <c r="F1173" s="42" t="str">
        <f>IFERROR(VLOOKUP(B1173,'MB51'!A:F,6,0),"")</f>
        <v/>
      </c>
      <c r="G1173" s="17" t="str">
        <f t="shared" si="54"/>
        <v>點揀料單</v>
      </c>
      <c r="H1173" s="17">
        <f t="shared" si="55"/>
        <v>0</v>
      </c>
      <c r="I1173" t="str">
        <f t="shared" si="56"/>
        <v/>
      </c>
      <c r="J1173" t="str">
        <f>SUBSTITUTE(IF(COUNTIF(I$2:I1173,I1173)&gt;1,"",1)," ","")</f>
        <v/>
      </c>
    </row>
    <row r="1174" spans="1:10" x14ac:dyDescent="0.2">
      <c r="A1174" s="51" t="str">
        <f>IFERROR(VLOOKUP(B1174,點上線資訊!A:R,18,0),"")</f>
        <v/>
      </c>
      <c r="B1174" s="41">
        <f>'MB51'!A1174</f>
        <v>0</v>
      </c>
      <c r="C1174" s="60" t="str">
        <f>IFERROR(VLOOKUP(B1174,'MB51'!A:I,9,0),"")</f>
        <v/>
      </c>
      <c r="D1174" s="61" t="str">
        <f>IFERROR(VLOOKUP(B1174,'MB51'!A:J,10,0),"")</f>
        <v/>
      </c>
      <c r="E1174" s="62" t="str">
        <f>IFERROR(VLOOKUP(B1174,'MB51'!A:K,11,0),"")</f>
        <v/>
      </c>
      <c r="F1174" s="42" t="str">
        <f>IFERROR(VLOOKUP(B1174,'MB51'!A:F,6,0),"")</f>
        <v/>
      </c>
      <c r="G1174" s="17" t="str">
        <f t="shared" si="54"/>
        <v>點揀料單</v>
      </c>
      <c r="H1174" s="17">
        <f t="shared" si="55"/>
        <v>0</v>
      </c>
      <c r="I1174" t="str">
        <f t="shared" si="56"/>
        <v/>
      </c>
      <c r="J1174" t="str">
        <f>SUBSTITUTE(IF(COUNTIF(I$2:I1174,I1174)&gt;1,"",1)," ","")</f>
        <v/>
      </c>
    </row>
    <row r="1175" spans="1:10" x14ac:dyDescent="0.2">
      <c r="A1175" s="51" t="str">
        <f>IFERROR(VLOOKUP(B1175,點上線資訊!A:R,18,0),"")</f>
        <v/>
      </c>
      <c r="B1175" s="41">
        <f>'MB51'!A1175</f>
        <v>0</v>
      </c>
      <c r="C1175" s="60" t="str">
        <f>IFERROR(VLOOKUP(B1175,'MB51'!A:I,9,0),"")</f>
        <v/>
      </c>
      <c r="D1175" s="61" t="str">
        <f>IFERROR(VLOOKUP(B1175,'MB51'!A:J,10,0),"")</f>
        <v/>
      </c>
      <c r="E1175" s="62" t="str">
        <f>IFERROR(VLOOKUP(B1175,'MB51'!A:K,11,0),"")</f>
        <v/>
      </c>
      <c r="F1175" s="42" t="str">
        <f>IFERROR(VLOOKUP(B1175,'MB51'!A:F,6,0),"")</f>
        <v/>
      </c>
      <c r="G1175" s="17" t="str">
        <f t="shared" si="54"/>
        <v>點揀料單</v>
      </c>
      <c r="H1175" s="17">
        <f t="shared" si="55"/>
        <v>0</v>
      </c>
      <c r="I1175" t="str">
        <f t="shared" si="56"/>
        <v/>
      </c>
      <c r="J1175" t="str">
        <f>SUBSTITUTE(IF(COUNTIF(I$2:I1175,I1175)&gt;1,"",1)," ","")</f>
        <v/>
      </c>
    </row>
    <row r="1176" spans="1:10" x14ac:dyDescent="0.2">
      <c r="A1176" s="51" t="str">
        <f>IFERROR(VLOOKUP(B1176,點上線資訊!A:R,18,0),"")</f>
        <v/>
      </c>
      <c r="B1176" s="41">
        <f>'MB51'!A1176</f>
        <v>0</v>
      </c>
      <c r="C1176" s="60" t="str">
        <f>IFERROR(VLOOKUP(B1176,'MB51'!A:I,9,0),"")</f>
        <v/>
      </c>
      <c r="D1176" s="61" t="str">
        <f>IFERROR(VLOOKUP(B1176,'MB51'!A:J,10,0),"")</f>
        <v/>
      </c>
      <c r="E1176" s="62" t="str">
        <f>IFERROR(VLOOKUP(B1176,'MB51'!A:K,11,0),"")</f>
        <v/>
      </c>
      <c r="F1176" s="42" t="str">
        <f>IFERROR(VLOOKUP(B1176,'MB51'!A:F,6,0),"")</f>
        <v/>
      </c>
      <c r="G1176" s="17" t="str">
        <f t="shared" si="54"/>
        <v>點揀料單</v>
      </c>
      <c r="H1176" s="17">
        <f t="shared" si="55"/>
        <v>0</v>
      </c>
      <c r="I1176" t="str">
        <f t="shared" si="56"/>
        <v/>
      </c>
      <c r="J1176" t="str">
        <f>SUBSTITUTE(IF(COUNTIF(I$2:I1176,I1176)&gt;1,"",1)," ","")</f>
        <v/>
      </c>
    </row>
    <row r="1177" spans="1:10" x14ac:dyDescent="0.2">
      <c r="A1177" s="51" t="str">
        <f>IFERROR(VLOOKUP(B1177,點上線資訊!A:R,18,0),"")</f>
        <v/>
      </c>
      <c r="B1177" s="41">
        <f>'MB51'!A1177</f>
        <v>0</v>
      </c>
      <c r="C1177" s="60" t="str">
        <f>IFERROR(VLOOKUP(B1177,'MB51'!A:I,9,0),"")</f>
        <v/>
      </c>
      <c r="D1177" s="61" t="str">
        <f>IFERROR(VLOOKUP(B1177,'MB51'!A:J,10,0),"")</f>
        <v/>
      </c>
      <c r="E1177" s="62" t="str">
        <f>IFERROR(VLOOKUP(B1177,'MB51'!A:K,11,0),"")</f>
        <v/>
      </c>
      <c r="F1177" s="42" t="str">
        <f>IFERROR(VLOOKUP(B1177,'MB51'!A:F,6,0),"")</f>
        <v/>
      </c>
      <c r="G1177" s="17" t="str">
        <f t="shared" si="54"/>
        <v>點揀料單</v>
      </c>
      <c r="H1177" s="17">
        <f t="shared" si="55"/>
        <v>0</v>
      </c>
      <c r="I1177" t="str">
        <f t="shared" si="56"/>
        <v/>
      </c>
      <c r="J1177" t="str">
        <f>SUBSTITUTE(IF(COUNTIF(I$2:I1177,I1177)&gt;1,"",1)," ","")</f>
        <v/>
      </c>
    </row>
    <row r="1178" spans="1:10" x14ac:dyDescent="0.2">
      <c r="A1178" s="51" t="str">
        <f>IFERROR(VLOOKUP(B1178,點上線資訊!A:R,18,0),"")</f>
        <v/>
      </c>
      <c r="B1178" s="41">
        <f>'MB51'!A1178</f>
        <v>0</v>
      </c>
      <c r="C1178" s="60" t="str">
        <f>IFERROR(VLOOKUP(B1178,'MB51'!A:I,9,0),"")</f>
        <v/>
      </c>
      <c r="D1178" s="61" t="str">
        <f>IFERROR(VLOOKUP(B1178,'MB51'!A:J,10,0),"")</f>
        <v/>
      </c>
      <c r="E1178" s="62" t="str">
        <f>IFERROR(VLOOKUP(B1178,'MB51'!A:K,11,0),"")</f>
        <v/>
      </c>
      <c r="F1178" s="42" t="str">
        <f>IFERROR(VLOOKUP(B1178,'MB51'!A:F,6,0),"")</f>
        <v/>
      </c>
      <c r="G1178" s="17" t="str">
        <f t="shared" si="54"/>
        <v>點揀料單</v>
      </c>
      <c r="H1178" s="17">
        <f t="shared" si="55"/>
        <v>0</v>
      </c>
      <c r="I1178" t="str">
        <f t="shared" si="56"/>
        <v/>
      </c>
      <c r="J1178" t="str">
        <f>SUBSTITUTE(IF(COUNTIF(I$2:I1178,I1178)&gt;1,"",1)," ","")</f>
        <v/>
      </c>
    </row>
    <row r="1179" spans="1:10" x14ac:dyDescent="0.2">
      <c r="A1179" s="51" t="str">
        <f>IFERROR(VLOOKUP(B1179,點上線資訊!A:R,18,0),"")</f>
        <v/>
      </c>
      <c r="B1179" s="41">
        <f>'MB51'!A1179</f>
        <v>0</v>
      </c>
      <c r="C1179" s="60" t="str">
        <f>IFERROR(VLOOKUP(B1179,'MB51'!A:I,9,0),"")</f>
        <v/>
      </c>
      <c r="D1179" s="61" t="str">
        <f>IFERROR(VLOOKUP(B1179,'MB51'!A:J,10,0),"")</f>
        <v/>
      </c>
      <c r="E1179" s="62" t="str">
        <f>IFERROR(VLOOKUP(B1179,'MB51'!A:K,11,0),"")</f>
        <v/>
      </c>
      <c r="F1179" s="42" t="str">
        <f>IFERROR(VLOOKUP(B1179,'MB51'!A:F,6,0),"")</f>
        <v/>
      </c>
      <c r="G1179" s="17" t="str">
        <f t="shared" si="54"/>
        <v>點揀料單</v>
      </c>
      <c r="H1179" s="17">
        <f t="shared" si="55"/>
        <v>0</v>
      </c>
      <c r="I1179" t="str">
        <f t="shared" si="56"/>
        <v/>
      </c>
      <c r="J1179" t="str">
        <f>SUBSTITUTE(IF(COUNTIF(I$2:I1179,I1179)&gt;1,"",1)," ","")</f>
        <v/>
      </c>
    </row>
    <row r="1180" spans="1:10" x14ac:dyDescent="0.2">
      <c r="A1180" s="51" t="str">
        <f>IFERROR(VLOOKUP(B1180,點上線資訊!A:R,18,0),"")</f>
        <v/>
      </c>
      <c r="B1180" s="41">
        <f>'MB51'!A1180</f>
        <v>0</v>
      </c>
      <c r="C1180" s="60" t="str">
        <f>IFERROR(VLOOKUP(B1180,'MB51'!A:I,9,0),"")</f>
        <v/>
      </c>
      <c r="D1180" s="61" t="str">
        <f>IFERROR(VLOOKUP(B1180,'MB51'!A:J,10,0),"")</f>
        <v/>
      </c>
      <c r="E1180" s="62" t="str">
        <f>IFERROR(VLOOKUP(B1180,'MB51'!A:K,11,0),"")</f>
        <v/>
      </c>
      <c r="F1180" s="42" t="str">
        <f>IFERROR(VLOOKUP(B1180,'MB51'!A:F,6,0),"")</f>
        <v/>
      </c>
      <c r="G1180" s="17" t="str">
        <f t="shared" si="54"/>
        <v>點揀料單</v>
      </c>
      <c r="H1180" s="17">
        <f t="shared" si="55"/>
        <v>0</v>
      </c>
      <c r="I1180" t="str">
        <f t="shared" si="56"/>
        <v/>
      </c>
      <c r="J1180" t="str">
        <f>SUBSTITUTE(IF(COUNTIF(I$2:I1180,I1180)&gt;1,"",1)," ","")</f>
        <v/>
      </c>
    </row>
    <row r="1181" spans="1:10" x14ac:dyDescent="0.2">
      <c r="A1181" s="51" t="str">
        <f>IFERROR(VLOOKUP(B1181,點上線資訊!A:R,18,0),"")</f>
        <v/>
      </c>
      <c r="B1181" s="41">
        <f>'MB51'!A1181</f>
        <v>0</v>
      </c>
      <c r="C1181" s="60" t="str">
        <f>IFERROR(VLOOKUP(B1181,'MB51'!A:I,9,0),"")</f>
        <v/>
      </c>
      <c r="D1181" s="61" t="str">
        <f>IFERROR(VLOOKUP(B1181,'MB51'!A:J,10,0),"")</f>
        <v/>
      </c>
      <c r="E1181" s="62" t="str">
        <f>IFERROR(VLOOKUP(B1181,'MB51'!A:K,11,0),"")</f>
        <v/>
      </c>
      <c r="F1181" s="42" t="str">
        <f>IFERROR(VLOOKUP(B1181,'MB51'!A:F,6,0),"")</f>
        <v/>
      </c>
      <c r="G1181" s="17" t="str">
        <f t="shared" si="54"/>
        <v>點揀料單</v>
      </c>
      <c r="H1181" s="17">
        <f t="shared" si="55"/>
        <v>0</v>
      </c>
      <c r="I1181" t="str">
        <f t="shared" si="56"/>
        <v/>
      </c>
      <c r="J1181" t="str">
        <f>SUBSTITUTE(IF(COUNTIF(I$2:I1181,I1181)&gt;1,"",1)," ","")</f>
        <v/>
      </c>
    </row>
    <row r="1182" spans="1:10" x14ac:dyDescent="0.2">
      <c r="A1182" s="51" t="str">
        <f>IFERROR(VLOOKUP(B1182,點上線資訊!A:R,18,0),"")</f>
        <v/>
      </c>
      <c r="B1182" s="41">
        <f>'MB51'!A1182</f>
        <v>0</v>
      </c>
      <c r="C1182" s="60" t="str">
        <f>IFERROR(VLOOKUP(B1182,'MB51'!A:I,9,0),"")</f>
        <v/>
      </c>
      <c r="D1182" s="61" t="str">
        <f>IFERROR(VLOOKUP(B1182,'MB51'!A:J,10,0),"")</f>
        <v/>
      </c>
      <c r="E1182" s="62" t="str">
        <f>IFERROR(VLOOKUP(B1182,'MB51'!A:K,11,0),"")</f>
        <v/>
      </c>
      <c r="F1182" s="42" t="str">
        <f>IFERROR(VLOOKUP(B1182,'MB51'!A:F,6,0),"")</f>
        <v/>
      </c>
      <c r="G1182" s="17" t="str">
        <f t="shared" si="54"/>
        <v>點揀料單</v>
      </c>
      <c r="H1182" s="17">
        <f t="shared" si="55"/>
        <v>0</v>
      </c>
      <c r="I1182" t="str">
        <f t="shared" si="56"/>
        <v/>
      </c>
      <c r="J1182" t="str">
        <f>SUBSTITUTE(IF(COUNTIF(I$2:I1182,I1182)&gt;1,"",1)," ","")</f>
        <v/>
      </c>
    </row>
    <row r="1183" spans="1:10" x14ac:dyDescent="0.2">
      <c r="A1183" s="51" t="str">
        <f>IFERROR(VLOOKUP(B1183,點上線資訊!A:R,18,0),"")</f>
        <v/>
      </c>
      <c r="B1183" s="41">
        <f>'MB51'!A1183</f>
        <v>0</v>
      </c>
      <c r="C1183" s="60" t="str">
        <f>IFERROR(VLOOKUP(B1183,'MB51'!A:I,9,0),"")</f>
        <v/>
      </c>
      <c r="D1183" s="61" t="str">
        <f>IFERROR(VLOOKUP(B1183,'MB51'!A:J,10,0),"")</f>
        <v/>
      </c>
      <c r="E1183" s="62" t="str">
        <f>IFERROR(VLOOKUP(B1183,'MB51'!A:K,11,0),"")</f>
        <v/>
      </c>
      <c r="F1183" s="42" t="str">
        <f>IFERROR(VLOOKUP(B1183,'MB51'!A:F,6,0),"")</f>
        <v/>
      </c>
      <c r="G1183" s="17" t="str">
        <f t="shared" si="54"/>
        <v>點揀料單</v>
      </c>
      <c r="H1183" s="17">
        <f t="shared" si="55"/>
        <v>0</v>
      </c>
      <c r="I1183" t="str">
        <f t="shared" si="56"/>
        <v/>
      </c>
      <c r="J1183" t="str">
        <f>SUBSTITUTE(IF(COUNTIF(I$2:I1183,I1183)&gt;1,"",1)," ","")</f>
        <v/>
      </c>
    </row>
    <row r="1184" spans="1:10" x14ac:dyDescent="0.2">
      <c r="A1184" s="51" t="str">
        <f>IFERROR(VLOOKUP(B1184,點上線資訊!A:R,18,0),"")</f>
        <v/>
      </c>
      <c r="B1184" s="41">
        <f>'MB51'!A1184</f>
        <v>0</v>
      </c>
      <c r="C1184" s="60" t="str">
        <f>IFERROR(VLOOKUP(B1184,'MB51'!A:I,9,0),"")</f>
        <v/>
      </c>
      <c r="D1184" s="61" t="str">
        <f>IFERROR(VLOOKUP(B1184,'MB51'!A:J,10,0),"")</f>
        <v/>
      </c>
      <c r="E1184" s="62" t="str">
        <f>IFERROR(VLOOKUP(B1184,'MB51'!A:K,11,0),"")</f>
        <v/>
      </c>
      <c r="F1184" s="42" t="str">
        <f>IFERROR(VLOOKUP(B1184,'MB51'!A:F,6,0),"")</f>
        <v/>
      </c>
      <c r="G1184" s="17" t="str">
        <f t="shared" si="54"/>
        <v>點揀料單</v>
      </c>
      <c r="H1184" s="17">
        <f t="shared" si="55"/>
        <v>0</v>
      </c>
      <c r="I1184" t="str">
        <f t="shared" si="56"/>
        <v/>
      </c>
      <c r="J1184" t="str">
        <f>SUBSTITUTE(IF(COUNTIF(I$2:I1184,I1184)&gt;1,"",1)," ","")</f>
        <v/>
      </c>
    </row>
    <row r="1185" spans="1:10" x14ac:dyDescent="0.2">
      <c r="A1185" s="51" t="str">
        <f>IFERROR(VLOOKUP(B1185,點上線資訊!A:R,18,0),"")</f>
        <v/>
      </c>
      <c r="B1185" s="41">
        <f>'MB51'!A1185</f>
        <v>0</v>
      </c>
      <c r="C1185" s="60" t="str">
        <f>IFERROR(VLOOKUP(B1185,'MB51'!A:I,9,0),"")</f>
        <v/>
      </c>
      <c r="D1185" s="61" t="str">
        <f>IFERROR(VLOOKUP(B1185,'MB51'!A:J,10,0),"")</f>
        <v/>
      </c>
      <c r="E1185" s="62" t="str">
        <f>IFERROR(VLOOKUP(B1185,'MB51'!A:K,11,0),"")</f>
        <v/>
      </c>
      <c r="F1185" s="42" t="str">
        <f>IFERROR(VLOOKUP(B1185,'MB51'!A:F,6,0),"")</f>
        <v/>
      </c>
      <c r="G1185" s="17" t="str">
        <f t="shared" si="54"/>
        <v>點揀料單</v>
      </c>
      <c r="H1185" s="17">
        <f t="shared" si="55"/>
        <v>0</v>
      </c>
      <c r="I1185" t="str">
        <f t="shared" si="56"/>
        <v/>
      </c>
      <c r="J1185" t="str">
        <f>SUBSTITUTE(IF(COUNTIF(I$2:I1185,I1185)&gt;1,"",1)," ","")</f>
        <v/>
      </c>
    </row>
    <row r="1186" spans="1:10" x14ac:dyDescent="0.2">
      <c r="A1186" s="51" t="str">
        <f>IFERROR(VLOOKUP(B1186,點上線資訊!A:R,18,0),"")</f>
        <v/>
      </c>
      <c r="B1186" s="41">
        <f>'MB51'!A1186</f>
        <v>0</v>
      </c>
      <c r="C1186" s="60" t="str">
        <f>IFERROR(VLOOKUP(B1186,'MB51'!A:I,9,0),"")</f>
        <v/>
      </c>
      <c r="D1186" s="61" t="str">
        <f>IFERROR(VLOOKUP(B1186,'MB51'!A:J,10,0),"")</f>
        <v/>
      </c>
      <c r="E1186" s="62" t="str">
        <f>IFERROR(VLOOKUP(B1186,'MB51'!A:K,11,0),"")</f>
        <v/>
      </c>
      <c r="F1186" s="42" t="str">
        <f>IFERROR(VLOOKUP(B1186,'MB51'!A:F,6,0),"")</f>
        <v/>
      </c>
      <c r="G1186" s="17" t="str">
        <f t="shared" si="54"/>
        <v>點揀料單</v>
      </c>
      <c r="H1186" s="17">
        <f t="shared" si="55"/>
        <v>0</v>
      </c>
      <c r="I1186" t="str">
        <f t="shared" si="56"/>
        <v/>
      </c>
      <c r="J1186" t="str">
        <f>SUBSTITUTE(IF(COUNTIF(I$2:I1186,I1186)&gt;1,"",1)," ","")</f>
        <v/>
      </c>
    </row>
    <row r="1187" spans="1:10" x14ac:dyDescent="0.2">
      <c r="A1187" s="51" t="str">
        <f>IFERROR(VLOOKUP(B1187,點上線資訊!A:R,18,0),"")</f>
        <v/>
      </c>
      <c r="B1187" s="41">
        <f>'MB51'!A1187</f>
        <v>0</v>
      </c>
      <c r="C1187" s="60" t="str">
        <f>IFERROR(VLOOKUP(B1187,'MB51'!A:I,9,0),"")</f>
        <v/>
      </c>
      <c r="D1187" s="61" t="str">
        <f>IFERROR(VLOOKUP(B1187,'MB51'!A:J,10,0),"")</f>
        <v/>
      </c>
      <c r="E1187" s="62" t="str">
        <f>IFERROR(VLOOKUP(B1187,'MB51'!A:K,11,0),"")</f>
        <v/>
      </c>
      <c r="F1187" s="42" t="str">
        <f>IFERROR(VLOOKUP(B1187,'MB51'!A:F,6,0),"")</f>
        <v/>
      </c>
      <c r="G1187" s="17" t="str">
        <f t="shared" si="54"/>
        <v>點揀料單</v>
      </c>
      <c r="H1187" s="17">
        <f t="shared" si="55"/>
        <v>0</v>
      </c>
      <c r="I1187" t="str">
        <f t="shared" si="56"/>
        <v/>
      </c>
      <c r="J1187" t="str">
        <f>SUBSTITUTE(IF(COUNTIF(I$2:I1187,I1187)&gt;1,"",1)," ","")</f>
        <v/>
      </c>
    </row>
    <row r="1188" spans="1:10" x14ac:dyDescent="0.2">
      <c r="A1188" s="51" t="str">
        <f>IFERROR(VLOOKUP(B1188,點上線資訊!A:R,18,0),"")</f>
        <v/>
      </c>
      <c r="B1188" s="41">
        <f>'MB51'!A1188</f>
        <v>0</v>
      </c>
      <c r="C1188" s="60" t="str">
        <f>IFERROR(VLOOKUP(B1188,'MB51'!A:I,9,0),"")</f>
        <v/>
      </c>
      <c r="D1188" s="61" t="str">
        <f>IFERROR(VLOOKUP(B1188,'MB51'!A:J,10,0),"")</f>
        <v/>
      </c>
      <c r="E1188" s="62" t="str">
        <f>IFERROR(VLOOKUP(B1188,'MB51'!A:K,11,0),"")</f>
        <v/>
      </c>
      <c r="F1188" s="42" t="str">
        <f>IFERROR(VLOOKUP(B1188,'MB51'!A:F,6,0),"")</f>
        <v/>
      </c>
      <c r="G1188" s="17" t="str">
        <f t="shared" si="54"/>
        <v>點揀料單</v>
      </c>
      <c r="H1188" s="17">
        <f t="shared" si="55"/>
        <v>0</v>
      </c>
      <c r="I1188" t="str">
        <f t="shared" si="56"/>
        <v/>
      </c>
      <c r="J1188" t="str">
        <f>SUBSTITUTE(IF(COUNTIF(I$2:I1188,I1188)&gt;1,"",1)," ","")</f>
        <v/>
      </c>
    </row>
    <row r="1189" spans="1:10" x14ac:dyDescent="0.2">
      <c r="A1189" s="51" t="str">
        <f>IFERROR(VLOOKUP(B1189,點上線資訊!A:R,18,0),"")</f>
        <v/>
      </c>
      <c r="B1189" s="41">
        <f>'MB51'!A1189</f>
        <v>0</v>
      </c>
      <c r="C1189" s="60" t="str">
        <f>IFERROR(VLOOKUP(B1189,'MB51'!A:I,9,0),"")</f>
        <v/>
      </c>
      <c r="D1189" s="61" t="str">
        <f>IFERROR(VLOOKUP(B1189,'MB51'!A:J,10,0),"")</f>
        <v/>
      </c>
      <c r="E1189" s="62" t="str">
        <f>IFERROR(VLOOKUP(B1189,'MB51'!A:K,11,0),"")</f>
        <v/>
      </c>
      <c r="F1189" s="42" t="str">
        <f>IFERROR(VLOOKUP(B1189,'MB51'!A:F,6,0),"")</f>
        <v/>
      </c>
      <c r="G1189" s="17" t="str">
        <f t="shared" si="54"/>
        <v>點揀料單</v>
      </c>
      <c r="H1189" s="17">
        <f t="shared" si="55"/>
        <v>0</v>
      </c>
      <c r="I1189" t="str">
        <f t="shared" si="56"/>
        <v/>
      </c>
      <c r="J1189" t="str">
        <f>SUBSTITUTE(IF(COUNTIF(I$2:I1189,I1189)&gt;1,"",1)," ","")</f>
        <v/>
      </c>
    </row>
    <row r="1190" spans="1:10" x14ac:dyDescent="0.2">
      <c r="A1190" s="51" t="str">
        <f>IFERROR(VLOOKUP(B1190,點上線資訊!A:R,18,0),"")</f>
        <v/>
      </c>
      <c r="B1190" s="41">
        <f>'MB51'!A1190</f>
        <v>0</v>
      </c>
      <c r="C1190" s="60" t="str">
        <f>IFERROR(VLOOKUP(B1190,'MB51'!A:I,9,0),"")</f>
        <v/>
      </c>
      <c r="D1190" s="61" t="str">
        <f>IFERROR(VLOOKUP(B1190,'MB51'!A:J,10,0),"")</f>
        <v/>
      </c>
      <c r="E1190" s="62" t="str">
        <f>IFERROR(VLOOKUP(B1190,'MB51'!A:K,11,0),"")</f>
        <v/>
      </c>
      <c r="F1190" s="42" t="str">
        <f>IFERROR(VLOOKUP(B1190,'MB51'!A:F,6,0),"")</f>
        <v/>
      </c>
      <c r="G1190" s="17" t="str">
        <f t="shared" si="54"/>
        <v>點揀料單</v>
      </c>
      <c r="H1190" s="17">
        <f t="shared" si="55"/>
        <v>0</v>
      </c>
      <c r="I1190" t="str">
        <f t="shared" si="56"/>
        <v/>
      </c>
      <c r="J1190" t="str">
        <f>SUBSTITUTE(IF(COUNTIF(I$2:I1190,I1190)&gt;1,"",1)," ","")</f>
        <v/>
      </c>
    </row>
    <row r="1191" spans="1:10" x14ac:dyDescent="0.2">
      <c r="A1191" s="51" t="str">
        <f>IFERROR(VLOOKUP(B1191,點上線資訊!A:R,18,0),"")</f>
        <v/>
      </c>
      <c r="B1191" s="41">
        <f>'MB51'!A1191</f>
        <v>0</v>
      </c>
      <c r="C1191" s="60" t="str">
        <f>IFERROR(VLOOKUP(B1191,'MB51'!A:I,9,0),"")</f>
        <v/>
      </c>
      <c r="D1191" s="61" t="str">
        <f>IFERROR(VLOOKUP(B1191,'MB51'!A:J,10,0),"")</f>
        <v/>
      </c>
      <c r="E1191" s="62" t="str">
        <f>IFERROR(VLOOKUP(B1191,'MB51'!A:K,11,0),"")</f>
        <v/>
      </c>
      <c r="F1191" s="42" t="str">
        <f>IFERROR(VLOOKUP(B1191,'MB51'!A:F,6,0),"")</f>
        <v/>
      </c>
      <c r="G1191" s="17" t="str">
        <f t="shared" si="54"/>
        <v>點揀料單</v>
      </c>
      <c r="H1191" s="17">
        <f t="shared" si="55"/>
        <v>0</v>
      </c>
      <c r="I1191" t="str">
        <f t="shared" si="56"/>
        <v/>
      </c>
      <c r="J1191" t="str">
        <f>SUBSTITUTE(IF(COUNTIF(I$2:I1191,I1191)&gt;1,"",1)," ","")</f>
        <v/>
      </c>
    </row>
    <row r="1192" spans="1:10" x14ac:dyDescent="0.2">
      <c r="A1192" s="51" t="str">
        <f>IFERROR(VLOOKUP(B1192,點上線資訊!A:R,18,0),"")</f>
        <v/>
      </c>
      <c r="B1192" s="41">
        <f>'MB51'!A1192</f>
        <v>0</v>
      </c>
      <c r="C1192" s="60" t="str">
        <f>IFERROR(VLOOKUP(B1192,'MB51'!A:I,9,0),"")</f>
        <v/>
      </c>
      <c r="D1192" s="61" t="str">
        <f>IFERROR(VLOOKUP(B1192,'MB51'!A:J,10,0),"")</f>
        <v/>
      </c>
      <c r="E1192" s="62" t="str">
        <f>IFERROR(VLOOKUP(B1192,'MB51'!A:K,11,0),"")</f>
        <v/>
      </c>
      <c r="F1192" s="42" t="str">
        <f>IFERROR(VLOOKUP(B1192,'MB51'!A:F,6,0),"")</f>
        <v/>
      </c>
      <c r="G1192" s="17" t="str">
        <f t="shared" si="54"/>
        <v>點揀料單</v>
      </c>
      <c r="H1192" s="17">
        <f t="shared" si="55"/>
        <v>0</v>
      </c>
      <c r="I1192" t="str">
        <f t="shared" si="56"/>
        <v/>
      </c>
      <c r="J1192" t="str">
        <f>SUBSTITUTE(IF(COUNTIF(I$2:I1192,I1192)&gt;1,"",1)," ","")</f>
        <v/>
      </c>
    </row>
    <row r="1193" spans="1:10" x14ac:dyDescent="0.2">
      <c r="A1193" s="51" t="str">
        <f>IFERROR(VLOOKUP(B1193,點上線資訊!A:R,18,0),"")</f>
        <v/>
      </c>
      <c r="B1193" s="41">
        <f>'MB51'!A1193</f>
        <v>0</v>
      </c>
      <c r="C1193" s="60" t="str">
        <f>IFERROR(VLOOKUP(B1193,'MB51'!A:I,9,0),"")</f>
        <v/>
      </c>
      <c r="D1193" s="61" t="str">
        <f>IFERROR(VLOOKUP(B1193,'MB51'!A:J,10,0),"")</f>
        <v/>
      </c>
      <c r="E1193" s="62" t="str">
        <f>IFERROR(VLOOKUP(B1193,'MB51'!A:K,11,0),"")</f>
        <v/>
      </c>
      <c r="F1193" s="42" t="str">
        <f>IFERROR(VLOOKUP(B1193,'MB51'!A:F,6,0),"")</f>
        <v/>
      </c>
      <c r="G1193" s="17" t="str">
        <f t="shared" si="54"/>
        <v>點揀料單</v>
      </c>
      <c r="H1193" s="17">
        <f t="shared" si="55"/>
        <v>0</v>
      </c>
      <c r="I1193" t="str">
        <f t="shared" si="56"/>
        <v/>
      </c>
      <c r="J1193" t="str">
        <f>SUBSTITUTE(IF(COUNTIF(I$2:I1193,I1193)&gt;1,"",1)," ","")</f>
        <v/>
      </c>
    </row>
    <row r="1194" spans="1:10" x14ac:dyDescent="0.2">
      <c r="A1194" s="51" t="str">
        <f>IFERROR(VLOOKUP(B1194,點上線資訊!A:R,18,0),"")</f>
        <v/>
      </c>
      <c r="B1194" s="41">
        <f>'MB51'!A1194</f>
        <v>0</v>
      </c>
      <c r="C1194" s="60" t="str">
        <f>IFERROR(VLOOKUP(B1194,'MB51'!A:I,9,0),"")</f>
        <v/>
      </c>
      <c r="D1194" s="61" t="str">
        <f>IFERROR(VLOOKUP(B1194,'MB51'!A:J,10,0),"")</f>
        <v/>
      </c>
      <c r="E1194" s="62" t="str">
        <f>IFERROR(VLOOKUP(B1194,'MB51'!A:K,11,0),"")</f>
        <v/>
      </c>
      <c r="F1194" s="42" t="str">
        <f>IFERROR(VLOOKUP(B1194,'MB51'!A:F,6,0),"")</f>
        <v/>
      </c>
      <c r="G1194" s="17" t="str">
        <f t="shared" si="54"/>
        <v>點揀料單</v>
      </c>
      <c r="H1194" s="17">
        <f t="shared" si="55"/>
        <v>0</v>
      </c>
      <c r="I1194" t="str">
        <f t="shared" si="56"/>
        <v/>
      </c>
      <c r="J1194" t="str">
        <f>SUBSTITUTE(IF(COUNTIF(I$2:I1194,I1194)&gt;1,"",1)," ","")</f>
        <v/>
      </c>
    </row>
    <row r="1195" spans="1:10" x14ac:dyDescent="0.2">
      <c r="A1195" s="51" t="str">
        <f>IFERROR(VLOOKUP(B1195,點上線資訊!A:R,18,0),"")</f>
        <v/>
      </c>
      <c r="B1195" s="41">
        <f>'MB51'!A1195</f>
        <v>0</v>
      </c>
      <c r="C1195" s="60" t="str">
        <f>IFERROR(VLOOKUP(B1195,'MB51'!A:I,9,0),"")</f>
        <v/>
      </c>
      <c r="D1195" s="61" t="str">
        <f>IFERROR(VLOOKUP(B1195,'MB51'!A:J,10,0),"")</f>
        <v/>
      </c>
      <c r="E1195" s="62" t="str">
        <f>IFERROR(VLOOKUP(B1195,'MB51'!A:K,11,0),"")</f>
        <v/>
      </c>
      <c r="F1195" s="42" t="str">
        <f>IFERROR(VLOOKUP(B1195,'MB51'!A:F,6,0),"")</f>
        <v/>
      </c>
      <c r="G1195" s="17" t="str">
        <f t="shared" si="54"/>
        <v>點揀料單</v>
      </c>
      <c r="H1195" s="17">
        <f t="shared" si="55"/>
        <v>0</v>
      </c>
      <c r="I1195" t="str">
        <f t="shared" si="56"/>
        <v/>
      </c>
      <c r="J1195" t="str">
        <f>SUBSTITUTE(IF(COUNTIF(I$2:I1195,I1195)&gt;1,"",1)," ","")</f>
        <v/>
      </c>
    </row>
    <row r="1196" spans="1:10" x14ac:dyDescent="0.2">
      <c r="A1196" s="51" t="str">
        <f>IFERROR(VLOOKUP(B1196,點上線資訊!A:R,18,0),"")</f>
        <v/>
      </c>
      <c r="B1196" s="41">
        <f>'MB51'!A1196</f>
        <v>0</v>
      </c>
      <c r="C1196" s="60" t="str">
        <f>IFERROR(VLOOKUP(B1196,'MB51'!A:I,9,0),"")</f>
        <v/>
      </c>
      <c r="D1196" s="61" t="str">
        <f>IFERROR(VLOOKUP(B1196,'MB51'!A:J,10,0),"")</f>
        <v/>
      </c>
      <c r="E1196" s="62" t="str">
        <f>IFERROR(VLOOKUP(B1196,'MB51'!A:K,11,0),"")</f>
        <v/>
      </c>
      <c r="F1196" s="42" t="str">
        <f>IFERROR(VLOOKUP(B1196,'MB51'!A:F,6,0),"")</f>
        <v/>
      </c>
      <c r="G1196" s="17" t="str">
        <f t="shared" si="54"/>
        <v>點揀料單</v>
      </c>
      <c r="H1196" s="17">
        <f t="shared" si="55"/>
        <v>0</v>
      </c>
      <c r="I1196" t="str">
        <f t="shared" si="56"/>
        <v/>
      </c>
      <c r="J1196" t="str">
        <f>SUBSTITUTE(IF(COUNTIF(I$2:I1196,I1196)&gt;1,"",1)," ","")</f>
        <v/>
      </c>
    </row>
    <row r="1197" spans="1:10" x14ac:dyDescent="0.2">
      <c r="A1197" s="51" t="str">
        <f>IFERROR(VLOOKUP(B1197,點上線資訊!A:R,18,0),"")</f>
        <v/>
      </c>
      <c r="B1197" s="41">
        <f>'MB51'!A1197</f>
        <v>0</v>
      </c>
      <c r="C1197" s="60" t="str">
        <f>IFERROR(VLOOKUP(B1197,'MB51'!A:I,9,0),"")</f>
        <v/>
      </c>
      <c r="D1197" s="61" t="str">
        <f>IFERROR(VLOOKUP(B1197,'MB51'!A:J,10,0),"")</f>
        <v/>
      </c>
      <c r="E1197" s="62" t="str">
        <f>IFERROR(VLOOKUP(B1197,'MB51'!A:K,11,0),"")</f>
        <v/>
      </c>
      <c r="F1197" s="42" t="str">
        <f>IFERROR(VLOOKUP(B1197,'MB51'!A:F,6,0),"")</f>
        <v/>
      </c>
      <c r="G1197" s="17" t="str">
        <f t="shared" si="54"/>
        <v>點揀料單</v>
      </c>
      <c r="H1197" s="17">
        <f t="shared" si="55"/>
        <v>0</v>
      </c>
      <c r="I1197" t="str">
        <f t="shared" si="56"/>
        <v/>
      </c>
      <c r="J1197" t="str">
        <f>SUBSTITUTE(IF(COUNTIF(I$2:I1197,I1197)&gt;1,"",1)," ","")</f>
        <v/>
      </c>
    </row>
    <row r="1198" spans="1:10" x14ac:dyDescent="0.2">
      <c r="A1198" s="51" t="str">
        <f>IFERROR(VLOOKUP(B1198,點上線資訊!A:R,18,0),"")</f>
        <v/>
      </c>
      <c r="B1198" s="41">
        <f>'MB51'!A1198</f>
        <v>0</v>
      </c>
      <c r="C1198" s="60" t="str">
        <f>IFERROR(VLOOKUP(B1198,'MB51'!A:I,9,0),"")</f>
        <v/>
      </c>
      <c r="D1198" s="61" t="str">
        <f>IFERROR(VLOOKUP(B1198,'MB51'!A:J,10,0),"")</f>
        <v/>
      </c>
      <c r="E1198" s="62" t="str">
        <f>IFERROR(VLOOKUP(B1198,'MB51'!A:K,11,0),"")</f>
        <v/>
      </c>
      <c r="F1198" s="42" t="str">
        <f>IFERROR(VLOOKUP(B1198,'MB51'!A:F,6,0),"")</f>
        <v/>
      </c>
      <c r="G1198" s="17" t="str">
        <f t="shared" si="54"/>
        <v>點揀料單</v>
      </c>
      <c r="H1198" s="17">
        <f t="shared" si="55"/>
        <v>0</v>
      </c>
      <c r="I1198" t="str">
        <f t="shared" si="56"/>
        <v/>
      </c>
      <c r="J1198" t="str">
        <f>SUBSTITUTE(IF(COUNTIF(I$2:I1198,I1198)&gt;1,"",1)," ","")</f>
        <v/>
      </c>
    </row>
    <row r="1199" spans="1:10" x14ac:dyDescent="0.2">
      <c r="A1199" s="51" t="str">
        <f>IFERROR(VLOOKUP(B1199,點上線資訊!A:R,18,0),"")</f>
        <v/>
      </c>
      <c r="B1199" s="41">
        <f>'MB51'!A1199</f>
        <v>0</v>
      </c>
      <c r="C1199" s="60" t="str">
        <f>IFERROR(VLOOKUP(B1199,'MB51'!A:I,9,0),"")</f>
        <v/>
      </c>
      <c r="D1199" s="61" t="str">
        <f>IFERROR(VLOOKUP(B1199,'MB51'!A:J,10,0),"")</f>
        <v/>
      </c>
      <c r="E1199" s="62" t="str">
        <f>IFERROR(VLOOKUP(B1199,'MB51'!A:K,11,0),"")</f>
        <v/>
      </c>
      <c r="F1199" s="42" t="str">
        <f>IFERROR(VLOOKUP(B1199,'MB51'!A:F,6,0),"")</f>
        <v/>
      </c>
      <c r="G1199" s="17" t="str">
        <f t="shared" si="54"/>
        <v>點揀料單</v>
      </c>
      <c r="H1199" s="17">
        <f t="shared" si="55"/>
        <v>0</v>
      </c>
      <c r="I1199" t="str">
        <f t="shared" si="56"/>
        <v/>
      </c>
      <c r="J1199" t="str">
        <f>SUBSTITUTE(IF(COUNTIF(I$2:I1199,I1199)&gt;1,"",1)," ","")</f>
        <v/>
      </c>
    </row>
    <row r="1200" spans="1:10" x14ac:dyDescent="0.2">
      <c r="A1200" s="51" t="str">
        <f>IFERROR(VLOOKUP(B1200,點上線資訊!A:R,18,0),"")</f>
        <v/>
      </c>
      <c r="B1200" s="41">
        <f>'MB51'!A1200</f>
        <v>0</v>
      </c>
      <c r="C1200" s="60" t="str">
        <f>IFERROR(VLOOKUP(B1200,'MB51'!A:I,9,0),"")</f>
        <v/>
      </c>
      <c r="D1200" s="61" t="str">
        <f>IFERROR(VLOOKUP(B1200,'MB51'!A:J,10,0),"")</f>
        <v/>
      </c>
      <c r="E1200" s="62" t="str">
        <f>IFERROR(VLOOKUP(B1200,'MB51'!A:K,11,0),"")</f>
        <v/>
      </c>
      <c r="F1200" s="42" t="str">
        <f>IFERROR(VLOOKUP(B1200,'MB51'!A:F,6,0),"")</f>
        <v/>
      </c>
      <c r="G1200" s="17" t="str">
        <f t="shared" si="54"/>
        <v>點揀料單</v>
      </c>
      <c r="H1200" s="17">
        <f t="shared" si="55"/>
        <v>0</v>
      </c>
      <c r="I1200" t="str">
        <f t="shared" si="56"/>
        <v/>
      </c>
      <c r="J1200" t="str">
        <f>SUBSTITUTE(IF(COUNTIF(I$2:I1200,I1200)&gt;1,"",1)," ","")</f>
        <v/>
      </c>
    </row>
    <row r="1201" spans="1:10" x14ac:dyDescent="0.2">
      <c r="A1201" s="51" t="str">
        <f>IFERROR(VLOOKUP(B1201,點上線資訊!A:R,18,0),"")</f>
        <v/>
      </c>
      <c r="B1201" s="41">
        <f>'MB51'!A1201</f>
        <v>0</v>
      </c>
      <c r="C1201" s="60" t="str">
        <f>IFERROR(VLOOKUP(B1201,'MB51'!A:I,9,0),"")</f>
        <v/>
      </c>
      <c r="D1201" s="61" t="str">
        <f>IFERROR(VLOOKUP(B1201,'MB51'!A:J,10,0),"")</f>
        <v/>
      </c>
      <c r="E1201" s="62" t="str">
        <f>IFERROR(VLOOKUP(B1201,'MB51'!A:K,11,0),"")</f>
        <v/>
      </c>
      <c r="F1201" s="42" t="str">
        <f>IFERROR(VLOOKUP(B1201,'MB51'!A:F,6,0),"")</f>
        <v/>
      </c>
      <c r="G1201" s="17" t="str">
        <f t="shared" si="54"/>
        <v>點揀料單</v>
      </c>
      <c r="H1201" s="17">
        <f t="shared" si="55"/>
        <v>0</v>
      </c>
      <c r="I1201" t="str">
        <f t="shared" si="56"/>
        <v/>
      </c>
      <c r="J1201" t="str">
        <f>SUBSTITUTE(IF(COUNTIF(I$2:I1201,I1201)&gt;1,"",1)," ","")</f>
        <v/>
      </c>
    </row>
    <row r="1202" spans="1:10" x14ac:dyDescent="0.2">
      <c r="A1202" s="51" t="str">
        <f>IFERROR(VLOOKUP(B1202,點上線資訊!A:R,18,0),"")</f>
        <v/>
      </c>
      <c r="B1202" s="41">
        <f>'MB51'!A1202</f>
        <v>0</v>
      </c>
      <c r="C1202" s="60" t="str">
        <f>IFERROR(VLOOKUP(B1202,'MB51'!A:I,9,0),"")</f>
        <v/>
      </c>
      <c r="D1202" s="61" t="str">
        <f>IFERROR(VLOOKUP(B1202,'MB51'!A:J,10,0),"")</f>
        <v/>
      </c>
      <c r="E1202" s="62" t="str">
        <f>IFERROR(VLOOKUP(B1202,'MB51'!A:K,11,0),"")</f>
        <v/>
      </c>
      <c r="F1202" s="42" t="str">
        <f>IFERROR(VLOOKUP(B1202,'MB51'!A:F,6,0),"")</f>
        <v/>
      </c>
      <c r="G1202" s="17" t="str">
        <f t="shared" si="54"/>
        <v>點揀料單</v>
      </c>
      <c r="H1202" s="17">
        <f t="shared" si="55"/>
        <v>0</v>
      </c>
      <c r="I1202" t="str">
        <f t="shared" si="56"/>
        <v/>
      </c>
      <c r="J1202" t="str">
        <f>SUBSTITUTE(IF(COUNTIF(I$2:I1202,I1202)&gt;1,"",1)," ","")</f>
        <v/>
      </c>
    </row>
    <row r="1203" spans="1:10" x14ac:dyDescent="0.2">
      <c r="A1203" s="51" t="str">
        <f>IFERROR(VLOOKUP(B1203,點上線資訊!A:R,18,0),"")</f>
        <v/>
      </c>
      <c r="B1203" s="41">
        <f>'MB51'!A1203</f>
        <v>0</v>
      </c>
      <c r="C1203" s="60" t="str">
        <f>IFERROR(VLOOKUP(B1203,'MB51'!A:I,9,0),"")</f>
        <v/>
      </c>
      <c r="D1203" s="61" t="str">
        <f>IFERROR(VLOOKUP(B1203,'MB51'!A:J,10,0),"")</f>
        <v/>
      </c>
      <c r="E1203" s="62" t="str">
        <f>IFERROR(VLOOKUP(B1203,'MB51'!A:K,11,0),"")</f>
        <v/>
      </c>
      <c r="F1203" s="42" t="str">
        <f>IFERROR(VLOOKUP(B1203,'MB51'!A:F,6,0),"")</f>
        <v/>
      </c>
      <c r="G1203" s="17" t="str">
        <f t="shared" si="54"/>
        <v>點揀料單</v>
      </c>
      <c r="H1203" s="17">
        <f t="shared" si="55"/>
        <v>0</v>
      </c>
      <c r="I1203" t="str">
        <f t="shared" si="56"/>
        <v/>
      </c>
      <c r="J1203" t="str">
        <f>SUBSTITUTE(IF(COUNTIF(I$2:I1203,I1203)&gt;1,"",1)," ","")</f>
        <v/>
      </c>
    </row>
    <row r="1204" spans="1:10" x14ac:dyDescent="0.2">
      <c r="A1204" s="51" t="str">
        <f>IFERROR(VLOOKUP(B1204,點上線資訊!A:R,18,0),"")</f>
        <v/>
      </c>
      <c r="B1204" s="41">
        <f>'MB51'!A1204</f>
        <v>0</v>
      </c>
      <c r="C1204" s="60" t="str">
        <f>IFERROR(VLOOKUP(B1204,'MB51'!A:I,9,0),"")</f>
        <v/>
      </c>
      <c r="D1204" s="61" t="str">
        <f>IFERROR(VLOOKUP(B1204,'MB51'!A:J,10,0),"")</f>
        <v/>
      </c>
      <c r="E1204" s="62" t="str">
        <f>IFERROR(VLOOKUP(B1204,'MB51'!A:K,11,0),"")</f>
        <v/>
      </c>
      <c r="F1204" s="42" t="str">
        <f>IFERROR(VLOOKUP(B1204,'MB51'!A:F,6,0),"")</f>
        <v/>
      </c>
      <c r="G1204" s="17" t="str">
        <f t="shared" si="54"/>
        <v>點揀料單</v>
      </c>
      <c r="H1204" s="17">
        <f t="shared" si="55"/>
        <v>0</v>
      </c>
      <c r="I1204" t="str">
        <f t="shared" si="56"/>
        <v/>
      </c>
      <c r="J1204" t="str">
        <f>SUBSTITUTE(IF(COUNTIF(I$2:I1204,I1204)&gt;1,"",1)," ","")</f>
        <v/>
      </c>
    </row>
    <row r="1205" spans="1:10" x14ac:dyDescent="0.2">
      <c r="A1205" s="51" t="str">
        <f>IFERROR(VLOOKUP(B1205,點上線資訊!A:R,18,0),"")</f>
        <v/>
      </c>
      <c r="B1205" s="41">
        <f>'MB51'!A1205</f>
        <v>0</v>
      </c>
      <c r="C1205" s="60" t="str">
        <f>IFERROR(VLOOKUP(B1205,'MB51'!A:I,9,0),"")</f>
        <v/>
      </c>
      <c r="D1205" s="61" t="str">
        <f>IFERROR(VLOOKUP(B1205,'MB51'!A:J,10,0),"")</f>
        <v/>
      </c>
      <c r="E1205" s="62" t="str">
        <f>IFERROR(VLOOKUP(B1205,'MB51'!A:K,11,0),"")</f>
        <v/>
      </c>
      <c r="F1205" s="42" t="str">
        <f>IFERROR(VLOOKUP(B1205,'MB51'!A:F,6,0),"")</f>
        <v/>
      </c>
      <c r="G1205" s="17" t="str">
        <f t="shared" si="54"/>
        <v>點揀料單</v>
      </c>
      <c r="H1205" s="17">
        <f t="shared" si="55"/>
        <v>0</v>
      </c>
      <c r="I1205" t="str">
        <f t="shared" si="56"/>
        <v/>
      </c>
      <c r="J1205" t="str">
        <f>SUBSTITUTE(IF(COUNTIF(I$2:I1205,I1205)&gt;1,"",1)," ","")</f>
        <v/>
      </c>
    </row>
    <row r="1206" spans="1:10" x14ac:dyDescent="0.2">
      <c r="A1206" s="51" t="str">
        <f>IFERROR(VLOOKUP(B1206,點上線資訊!A:R,18,0),"")</f>
        <v/>
      </c>
      <c r="B1206" s="41">
        <f>'MB51'!A1206</f>
        <v>0</v>
      </c>
      <c r="C1206" s="60" t="str">
        <f>IFERROR(VLOOKUP(B1206,'MB51'!A:I,9,0),"")</f>
        <v/>
      </c>
      <c r="D1206" s="61" t="str">
        <f>IFERROR(VLOOKUP(B1206,'MB51'!A:J,10,0),"")</f>
        <v/>
      </c>
      <c r="E1206" s="62" t="str">
        <f>IFERROR(VLOOKUP(B1206,'MB51'!A:K,11,0),"")</f>
        <v/>
      </c>
      <c r="F1206" s="42" t="str">
        <f>IFERROR(VLOOKUP(B1206,'MB51'!A:F,6,0),"")</f>
        <v/>
      </c>
      <c r="G1206" s="17" t="str">
        <f t="shared" si="54"/>
        <v>點揀料單</v>
      </c>
      <c r="H1206" s="17">
        <f t="shared" si="55"/>
        <v>0</v>
      </c>
      <c r="I1206" t="str">
        <f t="shared" si="56"/>
        <v/>
      </c>
      <c r="J1206" t="str">
        <f>SUBSTITUTE(IF(COUNTIF(I$2:I1206,I1206)&gt;1,"",1)," ","")</f>
        <v/>
      </c>
    </row>
    <row r="1207" spans="1:10" x14ac:dyDescent="0.2">
      <c r="A1207" s="51" t="str">
        <f>IFERROR(VLOOKUP(B1207,點上線資訊!A:R,18,0),"")</f>
        <v/>
      </c>
      <c r="B1207" s="41">
        <f>'MB51'!A1207</f>
        <v>0</v>
      </c>
      <c r="C1207" s="60" t="str">
        <f>IFERROR(VLOOKUP(B1207,'MB51'!A:I,9,0),"")</f>
        <v/>
      </c>
      <c r="D1207" s="61" t="str">
        <f>IFERROR(VLOOKUP(B1207,'MB51'!A:J,10,0),"")</f>
        <v/>
      </c>
      <c r="E1207" s="62" t="str">
        <f>IFERROR(VLOOKUP(B1207,'MB51'!A:K,11,0),"")</f>
        <v/>
      </c>
      <c r="F1207" s="42" t="str">
        <f>IFERROR(VLOOKUP(B1207,'MB51'!A:F,6,0),"")</f>
        <v/>
      </c>
      <c r="G1207" s="17" t="str">
        <f t="shared" si="54"/>
        <v>點揀料單</v>
      </c>
      <c r="H1207" s="17">
        <f t="shared" si="55"/>
        <v>0</v>
      </c>
      <c r="I1207" t="str">
        <f t="shared" si="56"/>
        <v/>
      </c>
      <c r="J1207" t="str">
        <f>SUBSTITUTE(IF(COUNTIF(I$2:I1207,I1207)&gt;1,"",1)," ","")</f>
        <v/>
      </c>
    </row>
    <row r="1208" spans="1:10" x14ac:dyDescent="0.2">
      <c r="A1208" s="51" t="str">
        <f>IFERROR(VLOOKUP(B1208,點上線資訊!A:R,18,0),"")</f>
        <v/>
      </c>
      <c r="B1208" s="41">
        <f>'MB51'!A1208</f>
        <v>0</v>
      </c>
      <c r="C1208" s="60" t="str">
        <f>IFERROR(VLOOKUP(B1208,'MB51'!A:I,9,0),"")</f>
        <v/>
      </c>
      <c r="D1208" s="61" t="str">
        <f>IFERROR(VLOOKUP(B1208,'MB51'!A:J,10,0),"")</f>
        <v/>
      </c>
      <c r="E1208" s="62" t="str">
        <f>IFERROR(VLOOKUP(B1208,'MB51'!A:K,11,0),"")</f>
        <v/>
      </c>
      <c r="F1208" s="42" t="str">
        <f>IFERROR(VLOOKUP(B1208,'MB51'!A:F,6,0),"")</f>
        <v/>
      </c>
      <c r="G1208" s="17" t="str">
        <f t="shared" si="54"/>
        <v>點揀料單</v>
      </c>
      <c r="H1208" s="17">
        <f t="shared" si="55"/>
        <v>0</v>
      </c>
      <c r="I1208" t="str">
        <f t="shared" si="56"/>
        <v/>
      </c>
      <c r="J1208" t="str">
        <f>SUBSTITUTE(IF(COUNTIF(I$2:I1208,I1208)&gt;1,"",1)," ","")</f>
        <v/>
      </c>
    </row>
    <row r="1209" spans="1:10" x14ac:dyDescent="0.2">
      <c r="A1209" s="51" t="str">
        <f>IFERROR(VLOOKUP(B1209,點上線資訊!A:R,18,0),"")</f>
        <v/>
      </c>
      <c r="B1209" s="41">
        <f>'MB51'!A1209</f>
        <v>0</v>
      </c>
      <c r="C1209" s="60" t="str">
        <f>IFERROR(VLOOKUP(B1209,'MB51'!A:I,9,0),"")</f>
        <v/>
      </c>
      <c r="D1209" s="61" t="str">
        <f>IFERROR(VLOOKUP(B1209,'MB51'!A:J,10,0),"")</f>
        <v/>
      </c>
      <c r="E1209" s="62" t="str">
        <f>IFERROR(VLOOKUP(B1209,'MB51'!A:K,11,0),"")</f>
        <v/>
      </c>
      <c r="F1209" s="42" t="str">
        <f>IFERROR(VLOOKUP(B1209,'MB51'!A:F,6,0),"")</f>
        <v/>
      </c>
      <c r="G1209" s="17" t="str">
        <f t="shared" si="54"/>
        <v>點揀料單</v>
      </c>
      <c r="H1209" s="17">
        <f t="shared" si="55"/>
        <v>0</v>
      </c>
      <c r="I1209" t="str">
        <f t="shared" si="56"/>
        <v/>
      </c>
      <c r="J1209" t="str">
        <f>SUBSTITUTE(IF(COUNTIF(I$2:I1209,I1209)&gt;1,"",1)," ","")</f>
        <v/>
      </c>
    </row>
    <row r="1210" spans="1:10" x14ac:dyDescent="0.2">
      <c r="A1210" s="51" t="str">
        <f>IFERROR(VLOOKUP(B1210,點上線資訊!A:R,18,0),"")</f>
        <v/>
      </c>
      <c r="B1210" s="41">
        <f>'MB51'!A1210</f>
        <v>0</v>
      </c>
      <c r="C1210" s="60" t="str">
        <f>IFERROR(VLOOKUP(B1210,'MB51'!A:I,9,0),"")</f>
        <v/>
      </c>
      <c r="D1210" s="61" t="str">
        <f>IFERROR(VLOOKUP(B1210,'MB51'!A:J,10,0),"")</f>
        <v/>
      </c>
      <c r="E1210" s="62" t="str">
        <f>IFERROR(VLOOKUP(B1210,'MB51'!A:K,11,0),"")</f>
        <v/>
      </c>
      <c r="F1210" s="42" t="str">
        <f>IFERROR(VLOOKUP(B1210,'MB51'!A:F,6,0),"")</f>
        <v/>
      </c>
      <c r="G1210" s="17" t="str">
        <f t="shared" si="54"/>
        <v>點揀料單</v>
      </c>
      <c r="H1210" s="17">
        <f t="shared" si="55"/>
        <v>0</v>
      </c>
      <c r="I1210" t="str">
        <f t="shared" si="56"/>
        <v/>
      </c>
      <c r="J1210" t="str">
        <f>SUBSTITUTE(IF(COUNTIF(I$2:I1210,I1210)&gt;1,"",1)," ","")</f>
        <v/>
      </c>
    </row>
    <row r="1211" spans="1:10" x14ac:dyDescent="0.2">
      <c r="A1211" s="51" t="str">
        <f>IFERROR(VLOOKUP(B1211,點上線資訊!A:R,18,0),"")</f>
        <v/>
      </c>
      <c r="B1211" s="41">
        <f>'MB51'!A1211</f>
        <v>0</v>
      </c>
      <c r="C1211" s="60" t="str">
        <f>IFERROR(VLOOKUP(B1211,'MB51'!A:I,9,0),"")</f>
        <v/>
      </c>
      <c r="D1211" s="61" t="str">
        <f>IFERROR(VLOOKUP(B1211,'MB51'!A:J,10,0),"")</f>
        <v/>
      </c>
      <c r="E1211" s="62" t="str">
        <f>IFERROR(VLOOKUP(B1211,'MB51'!A:K,11,0),"")</f>
        <v/>
      </c>
      <c r="F1211" s="42" t="str">
        <f>IFERROR(VLOOKUP(B1211,'MB51'!A:F,6,0),"")</f>
        <v/>
      </c>
      <c r="G1211" s="17" t="str">
        <f t="shared" si="54"/>
        <v>點揀料單</v>
      </c>
      <c r="H1211" s="17">
        <f t="shared" si="55"/>
        <v>0</v>
      </c>
      <c r="I1211" t="str">
        <f t="shared" si="56"/>
        <v/>
      </c>
      <c r="J1211" t="str">
        <f>SUBSTITUTE(IF(COUNTIF(I$2:I1211,I1211)&gt;1,"",1)," ","")</f>
        <v/>
      </c>
    </row>
    <row r="1212" spans="1:10" x14ac:dyDescent="0.2">
      <c r="A1212" s="51" t="str">
        <f>IFERROR(VLOOKUP(B1212,點上線資訊!A:R,18,0),"")</f>
        <v/>
      </c>
      <c r="B1212" s="41">
        <f>'MB51'!A1212</f>
        <v>0</v>
      </c>
      <c r="C1212" s="60" t="str">
        <f>IFERROR(VLOOKUP(B1212,'MB51'!A:I,9,0),"")</f>
        <v/>
      </c>
      <c r="D1212" s="61" t="str">
        <f>IFERROR(VLOOKUP(B1212,'MB51'!A:J,10,0),"")</f>
        <v/>
      </c>
      <c r="E1212" s="62" t="str">
        <f>IFERROR(VLOOKUP(B1212,'MB51'!A:K,11,0),"")</f>
        <v/>
      </c>
      <c r="F1212" s="42" t="str">
        <f>IFERROR(VLOOKUP(B1212,'MB51'!A:F,6,0),"")</f>
        <v/>
      </c>
      <c r="G1212" s="17" t="str">
        <f t="shared" si="54"/>
        <v>點揀料單</v>
      </c>
      <c r="H1212" s="17">
        <f t="shared" si="55"/>
        <v>0</v>
      </c>
      <c r="I1212" t="str">
        <f t="shared" si="56"/>
        <v/>
      </c>
      <c r="J1212" t="str">
        <f>SUBSTITUTE(IF(COUNTIF(I$2:I1212,I1212)&gt;1,"",1)," ","")</f>
        <v/>
      </c>
    </row>
    <row r="1213" spans="1:10" x14ac:dyDescent="0.2">
      <c r="A1213" s="51" t="str">
        <f>IFERROR(VLOOKUP(B1213,點上線資訊!A:R,18,0),"")</f>
        <v/>
      </c>
      <c r="B1213" s="41">
        <f>'MB51'!A1213</f>
        <v>0</v>
      </c>
      <c r="C1213" s="60" t="str">
        <f>IFERROR(VLOOKUP(B1213,'MB51'!A:I,9,0),"")</f>
        <v/>
      </c>
      <c r="D1213" s="61" t="str">
        <f>IFERROR(VLOOKUP(B1213,'MB51'!A:J,10,0),"")</f>
        <v/>
      </c>
      <c r="E1213" s="62" t="str">
        <f>IFERROR(VLOOKUP(B1213,'MB51'!A:K,11,0),"")</f>
        <v/>
      </c>
      <c r="F1213" s="42" t="str">
        <f>IFERROR(VLOOKUP(B1213,'MB51'!A:F,6,0),"")</f>
        <v/>
      </c>
      <c r="G1213" s="17" t="str">
        <f t="shared" si="54"/>
        <v>點揀料單</v>
      </c>
      <c r="H1213" s="17">
        <f t="shared" si="55"/>
        <v>0</v>
      </c>
      <c r="I1213" t="str">
        <f t="shared" si="56"/>
        <v/>
      </c>
      <c r="J1213" t="str">
        <f>SUBSTITUTE(IF(COUNTIF(I$2:I1213,I1213)&gt;1,"",1)," ","")</f>
        <v/>
      </c>
    </row>
    <row r="1214" spans="1:10" x14ac:dyDescent="0.2">
      <c r="A1214" s="51" t="str">
        <f>IFERROR(VLOOKUP(B1214,點上線資訊!A:R,18,0),"")</f>
        <v/>
      </c>
      <c r="B1214" s="41">
        <f>'MB51'!A1214</f>
        <v>0</v>
      </c>
      <c r="C1214" s="60" t="str">
        <f>IFERROR(VLOOKUP(B1214,'MB51'!A:I,9,0),"")</f>
        <v/>
      </c>
      <c r="D1214" s="61" t="str">
        <f>IFERROR(VLOOKUP(B1214,'MB51'!A:J,10,0),"")</f>
        <v/>
      </c>
      <c r="E1214" s="62" t="str">
        <f>IFERROR(VLOOKUP(B1214,'MB51'!A:K,11,0),"")</f>
        <v/>
      </c>
      <c r="F1214" s="42" t="str">
        <f>IFERROR(VLOOKUP(B1214,'MB51'!A:F,6,0),"")</f>
        <v/>
      </c>
      <c r="G1214" s="17" t="str">
        <f t="shared" si="54"/>
        <v>點揀料單</v>
      </c>
      <c r="H1214" s="17">
        <f t="shared" si="55"/>
        <v>0</v>
      </c>
      <c r="I1214" t="str">
        <f t="shared" si="56"/>
        <v/>
      </c>
      <c r="J1214" t="str">
        <f>SUBSTITUTE(IF(COUNTIF(I$2:I1214,I1214)&gt;1,"",1)," ","")</f>
        <v/>
      </c>
    </row>
    <row r="1215" spans="1:10" x14ac:dyDescent="0.2">
      <c r="A1215" s="51" t="str">
        <f>IFERROR(VLOOKUP(B1215,點上線資訊!A:R,18,0),"")</f>
        <v/>
      </c>
      <c r="B1215" s="41">
        <f>'MB51'!A1215</f>
        <v>0</v>
      </c>
      <c r="C1215" s="60" t="str">
        <f>IFERROR(VLOOKUP(B1215,'MB51'!A:I,9,0),"")</f>
        <v/>
      </c>
      <c r="D1215" s="61" t="str">
        <f>IFERROR(VLOOKUP(B1215,'MB51'!A:J,10,0),"")</f>
        <v/>
      </c>
      <c r="E1215" s="62" t="str">
        <f>IFERROR(VLOOKUP(B1215,'MB51'!A:K,11,0),"")</f>
        <v/>
      </c>
      <c r="F1215" s="42" t="str">
        <f>IFERROR(VLOOKUP(B1215,'MB51'!A:F,6,0),"")</f>
        <v/>
      </c>
      <c r="G1215" s="17" t="str">
        <f t="shared" si="54"/>
        <v>點揀料單</v>
      </c>
      <c r="H1215" s="17">
        <f t="shared" si="55"/>
        <v>0</v>
      </c>
      <c r="I1215" t="str">
        <f t="shared" si="56"/>
        <v/>
      </c>
      <c r="J1215" t="str">
        <f>SUBSTITUTE(IF(COUNTIF(I$2:I1215,I1215)&gt;1,"",1)," ","")</f>
        <v/>
      </c>
    </row>
    <row r="1216" spans="1:10" x14ac:dyDescent="0.2">
      <c r="A1216" s="51" t="str">
        <f>IFERROR(VLOOKUP(B1216,點上線資訊!A:R,18,0),"")</f>
        <v/>
      </c>
      <c r="B1216" s="41">
        <f>'MB51'!A1216</f>
        <v>0</v>
      </c>
      <c r="C1216" s="60" t="str">
        <f>IFERROR(VLOOKUP(B1216,'MB51'!A:I,9,0),"")</f>
        <v/>
      </c>
      <c r="D1216" s="61" t="str">
        <f>IFERROR(VLOOKUP(B1216,'MB51'!A:J,10,0),"")</f>
        <v/>
      </c>
      <c r="E1216" s="62" t="str">
        <f>IFERROR(VLOOKUP(B1216,'MB51'!A:K,11,0),"")</f>
        <v/>
      </c>
      <c r="F1216" s="42" t="str">
        <f>IFERROR(VLOOKUP(B1216,'MB51'!A:F,6,0),"")</f>
        <v/>
      </c>
      <c r="G1216" s="17" t="str">
        <f t="shared" si="54"/>
        <v>點揀料單</v>
      </c>
      <c r="H1216" s="17">
        <f t="shared" si="55"/>
        <v>0</v>
      </c>
      <c r="I1216" t="str">
        <f t="shared" si="56"/>
        <v/>
      </c>
      <c r="J1216" t="str">
        <f>SUBSTITUTE(IF(COUNTIF(I$2:I1216,I1216)&gt;1,"",1)," ","")</f>
        <v/>
      </c>
    </row>
    <row r="1217" spans="1:10" x14ac:dyDescent="0.2">
      <c r="A1217" s="51" t="str">
        <f>IFERROR(VLOOKUP(B1217,點上線資訊!A:R,18,0),"")</f>
        <v/>
      </c>
      <c r="B1217" s="41">
        <f>'MB51'!A1217</f>
        <v>0</v>
      </c>
      <c r="C1217" s="60" t="str">
        <f>IFERROR(VLOOKUP(B1217,'MB51'!A:I,9,0),"")</f>
        <v/>
      </c>
      <c r="D1217" s="61" t="str">
        <f>IFERROR(VLOOKUP(B1217,'MB51'!A:J,10,0),"")</f>
        <v/>
      </c>
      <c r="E1217" s="62" t="str">
        <f>IFERROR(VLOOKUP(B1217,'MB51'!A:K,11,0),"")</f>
        <v/>
      </c>
      <c r="F1217" s="42" t="str">
        <f>IFERROR(VLOOKUP(B1217,'MB51'!A:F,6,0),"")</f>
        <v/>
      </c>
      <c r="G1217" s="17" t="str">
        <f t="shared" si="54"/>
        <v>點揀料單</v>
      </c>
      <c r="H1217" s="17">
        <f t="shared" si="55"/>
        <v>0</v>
      </c>
      <c r="I1217" t="str">
        <f t="shared" si="56"/>
        <v/>
      </c>
      <c r="J1217" t="str">
        <f>SUBSTITUTE(IF(COUNTIF(I$2:I1217,I1217)&gt;1,"",1)," ","")</f>
        <v/>
      </c>
    </row>
    <row r="1218" spans="1:10" x14ac:dyDescent="0.2">
      <c r="A1218" s="51" t="str">
        <f>IFERROR(VLOOKUP(B1218,點上線資訊!A:R,18,0),"")</f>
        <v/>
      </c>
      <c r="B1218" s="41">
        <f>'MB51'!A1218</f>
        <v>0</v>
      </c>
      <c r="C1218" s="60" t="str">
        <f>IFERROR(VLOOKUP(B1218,'MB51'!A:I,9,0),"")</f>
        <v/>
      </c>
      <c r="D1218" s="61" t="str">
        <f>IFERROR(VLOOKUP(B1218,'MB51'!A:J,10,0),"")</f>
        <v/>
      </c>
      <c r="E1218" s="62" t="str">
        <f>IFERROR(VLOOKUP(B1218,'MB51'!A:K,11,0),"")</f>
        <v/>
      </c>
      <c r="F1218" s="42" t="str">
        <f>IFERROR(VLOOKUP(B1218,'MB51'!A:F,6,0),"")</f>
        <v/>
      </c>
      <c r="G1218" s="17" t="str">
        <f t="shared" si="54"/>
        <v>點揀料單</v>
      </c>
      <c r="H1218" s="17">
        <f t="shared" si="55"/>
        <v>0</v>
      </c>
      <c r="I1218" t="str">
        <f t="shared" si="56"/>
        <v/>
      </c>
      <c r="J1218" t="str">
        <f>SUBSTITUTE(IF(COUNTIF(I$2:I1218,I1218)&gt;1,"",1)," ","")</f>
        <v/>
      </c>
    </row>
    <row r="1219" spans="1:10" x14ac:dyDescent="0.2">
      <c r="A1219" s="51" t="str">
        <f>IFERROR(VLOOKUP(B1219,點上線資訊!A:R,18,0),"")</f>
        <v/>
      </c>
      <c r="B1219" s="41">
        <f>'MB51'!A1219</f>
        <v>0</v>
      </c>
      <c r="C1219" s="60" t="str">
        <f>IFERROR(VLOOKUP(B1219,'MB51'!A:I,9,0),"")</f>
        <v/>
      </c>
      <c r="D1219" s="61" t="str">
        <f>IFERROR(VLOOKUP(B1219,'MB51'!A:J,10,0),"")</f>
        <v/>
      </c>
      <c r="E1219" s="62" t="str">
        <f>IFERROR(VLOOKUP(B1219,'MB51'!A:K,11,0),"")</f>
        <v/>
      </c>
      <c r="F1219" s="42" t="str">
        <f>IFERROR(VLOOKUP(B1219,'MB51'!A:F,6,0),"")</f>
        <v/>
      </c>
      <c r="G1219" s="17" t="str">
        <f t="shared" ref="G1219:G1282" si="57">TEXT(D1219,"MM/DD")&amp;TEXT(E1219,"  HH")&amp;"點揀料單"</f>
        <v>點揀料單</v>
      </c>
      <c r="H1219" s="17">
        <f t="shared" ref="H1219:H1282" si="58">ABS(SUMIF(C:C,C1219,F:F))</f>
        <v>0</v>
      </c>
      <c r="I1219" t="str">
        <f t="shared" ref="I1219:I1282" si="59">RIGHTB(C1219,10)</f>
        <v/>
      </c>
      <c r="J1219" t="str">
        <f>SUBSTITUTE(IF(COUNTIF(I$2:I1219,I1219)&gt;1,"",1)," ","")</f>
        <v/>
      </c>
    </row>
    <row r="1220" spans="1:10" x14ac:dyDescent="0.2">
      <c r="A1220" s="51" t="str">
        <f>IFERROR(VLOOKUP(B1220,點上線資訊!A:R,18,0),"")</f>
        <v/>
      </c>
      <c r="B1220" s="41">
        <f>'MB51'!A1220</f>
        <v>0</v>
      </c>
      <c r="C1220" s="60" t="str">
        <f>IFERROR(VLOOKUP(B1220,'MB51'!A:I,9,0),"")</f>
        <v/>
      </c>
      <c r="D1220" s="61" t="str">
        <f>IFERROR(VLOOKUP(B1220,'MB51'!A:J,10,0),"")</f>
        <v/>
      </c>
      <c r="E1220" s="62" t="str">
        <f>IFERROR(VLOOKUP(B1220,'MB51'!A:K,11,0),"")</f>
        <v/>
      </c>
      <c r="F1220" s="42" t="str">
        <f>IFERROR(VLOOKUP(B1220,'MB51'!A:F,6,0),"")</f>
        <v/>
      </c>
      <c r="G1220" s="17" t="str">
        <f t="shared" si="57"/>
        <v>點揀料單</v>
      </c>
      <c r="H1220" s="17">
        <f t="shared" si="58"/>
        <v>0</v>
      </c>
      <c r="I1220" t="str">
        <f t="shared" si="59"/>
        <v/>
      </c>
      <c r="J1220" t="str">
        <f>SUBSTITUTE(IF(COUNTIF(I$2:I1220,I1220)&gt;1,"",1)," ","")</f>
        <v/>
      </c>
    </row>
    <row r="1221" spans="1:10" x14ac:dyDescent="0.2">
      <c r="A1221" s="51" t="str">
        <f>IFERROR(VLOOKUP(B1221,點上線資訊!A:R,18,0),"")</f>
        <v/>
      </c>
      <c r="B1221" s="41">
        <f>'MB51'!A1221</f>
        <v>0</v>
      </c>
      <c r="C1221" s="60" t="str">
        <f>IFERROR(VLOOKUP(B1221,'MB51'!A:I,9,0),"")</f>
        <v/>
      </c>
      <c r="D1221" s="61" t="str">
        <f>IFERROR(VLOOKUP(B1221,'MB51'!A:J,10,0),"")</f>
        <v/>
      </c>
      <c r="E1221" s="62" t="str">
        <f>IFERROR(VLOOKUP(B1221,'MB51'!A:K,11,0),"")</f>
        <v/>
      </c>
      <c r="F1221" s="42" t="str">
        <f>IFERROR(VLOOKUP(B1221,'MB51'!A:F,6,0),"")</f>
        <v/>
      </c>
      <c r="G1221" s="17" t="str">
        <f t="shared" si="57"/>
        <v>點揀料單</v>
      </c>
      <c r="H1221" s="17">
        <f t="shared" si="58"/>
        <v>0</v>
      </c>
      <c r="I1221" t="str">
        <f t="shared" si="59"/>
        <v/>
      </c>
      <c r="J1221" t="str">
        <f>SUBSTITUTE(IF(COUNTIF(I$2:I1221,I1221)&gt;1,"",1)," ","")</f>
        <v/>
      </c>
    </row>
    <row r="1222" spans="1:10" x14ac:dyDescent="0.2">
      <c r="A1222" s="51" t="str">
        <f>IFERROR(VLOOKUP(B1222,點上線資訊!A:R,18,0),"")</f>
        <v/>
      </c>
      <c r="B1222" s="41">
        <f>'MB51'!A1222</f>
        <v>0</v>
      </c>
      <c r="C1222" s="60" t="str">
        <f>IFERROR(VLOOKUP(B1222,'MB51'!A:I,9,0),"")</f>
        <v/>
      </c>
      <c r="D1222" s="61" t="str">
        <f>IFERROR(VLOOKUP(B1222,'MB51'!A:J,10,0),"")</f>
        <v/>
      </c>
      <c r="E1222" s="62" t="str">
        <f>IFERROR(VLOOKUP(B1222,'MB51'!A:K,11,0),"")</f>
        <v/>
      </c>
      <c r="F1222" s="42" t="str">
        <f>IFERROR(VLOOKUP(B1222,'MB51'!A:F,6,0),"")</f>
        <v/>
      </c>
      <c r="G1222" s="17" t="str">
        <f t="shared" si="57"/>
        <v>點揀料單</v>
      </c>
      <c r="H1222" s="17">
        <f t="shared" si="58"/>
        <v>0</v>
      </c>
      <c r="I1222" t="str">
        <f t="shared" si="59"/>
        <v/>
      </c>
      <c r="J1222" t="str">
        <f>SUBSTITUTE(IF(COUNTIF(I$2:I1222,I1222)&gt;1,"",1)," ","")</f>
        <v/>
      </c>
    </row>
    <row r="1223" spans="1:10" x14ac:dyDescent="0.2">
      <c r="A1223" s="51" t="str">
        <f>IFERROR(VLOOKUP(B1223,點上線資訊!A:R,18,0),"")</f>
        <v/>
      </c>
      <c r="B1223" s="41">
        <f>'MB51'!A1223</f>
        <v>0</v>
      </c>
      <c r="C1223" s="60" t="str">
        <f>IFERROR(VLOOKUP(B1223,'MB51'!A:I,9,0),"")</f>
        <v/>
      </c>
      <c r="D1223" s="61" t="str">
        <f>IFERROR(VLOOKUP(B1223,'MB51'!A:J,10,0),"")</f>
        <v/>
      </c>
      <c r="E1223" s="62" t="str">
        <f>IFERROR(VLOOKUP(B1223,'MB51'!A:K,11,0),"")</f>
        <v/>
      </c>
      <c r="F1223" s="42" t="str">
        <f>IFERROR(VLOOKUP(B1223,'MB51'!A:F,6,0),"")</f>
        <v/>
      </c>
      <c r="G1223" s="17" t="str">
        <f t="shared" si="57"/>
        <v>點揀料單</v>
      </c>
      <c r="H1223" s="17">
        <f t="shared" si="58"/>
        <v>0</v>
      </c>
      <c r="I1223" t="str">
        <f t="shared" si="59"/>
        <v/>
      </c>
      <c r="J1223" t="str">
        <f>SUBSTITUTE(IF(COUNTIF(I$2:I1223,I1223)&gt;1,"",1)," ","")</f>
        <v/>
      </c>
    </row>
    <row r="1224" spans="1:10" x14ac:dyDescent="0.2">
      <c r="A1224" s="51" t="str">
        <f>IFERROR(VLOOKUP(B1224,點上線資訊!A:R,18,0),"")</f>
        <v/>
      </c>
      <c r="B1224" s="41">
        <f>'MB51'!A1224</f>
        <v>0</v>
      </c>
      <c r="C1224" s="60" t="str">
        <f>IFERROR(VLOOKUP(B1224,'MB51'!A:I,9,0),"")</f>
        <v/>
      </c>
      <c r="D1224" s="61" t="str">
        <f>IFERROR(VLOOKUP(B1224,'MB51'!A:J,10,0),"")</f>
        <v/>
      </c>
      <c r="E1224" s="62" t="str">
        <f>IFERROR(VLOOKUP(B1224,'MB51'!A:K,11,0),"")</f>
        <v/>
      </c>
      <c r="F1224" s="42" t="str">
        <f>IFERROR(VLOOKUP(B1224,'MB51'!A:F,6,0),"")</f>
        <v/>
      </c>
      <c r="G1224" s="17" t="str">
        <f t="shared" si="57"/>
        <v>點揀料單</v>
      </c>
      <c r="H1224" s="17">
        <f t="shared" si="58"/>
        <v>0</v>
      </c>
      <c r="I1224" t="str">
        <f t="shared" si="59"/>
        <v/>
      </c>
      <c r="J1224" t="str">
        <f>SUBSTITUTE(IF(COUNTIF(I$2:I1224,I1224)&gt;1,"",1)," ","")</f>
        <v/>
      </c>
    </row>
    <row r="1225" spans="1:10" x14ac:dyDescent="0.2">
      <c r="A1225" s="51" t="str">
        <f>IFERROR(VLOOKUP(B1225,點上線資訊!A:R,18,0),"")</f>
        <v/>
      </c>
      <c r="B1225" s="41">
        <f>'MB51'!A1225</f>
        <v>0</v>
      </c>
      <c r="C1225" s="60" t="str">
        <f>IFERROR(VLOOKUP(B1225,'MB51'!A:I,9,0),"")</f>
        <v/>
      </c>
      <c r="D1225" s="61" t="str">
        <f>IFERROR(VLOOKUP(B1225,'MB51'!A:J,10,0),"")</f>
        <v/>
      </c>
      <c r="E1225" s="62" t="str">
        <f>IFERROR(VLOOKUP(B1225,'MB51'!A:K,11,0),"")</f>
        <v/>
      </c>
      <c r="F1225" s="42" t="str">
        <f>IFERROR(VLOOKUP(B1225,'MB51'!A:F,6,0),"")</f>
        <v/>
      </c>
      <c r="G1225" s="17" t="str">
        <f t="shared" si="57"/>
        <v>點揀料單</v>
      </c>
      <c r="H1225" s="17">
        <f t="shared" si="58"/>
        <v>0</v>
      </c>
      <c r="I1225" t="str">
        <f t="shared" si="59"/>
        <v/>
      </c>
      <c r="J1225" t="str">
        <f>SUBSTITUTE(IF(COUNTIF(I$2:I1225,I1225)&gt;1,"",1)," ","")</f>
        <v/>
      </c>
    </row>
    <row r="1226" spans="1:10" x14ac:dyDescent="0.2">
      <c r="A1226" s="51" t="str">
        <f>IFERROR(VLOOKUP(B1226,點上線資訊!A:R,18,0),"")</f>
        <v/>
      </c>
      <c r="B1226" s="41">
        <f>'MB51'!A1226</f>
        <v>0</v>
      </c>
      <c r="C1226" s="60" t="str">
        <f>IFERROR(VLOOKUP(B1226,'MB51'!A:I,9,0),"")</f>
        <v/>
      </c>
      <c r="D1226" s="61" t="str">
        <f>IFERROR(VLOOKUP(B1226,'MB51'!A:J,10,0),"")</f>
        <v/>
      </c>
      <c r="E1226" s="62" t="str">
        <f>IFERROR(VLOOKUP(B1226,'MB51'!A:K,11,0),"")</f>
        <v/>
      </c>
      <c r="F1226" s="42" t="str">
        <f>IFERROR(VLOOKUP(B1226,'MB51'!A:F,6,0),"")</f>
        <v/>
      </c>
      <c r="G1226" s="17" t="str">
        <f t="shared" si="57"/>
        <v>點揀料單</v>
      </c>
      <c r="H1226" s="17">
        <f t="shared" si="58"/>
        <v>0</v>
      </c>
      <c r="I1226" t="str">
        <f t="shared" si="59"/>
        <v/>
      </c>
      <c r="J1226" t="str">
        <f>SUBSTITUTE(IF(COUNTIF(I$2:I1226,I1226)&gt;1,"",1)," ","")</f>
        <v/>
      </c>
    </row>
    <row r="1227" spans="1:10" x14ac:dyDescent="0.2">
      <c r="A1227" s="51" t="str">
        <f>IFERROR(VLOOKUP(B1227,點上線資訊!A:R,18,0),"")</f>
        <v/>
      </c>
      <c r="B1227" s="41">
        <f>'MB51'!A1227</f>
        <v>0</v>
      </c>
      <c r="C1227" s="60" t="str">
        <f>IFERROR(VLOOKUP(B1227,'MB51'!A:I,9,0),"")</f>
        <v/>
      </c>
      <c r="D1227" s="61" t="str">
        <f>IFERROR(VLOOKUP(B1227,'MB51'!A:J,10,0),"")</f>
        <v/>
      </c>
      <c r="E1227" s="62" t="str">
        <f>IFERROR(VLOOKUP(B1227,'MB51'!A:K,11,0),"")</f>
        <v/>
      </c>
      <c r="F1227" s="42" t="str">
        <f>IFERROR(VLOOKUP(B1227,'MB51'!A:F,6,0),"")</f>
        <v/>
      </c>
      <c r="G1227" s="17" t="str">
        <f t="shared" si="57"/>
        <v>點揀料單</v>
      </c>
      <c r="H1227" s="17">
        <f t="shared" si="58"/>
        <v>0</v>
      </c>
      <c r="I1227" t="str">
        <f t="shared" si="59"/>
        <v/>
      </c>
      <c r="J1227" t="str">
        <f>SUBSTITUTE(IF(COUNTIF(I$2:I1227,I1227)&gt;1,"",1)," ","")</f>
        <v/>
      </c>
    </row>
    <row r="1228" spans="1:10" x14ac:dyDescent="0.2">
      <c r="A1228" s="51" t="str">
        <f>IFERROR(VLOOKUP(B1228,點上線資訊!A:R,18,0),"")</f>
        <v/>
      </c>
      <c r="B1228" s="41">
        <f>'MB51'!A1228</f>
        <v>0</v>
      </c>
      <c r="C1228" s="60" t="str">
        <f>IFERROR(VLOOKUP(B1228,'MB51'!A:I,9,0),"")</f>
        <v/>
      </c>
      <c r="D1228" s="61" t="str">
        <f>IFERROR(VLOOKUP(B1228,'MB51'!A:J,10,0),"")</f>
        <v/>
      </c>
      <c r="E1228" s="62" t="str">
        <f>IFERROR(VLOOKUP(B1228,'MB51'!A:K,11,0),"")</f>
        <v/>
      </c>
      <c r="F1228" s="42" t="str">
        <f>IFERROR(VLOOKUP(B1228,'MB51'!A:F,6,0),"")</f>
        <v/>
      </c>
      <c r="G1228" s="17" t="str">
        <f t="shared" si="57"/>
        <v>點揀料單</v>
      </c>
      <c r="H1228" s="17">
        <f t="shared" si="58"/>
        <v>0</v>
      </c>
      <c r="I1228" t="str">
        <f t="shared" si="59"/>
        <v/>
      </c>
      <c r="J1228" t="str">
        <f>SUBSTITUTE(IF(COUNTIF(I$2:I1228,I1228)&gt;1,"",1)," ","")</f>
        <v/>
      </c>
    </row>
    <row r="1229" spans="1:10" x14ac:dyDescent="0.2">
      <c r="A1229" s="51" t="str">
        <f>IFERROR(VLOOKUP(B1229,點上線資訊!A:R,18,0),"")</f>
        <v/>
      </c>
      <c r="B1229" s="41">
        <f>'MB51'!A1229</f>
        <v>0</v>
      </c>
      <c r="C1229" s="60" t="str">
        <f>IFERROR(VLOOKUP(B1229,'MB51'!A:I,9,0),"")</f>
        <v/>
      </c>
      <c r="D1229" s="61" t="str">
        <f>IFERROR(VLOOKUP(B1229,'MB51'!A:J,10,0),"")</f>
        <v/>
      </c>
      <c r="E1229" s="62" t="str">
        <f>IFERROR(VLOOKUP(B1229,'MB51'!A:K,11,0),"")</f>
        <v/>
      </c>
      <c r="F1229" s="42" t="str">
        <f>IFERROR(VLOOKUP(B1229,'MB51'!A:F,6,0),"")</f>
        <v/>
      </c>
      <c r="G1229" s="17" t="str">
        <f t="shared" si="57"/>
        <v>點揀料單</v>
      </c>
      <c r="H1229" s="17">
        <f t="shared" si="58"/>
        <v>0</v>
      </c>
      <c r="I1229" t="str">
        <f t="shared" si="59"/>
        <v/>
      </c>
      <c r="J1229" t="str">
        <f>SUBSTITUTE(IF(COUNTIF(I$2:I1229,I1229)&gt;1,"",1)," ","")</f>
        <v/>
      </c>
    </row>
    <row r="1230" spans="1:10" x14ac:dyDescent="0.2">
      <c r="A1230" s="51" t="str">
        <f>IFERROR(VLOOKUP(B1230,點上線資訊!A:R,18,0),"")</f>
        <v/>
      </c>
      <c r="B1230" s="41">
        <f>'MB51'!A1230</f>
        <v>0</v>
      </c>
      <c r="C1230" s="60" t="str">
        <f>IFERROR(VLOOKUP(B1230,'MB51'!A:I,9,0),"")</f>
        <v/>
      </c>
      <c r="D1230" s="61" t="str">
        <f>IFERROR(VLOOKUP(B1230,'MB51'!A:J,10,0),"")</f>
        <v/>
      </c>
      <c r="E1230" s="62" t="str">
        <f>IFERROR(VLOOKUP(B1230,'MB51'!A:K,11,0),"")</f>
        <v/>
      </c>
      <c r="F1230" s="42" t="str">
        <f>IFERROR(VLOOKUP(B1230,'MB51'!A:F,6,0),"")</f>
        <v/>
      </c>
      <c r="G1230" s="17" t="str">
        <f t="shared" si="57"/>
        <v>點揀料單</v>
      </c>
      <c r="H1230" s="17">
        <f t="shared" si="58"/>
        <v>0</v>
      </c>
      <c r="I1230" t="str">
        <f t="shared" si="59"/>
        <v/>
      </c>
      <c r="J1230" t="str">
        <f>SUBSTITUTE(IF(COUNTIF(I$2:I1230,I1230)&gt;1,"",1)," ","")</f>
        <v/>
      </c>
    </row>
    <row r="1231" spans="1:10" x14ac:dyDescent="0.2">
      <c r="A1231" s="51" t="str">
        <f>IFERROR(VLOOKUP(B1231,點上線資訊!A:R,18,0),"")</f>
        <v/>
      </c>
      <c r="B1231" s="41">
        <f>'MB51'!A1231</f>
        <v>0</v>
      </c>
      <c r="C1231" s="60" t="str">
        <f>IFERROR(VLOOKUP(B1231,'MB51'!A:I,9,0),"")</f>
        <v/>
      </c>
      <c r="D1231" s="61" t="str">
        <f>IFERROR(VLOOKUP(B1231,'MB51'!A:J,10,0),"")</f>
        <v/>
      </c>
      <c r="E1231" s="62" t="str">
        <f>IFERROR(VLOOKUP(B1231,'MB51'!A:K,11,0),"")</f>
        <v/>
      </c>
      <c r="F1231" s="42" t="str">
        <f>IFERROR(VLOOKUP(B1231,'MB51'!A:F,6,0),"")</f>
        <v/>
      </c>
      <c r="G1231" s="17" t="str">
        <f t="shared" si="57"/>
        <v>點揀料單</v>
      </c>
      <c r="H1231" s="17">
        <f t="shared" si="58"/>
        <v>0</v>
      </c>
      <c r="I1231" t="str">
        <f t="shared" si="59"/>
        <v/>
      </c>
      <c r="J1231" t="str">
        <f>SUBSTITUTE(IF(COUNTIF(I$2:I1231,I1231)&gt;1,"",1)," ","")</f>
        <v/>
      </c>
    </row>
    <row r="1232" spans="1:10" x14ac:dyDescent="0.2">
      <c r="A1232" s="51" t="str">
        <f>IFERROR(VLOOKUP(B1232,點上線資訊!A:R,18,0),"")</f>
        <v/>
      </c>
      <c r="B1232" s="41">
        <f>'MB51'!A1232</f>
        <v>0</v>
      </c>
      <c r="C1232" s="60" t="str">
        <f>IFERROR(VLOOKUP(B1232,'MB51'!A:I,9,0),"")</f>
        <v/>
      </c>
      <c r="D1232" s="61" t="str">
        <f>IFERROR(VLOOKUP(B1232,'MB51'!A:J,10,0),"")</f>
        <v/>
      </c>
      <c r="E1232" s="62" t="str">
        <f>IFERROR(VLOOKUP(B1232,'MB51'!A:K,11,0),"")</f>
        <v/>
      </c>
      <c r="F1232" s="42" t="str">
        <f>IFERROR(VLOOKUP(B1232,'MB51'!A:F,6,0),"")</f>
        <v/>
      </c>
      <c r="G1232" s="17" t="str">
        <f t="shared" si="57"/>
        <v>點揀料單</v>
      </c>
      <c r="H1232" s="17">
        <f t="shared" si="58"/>
        <v>0</v>
      </c>
      <c r="I1232" t="str">
        <f t="shared" si="59"/>
        <v/>
      </c>
      <c r="J1232" t="str">
        <f>SUBSTITUTE(IF(COUNTIF(I$2:I1232,I1232)&gt;1,"",1)," ","")</f>
        <v/>
      </c>
    </row>
    <row r="1233" spans="1:10" x14ac:dyDescent="0.2">
      <c r="A1233" s="51" t="str">
        <f>IFERROR(VLOOKUP(B1233,點上線資訊!A:R,18,0),"")</f>
        <v/>
      </c>
      <c r="B1233" s="41">
        <f>'MB51'!A1233</f>
        <v>0</v>
      </c>
      <c r="C1233" s="60" t="str">
        <f>IFERROR(VLOOKUP(B1233,'MB51'!A:I,9,0),"")</f>
        <v/>
      </c>
      <c r="D1233" s="61" t="str">
        <f>IFERROR(VLOOKUP(B1233,'MB51'!A:J,10,0),"")</f>
        <v/>
      </c>
      <c r="E1233" s="62" t="str">
        <f>IFERROR(VLOOKUP(B1233,'MB51'!A:K,11,0),"")</f>
        <v/>
      </c>
      <c r="F1233" s="42" t="str">
        <f>IFERROR(VLOOKUP(B1233,'MB51'!A:F,6,0),"")</f>
        <v/>
      </c>
      <c r="G1233" s="17" t="str">
        <f t="shared" si="57"/>
        <v>點揀料單</v>
      </c>
      <c r="H1233" s="17">
        <f t="shared" si="58"/>
        <v>0</v>
      </c>
      <c r="I1233" t="str">
        <f t="shared" si="59"/>
        <v/>
      </c>
      <c r="J1233" t="str">
        <f>SUBSTITUTE(IF(COUNTIF(I$2:I1233,I1233)&gt;1,"",1)," ","")</f>
        <v/>
      </c>
    </row>
    <row r="1234" spans="1:10" x14ac:dyDescent="0.2">
      <c r="A1234" s="51" t="str">
        <f>IFERROR(VLOOKUP(B1234,點上線資訊!A:R,18,0),"")</f>
        <v/>
      </c>
      <c r="B1234" s="41">
        <f>'MB51'!A1234</f>
        <v>0</v>
      </c>
      <c r="C1234" s="60" t="str">
        <f>IFERROR(VLOOKUP(B1234,'MB51'!A:I,9,0),"")</f>
        <v/>
      </c>
      <c r="D1234" s="61" t="str">
        <f>IFERROR(VLOOKUP(B1234,'MB51'!A:J,10,0),"")</f>
        <v/>
      </c>
      <c r="E1234" s="62" t="str">
        <f>IFERROR(VLOOKUP(B1234,'MB51'!A:K,11,0),"")</f>
        <v/>
      </c>
      <c r="F1234" s="42" t="str">
        <f>IFERROR(VLOOKUP(B1234,'MB51'!A:F,6,0),"")</f>
        <v/>
      </c>
      <c r="G1234" s="17" t="str">
        <f t="shared" si="57"/>
        <v>點揀料單</v>
      </c>
      <c r="H1234" s="17">
        <f t="shared" si="58"/>
        <v>0</v>
      </c>
      <c r="I1234" t="str">
        <f t="shared" si="59"/>
        <v/>
      </c>
      <c r="J1234" t="str">
        <f>SUBSTITUTE(IF(COUNTIF(I$2:I1234,I1234)&gt;1,"",1)," ","")</f>
        <v/>
      </c>
    </row>
    <row r="1235" spans="1:10" x14ac:dyDescent="0.2">
      <c r="A1235" s="51" t="str">
        <f>IFERROR(VLOOKUP(B1235,點上線資訊!A:R,18,0),"")</f>
        <v/>
      </c>
      <c r="B1235" s="41">
        <f>'MB51'!A1235</f>
        <v>0</v>
      </c>
      <c r="C1235" s="60" t="str">
        <f>IFERROR(VLOOKUP(B1235,'MB51'!A:I,9,0),"")</f>
        <v/>
      </c>
      <c r="D1235" s="61" t="str">
        <f>IFERROR(VLOOKUP(B1235,'MB51'!A:J,10,0),"")</f>
        <v/>
      </c>
      <c r="E1235" s="62" t="str">
        <f>IFERROR(VLOOKUP(B1235,'MB51'!A:K,11,0),"")</f>
        <v/>
      </c>
      <c r="F1235" s="42" t="str">
        <f>IFERROR(VLOOKUP(B1235,'MB51'!A:F,6,0),"")</f>
        <v/>
      </c>
      <c r="G1235" s="17" t="str">
        <f t="shared" si="57"/>
        <v>點揀料單</v>
      </c>
      <c r="H1235" s="17">
        <f t="shared" si="58"/>
        <v>0</v>
      </c>
      <c r="I1235" t="str">
        <f t="shared" si="59"/>
        <v/>
      </c>
      <c r="J1235" t="str">
        <f>SUBSTITUTE(IF(COUNTIF(I$2:I1235,I1235)&gt;1,"",1)," ","")</f>
        <v/>
      </c>
    </row>
    <row r="1236" spans="1:10" x14ac:dyDescent="0.2">
      <c r="A1236" s="51" t="str">
        <f>IFERROR(VLOOKUP(B1236,點上線資訊!A:R,18,0),"")</f>
        <v/>
      </c>
      <c r="B1236" s="41">
        <f>'MB51'!A1236</f>
        <v>0</v>
      </c>
      <c r="C1236" s="60" t="str">
        <f>IFERROR(VLOOKUP(B1236,'MB51'!A:I,9,0),"")</f>
        <v/>
      </c>
      <c r="D1236" s="61" t="str">
        <f>IFERROR(VLOOKUP(B1236,'MB51'!A:J,10,0),"")</f>
        <v/>
      </c>
      <c r="E1236" s="62" t="str">
        <f>IFERROR(VLOOKUP(B1236,'MB51'!A:K,11,0),"")</f>
        <v/>
      </c>
      <c r="F1236" s="42" t="str">
        <f>IFERROR(VLOOKUP(B1236,'MB51'!A:F,6,0),"")</f>
        <v/>
      </c>
      <c r="G1236" s="17" t="str">
        <f t="shared" si="57"/>
        <v>點揀料單</v>
      </c>
      <c r="H1236" s="17">
        <f t="shared" si="58"/>
        <v>0</v>
      </c>
      <c r="I1236" t="str">
        <f t="shared" si="59"/>
        <v/>
      </c>
      <c r="J1236" t="str">
        <f>SUBSTITUTE(IF(COUNTIF(I$2:I1236,I1236)&gt;1,"",1)," ","")</f>
        <v/>
      </c>
    </row>
    <row r="1237" spans="1:10" x14ac:dyDescent="0.2">
      <c r="A1237" s="51" t="str">
        <f>IFERROR(VLOOKUP(B1237,點上線資訊!A:R,18,0),"")</f>
        <v/>
      </c>
      <c r="B1237" s="41">
        <f>'MB51'!A1237</f>
        <v>0</v>
      </c>
      <c r="C1237" s="60" t="str">
        <f>IFERROR(VLOOKUP(B1237,'MB51'!A:I,9,0),"")</f>
        <v/>
      </c>
      <c r="D1237" s="61" t="str">
        <f>IFERROR(VLOOKUP(B1237,'MB51'!A:J,10,0),"")</f>
        <v/>
      </c>
      <c r="E1237" s="62" t="str">
        <f>IFERROR(VLOOKUP(B1237,'MB51'!A:K,11,0),"")</f>
        <v/>
      </c>
      <c r="F1237" s="42" t="str">
        <f>IFERROR(VLOOKUP(B1237,'MB51'!A:F,6,0),"")</f>
        <v/>
      </c>
      <c r="G1237" s="17" t="str">
        <f t="shared" si="57"/>
        <v>點揀料單</v>
      </c>
      <c r="H1237" s="17">
        <f t="shared" si="58"/>
        <v>0</v>
      </c>
      <c r="I1237" t="str">
        <f t="shared" si="59"/>
        <v/>
      </c>
      <c r="J1237" t="str">
        <f>SUBSTITUTE(IF(COUNTIF(I$2:I1237,I1237)&gt;1,"",1)," ","")</f>
        <v/>
      </c>
    </row>
    <row r="1238" spans="1:10" x14ac:dyDescent="0.2">
      <c r="A1238" s="51" t="str">
        <f>IFERROR(VLOOKUP(B1238,點上線資訊!A:R,18,0),"")</f>
        <v/>
      </c>
      <c r="B1238" s="41">
        <f>'MB51'!A1238</f>
        <v>0</v>
      </c>
      <c r="C1238" s="60" t="str">
        <f>IFERROR(VLOOKUP(B1238,'MB51'!A:I,9,0),"")</f>
        <v/>
      </c>
      <c r="D1238" s="61" t="str">
        <f>IFERROR(VLOOKUP(B1238,'MB51'!A:J,10,0),"")</f>
        <v/>
      </c>
      <c r="E1238" s="62" t="str">
        <f>IFERROR(VLOOKUP(B1238,'MB51'!A:K,11,0),"")</f>
        <v/>
      </c>
      <c r="F1238" s="42" t="str">
        <f>IFERROR(VLOOKUP(B1238,'MB51'!A:F,6,0),"")</f>
        <v/>
      </c>
      <c r="G1238" s="17" t="str">
        <f t="shared" si="57"/>
        <v>點揀料單</v>
      </c>
      <c r="H1238" s="17">
        <f t="shared" si="58"/>
        <v>0</v>
      </c>
      <c r="I1238" t="str">
        <f t="shared" si="59"/>
        <v/>
      </c>
      <c r="J1238" t="str">
        <f>SUBSTITUTE(IF(COUNTIF(I$2:I1238,I1238)&gt;1,"",1)," ","")</f>
        <v/>
      </c>
    </row>
    <row r="1239" spans="1:10" x14ac:dyDescent="0.2">
      <c r="A1239" s="51" t="str">
        <f>IFERROR(VLOOKUP(B1239,點上線資訊!A:R,18,0),"")</f>
        <v/>
      </c>
      <c r="B1239" s="41">
        <f>'MB51'!A1239</f>
        <v>0</v>
      </c>
      <c r="C1239" s="60" t="str">
        <f>IFERROR(VLOOKUP(B1239,'MB51'!A:I,9,0),"")</f>
        <v/>
      </c>
      <c r="D1239" s="61" t="str">
        <f>IFERROR(VLOOKUP(B1239,'MB51'!A:J,10,0),"")</f>
        <v/>
      </c>
      <c r="E1239" s="62" t="str">
        <f>IFERROR(VLOOKUP(B1239,'MB51'!A:K,11,0),"")</f>
        <v/>
      </c>
      <c r="F1239" s="42" t="str">
        <f>IFERROR(VLOOKUP(B1239,'MB51'!A:F,6,0),"")</f>
        <v/>
      </c>
      <c r="G1239" s="17" t="str">
        <f t="shared" si="57"/>
        <v>點揀料單</v>
      </c>
      <c r="H1239" s="17">
        <f t="shared" si="58"/>
        <v>0</v>
      </c>
      <c r="I1239" t="str">
        <f t="shared" si="59"/>
        <v/>
      </c>
      <c r="J1239" t="str">
        <f>SUBSTITUTE(IF(COUNTIF(I$2:I1239,I1239)&gt;1,"",1)," ","")</f>
        <v/>
      </c>
    </row>
    <row r="1240" spans="1:10" x14ac:dyDescent="0.2">
      <c r="A1240" s="51" t="str">
        <f>IFERROR(VLOOKUP(B1240,點上線資訊!A:R,18,0),"")</f>
        <v/>
      </c>
      <c r="B1240" s="41">
        <f>'MB51'!A1240</f>
        <v>0</v>
      </c>
      <c r="C1240" s="60" t="str">
        <f>IFERROR(VLOOKUP(B1240,'MB51'!A:I,9,0),"")</f>
        <v/>
      </c>
      <c r="D1240" s="61" t="str">
        <f>IFERROR(VLOOKUP(B1240,'MB51'!A:J,10,0),"")</f>
        <v/>
      </c>
      <c r="E1240" s="62" t="str">
        <f>IFERROR(VLOOKUP(B1240,'MB51'!A:K,11,0),"")</f>
        <v/>
      </c>
      <c r="F1240" s="42" t="str">
        <f>IFERROR(VLOOKUP(B1240,'MB51'!A:F,6,0),"")</f>
        <v/>
      </c>
      <c r="G1240" s="17" t="str">
        <f t="shared" si="57"/>
        <v>點揀料單</v>
      </c>
      <c r="H1240" s="17">
        <f t="shared" si="58"/>
        <v>0</v>
      </c>
      <c r="I1240" t="str">
        <f t="shared" si="59"/>
        <v/>
      </c>
      <c r="J1240" t="str">
        <f>SUBSTITUTE(IF(COUNTIF(I$2:I1240,I1240)&gt;1,"",1)," ","")</f>
        <v/>
      </c>
    </row>
    <row r="1241" spans="1:10" x14ac:dyDescent="0.2">
      <c r="A1241" s="51" t="str">
        <f>IFERROR(VLOOKUP(B1241,點上線資訊!A:R,18,0),"")</f>
        <v/>
      </c>
      <c r="B1241" s="41">
        <f>'MB51'!A1241</f>
        <v>0</v>
      </c>
      <c r="C1241" s="60" t="str">
        <f>IFERROR(VLOOKUP(B1241,'MB51'!A:I,9,0),"")</f>
        <v/>
      </c>
      <c r="D1241" s="61" t="str">
        <f>IFERROR(VLOOKUP(B1241,'MB51'!A:J,10,0),"")</f>
        <v/>
      </c>
      <c r="E1241" s="62" t="str">
        <f>IFERROR(VLOOKUP(B1241,'MB51'!A:K,11,0),"")</f>
        <v/>
      </c>
      <c r="F1241" s="42" t="str">
        <f>IFERROR(VLOOKUP(B1241,'MB51'!A:F,6,0),"")</f>
        <v/>
      </c>
      <c r="G1241" s="17" t="str">
        <f t="shared" si="57"/>
        <v>點揀料單</v>
      </c>
      <c r="H1241" s="17">
        <f t="shared" si="58"/>
        <v>0</v>
      </c>
      <c r="I1241" t="str">
        <f t="shared" si="59"/>
        <v/>
      </c>
      <c r="J1241" t="str">
        <f>SUBSTITUTE(IF(COUNTIF(I$2:I1241,I1241)&gt;1,"",1)," ","")</f>
        <v/>
      </c>
    </row>
    <row r="1242" spans="1:10" x14ac:dyDescent="0.2">
      <c r="A1242" s="51" t="str">
        <f>IFERROR(VLOOKUP(B1242,點上線資訊!A:R,18,0),"")</f>
        <v/>
      </c>
      <c r="B1242" s="41">
        <f>'MB51'!A1242</f>
        <v>0</v>
      </c>
      <c r="C1242" s="60" t="str">
        <f>IFERROR(VLOOKUP(B1242,'MB51'!A:I,9,0),"")</f>
        <v/>
      </c>
      <c r="D1242" s="61" t="str">
        <f>IFERROR(VLOOKUP(B1242,'MB51'!A:J,10,0),"")</f>
        <v/>
      </c>
      <c r="E1242" s="62" t="str">
        <f>IFERROR(VLOOKUP(B1242,'MB51'!A:K,11,0),"")</f>
        <v/>
      </c>
      <c r="F1242" s="42" t="str">
        <f>IFERROR(VLOOKUP(B1242,'MB51'!A:F,6,0),"")</f>
        <v/>
      </c>
      <c r="G1242" s="17" t="str">
        <f t="shared" si="57"/>
        <v>點揀料單</v>
      </c>
      <c r="H1242" s="17">
        <f t="shared" si="58"/>
        <v>0</v>
      </c>
      <c r="I1242" t="str">
        <f t="shared" si="59"/>
        <v/>
      </c>
      <c r="J1242" t="str">
        <f>SUBSTITUTE(IF(COUNTIF(I$2:I1242,I1242)&gt;1,"",1)," ","")</f>
        <v/>
      </c>
    </row>
    <row r="1243" spans="1:10" x14ac:dyDescent="0.2">
      <c r="A1243" s="51" t="str">
        <f>IFERROR(VLOOKUP(B1243,點上線資訊!A:R,18,0),"")</f>
        <v/>
      </c>
      <c r="B1243" s="41">
        <f>'MB51'!A1243</f>
        <v>0</v>
      </c>
      <c r="C1243" s="60" t="str">
        <f>IFERROR(VLOOKUP(B1243,'MB51'!A:I,9,0),"")</f>
        <v/>
      </c>
      <c r="D1243" s="61" t="str">
        <f>IFERROR(VLOOKUP(B1243,'MB51'!A:J,10,0),"")</f>
        <v/>
      </c>
      <c r="E1243" s="62" t="str">
        <f>IFERROR(VLOOKUP(B1243,'MB51'!A:K,11,0),"")</f>
        <v/>
      </c>
      <c r="F1243" s="42" t="str">
        <f>IFERROR(VLOOKUP(B1243,'MB51'!A:F,6,0),"")</f>
        <v/>
      </c>
      <c r="G1243" s="17" t="str">
        <f t="shared" si="57"/>
        <v>點揀料單</v>
      </c>
      <c r="H1243" s="17">
        <f t="shared" si="58"/>
        <v>0</v>
      </c>
      <c r="I1243" t="str">
        <f t="shared" si="59"/>
        <v/>
      </c>
      <c r="J1243" t="str">
        <f>SUBSTITUTE(IF(COUNTIF(I$2:I1243,I1243)&gt;1,"",1)," ","")</f>
        <v/>
      </c>
    </row>
    <row r="1244" spans="1:10" x14ac:dyDescent="0.2">
      <c r="A1244" s="51" t="str">
        <f>IFERROR(VLOOKUP(B1244,點上線資訊!A:R,18,0),"")</f>
        <v/>
      </c>
      <c r="B1244" s="41">
        <f>'MB51'!A1244</f>
        <v>0</v>
      </c>
      <c r="C1244" s="60" t="str">
        <f>IFERROR(VLOOKUP(B1244,'MB51'!A:I,9,0),"")</f>
        <v/>
      </c>
      <c r="D1244" s="61" t="str">
        <f>IFERROR(VLOOKUP(B1244,'MB51'!A:J,10,0),"")</f>
        <v/>
      </c>
      <c r="E1244" s="62" t="str">
        <f>IFERROR(VLOOKUP(B1244,'MB51'!A:K,11,0),"")</f>
        <v/>
      </c>
      <c r="F1244" s="42" t="str">
        <f>IFERROR(VLOOKUP(B1244,'MB51'!A:F,6,0),"")</f>
        <v/>
      </c>
      <c r="G1244" s="17" t="str">
        <f t="shared" si="57"/>
        <v>點揀料單</v>
      </c>
      <c r="H1244" s="17">
        <f t="shared" si="58"/>
        <v>0</v>
      </c>
      <c r="I1244" t="str">
        <f t="shared" si="59"/>
        <v/>
      </c>
      <c r="J1244" t="str">
        <f>SUBSTITUTE(IF(COUNTIF(I$2:I1244,I1244)&gt;1,"",1)," ","")</f>
        <v/>
      </c>
    </row>
    <row r="1245" spans="1:10" x14ac:dyDescent="0.2">
      <c r="A1245" s="51" t="str">
        <f>IFERROR(VLOOKUP(B1245,點上線資訊!A:R,18,0),"")</f>
        <v/>
      </c>
      <c r="B1245" s="41">
        <f>'MB51'!A1245</f>
        <v>0</v>
      </c>
      <c r="C1245" s="60" t="str">
        <f>IFERROR(VLOOKUP(B1245,'MB51'!A:I,9,0),"")</f>
        <v/>
      </c>
      <c r="D1245" s="61" t="str">
        <f>IFERROR(VLOOKUP(B1245,'MB51'!A:J,10,0),"")</f>
        <v/>
      </c>
      <c r="E1245" s="62" t="str">
        <f>IFERROR(VLOOKUP(B1245,'MB51'!A:K,11,0),"")</f>
        <v/>
      </c>
      <c r="F1245" s="42" t="str">
        <f>IFERROR(VLOOKUP(B1245,'MB51'!A:F,6,0),"")</f>
        <v/>
      </c>
      <c r="G1245" s="17" t="str">
        <f t="shared" si="57"/>
        <v>點揀料單</v>
      </c>
      <c r="H1245" s="17">
        <f t="shared" si="58"/>
        <v>0</v>
      </c>
      <c r="I1245" t="str">
        <f t="shared" si="59"/>
        <v/>
      </c>
      <c r="J1245" t="str">
        <f>SUBSTITUTE(IF(COUNTIF(I$2:I1245,I1245)&gt;1,"",1)," ","")</f>
        <v/>
      </c>
    </row>
    <row r="1246" spans="1:10" x14ac:dyDescent="0.2">
      <c r="A1246" s="51" t="str">
        <f>IFERROR(VLOOKUP(B1246,點上線資訊!A:R,18,0),"")</f>
        <v/>
      </c>
      <c r="B1246" s="41">
        <f>'MB51'!A1246</f>
        <v>0</v>
      </c>
      <c r="C1246" s="60" t="str">
        <f>IFERROR(VLOOKUP(B1246,'MB51'!A:I,9,0),"")</f>
        <v/>
      </c>
      <c r="D1246" s="61" t="str">
        <f>IFERROR(VLOOKUP(B1246,'MB51'!A:J,10,0),"")</f>
        <v/>
      </c>
      <c r="E1246" s="62" t="str">
        <f>IFERROR(VLOOKUP(B1246,'MB51'!A:K,11,0),"")</f>
        <v/>
      </c>
      <c r="F1246" s="42" t="str">
        <f>IFERROR(VLOOKUP(B1246,'MB51'!A:F,6,0),"")</f>
        <v/>
      </c>
      <c r="G1246" s="17" t="str">
        <f t="shared" si="57"/>
        <v>點揀料單</v>
      </c>
      <c r="H1246" s="17">
        <f t="shared" si="58"/>
        <v>0</v>
      </c>
      <c r="I1246" t="str">
        <f t="shared" si="59"/>
        <v/>
      </c>
      <c r="J1246" t="str">
        <f>SUBSTITUTE(IF(COUNTIF(I$2:I1246,I1246)&gt;1,"",1)," ","")</f>
        <v/>
      </c>
    </row>
    <row r="1247" spans="1:10" x14ac:dyDescent="0.2">
      <c r="A1247" s="51" t="str">
        <f>IFERROR(VLOOKUP(B1247,點上線資訊!A:R,18,0),"")</f>
        <v/>
      </c>
      <c r="B1247" s="41">
        <f>'MB51'!A1247</f>
        <v>0</v>
      </c>
      <c r="C1247" s="60" t="str">
        <f>IFERROR(VLOOKUP(B1247,'MB51'!A:I,9,0),"")</f>
        <v/>
      </c>
      <c r="D1247" s="61" t="str">
        <f>IFERROR(VLOOKUP(B1247,'MB51'!A:J,10,0),"")</f>
        <v/>
      </c>
      <c r="E1247" s="62" t="str">
        <f>IFERROR(VLOOKUP(B1247,'MB51'!A:K,11,0),"")</f>
        <v/>
      </c>
      <c r="F1247" s="42" t="str">
        <f>IFERROR(VLOOKUP(B1247,'MB51'!A:F,6,0),"")</f>
        <v/>
      </c>
      <c r="G1247" s="17" t="str">
        <f t="shared" si="57"/>
        <v>點揀料單</v>
      </c>
      <c r="H1247" s="17">
        <f t="shared" si="58"/>
        <v>0</v>
      </c>
      <c r="I1247" t="str">
        <f t="shared" si="59"/>
        <v/>
      </c>
      <c r="J1247" t="str">
        <f>SUBSTITUTE(IF(COUNTIF(I$2:I1247,I1247)&gt;1,"",1)," ","")</f>
        <v/>
      </c>
    </row>
    <row r="1248" spans="1:10" x14ac:dyDescent="0.2">
      <c r="A1248" s="51" t="str">
        <f>IFERROR(VLOOKUP(B1248,點上線資訊!A:R,18,0),"")</f>
        <v/>
      </c>
      <c r="B1248" s="41">
        <f>'MB51'!A1248</f>
        <v>0</v>
      </c>
      <c r="C1248" s="60" t="str">
        <f>IFERROR(VLOOKUP(B1248,'MB51'!A:I,9,0),"")</f>
        <v/>
      </c>
      <c r="D1248" s="61" t="str">
        <f>IFERROR(VLOOKUP(B1248,'MB51'!A:J,10,0),"")</f>
        <v/>
      </c>
      <c r="E1248" s="62" t="str">
        <f>IFERROR(VLOOKUP(B1248,'MB51'!A:K,11,0),"")</f>
        <v/>
      </c>
      <c r="F1248" s="42" t="str">
        <f>IFERROR(VLOOKUP(B1248,'MB51'!A:F,6,0),"")</f>
        <v/>
      </c>
      <c r="G1248" s="17" t="str">
        <f t="shared" si="57"/>
        <v>點揀料單</v>
      </c>
      <c r="H1248" s="17">
        <f t="shared" si="58"/>
        <v>0</v>
      </c>
      <c r="I1248" t="str">
        <f t="shared" si="59"/>
        <v/>
      </c>
      <c r="J1248" t="str">
        <f>SUBSTITUTE(IF(COUNTIF(I$2:I1248,I1248)&gt;1,"",1)," ","")</f>
        <v/>
      </c>
    </row>
    <row r="1249" spans="1:10" x14ac:dyDescent="0.2">
      <c r="A1249" s="51" t="str">
        <f>IFERROR(VLOOKUP(B1249,點上線資訊!A:R,18,0),"")</f>
        <v/>
      </c>
      <c r="B1249" s="41">
        <f>'MB51'!A1249</f>
        <v>0</v>
      </c>
      <c r="C1249" s="60" t="str">
        <f>IFERROR(VLOOKUP(B1249,'MB51'!A:I,9,0),"")</f>
        <v/>
      </c>
      <c r="D1249" s="61" t="str">
        <f>IFERROR(VLOOKUP(B1249,'MB51'!A:J,10,0),"")</f>
        <v/>
      </c>
      <c r="E1249" s="62" t="str">
        <f>IFERROR(VLOOKUP(B1249,'MB51'!A:K,11,0),"")</f>
        <v/>
      </c>
      <c r="F1249" s="42" t="str">
        <f>IFERROR(VLOOKUP(B1249,'MB51'!A:F,6,0),"")</f>
        <v/>
      </c>
      <c r="G1249" s="17" t="str">
        <f t="shared" si="57"/>
        <v>點揀料單</v>
      </c>
      <c r="H1249" s="17">
        <f t="shared" si="58"/>
        <v>0</v>
      </c>
      <c r="I1249" t="str">
        <f t="shared" si="59"/>
        <v/>
      </c>
      <c r="J1249" t="str">
        <f>SUBSTITUTE(IF(COUNTIF(I$2:I1249,I1249)&gt;1,"",1)," ","")</f>
        <v/>
      </c>
    </row>
    <row r="1250" spans="1:10" x14ac:dyDescent="0.2">
      <c r="A1250" s="51" t="str">
        <f>IFERROR(VLOOKUP(B1250,點上線資訊!A:R,18,0),"")</f>
        <v/>
      </c>
      <c r="B1250" s="41">
        <f>'MB51'!A1250</f>
        <v>0</v>
      </c>
      <c r="C1250" s="60" t="str">
        <f>IFERROR(VLOOKUP(B1250,'MB51'!A:I,9,0),"")</f>
        <v/>
      </c>
      <c r="D1250" s="61" t="str">
        <f>IFERROR(VLOOKUP(B1250,'MB51'!A:J,10,0),"")</f>
        <v/>
      </c>
      <c r="E1250" s="62" t="str">
        <f>IFERROR(VLOOKUP(B1250,'MB51'!A:K,11,0),"")</f>
        <v/>
      </c>
      <c r="F1250" s="42" t="str">
        <f>IFERROR(VLOOKUP(B1250,'MB51'!A:F,6,0),"")</f>
        <v/>
      </c>
      <c r="G1250" s="17" t="str">
        <f t="shared" si="57"/>
        <v>點揀料單</v>
      </c>
      <c r="H1250" s="17">
        <f t="shared" si="58"/>
        <v>0</v>
      </c>
      <c r="I1250" t="str">
        <f t="shared" si="59"/>
        <v/>
      </c>
      <c r="J1250" t="str">
        <f>SUBSTITUTE(IF(COUNTIF(I$2:I1250,I1250)&gt;1,"",1)," ","")</f>
        <v/>
      </c>
    </row>
    <row r="1251" spans="1:10" x14ac:dyDescent="0.2">
      <c r="A1251" s="51" t="str">
        <f>IFERROR(VLOOKUP(B1251,點上線資訊!A:R,18,0),"")</f>
        <v/>
      </c>
      <c r="B1251" s="41">
        <f>'MB51'!A1251</f>
        <v>0</v>
      </c>
      <c r="C1251" s="60" t="str">
        <f>IFERROR(VLOOKUP(B1251,'MB51'!A:I,9,0),"")</f>
        <v/>
      </c>
      <c r="D1251" s="61" t="str">
        <f>IFERROR(VLOOKUP(B1251,'MB51'!A:J,10,0),"")</f>
        <v/>
      </c>
      <c r="E1251" s="62" t="str">
        <f>IFERROR(VLOOKUP(B1251,'MB51'!A:K,11,0),"")</f>
        <v/>
      </c>
      <c r="F1251" s="42" t="str">
        <f>IFERROR(VLOOKUP(B1251,'MB51'!A:F,6,0),"")</f>
        <v/>
      </c>
      <c r="G1251" s="17" t="str">
        <f t="shared" si="57"/>
        <v>點揀料單</v>
      </c>
      <c r="H1251" s="17">
        <f t="shared" si="58"/>
        <v>0</v>
      </c>
      <c r="I1251" t="str">
        <f t="shared" si="59"/>
        <v/>
      </c>
      <c r="J1251" t="str">
        <f>SUBSTITUTE(IF(COUNTIF(I$2:I1251,I1251)&gt;1,"",1)," ","")</f>
        <v/>
      </c>
    </row>
    <row r="1252" spans="1:10" x14ac:dyDescent="0.2">
      <c r="A1252" s="51" t="str">
        <f>IFERROR(VLOOKUP(B1252,點上線資訊!A:R,18,0),"")</f>
        <v/>
      </c>
      <c r="B1252" s="41">
        <f>'MB51'!A1252</f>
        <v>0</v>
      </c>
      <c r="C1252" s="60" t="str">
        <f>IFERROR(VLOOKUP(B1252,'MB51'!A:I,9,0),"")</f>
        <v/>
      </c>
      <c r="D1252" s="61" t="str">
        <f>IFERROR(VLOOKUP(B1252,'MB51'!A:J,10,0),"")</f>
        <v/>
      </c>
      <c r="E1252" s="62" t="str">
        <f>IFERROR(VLOOKUP(B1252,'MB51'!A:K,11,0),"")</f>
        <v/>
      </c>
      <c r="F1252" s="42" t="str">
        <f>IFERROR(VLOOKUP(B1252,'MB51'!A:F,6,0),"")</f>
        <v/>
      </c>
      <c r="G1252" s="17" t="str">
        <f t="shared" si="57"/>
        <v>點揀料單</v>
      </c>
      <c r="H1252" s="17">
        <f t="shared" si="58"/>
        <v>0</v>
      </c>
      <c r="I1252" t="str">
        <f t="shared" si="59"/>
        <v/>
      </c>
      <c r="J1252" t="str">
        <f>SUBSTITUTE(IF(COUNTIF(I$2:I1252,I1252)&gt;1,"",1)," ","")</f>
        <v/>
      </c>
    </row>
    <row r="1253" spans="1:10" x14ac:dyDescent="0.2">
      <c r="A1253" s="51" t="str">
        <f>IFERROR(VLOOKUP(B1253,點上線資訊!A:R,18,0),"")</f>
        <v/>
      </c>
      <c r="B1253" s="41">
        <f>'MB51'!A1253</f>
        <v>0</v>
      </c>
      <c r="C1253" s="60" t="str">
        <f>IFERROR(VLOOKUP(B1253,'MB51'!A:I,9,0),"")</f>
        <v/>
      </c>
      <c r="D1253" s="61" t="str">
        <f>IFERROR(VLOOKUP(B1253,'MB51'!A:J,10,0),"")</f>
        <v/>
      </c>
      <c r="E1253" s="62" t="str">
        <f>IFERROR(VLOOKUP(B1253,'MB51'!A:K,11,0),"")</f>
        <v/>
      </c>
      <c r="F1253" s="42" t="str">
        <f>IFERROR(VLOOKUP(B1253,'MB51'!A:F,6,0),"")</f>
        <v/>
      </c>
      <c r="G1253" s="17" t="str">
        <f t="shared" si="57"/>
        <v>點揀料單</v>
      </c>
      <c r="H1253" s="17">
        <f t="shared" si="58"/>
        <v>0</v>
      </c>
      <c r="I1253" t="str">
        <f t="shared" si="59"/>
        <v/>
      </c>
      <c r="J1253" t="str">
        <f>SUBSTITUTE(IF(COUNTIF(I$2:I1253,I1253)&gt;1,"",1)," ","")</f>
        <v/>
      </c>
    </row>
    <row r="1254" spans="1:10" x14ac:dyDescent="0.2">
      <c r="A1254" s="51" t="str">
        <f>IFERROR(VLOOKUP(B1254,點上線資訊!A:R,18,0),"")</f>
        <v/>
      </c>
      <c r="B1254" s="41">
        <f>'MB51'!A1254</f>
        <v>0</v>
      </c>
      <c r="C1254" s="60" t="str">
        <f>IFERROR(VLOOKUP(B1254,'MB51'!A:I,9,0),"")</f>
        <v/>
      </c>
      <c r="D1254" s="61" t="str">
        <f>IFERROR(VLOOKUP(B1254,'MB51'!A:J,10,0),"")</f>
        <v/>
      </c>
      <c r="E1254" s="62" t="str">
        <f>IFERROR(VLOOKUP(B1254,'MB51'!A:K,11,0),"")</f>
        <v/>
      </c>
      <c r="F1254" s="42" t="str">
        <f>IFERROR(VLOOKUP(B1254,'MB51'!A:F,6,0),"")</f>
        <v/>
      </c>
      <c r="G1254" s="17" t="str">
        <f t="shared" si="57"/>
        <v>點揀料單</v>
      </c>
      <c r="H1254" s="17">
        <f t="shared" si="58"/>
        <v>0</v>
      </c>
      <c r="I1254" t="str">
        <f t="shared" si="59"/>
        <v/>
      </c>
      <c r="J1254" t="str">
        <f>SUBSTITUTE(IF(COUNTIF(I$2:I1254,I1254)&gt;1,"",1)," ","")</f>
        <v/>
      </c>
    </row>
    <row r="1255" spans="1:10" x14ac:dyDescent="0.2">
      <c r="A1255" s="51" t="str">
        <f>IFERROR(VLOOKUP(B1255,點上線資訊!A:R,18,0),"")</f>
        <v/>
      </c>
      <c r="B1255" s="41">
        <f>'MB51'!A1255</f>
        <v>0</v>
      </c>
      <c r="C1255" s="60" t="str">
        <f>IFERROR(VLOOKUP(B1255,'MB51'!A:I,9,0),"")</f>
        <v/>
      </c>
      <c r="D1255" s="61" t="str">
        <f>IFERROR(VLOOKUP(B1255,'MB51'!A:J,10,0),"")</f>
        <v/>
      </c>
      <c r="E1255" s="62" t="str">
        <f>IFERROR(VLOOKUP(B1255,'MB51'!A:K,11,0),"")</f>
        <v/>
      </c>
      <c r="F1255" s="42" t="str">
        <f>IFERROR(VLOOKUP(B1255,'MB51'!A:F,6,0),"")</f>
        <v/>
      </c>
      <c r="G1255" s="17" t="str">
        <f t="shared" si="57"/>
        <v>點揀料單</v>
      </c>
      <c r="H1255" s="17">
        <f t="shared" si="58"/>
        <v>0</v>
      </c>
      <c r="I1255" t="str">
        <f t="shared" si="59"/>
        <v/>
      </c>
      <c r="J1255" t="str">
        <f>SUBSTITUTE(IF(COUNTIF(I$2:I1255,I1255)&gt;1,"",1)," ","")</f>
        <v/>
      </c>
    </row>
    <row r="1256" spans="1:10" x14ac:dyDescent="0.2">
      <c r="A1256" s="51" t="str">
        <f>IFERROR(VLOOKUP(B1256,點上線資訊!A:R,18,0),"")</f>
        <v/>
      </c>
      <c r="B1256" s="41">
        <f>'MB51'!A1256</f>
        <v>0</v>
      </c>
      <c r="C1256" s="60" t="str">
        <f>IFERROR(VLOOKUP(B1256,'MB51'!A:I,9,0),"")</f>
        <v/>
      </c>
      <c r="D1256" s="61" t="str">
        <f>IFERROR(VLOOKUP(B1256,'MB51'!A:J,10,0),"")</f>
        <v/>
      </c>
      <c r="E1256" s="62" t="str">
        <f>IFERROR(VLOOKUP(B1256,'MB51'!A:K,11,0),"")</f>
        <v/>
      </c>
      <c r="F1256" s="42" t="str">
        <f>IFERROR(VLOOKUP(B1256,'MB51'!A:F,6,0),"")</f>
        <v/>
      </c>
      <c r="G1256" s="17" t="str">
        <f t="shared" si="57"/>
        <v>點揀料單</v>
      </c>
      <c r="H1256" s="17">
        <f t="shared" si="58"/>
        <v>0</v>
      </c>
      <c r="I1256" t="str">
        <f t="shared" si="59"/>
        <v/>
      </c>
      <c r="J1256" t="str">
        <f>SUBSTITUTE(IF(COUNTIF(I$2:I1256,I1256)&gt;1,"",1)," ","")</f>
        <v/>
      </c>
    </row>
    <row r="1257" spans="1:10" x14ac:dyDescent="0.2">
      <c r="A1257" s="51" t="str">
        <f>IFERROR(VLOOKUP(B1257,點上線資訊!A:R,18,0),"")</f>
        <v/>
      </c>
      <c r="B1257" s="41">
        <f>'MB51'!A1257</f>
        <v>0</v>
      </c>
      <c r="C1257" s="60" t="str">
        <f>IFERROR(VLOOKUP(B1257,'MB51'!A:I,9,0),"")</f>
        <v/>
      </c>
      <c r="D1257" s="61" t="str">
        <f>IFERROR(VLOOKUP(B1257,'MB51'!A:J,10,0),"")</f>
        <v/>
      </c>
      <c r="E1257" s="62" t="str">
        <f>IFERROR(VLOOKUP(B1257,'MB51'!A:K,11,0),"")</f>
        <v/>
      </c>
      <c r="F1257" s="42" t="str">
        <f>IFERROR(VLOOKUP(B1257,'MB51'!A:F,6,0),"")</f>
        <v/>
      </c>
      <c r="G1257" s="17" t="str">
        <f t="shared" si="57"/>
        <v>點揀料單</v>
      </c>
      <c r="H1257" s="17">
        <f t="shared" si="58"/>
        <v>0</v>
      </c>
      <c r="I1257" t="str">
        <f t="shared" si="59"/>
        <v/>
      </c>
      <c r="J1257" t="str">
        <f>SUBSTITUTE(IF(COUNTIF(I$2:I1257,I1257)&gt;1,"",1)," ","")</f>
        <v/>
      </c>
    </row>
    <row r="1258" spans="1:10" x14ac:dyDescent="0.2">
      <c r="A1258" s="51" t="str">
        <f>IFERROR(VLOOKUP(B1258,點上線資訊!A:R,18,0),"")</f>
        <v/>
      </c>
      <c r="B1258" s="41">
        <f>'MB51'!A1258</f>
        <v>0</v>
      </c>
      <c r="C1258" s="60" t="str">
        <f>IFERROR(VLOOKUP(B1258,'MB51'!A:I,9,0),"")</f>
        <v/>
      </c>
      <c r="D1258" s="61" t="str">
        <f>IFERROR(VLOOKUP(B1258,'MB51'!A:J,10,0),"")</f>
        <v/>
      </c>
      <c r="E1258" s="62" t="str">
        <f>IFERROR(VLOOKUP(B1258,'MB51'!A:K,11,0),"")</f>
        <v/>
      </c>
      <c r="F1258" s="42" t="str">
        <f>IFERROR(VLOOKUP(B1258,'MB51'!A:F,6,0),"")</f>
        <v/>
      </c>
      <c r="G1258" s="17" t="str">
        <f t="shared" si="57"/>
        <v>點揀料單</v>
      </c>
      <c r="H1258" s="17">
        <f t="shared" si="58"/>
        <v>0</v>
      </c>
      <c r="I1258" t="str">
        <f t="shared" si="59"/>
        <v/>
      </c>
      <c r="J1258" t="str">
        <f>SUBSTITUTE(IF(COUNTIF(I$2:I1258,I1258)&gt;1,"",1)," ","")</f>
        <v/>
      </c>
    </row>
    <row r="1259" spans="1:10" x14ac:dyDescent="0.2">
      <c r="A1259" s="51" t="str">
        <f>IFERROR(VLOOKUP(B1259,點上線資訊!A:R,18,0),"")</f>
        <v/>
      </c>
      <c r="B1259" s="41">
        <f>'MB51'!A1259</f>
        <v>0</v>
      </c>
      <c r="C1259" s="60" t="str">
        <f>IFERROR(VLOOKUP(B1259,'MB51'!A:I,9,0),"")</f>
        <v/>
      </c>
      <c r="D1259" s="61" t="str">
        <f>IFERROR(VLOOKUP(B1259,'MB51'!A:J,10,0),"")</f>
        <v/>
      </c>
      <c r="E1259" s="62" t="str">
        <f>IFERROR(VLOOKUP(B1259,'MB51'!A:K,11,0),"")</f>
        <v/>
      </c>
      <c r="F1259" s="42" t="str">
        <f>IFERROR(VLOOKUP(B1259,'MB51'!A:F,6,0),"")</f>
        <v/>
      </c>
      <c r="G1259" s="17" t="str">
        <f t="shared" si="57"/>
        <v>點揀料單</v>
      </c>
      <c r="H1259" s="17">
        <f t="shared" si="58"/>
        <v>0</v>
      </c>
      <c r="I1259" t="str">
        <f t="shared" si="59"/>
        <v/>
      </c>
      <c r="J1259" t="str">
        <f>SUBSTITUTE(IF(COUNTIF(I$2:I1259,I1259)&gt;1,"",1)," ","")</f>
        <v/>
      </c>
    </row>
    <row r="1260" spans="1:10" x14ac:dyDescent="0.2">
      <c r="A1260" s="51" t="str">
        <f>IFERROR(VLOOKUP(B1260,點上線資訊!A:R,18,0),"")</f>
        <v/>
      </c>
      <c r="B1260" s="41">
        <f>'MB51'!A1260</f>
        <v>0</v>
      </c>
      <c r="C1260" s="60" t="str">
        <f>IFERROR(VLOOKUP(B1260,'MB51'!A:I,9,0),"")</f>
        <v/>
      </c>
      <c r="D1260" s="61" t="str">
        <f>IFERROR(VLOOKUP(B1260,'MB51'!A:J,10,0),"")</f>
        <v/>
      </c>
      <c r="E1260" s="62" t="str">
        <f>IFERROR(VLOOKUP(B1260,'MB51'!A:K,11,0),"")</f>
        <v/>
      </c>
      <c r="F1260" s="42" t="str">
        <f>IFERROR(VLOOKUP(B1260,'MB51'!A:F,6,0),"")</f>
        <v/>
      </c>
      <c r="G1260" s="17" t="str">
        <f t="shared" si="57"/>
        <v>點揀料單</v>
      </c>
      <c r="H1260" s="17">
        <f t="shared" si="58"/>
        <v>0</v>
      </c>
      <c r="I1260" t="str">
        <f t="shared" si="59"/>
        <v/>
      </c>
      <c r="J1260" t="str">
        <f>SUBSTITUTE(IF(COUNTIF(I$2:I1260,I1260)&gt;1,"",1)," ","")</f>
        <v/>
      </c>
    </row>
    <row r="1261" spans="1:10" x14ac:dyDescent="0.2">
      <c r="A1261" s="51" t="str">
        <f>IFERROR(VLOOKUP(B1261,點上線資訊!A:R,18,0),"")</f>
        <v/>
      </c>
      <c r="B1261" s="41">
        <f>'MB51'!A1261</f>
        <v>0</v>
      </c>
      <c r="C1261" s="60" t="str">
        <f>IFERROR(VLOOKUP(B1261,'MB51'!A:I,9,0),"")</f>
        <v/>
      </c>
      <c r="D1261" s="61" t="str">
        <f>IFERROR(VLOOKUP(B1261,'MB51'!A:J,10,0),"")</f>
        <v/>
      </c>
      <c r="E1261" s="62" t="str">
        <f>IFERROR(VLOOKUP(B1261,'MB51'!A:K,11,0),"")</f>
        <v/>
      </c>
      <c r="F1261" s="42" t="str">
        <f>IFERROR(VLOOKUP(B1261,'MB51'!A:F,6,0),"")</f>
        <v/>
      </c>
      <c r="G1261" s="17" t="str">
        <f t="shared" si="57"/>
        <v>點揀料單</v>
      </c>
      <c r="H1261" s="17">
        <f t="shared" si="58"/>
        <v>0</v>
      </c>
      <c r="I1261" t="str">
        <f t="shared" si="59"/>
        <v/>
      </c>
      <c r="J1261" t="str">
        <f>SUBSTITUTE(IF(COUNTIF(I$2:I1261,I1261)&gt;1,"",1)," ","")</f>
        <v/>
      </c>
    </row>
    <row r="1262" spans="1:10" x14ac:dyDescent="0.2">
      <c r="A1262" s="51" t="str">
        <f>IFERROR(VLOOKUP(B1262,點上線資訊!A:R,18,0),"")</f>
        <v/>
      </c>
      <c r="B1262" s="41">
        <f>'MB51'!A1262</f>
        <v>0</v>
      </c>
      <c r="C1262" s="60" t="str">
        <f>IFERROR(VLOOKUP(B1262,'MB51'!A:I,9,0),"")</f>
        <v/>
      </c>
      <c r="D1262" s="61" t="str">
        <f>IFERROR(VLOOKUP(B1262,'MB51'!A:J,10,0),"")</f>
        <v/>
      </c>
      <c r="E1262" s="62" t="str">
        <f>IFERROR(VLOOKUP(B1262,'MB51'!A:K,11,0),"")</f>
        <v/>
      </c>
      <c r="F1262" s="42" t="str">
        <f>IFERROR(VLOOKUP(B1262,'MB51'!A:F,6,0),"")</f>
        <v/>
      </c>
      <c r="G1262" s="17" t="str">
        <f t="shared" si="57"/>
        <v>點揀料單</v>
      </c>
      <c r="H1262" s="17">
        <f t="shared" si="58"/>
        <v>0</v>
      </c>
      <c r="I1262" t="str">
        <f t="shared" si="59"/>
        <v/>
      </c>
      <c r="J1262" t="str">
        <f>SUBSTITUTE(IF(COUNTIF(I$2:I1262,I1262)&gt;1,"",1)," ","")</f>
        <v/>
      </c>
    </row>
    <row r="1263" spans="1:10" x14ac:dyDescent="0.2">
      <c r="A1263" s="51" t="str">
        <f>IFERROR(VLOOKUP(B1263,點上線資訊!A:R,18,0),"")</f>
        <v/>
      </c>
      <c r="B1263" s="41">
        <f>'MB51'!A1263</f>
        <v>0</v>
      </c>
      <c r="C1263" s="60" t="str">
        <f>IFERROR(VLOOKUP(B1263,'MB51'!A:I,9,0),"")</f>
        <v/>
      </c>
      <c r="D1263" s="61" t="str">
        <f>IFERROR(VLOOKUP(B1263,'MB51'!A:J,10,0),"")</f>
        <v/>
      </c>
      <c r="E1263" s="62" t="str">
        <f>IFERROR(VLOOKUP(B1263,'MB51'!A:K,11,0),"")</f>
        <v/>
      </c>
      <c r="F1263" s="42" t="str">
        <f>IFERROR(VLOOKUP(B1263,'MB51'!A:F,6,0),"")</f>
        <v/>
      </c>
      <c r="G1263" s="17" t="str">
        <f t="shared" si="57"/>
        <v>點揀料單</v>
      </c>
      <c r="H1263" s="17">
        <f t="shared" si="58"/>
        <v>0</v>
      </c>
      <c r="I1263" t="str">
        <f t="shared" si="59"/>
        <v/>
      </c>
      <c r="J1263" t="str">
        <f>SUBSTITUTE(IF(COUNTIF(I$2:I1263,I1263)&gt;1,"",1)," ","")</f>
        <v/>
      </c>
    </row>
    <row r="1264" spans="1:10" x14ac:dyDescent="0.2">
      <c r="A1264" s="51" t="str">
        <f>IFERROR(VLOOKUP(B1264,點上線資訊!A:R,18,0),"")</f>
        <v/>
      </c>
      <c r="B1264" s="41">
        <f>'MB51'!A1264</f>
        <v>0</v>
      </c>
      <c r="C1264" s="60" t="str">
        <f>IFERROR(VLOOKUP(B1264,'MB51'!A:I,9,0),"")</f>
        <v/>
      </c>
      <c r="D1264" s="61" t="str">
        <f>IFERROR(VLOOKUP(B1264,'MB51'!A:J,10,0),"")</f>
        <v/>
      </c>
      <c r="E1264" s="62" t="str">
        <f>IFERROR(VLOOKUP(B1264,'MB51'!A:K,11,0),"")</f>
        <v/>
      </c>
      <c r="F1264" s="42" t="str">
        <f>IFERROR(VLOOKUP(B1264,'MB51'!A:F,6,0),"")</f>
        <v/>
      </c>
      <c r="G1264" s="17" t="str">
        <f t="shared" si="57"/>
        <v>點揀料單</v>
      </c>
      <c r="H1264" s="17">
        <f t="shared" si="58"/>
        <v>0</v>
      </c>
      <c r="I1264" t="str">
        <f t="shared" si="59"/>
        <v/>
      </c>
      <c r="J1264" t="str">
        <f>SUBSTITUTE(IF(COUNTIF(I$2:I1264,I1264)&gt;1,"",1)," ","")</f>
        <v/>
      </c>
    </row>
    <row r="1265" spans="1:10" x14ac:dyDescent="0.2">
      <c r="A1265" s="51" t="str">
        <f>IFERROR(VLOOKUP(B1265,點上線資訊!A:R,18,0),"")</f>
        <v/>
      </c>
      <c r="B1265" s="41">
        <f>'MB51'!A1265</f>
        <v>0</v>
      </c>
      <c r="C1265" s="60" t="str">
        <f>IFERROR(VLOOKUP(B1265,'MB51'!A:I,9,0),"")</f>
        <v/>
      </c>
      <c r="D1265" s="61" t="str">
        <f>IFERROR(VLOOKUP(B1265,'MB51'!A:J,10,0),"")</f>
        <v/>
      </c>
      <c r="E1265" s="62" t="str">
        <f>IFERROR(VLOOKUP(B1265,'MB51'!A:K,11,0),"")</f>
        <v/>
      </c>
      <c r="F1265" s="42" t="str">
        <f>IFERROR(VLOOKUP(B1265,'MB51'!A:F,6,0),"")</f>
        <v/>
      </c>
      <c r="G1265" s="17" t="str">
        <f t="shared" si="57"/>
        <v>點揀料單</v>
      </c>
      <c r="H1265" s="17">
        <f t="shared" si="58"/>
        <v>0</v>
      </c>
      <c r="I1265" t="str">
        <f t="shared" si="59"/>
        <v/>
      </c>
      <c r="J1265" t="str">
        <f>SUBSTITUTE(IF(COUNTIF(I$2:I1265,I1265)&gt;1,"",1)," ","")</f>
        <v/>
      </c>
    </row>
    <row r="1266" spans="1:10" x14ac:dyDescent="0.2">
      <c r="A1266" s="51" t="str">
        <f>IFERROR(VLOOKUP(B1266,點上線資訊!A:R,18,0),"")</f>
        <v/>
      </c>
      <c r="B1266" s="41">
        <f>'MB51'!A1266</f>
        <v>0</v>
      </c>
      <c r="C1266" s="60" t="str">
        <f>IFERROR(VLOOKUP(B1266,'MB51'!A:I,9,0),"")</f>
        <v/>
      </c>
      <c r="D1266" s="61" t="str">
        <f>IFERROR(VLOOKUP(B1266,'MB51'!A:J,10,0),"")</f>
        <v/>
      </c>
      <c r="E1266" s="62" t="str">
        <f>IFERROR(VLOOKUP(B1266,'MB51'!A:K,11,0),"")</f>
        <v/>
      </c>
      <c r="F1266" s="42" t="str">
        <f>IFERROR(VLOOKUP(B1266,'MB51'!A:F,6,0),"")</f>
        <v/>
      </c>
      <c r="G1266" s="17" t="str">
        <f t="shared" si="57"/>
        <v>點揀料單</v>
      </c>
      <c r="H1266" s="17">
        <f t="shared" si="58"/>
        <v>0</v>
      </c>
      <c r="I1266" t="str">
        <f t="shared" si="59"/>
        <v/>
      </c>
      <c r="J1266" t="str">
        <f>SUBSTITUTE(IF(COUNTIF(I$2:I1266,I1266)&gt;1,"",1)," ","")</f>
        <v/>
      </c>
    </row>
    <row r="1267" spans="1:10" x14ac:dyDescent="0.2">
      <c r="A1267" s="51" t="str">
        <f>IFERROR(VLOOKUP(B1267,點上線資訊!A:R,18,0),"")</f>
        <v/>
      </c>
      <c r="B1267" s="41">
        <f>'MB51'!A1267</f>
        <v>0</v>
      </c>
      <c r="C1267" s="60" t="str">
        <f>IFERROR(VLOOKUP(B1267,'MB51'!A:I,9,0),"")</f>
        <v/>
      </c>
      <c r="D1267" s="61" t="str">
        <f>IFERROR(VLOOKUP(B1267,'MB51'!A:J,10,0),"")</f>
        <v/>
      </c>
      <c r="E1267" s="62" t="str">
        <f>IFERROR(VLOOKUP(B1267,'MB51'!A:K,11,0),"")</f>
        <v/>
      </c>
      <c r="F1267" s="42" t="str">
        <f>IFERROR(VLOOKUP(B1267,'MB51'!A:F,6,0),"")</f>
        <v/>
      </c>
      <c r="G1267" s="17" t="str">
        <f t="shared" si="57"/>
        <v>點揀料單</v>
      </c>
      <c r="H1267" s="17">
        <f t="shared" si="58"/>
        <v>0</v>
      </c>
      <c r="I1267" t="str">
        <f t="shared" si="59"/>
        <v/>
      </c>
      <c r="J1267" t="str">
        <f>SUBSTITUTE(IF(COUNTIF(I$2:I1267,I1267)&gt;1,"",1)," ","")</f>
        <v/>
      </c>
    </row>
    <row r="1268" spans="1:10" x14ac:dyDescent="0.2">
      <c r="A1268" s="51" t="str">
        <f>IFERROR(VLOOKUP(B1268,點上線資訊!A:R,18,0),"")</f>
        <v/>
      </c>
      <c r="B1268" s="41">
        <f>'MB51'!A1268</f>
        <v>0</v>
      </c>
      <c r="C1268" s="60" t="str">
        <f>IFERROR(VLOOKUP(B1268,'MB51'!A:I,9,0),"")</f>
        <v/>
      </c>
      <c r="D1268" s="61" t="str">
        <f>IFERROR(VLOOKUP(B1268,'MB51'!A:J,10,0),"")</f>
        <v/>
      </c>
      <c r="E1268" s="62" t="str">
        <f>IFERROR(VLOOKUP(B1268,'MB51'!A:K,11,0),"")</f>
        <v/>
      </c>
      <c r="F1268" s="42" t="str">
        <f>IFERROR(VLOOKUP(B1268,'MB51'!A:F,6,0),"")</f>
        <v/>
      </c>
      <c r="G1268" s="17" t="str">
        <f t="shared" si="57"/>
        <v>點揀料單</v>
      </c>
      <c r="H1268" s="17">
        <f t="shared" si="58"/>
        <v>0</v>
      </c>
      <c r="I1268" t="str">
        <f t="shared" si="59"/>
        <v/>
      </c>
      <c r="J1268" t="str">
        <f>SUBSTITUTE(IF(COUNTIF(I$2:I1268,I1268)&gt;1,"",1)," ","")</f>
        <v/>
      </c>
    </row>
    <row r="1269" spans="1:10" x14ac:dyDescent="0.2">
      <c r="A1269" s="51" t="str">
        <f>IFERROR(VLOOKUP(B1269,點上線資訊!A:R,18,0),"")</f>
        <v/>
      </c>
      <c r="B1269" s="41">
        <f>'MB51'!A1269</f>
        <v>0</v>
      </c>
      <c r="C1269" s="60" t="str">
        <f>IFERROR(VLOOKUP(B1269,'MB51'!A:I,9,0),"")</f>
        <v/>
      </c>
      <c r="D1269" s="61" t="str">
        <f>IFERROR(VLOOKUP(B1269,'MB51'!A:J,10,0),"")</f>
        <v/>
      </c>
      <c r="E1269" s="62" t="str">
        <f>IFERROR(VLOOKUP(B1269,'MB51'!A:K,11,0),"")</f>
        <v/>
      </c>
      <c r="F1269" s="42" t="str">
        <f>IFERROR(VLOOKUP(B1269,'MB51'!A:F,6,0),"")</f>
        <v/>
      </c>
      <c r="G1269" s="17" t="str">
        <f t="shared" si="57"/>
        <v>點揀料單</v>
      </c>
      <c r="H1269" s="17">
        <f t="shared" si="58"/>
        <v>0</v>
      </c>
      <c r="I1269" t="str">
        <f t="shared" si="59"/>
        <v/>
      </c>
      <c r="J1269" t="str">
        <f>SUBSTITUTE(IF(COUNTIF(I$2:I1269,I1269)&gt;1,"",1)," ","")</f>
        <v/>
      </c>
    </row>
    <row r="1270" spans="1:10" x14ac:dyDescent="0.2">
      <c r="A1270" s="51" t="str">
        <f>IFERROR(VLOOKUP(B1270,點上線資訊!A:R,18,0),"")</f>
        <v/>
      </c>
      <c r="B1270" s="41">
        <f>'MB51'!A1270</f>
        <v>0</v>
      </c>
      <c r="C1270" s="60" t="str">
        <f>IFERROR(VLOOKUP(B1270,'MB51'!A:I,9,0),"")</f>
        <v/>
      </c>
      <c r="D1270" s="61" t="str">
        <f>IFERROR(VLOOKUP(B1270,'MB51'!A:J,10,0),"")</f>
        <v/>
      </c>
      <c r="E1270" s="62" t="str">
        <f>IFERROR(VLOOKUP(B1270,'MB51'!A:K,11,0),"")</f>
        <v/>
      </c>
      <c r="F1270" s="42" t="str">
        <f>IFERROR(VLOOKUP(B1270,'MB51'!A:F,6,0),"")</f>
        <v/>
      </c>
      <c r="G1270" s="17" t="str">
        <f t="shared" si="57"/>
        <v>點揀料單</v>
      </c>
      <c r="H1270" s="17">
        <f t="shared" si="58"/>
        <v>0</v>
      </c>
      <c r="I1270" t="str">
        <f t="shared" si="59"/>
        <v/>
      </c>
      <c r="J1270" t="str">
        <f>SUBSTITUTE(IF(COUNTIF(I$2:I1270,I1270)&gt;1,"",1)," ","")</f>
        <v/>
      </c>
    </row>
    <row r="1271" spans="1:10" x14ac:dyDescent="0.2">
      <c r="A1271" s="51" t="str">
        <f>IFERROR(VLOOKUP(B1271,點上線資訊!A:R,18,0),"")</f>
        <v/>
      </c>
      <c r="B1271" s="41">
        <f>'MB51'!A1271</f>
        <v>0</v>
      </c>
      <c r="C1271" s="60" t="str">
        <f>IFERROR(VLOOKUP(B1271,'MB51'!A:I,9,0),"")</f>
        <v/>
      </c>
      <c r="D1271" s="61" t="str">
        <f>IFERROR(VLOOKUP(B1271,'MB51'!A:J,10,0),"")</f>
        <v/>
      </c>
      <c r="E1271" s="62" t="str">
        <f>IFERROR(VLOOKUP(B1271,'MB51'!A:K,11,0),"")</f>
        <v/>
      </c>
      <c r="F1271" s="42" t="str">
        <f>IFERROR(VLOOKUP(B1271,'MB51'!A:F,6,0),"")</f>
        <v/>
      </c>
      <c r="G1271" s="17" t="str">
        <f t="shared" si="57"/>
        <v>點揀料單</v>
      </c>
      <c r="H1271" s="17">
        <f t="shared" si="58"/>
        <v>0</v>
      </c>
      <c r="I1271" t="str">
        <f t="shared" si="59"/>
        <v/>
      </c>
      <c r="J1271" t="str">
        <f>SUBSTITUTE(IF(COUNTIF(I$2:I1271,I1271)&gt;1,"",1)," ","")</f>
        <v/>
      </c>
    </row>
    <row r="1272" spans="1:10" x14ac:dyDescent="0.2">
      <c r="A1272" s="51" t="str">
        <f>IFERROR(VLOOKUP(B1272,點上線資訊!A:R,18,0),"")</f>
        <v/>
      </c>
      <c r="B1272" s="41">
        <f>'MB51'!A1272</f>
        <v>0</v>
      </c>
      <c r="C1272" s="60" t="str">
        <f>IFERROR(VLOOKUP(B1272,'MB51'!A:I,9,0),"")</f>
        <v/>
      </c>
      <c r="D1272" s="61" t="str">
        <f>IFERROR(VLOOKUP(B1272,'MB51'!A:J,10,0),"")</f>
        <v/>
      </c>
      <c r="E1272" s="62" t="str">
        <f>IFERROR(VLOOKUP(B1272,'MB51'!A:K,11,0),"")</f>
        <v/>
      </c>
      <c r="F1272" s="42" t="str">
        <f>IFERROR(VLOOKUP(B1272,'MB51'!A:F,6,0),"")</f>
        <v/>
      </c>
      <c r="G1272" s="17" t="str">
        <f t="shared" si="57"/>
        <v>點揀料單</v>
      </c>
      <c r="H1272" s="17">
        <f t="shared" si="58"/>
        <v>0</v>
      </c>
      <c r="I1272" t="str">
        <f t="shared" si="59"/>
        <v/>
      </c>
      <c r="J1272" t="str">
        <f>SUBSTITUTE(IF(COUNTIF(I$2:I1272,I1272)&gt;1,"",1)," ","")</f>
        <v/>
      </c>
    </row>
    <row r="1273" spans="1:10" x14ac:dyDescent="0.2">
      <c r="A1273" s="51" t="str">
        <f>IFERROR(VLOOKUP(B1273,點上線資訊!A:R,18,0),"")</f>
        <v/>
      </c>
      <c r="B1273" s="41">
        <f>'MB51'!A1273</f>
        <v>0</v>
      </c>
      <c r="C1273" s="60" t="str">
        <f>IFERROR(VLOOKUP(B1273,'MB51'!A:I,9,0),"")</f>
        <v/>
      </c>
      <c r="D1273" s="61" t="str">
        <f>IFERROR(VLOOKUP(B1273,'MB51'!A:J,10,0),"")</f>
        <v/>
      </c>
      <c r="E1273" s="62" t="str">
        <f>IFERROR(VLOOKUP(B1273,'MB51'!A:K,11,0),"")</f>
        <v/>
      </c>
      <c r="F1273" s="42" t="str">
        <f>IFERROR(VLOOKUP(B1273,'MB51'!A:F,6,0),"")</f>
        <v/>
      </c>
      <c r="G1273" s="17" t="str">
        <f t="shared" si="57"/>
        <v>點揀料單</v>
      </c>
      <c r="H1273" s="17">
        <f t="shared" si="58"/>
        <v>0</v>
      </c>
      <c r="I1273" t="str">
        <f t="shared" si="59"/>
        <v/>
      </c>
      <c r="J1273" t="str">
        <f>SUBSTITUTE(IF(COUNTIF(I$2:I1273,I1273)&gt;1,"",1)," ","")</f>
        <v/>
      </c>
    </row>
    <row r="1274" spans="1:10" x14ac:dyDescent="0.2">
      <c r="A1274" s="51" t="str">
        <f>IFERROR(VLOOKUP(B1274,點上線資訊!A:R,18,0),"")</f>
        <v/>
      </c>
      <c r="B1274" s="41">
        <f>'MB51'!A1274</f>
        <v>0</v>
      </c>
      <c r="C1274" s="60" t="str">
        <f>IFERROR(VLOOKUP(B1274,'MB51'!A:I,9,0),"")</f>
        <v/>
      </c>
      <c r="D1274" s="61" t="str">
        <f>IFERROR(VLOOKUP(B1274,'MB51'!A:J,10,0),"")</f>
        <v/>
      </c>
      <c r="E1274" s="62" t="str">
        <f>IFERROR(VLOOKUP(B1274,'MB51'!A:K,11,0),"")</f>
        <v/>
      </c>
      <c r="F1274" s="42" t="str">
        <f>IFERROR(VLOOKUP(B1274,'MB51'!A:F,6,0),"")</f>
        <v/>
      </c>
      <c r="G1274" s="17" t="str">
        <f t="shared" si="57"/>
        <v>點揀料單</v>
      </c>
      <c r="H1274" s="17">
        <f t="shared" si="58"/>
        <v>0</v>
      </c>
      <c r="I1274" t="str">
        <f t="shared" si="59"/>
        <v/>
      </c>
      <c r="J1274" t="str">
        <f>SUBSTITUTE(IF(COUNTIF(I$2:I1274,I1274)&gt;1,"",1)," ","")</f>
        <v/>
      </c>
    </row>
    <row r="1275" spans="1:10" x14ac:dyDescent="0.2">
      <c r="A1275" s="51" t="str">
        <f>IFERROR(VLOOKUP(B1275,點上線資訊!A:R,18,0),"")</f>
        <v/>
      </c>
      <c r="B1275" s="41">
        <f>'MB51'!A1275</f>
        <v>0</v>
      </c>
      <c r="C1275" s="60" t="str">
        <f>IFERROR(VLOOKUP(B1275,'MB51'!A:I,9,0),"")</f>
        <v/>
      </c>
      <c r="D1275" s="61" t="str">
        <f>IFERROR(VLOOKUP(B1275,'MB51'!A:J,10,0),"")</f>
        <v/>
      </c>
      <c r="E1275" s="62" t="str">
        <f>IFERROR(VLOOKUP(B1275,'MB51'!A:K,11,0),"")</f>
        <v/>
      </c>
      <c r="F1275" s="42" t="str">
        <f>IFERROR(VLOOKUP(B1275,'MB51'!A:F,6,0),"")</f>
        <v/>
      </c>
      <c r="G1275" s="17" t="str">
        <f t="shared" si="57"/>
        <v>點揀料單</v>
      </c>
      <c r="H1275" s="17">
        <f t="shared" si="58"/>
        <v>0</v>
      </c>
      <c r="I1275" t="str">
        <f t="shared" si="59"/>
        <v/>
      </c>
      <c r="J1275" t="str">
        <f>SUBSTITUTE(IF(COUNTIF(I$2:I1275,I1275)&gt;1,"",1)," ","")</f>
        <v/>
      </c>
    </row>
    <row r="1276" spans="1:10" x14ac:dyDescent="0.2">
      <c r="A1276" s="51" t="str">
        <f>IFERROR(VLOOKUP(B1276,點上線資訊!A:R,18,0),"")</f>
        <v/>
      </c>
      <c r="B1276" s="41">
        <f>'MB51'!A1276</f>
        <v>0</v>
      </c>
      <c r="C1276" s="60" t="str">
        <f>IFERROR(VLOOKUP(B1276,'MB51'!A:I,9,0),"")</f>
        <v/>
      </c>
      <c r="D1276" s="61" t="str">
        <f>IFERROR(VLOOKUP(B1276,'MB51'!A:J,10,0),"")</f>
        <v/>
      </c>
      <c r="E1276" s="62" t="str">
        <f>IFERROR(VLOOKUP(B1276,'MB51'!A:K,11,0),"")</f>
        <v/>
      </c>
      <c r="F1276" s="42" t="str">
        <f>IFERROR(VLOOKUP(B1276,'MB51'!A:F,6,0),"")</f>
        <v/>
      </c>
      <c r="G1276" s="17" t="str">
        <f t="shared" si="57"/>
        <v>點揀料單</v>
      </c>
      <c r="H1276" s="17">
        <f t="shared" si="58"/>
        <v>0</v>
      </c>
      <c r="I1276" t="str">
        <f t="shared" si="59"/>
        <v/>
      </c>
      <c r="J1276" t="str">
        <f>SUBSTITUTE(IF(COUNTIF(I$2:I1276,I1276)&gt;1,"",1)," ","")</f>
        <v/>
      </c>
    </row>
    <row r="1277" spans="1:10" x14ac:dyDescent="0.2">
      <c r="A1277" s="51" t="str">
        <f>IFERROR(VLOOKUP(B1277,點上線資訊!A:R,18,0),"")</f>
        <v/>
      </c>
      <c r="B1277" s="41">
        <f>'MB51'!A1277</f>
        <v>0</v>
      </c>
      <c r="C1277" s="60" t="str">
        <f>IFERROR(VLOOKUP(B1277,'MB51'!A:I,9,0),"")</f>
        <v/>
      </c>
      <c r="D1277" s="61" t="str">
        <f>IFERROR(VLOOKUP(B1277,'MB51'!A:J,10,0),"")</f>
        <v/>
      </c>
      <c r="E1277" s="62" t="str">
        <f>IFERROR(VLOOKUP(B1277,'MB51'!A:K,11,0),"")</f>
        <v/>
      </c>
      <c r="F1277" s="42" t="str">
        <f>IFERROR(VLOOKUP(B1277,'MB51'!A:F,6,0),"")</f>
        <v/>
      </c>
      <c r="G1277" s="17" t="str">
        <f t="shared" si="57"/>
        <v>點揀料單</v>
      </c>
      <c r="H1277" s="17">
        <f t="shared" si="58"/>
        <v>0</v>
      </c>
      <c r="I1277" t="str">
        <f t="shared" si="59"/>
        <v/>
      </c>
      <c r="J1277" t="str">
        <f>SUBSTITUTE(IF(COUNTIF(I$2:I1277,I1277)&gt;1,"",1)," ","")</f>
        <v/>
      </c>
    </row>
    <row r="1278" spans="1:10" x14ac:dyDescent="0.2">
      <c r="A1278" s="51" t="str">
        <f>IFERROR(VLOOKUP(B1278,點上線資訊!A:R,18,0),"")</f>
        <v/>
      </c>
      <c r="B1278" s="41">
        <f>'MB51'!A1278</f>
        <v>0</v>
      </c>
      <c r="C1278" s="60" t="str">
        <f>IFERROR(VLOOKUP(B1278,'MB51'!A:I,9,0),"")</f>
        <v/>
      </c>
      <c r="D1278" s="61" t="str">
        <f>IFERROR(VLOOKUP(B1278,'MB51'!A:J,10,0),"")</f>
        <v/>
      </c>
      <c r="E1278" s="62" t="str">
        <f>IFERROR(VLOOKUP(B1278,'MB51'!A:K,11,0),"")</f>
        <v/>
      </c>
      <c r="F1278" s="42" t="str">
        <f>IFERROR(VLOOKUP(B1278,'MB51'!A:F,6,0),"")</f>
        <v/>
      </c>
      <c r="G1278" s="17" t="str">
        <f t="shared" si="57"/>
        <v>點揀料單</v>
      </c>
      <c r="H1278" s="17">
        <f t="shared" si="58"/>
        <v>0</v>
      </c>
      <c r="I1278" t="str">
        <f t="shared" si="59"/>
        <v/>
      </c>
      <c r="J1278" t="str">
        <f>SUBSTITUTE(IF(COUNTIF(I$2:I1278,I1278)&gt;1,"",1)," ","")</f>
        <v/>
      </c>
    </row>
    <row r="1279" spans="1:10" x14ac:dyDescent="0.2">
      <c r="A1279" s="51" t="str">
        <f>IFERROR(VLOOKUP(B1279,點上線資訊!A:R,18,0),"")</f>
        <v/>
      </c>
      <c r="B1279" s="41">
        <f>'MB51'!A1279</f>
        <v>0</v>
      </c>
      <c r="C1279" s="60" t="str">
        <f>IFERROR(VLOOKUP(B1279,'MB51'!A:I,9,0),"")</f>
        <v/>
      </c>
      <c r="D1279" s="61" t="str">
        <f>IFERROR(VLOOKUP(B1279,'MB51'!A:J,10,0),"")</f>
        <v/>
      </c>
      <c r="E1279" s="62" t="str">
        <f>IFERROR(VLOOKUP(B1279,'MB51'!A:K,11,0),"")</f>
        <v/>
      </c>
      <c r="F1279" s="42" t="str">
        <f>IFERROR(VLOOKUP(B1279,'MB51'!A:F,6,0),"")</f>
        <v/>
      </c>
      <c r="G1279" s="17" t="str">
        <f t="shared" si="57"/>
        <v>點揀料單</v>
      </c>
      <c r="H1279" s="17">
        <f t="shared" si="58"/>
        <v>0</v>
      </c>
      <c r="I1279" t="str">
        <f t="shared" si="59"/>
        <v/>
      </c>
      <c r="J1279" t="str">
        <f>SUBSTITUTE(IF(COUNTIF(I$2:I1279,I1279)&gt;1,"",1)," ","")</f>
        <v/>
      </c>
    </row>
    <row r="1280" spans="1:10" x14ac:dyDescent="0.2">
      <c r="A1280" s="51" t="str">
        <f>IFERROR(VLOOKUP(B1280,點上線資訊!A:R,18,0),"")</f>
        <v/>
      </c>
      <c r="B1280" s="41">
        <f>'MB51'!A1280</f>
        <v>0</v>
      </c>
      <c r="C1280" s="60" t="str">
        <f>IFERROR(VLOOKUP(B1280,'MB51'!A:I,9,0),"")</f>
        <v/>
      </c>
      <c r="D1280" s="61" t="str">
        <f>IFERROR(VLOOKUP(B1280,'MB51'!A:J,10,0),"")</f>
        <v/>
      </c>
      <c r="E1280" s="62" t="str">
        <f>IFERROR(VLOOKUP(B1280,'MB51'!A:K,11,0),"")</f>
        <v/>
      </c>
      <c r="F1280" s="42" t="str">
        <f>IFERROR(VLOOKUP(B1280,'MB51'!A:F,6,0),"")</f>
        <v/>
      </c>
      <c r="G1280" s="17" t="str">
        <f t="shared" si="57"/>
        <v>點揀料單</v>
      </c>
      <c r="H1280" s="17">
        <f t="shared" si="58"/>
        <v>0</v>
      </c>
      <c r="I1280" t="str">
        <f t="shared" si="59"/>
        <v/>
      </c>
      <c r="J1280" t="str">
        <f>SUBSTITUTE(IF(COUNTIF(I$2:I1280,I1280)&gt;1,"",1)," ","")</f>
        <v/>
      </c>
    </row>
    <row r="1281" spans="1:10" x14ac:dyDescent="0.2">
      <c r="A1281" s="51" t="str">
        <f>IFERROR(VLOOKUP(B1281,點上線資訊!A:R,18,0),"")</f>
        <v/>
      </c>
      <c r="B1281" s="41">
        <f>'MB51'!A1281</f>
        <v>0</v>
      </c>
      <c r="C1281" s="60" t="str">
        <f>IFERROR(VLOOKUP(B1281,'MB51'!A:I,9,0),"")</f>
        <v/>
      </c>
      <c r="D1281" s="61" t="str">
        <f>IFERROR(VLOOKUP(B1281,'MB51'!A:J,10,0),"")</f>
        <v/>
      </c>
      <c r="E1281" s="62" t="str">
        <f>IFERROR(VLOOKUP(B1281,'MB51'!A:K,11,0),"")</f>
        <v/>
      </c>
      <c r="F1281" s="42" t="str">
        <f>IFERROR(VLOOKUP(B1281,'MB51'!A:F,6,0),"")</f>
        <v/>
      </c>
      <c r="G1281" s="17" t="str">
        <f t="shared" si="57"/>
        <v>點揀料單</v>
      </c>
      <c r="H1281" s="17">
        <f t="shared" si="58"/>
        <v>0</v>
      </c>
      <c r="I1281" t="str">
        <f t="shared" si="59"/>
        <v/>
      </c>
      <c r="J1281" t="str">
        <f>SUBSTITUTE(IF(COUNTIF(I$2:I1281,I1281)&gt;1,"",1)," ","")</f>
        <v/>
      </c>
    </row>
    <row r="1282" spans="1:10" x14ac:dyDescent="0.2">
      <c r="A1282" s="51" t="str">
        <f>IFERROR(VLOOKUP(B1282,點上線資訊!A:R,18,0),"")</f>
        <v/>
      </c>
      <c r="B1282" s="41">
        <f>'MB51'!A1282</f>
        <v>0</v>
      </c>
      <c r="C1282" s="60" t="str">
        <f>IFERROR(VLOOKUP(B1282,'MB51'!A:I,9,0),"")</f>
        <v/>
      </c>
      <c r="D1282" s="61" t="str">
        <f>IFERROR(VLOOKUP(B1282,'MB51'!A:J,10,0),"")</f>
        <v/>
      </c>
      <c r="E1282" s="62" t="str">
        <f>IFERROR(VLOOKUP(B1282,'MB51'!A:K,11,0),"")</f>
        <v/>
      </c>
      <c r="F1282" s="42" t="str">
        <f>IFERROR(VLOOKUP(B1282,'MB51'!A:F,6,0),"")</f>
        <v/>
      </c>
      <c r="G1282" s="17" t="str">
        <f t="shared" si="57"/>
        <v>點揀料單</v>
      </c>
      <c r="H1282" s="17">
        <f t="shared" si="58"/>
        <v>0</v>
      </c>
      <c r="I1282" t="str">
        <f t="shared" si="59"/>
        <v/>
      </c>
      <c r="J1282" t="str">
        <f>SUBSTITUTE(IF(COUNTIF(I$2:I1282,I1282)&gt;1,"",1)," ","")</f>
        <v/>
      </c>
    </row>
    <row r="1283" spans="1:10" x14ac:dyDescent="0.2">
      <c r="A1283" s="51" t="str">
        <f>IFERROR(VLOOKUP(B1283,點上線資訊!A:R,18,0),"")</f>
        <v/>
      </c>
      <c r="B1283" s="41">
        <f>'MB51'!A1283</f>
        <v>0</v>
      </c>
      <c r="C1283" s="60" t="str">
        <f>IFERROR(VLOOKUP(B1283,'MB51'!A:I,9,0),"")</f>
        <v/>
      </c>
      <c r="D1283" s="61" t="str">
        <f>IFERROR(VLOOKUP(B1283,'MB51'!A:J,10,0),"")</f>
        <v/>
      </c>
      <c r="E1283" s="62" t="str">
        <f>IFERROR(VLOOKUP(B1283,'MB51'!A:K,11,0),"")</f>
        <v/>
      </c>
      <c r="F1283" s="42" t="str">
        <f>IFERROR(VLOOKUP(B1283,'MB51'!A:F,6,0),"")</f>
        <v/>
      </c>
      <c r="G1283" s="17" t="str">
        <f t="shared" ref="G1283:G1346" si="60">TEXT(D1283,"MM/DD")&amp;TEXT(E1283,"  HH")&amp;"點揀料單"</f>
        <v>點揀料單</v>
      </c>
      <c r="H1283" s="17">
        <f t="shared" ref="H1283:H1346" si="61">ABS(SUMIF(C:C,C1283,F:F))</f>
        <v>0</v>
      </c>
      <c r="I1283" t="str">
        <f t="shared" ref="I1283:I1346" si="62">RIGHTB(C1283,10)</f>
        <v/>
      </c>
      <c r="J1283" t="str">
        <f>SUBSTITUTE(IF(COUNTIF(I$2:I1283,I1283)&gt;1,"",1)," ","")</f>
        <v/>
      </c>
    </row>
    <row r="1284" spans="1:10" x14ac:dyDescent="0.2">
      <c r="A1284" s="51" t="str">
        <f>IFERROR(VLOOKUP(B1284,點上線資訊!A:R,18,0),"")</f>
        <v/>
      </c>
      <c r="B1284" s="41">
        <f>'MB51'!A1284</f>
        <v>0</v>
      </c>
      <c r="C1284" s="60" t="str">
        <f>IFERROR(VLOOKUP(B1284,'MB51'!A:I,9,0),"")</f>
        <v/>
      </c>
      <c r="D1284" s="61" t="str">
        <f>IFERROR(VLOOKUP(B1284,'MB51'!A:J,10,0),"")</f>
        <v/>
      </c>
      <c r="E1284" s="62" t="str">
        <f>IFERROR(VLOOKUP(B1284,'MB51'!A:K,11,0),"")</f>
        <v/>
      </c>
      <c r="F1284" s="42" t="str">
        <f>IFERROR(VLOOKUP(B1284,'MB51'!A:F,6,0),"")</f>
        <v/>
      </c>
      <c r="G1284" s="17" t="str">
        <f t="shared" si="60"/>
        <v>點揀料單</v>
      </c>
      <c r="H1284" s="17">
        <f t="shared" si="61"/>
        <v>0</v>
      </c>
      <c r="I1284" t="str">
        <f t="shared" si="62"/>
        <v/>
      </c>
      <c r="J1284" t="str">
        <f>SUBSTITUTE(IF(COUNTIF(I$2:I1284,I1284)&gt;1,"",1)," ","")</f>
        <v/>
      </c>
    </row>
    <row r="1285" spans="1:10" x14ac:dyDescent="0.2">
      <c r="A1285" s="51" t="str">
        <f>IFERROR(VLOOKUP(B1285,點上線資訊!A:R,18,0),"")</f>
        <v/>
      </c>
      <c r="B1285" s="41">
        <f>'MB51'!A1285</f>
        <v>0</v>
      </c>
      <c r="C1285" s="60" t="str">
        <f>IFERROR(VLOOKUP(B1285,'MB51'!A:I,9,0),"")</f>
        <v/>
      </c>
      <c r="D1285" s="61" t="str">
        <f>IFERROR(VLOOKUP(B1285,'MB51'!A:J,10,0),"")</f>
        <v/>
      </c>
      <c r="E1285" s="62" t="str">
        <f>IFERROR(VLOOKUP(B1285,'MB51'!A:K,11,0),"")</f>
        <v/>
      </c>
      <c r="F1285" s="42" t="str">
        <f>IFERROR(VLOOKUP(B1285,'MB51'!A:F,6,0),"")</f>
        <v/>
      </c>
      <c r="G1285" s="17" t="str">
        <f t="shared" si="60"/>
        <v>點揀料單</v>
      </c>
      <c r="H1285" s="17">
        <f t="shared" si="61"/>
        <v>0</v>
      </c>
      <c r="I1285" t="str">
        <f t="shared" si="62"/>
        <v/>
      </c>
      <c r="J1285" t="str">
        <f>SUBSTITUTE(IF(COUNTIF(I$2:I1285,I1285)&gt;1,"",1)," ","")</f>
        <v/>
      </c>
    </row>
    <row r="1286" spans="1:10" x14ac:dyDescent="0.2">
      <c r="A1286" s="51" t="str">
        <f>IFERROR(VLOOKUP(B1286,點上線資訊!A:R,18,0),"")</f>
        <v/>
      </c>
      <c r="B1286" s="41">
        <f>'MB51'!A1286</f>
        <v>0</v>
      </c>
      <c r="C1286" s="60" t="str">
        <f>IFERROR(VLOOKUP(B1286,'MB51'!A:I,9,0),"")</f>
        <v/>
      </c>
      <c r="D1286" s="61" t="str">
        <f>IFERROR(VLOOKUP(B1286,'MB51'!A:J,10,0),"")</f>
        <v/>
      </c>
      <c r="E1286" s="62" t="str">
        <f>IFERROR(VLOOKUP(B1286,'MB51'!A:K,11,0),"")</f>
        <v/>
      </c>
      <c r="F1286" s="42" t="str">
        <f>IFERROR(VLOOKUP(B1286,'MB51'!A:F,6,0),"")</f>
        <v/>
      </c>
      <c r="G1286" s="17" t="str">
        <f t="shared" si="60"/>
        <v>點揀料單</v>
      </c>
      <c r="H1286" s="17">
        <f t="shared" si="61"/>
        <v>0</v>
      </c>
      <c r="I1286" t="str">
        <f t="shared" si="62"/>
        <v/>
      </c>
      <c r="J1286" t="str">
        <f>SUBSTITUTE(IF(COUNTIF(I$2:I1286,I1286)&gt;1,"",1)," ","")</f>
        <v/>
      </c>
    </row>
    <row r="1287" spans="1:10" x14ac:dyDescent="0.2">
      <c r="A1287" s="51" t="str">
        <f>IFERROR(VLOOKUP(B1287,點上線資訊!A:R,18,0),"")</f>
        <v/>
      </c>
      <c r="B1287" s="41">
        <f>'MB51'!A1287</f>
        <v>0</v>
      </c>
      <c r="C1287" s="60" t="str">
        <f>IFERROR(VLOOKUP(B1287,'MB51'!A:I,9,0),"")</f>
        <v/>
      </c>
      <c r="D1287" s="61" t="str">
        <f>IFERROR(VLOOKUP(B1287,'MB51'!A:J,10,0),"")</f>
        <v/>
      </c>
      <c r="E1287" s="62" t="str">
        <f>IFERROR(VLOOKUP(B1287,'MB51'!A:K,11,0),"")</f>
        <v/>
      </c>
      <c r="F1287" s="42" t="str">
        <f>IFERROR(VLOOKUP(B1287,'MB51'!A:F,6,0),"")</f>
        <v/>
      </c>
      <c r="G1287" s="17" t="str">
        <f t="shared" si="60"/>
        <v>點揀料單</v>
      </c>
      <c r="H1287" s="17">
        <f t="shared" si="61"/>
        <v>0</v>
      </c>
      <c r="I1287" t="str">
        <f t="shared" si="62"/>
        <v/>
      </c>
      <c r="J1287" t="str">
        <f>SUBSTITUTE(IF(COUNTIF(I$2:I1287,I1287)&gt;1,"",1)," ","")</f>
        <v/>
      </c>
    </row>
    <row r="1288" spans="1:10" x14ac:dyDescent="0.2">
      <c r="A1288" s="51" t="str">
        <f>IFERROR(VLOOKUP(B1288,點上線資訊!A:R,18,0),"")</f>
        <v/>
      </c>
      <c r="B1288" s="41">
        <f>'MB51'!A1288</f>
        <v>0</v>
      </c>
      <c r="C1288" s="60" t="str">
        <f>IFERROR(VLOOKUP(B1288,'MB51'!A:I,9,0),"")</f>
        <v/>
      </c>
      <c r="D1288" s="61" t="str">
        <f>IFERROR(VLOOKUP(B1288,'MB51'!A:J,10,0),"")</f>
        <v/>
      </c>
      <c r="E1288" s="62" t="str">
        <f>IFERROR(VLOOKUP(B1288,'MB51'!A:K,11,0),"")</f>
        <v/>
      </c>
      <c r="F1288" s="42" t="str">
        <f>IFERROR(VLOOKUP(B1288,'MB51'!A:F,6,0),"")</f>
        <v/>
      </c>
      <c r="G1288" s="17" t="str">
        <f t="shared" si="60"/>
        <v>點揀料單</v>
      </c>
      <c r="H1288" s="17">
        <f t="shared" si="61"/>
        <v>0</v>
      </c>
      <c r="I1288" t="str">
        <f t="shared" si="62"/>
        <v/>
      </c>
      <c r="J1288" t="str">
        <f>SUBSTITUTE(IF(COUNTIF(I$2:I1288,I1288)&gt;1,"",1)," ","")</f>
        <v/>
      </c>
    </row>
    <row r="1289" spans="1:10" x14ac:dyDescent="0.2">
      <c r="A1289" s="51" t="str">
        <f>IFERROR(VLOOKUP(B1289,點上線資訊!A:R,18,0),"")</f>
        <v/>
      </c>
      <c r="B1289" s="41">
        <f>'MB51'!A1289</f>
        <v>0</v>
      </c>
      <c r="C1289" s="60" t="str">
        <f>IFERROR(VLOOKUP(B1289,'MB51'!A:I,9,0),"")</f>
        <v/>
      </c>
      <c r="D1289" s="61" t="str">
        <f>IFERROR(VLOOKUP(B1289,'MB51'!A:J,10,0),"")</f>
        <v/>
      </c>
      <c r="E1289" s="62" t="str">
        <f>IFERROR(VLOOKUP(B1289,'MB51'!A:K,11,0),"")</f>
        <v/>
      </c>
      <c r="F1289" s="42" t="str">
        <f>IFERROR(VLOOKUP(B1289,'MB51'!A:F,6,0),"")</f>
        <v/>
      </c>
      <c r="G1289" s="17" t="str">
        <f t="shared" si="60"/>
        <v>點揀料單</v>
      </c>
      <c r="H1289" s="17">
        <f t="shared" si="61"/>
        <v>0</v>
      </c>
      <c r="I1289" t="str">
        <f t="shared" si="62"/>
        <v/>
      </c>
      <c r="J1289" t="str">
        <f>SUBSTITUTE(IF(COUNTIF(I$2:I1289,I1289)&gt;1,"",1)," ","")</f>
        <v/>
      </c>
    </row>
    <row r="1290" spans="1:10" x14ac:dyDescent="0.2">
      <c r="A1290" s="51" t="str">
        <f>IFERROR(VLOOKUP(B1290,點上線資訊!A:R,18,0),"")</f>
        <v/>
      </c>
      <c r="B1290" s="41">
        <f>'MB51'!A1290</f>
        <v>0</v>
      </c>
      <c r="C1290" s="60" t="str">
        <f>IFERROR(VLOOKUP(B1290,'MB51'!A:I,9,0),"")</f>
        <v/>
      </c>
      <c r="D1290" s="61" t="str">
        <f>IFERROR(VLOOKUP(B1290,'MB51'!A:J,10,0),"")</f>
        <v/>
      </c>
      <c r="E1290" s="62" t="str">
        <f>IFERROR(VLOOKUP(B1290,'MB51'!A:K,11,0),"")</f>
        <v/>
      </c>
      <c r="F1290" s="42" t="str">
        <f>IFERROR(VLOOKUP(B1290,'MB51'!A:F,6,0),"")</f>
        <v/>
      </c>
      <c r="G1290" s="17" t="str">
        <f t="shared" si="60"/>
        <v>點揀料單</v>
      </c>
      <c r="H1290" s="17">
        <f t="shared" si="61"/>
        <v>0</v>
      </c>
      <c r="I1290" t="str">
        <f t="shared" si="62"/>
        <v/>
      </c>
      <c r="J1290" t="str">
        <f>SUBSTITUTE(IF(COUNTIF(I$2:I1290,I1290)&gt;1,"",1)," ","")</f>
        <v/>
      </c>
    </row>
    <row r="1291" spans="1:10" x14ac:dyDescent="0.2">
      <c r="A1291" s="51" t="str">
        <f>IFERROR(VLOOKUP(B1291,點上線資訊!A:R,18,0),"")</f>
        <v/>
      </c>
      <c r="B1291" s="41">
        <f>'MB51'!A1291</f>
        <v>0</v>
      </c>
      <c r="C1291" s="60" t="str">
        <f>IFERROR(VLOOKUP(B1291,'MB51'!A:I,9,0),"")</f>
        <v/>
      </c>
      <c r="D1291" s="61" t="str">
        <f>IFERROR(VLOOKUP(B1291,'MB51'!A:J,10,0),"")</f>
        <v/>
      </c>
      <c r="E1291" s="62" t="str">
        <f>IFERROR(VLOOKUP(B1291,'MB51'!A:K,11,0),"")</f>
        <v/>
      </c>
      <c r="F1291" s="42" t="str">
        <f>IFERROR(VLOOKUP(B1291,'MB51'!A:F,6,0),"")</f>
        <v/>
      </c>
      <c r="G1291" s="17" t="str">
        <f t="shared" si="60"/>
        <v>點揀料單</v>
      </c>
      <c r="H1291" s="17">
        <f t="shared" si="61"/>
        <v>0</v>
      </c>
      <c r="I1291" t="str">
        <f t="shared" si="62"/>
        <v/>
      </c>
      <c r="J1291" t="str">
        <f>SUBSTITUTE(IF(COUNTIF(I$2:I1291,I1291)&gt;1,"",1)," ","")</f>
        <v/>
      </c>
    </row>
    <row r="1292" spans="1:10" x14ac:dyDescent="0.2">
      <c r="A1292" s="51" t="str">
        <f>IFERROR(VLOOKUP(B1292,點上線資訊!A:R,18,0),"")</f>
        <v/>
      </c>
      <c r="B1292" s="41">
        <f>'MB51'!A1292</f>
        <v>0</v>
      </c>
      <c r="C1292" s="60" t="str">
        <f>IFERROR(VLOOKUP(B1292,'MB51'!A:I,9,0),"")</f>
        <v/>
      </c>
      <c r="D1292" s="61" t="str">
        <f>IFERROR(VLOOKUP(B1292,'MB51'!A:J,10,0),"")</f>
        <v/>
      </c>
      <c r="E1292" s="62" t="str">
        <f>IFERROR(VLOOKUP(B1292,'MB51'!A:K,11,0),"")</f>
        <v/>
      </c>
      <c r="F1292" s="42" t="str">
        <f>IFERROR(VLOOKUP(B1292,'MB51'!A:F,6,0),"")</f>
        <v/>
      </c>
      <c r="G1292" s="17" t="str">
        <f t="shared" si="60"/>
        <v>點揀料單</v>
      </c>
      <c r="H1292" s="17">
        <f t="shared" si="61"/>
        <v>0</v>
      </c>
      <c r="I1292" t="str">
        <f t="shared" si="62"/>
        <v/>
      </c>
      <c r="J1292" t="str">
        <f>SUBSTITUTE(IF(COUNTIF(I$2:I1292,I1292)&gt;1,"",1)," ","")</f>
        <v/>
      </c>
    </row>
    <row r="1293" spans="1:10" x14ac:dyDescent="0.2">
      <c r="A1293" s="51" t="str">
        <f>IFERROR(VLOOKUP(B1293,點上線資訊!A:R,18,0),"")</f>
        <v/>
      </c>
      <c r="B1293" s="41">
        <f>'MB51'!A1293</f>
        <v>0</v>
      </c>
      <c r="C1293" s="60" t="str">
        <f>IFERROR(VLOOKUP(B1293,'MB51'!A:I,9,0),"")</f>
        <v/>
      </c>
      <c r="D1293" s="61" t="str">
        <f>IFERROR(VLOOKUP(B1293,'MB51'!A:J,10,0),"")</f>
        <v/>
      </c>
      <c r="E1293" s="62" t="str">
        <f>IFERROR(VLOOKUP(B1293,'MB51'!A:K,11,0),"")</f>
        <v/>
      </c>
      <c r="F1293" s="42" t="str">
        <f>IFERROR(VLOOKUP(B1293,'MB51'!A:F,6,0),"")</f>
        <v/>
      </c>
      <c r="G1293" s="17" t="str">
        <f t="shared" si="60"/>
        <v>點揀料單</v>
      </c>
      <c r="H1293" s="17">
        <f t="shared" si="61"/>
        <v>0</v>
      </c>
      <c r="I1293" t="str">
        <f t="shared" si="62"/>
        <v/>
      </c>
      <c r="J1293" t="str">
        <f>SUBSTITUTE(IF(COUNTIF(I$2:I1293,I1293)&gt;1,"",1)," ","")</f>
        <v/>
      </c>
    </row>
    <row r="1294" spans="1:10" x14ac:dyDescent="0.2">
      <c r="A1294" s="51" t="str">
        <f>IFERROR(VLOOKUP(B1294,點上線資訊!A:R,18,0),"")</f>
        <v/>
      </c>
      <c r="B1294" s="41">
        <f>'MB51'!A1294</f>
        <v>0</v>
      </c>
      <c r="C1294" s="60" t="str">
        <f>IFERROR(VLOOKUP(B1294,'MB51'!A:I,9,0),"")</f>
        <v/>
      </c>
      <c r="D1294" s="61" t="str">
        <f>IFERROR(VLOOKUP(B1294,'MB51'!A:J,10,0),"")</f>
        <v/>
      </c>
      <c r="E1294" s="62" t="str">
        <f>IFERROR(VLOOKUP(B1294,'MB51'!A:K,11,0),"")</f>
        <v/>
      </c>
      <c r="F1294" s="42" t="str">
        <f>IFERROR(VLOOKUP(B1294,'MB51'!A:F,6,0),"")</f>
        <v/>
      </c>
      <c r="G1294" s="17" t="str">
        <f t="shared" si="60"/>
        <v>點揀料單</v>
      </c>
      <c r="H1294" s="17">
        <f t="shared" si="61"/>
        <v>0</v>
      </c>
      <c r="I1294" t="str">
        <f t="shared" si="62"/>
        <v/>
      </c>
      <c r="J1294" t="str">
        <f>SUBSTITUTE(IF(COUNTIF(I$2:I1294,I1294)&gt;1,"",1)," ","")</f>
        <v/>
      </c>
    </row>
    <row r="1295" spans="1:10" x14ac:dyDescent="0.2">
      <c r="A1295" s="51" t="str">
        <f>IFERROR(VLOOKUP(B1295,點上線資訊!A:R,18,0),"")</f>
        <v/>
      </c>
      <c r="B1295" s="41">
        <f>'MB51'!A1295</f>
        <v>0</v>
      </c>
      <c r="C1295" s="60" t="str">
        <f>IFERROR(VLOOKUP(B1295,'MB51'!A:I,9,0),"")</f>
        <v/>
      </c>
      <c r="D1295" s="61" t="str">
        <f>IFERROR(VLOOKUP(B1295,'MB51'!A:J,10,0),"")</f>
        <v/>
      </c>
      <c r="E1295" s="62" t="str">
        <f>IFERROR(VLOOKUP(B1295,'MB51'!A:K,11,0),"")</f>
        <v/>
      </c>
      <c r="F1295" s="42" t="str">
        <f>IFERROR(VLOOKUP(B1295,'MB51'!A:F,6,0),"")</f>
        <v/>
      </c>
      <c r="G1295" s="17" t="str">
        <f t="shared" si="60"/>
        <v>點揀料單</v>
      </c>
      <c r="H1295" s="17">
        <f t="shared" si="61"/>
        <v>0</v>
      </c>
      <c r="I1295" t="str">
        <f t="shared" si="62"/>
        <v/>
      </c>
      <c r="J1295" t="str">
        <f>SUBSTITUTE(IF(COUNTIF(I$2:I1295,I1295)&gt;1,"",1)," ","")</f>
        <v/>
      </c>
    </row>
    <row r="1296" spans="1:10" x14ac:dyDescent="0.2">
      <c r="A1296" s="51" t="str">
        <f>IFERROR(VLOOKUP(B1296,點上線資訊!A:R,18,0),"")</f>
        <v/>
      </c>
      <c r="B1296" s="41">
        <f>'MB51'!A1296</f>
        <v>0</v>
      </c>
      <c r="C1296" s="60" t="str">
        <f>IFERROR(VLOOKUP(B1296,'MB51'!A:I,9,0),"")</f>
        <v/>
      </c>
      <c r="D1296" s="61" t="str">
        <f>IFERROR(VLOOKUP(B1296,'MB51'!A:J,10,0),"")</f>
        <v/>
      </c>
      <c r="E1296" s="62" t="str">
        <f>IFERROR(VLOOKUP(B1296,'MB51'!A:K,11,0),"")</f>
        <v/>
      </c>
      <c r="F1296" s="42" t="str">
        <f>IFERROR(VLOOKUP(B1296,'MB51'!A:F,6,0),"")</f>
        <v/>
      </c>
      <c r="G1296" s="17" t="str">
        <f t="shared" si="60"/>
        <v>點揀料單</v>
      </c>
      <c r="H1296" s="17">
        <f t="shared" si="61"/>
        <v>0</v>
      </c>
      <c r="I1296" t="str">
        <f t="shared" si="62"/>
        <v/>
      </c>
      <c r="J1296" t="str">
        <f>SUBSTITUTE(IF(COUNTIF(I$2:I1296,I1296)&gt;1,"",1)," ","")</f>
        <v/>
      </c>
    </row>
    <row r="1297" spans="1:10" x14ac:dyDescent="0.2">
      <c r="A1297" s="51" t="str">
        <f>IFERROR(VLOOKUP(B1297,點上線資訊!A:R,18,0),"")</f>
        <v/>
      </c>
      <c r="B1297" s="41">
        <f>'MB51'!A1297</f>
        <v>0</v>
      </c>
      <c r="C1297" s="60" t="str">
        <f>IFERROR(VLOOKUP(B1297,'MB51'!A:I,9,0),"")</f>
        <v/>
      </c>
      <c r="D1297" s="61" t="str">
        <f>IFERROR(VLOOKUP(B1297,'MB51'!A:J,10,0),"")</f>
        <v/>
      </c>
      <c r="E1297" s="62" t="str">
        <f>IFERROR(VLOOKUP(B1297,'MB51'!A:K,11,0),"")</f>
        <v/>
      </c>
      <c r="F1297" s="42" t="str">
        <f>IFERROR(VLOOKUP(B1297,'MB51'!A:F,6,0),"")</f>
        <v/>
      </c>
      <c r="G1297" s="17" t="str">
        <f t="shared" si="60"/>
        <v>點揀料單</v>
      </c>
      <c r="H1297" s="17">
        <f t="shared" si="61"/>
        <v>0</v>
      </c>
      <c r="I1297" t="str">
        <f t="shared" si="62"/>
        <v/>
      </c>
      <c r="J1297" t="str">
        <f>SUBSTITUTE(IF(COUNTIF(I$2:I1297,I1297)&gt;1,"",1)," ","")</f>
        <v/>
      </c>
    </row>
    <row r="1298" spans="1:10" x14ac:dyDescent="0.2">
      <c r="A1298" s="51" t="str">
        <f>IFERROR(VLOOKUP(B1298,點上線資訊!A:R,18,0),"")</f>
        <v/>
      </c>
      <c r="B1298" s="41">
        <f>'MB51'!A1298</f>
        <v>0</v>
      </c>
      <c r="C1298" s="60" t="str">
        <f>IFERROR(VLOOKUP(B1298,'MB51'!A:I,9,0),"")</f>
        <v/>
      </c>
      <c r="D1298" s="61" t="str">
        <f>IFERROR(VLOOKUP(B1298,'MB51'!A:J,10,0),"")</f>
        <v/>
      </c>
      <c r="E1298" s="62" t="str">
        <f>IFERROR(VLOOKUP(B1298,'MB51'!A:K,11,0),"")</f>
        <v/>
      </c>
      <c r="F1298" s="42" t="str">
        <f>IFERROR(VLOOKUP(B1298,'MB51'!A:F,6,0),"")</f>
        <v/>
      </c>
      <c r="G1298" s="17" t="str">
        <f t="shared" si="60"/>
        <v>點揀料單</v>
      </c>
      <c r="H1298" s="17">
        <f t="shared" si="61"/>
        <v>0</v>
      </c>
      <c r="I1298" t="str">
        <f t="shared" si="62"/>
        <v/>
      </c>
      <c r="J1298" t="str">
        <f>SUBSTITUTE(IF(COUNTIF(I$2:I1298,I1298)&gt;1,"",1)," ","")</f>
        <v/>
      </c>
    </row>
    <row r="1299" spans="1:10" x14ac:dyDescent="0.2">
      <c r="A1299" s="51" t="str">
        <f>IFERROR(VLOOKUP(B1299,點上線資訊!A:R,18,0),"")</f>
        <v/>
      </c>
      <c r="B1299" s="41">
        <f>'MB51'!A1299</f>
        <v>0</v>
      </c>
      <c r="C1299" s="60" t="str">
        <f>IFERROR(VLOOKUP(B1299,'MB51'!A:I,9,0),"")</f>
        <v/>
      </c>
      <c r="D1299" s="61" t="str">
        <f>IFERROR(VLOOKUP(B1299,'MB51'!A:J,10,0),"")</f>
        <v/>
      </c>
      <c r="E1299" s="62" t="str">
        <f>IFERROR(VLOOKUP(B1299,'MB51'!A:K,11,0),"")</f>
        <v/>
      </c>
      <c r="F1299" s="42" t="str">
        <f>IFERROR(VLOOKUP(B1299,'MB51'!A:F,6,0),"")</f>
        <v/>
      </c>
      <c r="G1299" s="17" t="str">
        <f t="shared" si="60"/>
        <v>點揀料單</v>
      </c>
      <c r="H1299" s="17">
        <f t="shared" si="61"/>
        <v>0</v>
      </c>
      <c r="I1299" t="str">
        <f t="shared" si="62"/>
        <v/>
      </c>
      <c r="J1299" t="str">
        <f>SUBSTITUTE(IF(COUNTIF(I$2:I1299,I1299)&gt;1,"",1)," ","")</f>
        <v/>
      </c>
    </row>
    <row r="1300" spans="1:10" x14ac:dyDescent="0.2">
      <c r="A1300" s="51" t="str">
        <f>IFERROR(VLOOKUP(B1300,點上線資訊!A:R,18,0),"")</f>
        <v/>
      </c>
      <c r="B1300" s="41">
        <f>'MB51'!A1300</f>
        <v>0</v>
      </c>
      <c r="C1300" s="60" t="str">
        <f>IFERROR(VLOOKUP(B1300,'MB51'!A:I,9,0),"")</f>
        <v/>
      </c>
      <c r="D1300" s="61" t="str">
        <f>IFERROR(VLOOKUP(B1300,'MB51'!A:J,10,0),"")</f>
        <v/>
      </c>
      <c r="E1300" s="62" t="str">
        <f>IFERROR(VLOOKUP(B1300,'MB51'!A:K,11,0),"")</f>
        <v/>
      </c>
      <c r="F1300" s="42" t="str">
        <f>IFERROR(VLOOKUP(B1300,'MB51'!A:F,6,0),"")</f>
        <v/>
      </c>
      <c r="G1300" s="17" t="str">
        <f t="shared" si="60"/>
        <v>點揀料單</v>
      </c>
      <c r="H1300" s="17">
        <f t="shared" si="61"/>
        <v>0</v>
      </c>
      <c r="I1300" t="str">
        <f t="shared" si="62"/>
        <v/>
      </c>
      <c r="J1300" t="str">
        <f>SUBSTITUTE(IF(COUNTIF(I$2:I1300,I1300)&gt;1,"",1)," ","")</f>
        <v/>
      </c>
    </row>
    <row r="1301" spans="1:10" x14ac:dyDescent="0.2">
      <c r="A1301" s="51" t="str">
        <f>IFERROR(VLOOKUP(B1301,點上線資訊!A:R,18,0),"")</f>
        <v/>
      </c>
      <c r="B1301" s="41">
        <f>'MB51'!A1301</f>
        <v>0</v>
      </c>
      <c r="C1301" s="60" t="str">
        <f>IFERROR(VLOOKUP(B1301,'MB51'!A:I,9,0),"")</f>
        <v/>
      </c>
      <c r="D1301" s="61" t="str">
        <f>IFERROR(VLOOKUP(B1301,'MB51'!A:J,10,0),"")</f>
        <v/>
      </c>
      <c r="E1301" s="62" t="str">
        <f>IFERROR(VLOOKUP(B1301,'MB51'!A:K,11,0),"")</f>
        <v/>
      </c>
      <c r="F1301" s="42" t="str">
        <f>IFERROR(VLOOKUP(B1301,'MB51'!A:F,6,0),"")</f>
        <v/>
      </c>
      <c r="G1301" s="17" t="str">
        <f t="shared" si="60"/>
        <v>點揀料單</v>
      </c>
      <c r="H1301" s="17">
        <f t="shared" si="61"/>
        <v>0</v>
      </c>
      <c r="I1301" t="str">
        <f t="shared" si="62"/>
        <v/>
      </c>
      <c r="J1301" t="str">
        <f>SUBSTITUTE(IF(COUNTIF(I$2:I1301,I1301)&gt;1,"",1)," ","")</f>
        <v/>
      </c>
    </row>
    <row r="1302" spans="1:10" x14ac:dyDescent="0.2">
      <c r="A1302" s="51" t="str">
        <f>IFERROR(VLOOKUP(B1302,點上線資訊!A:R,18,0),"")</f>
        <v/>
      </c>
      <c r="B1302" s="41">
        <f>'MB51'!A1302</f>
        <v>0</v>
      </c>
      <c r="C1302" s="60" t="str">
        <f>IFERROR(VLOOKUP(B1302,'MB51'!A:I,9,0),"")</f>
        <v/>
      </c>
      <c r="D1302" s="61" t="str">
        <f>IFERROR(VLOOKUP(B1302,'MB51'!A:J,10,0),"")</f>
        <v/>
      </c>
      <c r="E1302" s="62" t="str">
        <f>IFERROR(VLOOKUP(B1302,'MB51'!A:K,11,0),"")</f>
        <v/>
      </c>
      <c r="F1302" s="42" t="str">
        <f>IFERROR(VLOOKUP(B1302,'MB51'!A:F,6,0),"")</f>
        <v/>
      </c>
      <c r="G1302" s="17" t="str">
        <f t="shared" si="60"/>
        <v>點揀料單</v>
      </c>
      <c r="H1302" s="17">
        <f t="shared" si="61"/>
        <v>0</v>
      </c>
      <c r="I1302" t="str">
        <f t="shared" si="62"/>
        <v/>
      </c>
      <c r="J1302" t="str">
        <f>SUBSTITUTE(IF(COUNTIF(I$2:I1302,I1302)&gt;1,"",1)," ","")</f>
        <v/>
      </c>
    </row>
    <row r="1303" spans="1:10" x14ac:dyDescent="0.2">
      <c r="A1303" s="51" t="str">
        <f>IFERROR(VLOOKUP(B1303,點上線資訊!A:R,18,0),"")</f>
        <v/>
      </c>
      <c r="B1303" s="41">
        <f>'MB51'!A1303</f>
        <v>0</v>
      </c>
      <c r="C1303" s="60" t="str">
        <f>IFERROR(VLOOKUP(B1303,'MB51'!A:I,9,0),"")</f>
        <v/>
      </c>
      <c r="D1303" s="61" t="str">
        <f>IFERROR(VLOOKUP(B1303,'MB51'!A:J,10,0),"")</f>
        <v/>
      </c>
      <c r="E1303" s="62" t="str">
        <f>IFERROR(VLOOKUP(B1303,'MB51'!A:K,11,0),"")</f>
        <v/>
      </c>
      <c r="F1303" s="42" t="str">
        <f>IFERROR(VLOOKUP(B1303,'MB51'!A:F,6,0),"")</f>
        <v/>
      </c>
      <c r="G1303" s="17" t="str">
        <f t="shared" si="60"/>
        <v>點揀料單</v>
      </c>
      <c r="H1303" s="17">
        <f t="shared" si="61"/>
        <v>0</v>
      </c>
      <c r="I1303" t="str">
        <f t="shared" si="62"/>
        <v/>
      </c>
      <c r="J1303" t="str">
        <f>SUBSTITUTE(IF(COUNTIF(I$2:I1303,I1303)&gt;1,"",1)," ","")</f>
        <v/>
      </c>
    </row>
    <row r="1304" spans="1:10" x14ac:dyDescent="0.2">
      <c r="A1304" s="51" t="str">
        <f>IFERROR(VLOOKUP(B1304,點上線資訊!A:R,18,0),"")</f>
        <v/>
      </c>
      <c r="B1304" s="41">
        <f>'MB51'!A1304</f>
        <v>0</v>
      </c>
      <c r="C1304" s="60" t="str">
        <f>IFERROR(VLOOKUP(B1304,'MB51'!A:I,9,0),"")</f>
        <v/>
      </c>
      <c r="D1304" s="61" t="str">
        <f>IFERROR(VLOOKUP(B1304,'MB51'!A:J,10,0),"")</f>
        <v/>
      </c>
      <c r="E1304" s="62" t="str">
        <f>IFERROR(VLOOKUP(B1304,'MB51'!A:K,11,0),"")</f>
        <v/>
      </c>
      <c r="F1304" s="42" t="str">
        <f>IFERROR(VLOOKUP(B1304,'MB51'!A:F,6,0),"")</f>
        <v/>
      </c>
      <c r="G1304" s="17" t="str">
        <f t="shared" si="60"/>
        <v>點揀料單</v>
      </c>
      <c r="H1304" s="17">
        <f t="shared" si="61"/>
        <v>0</v>
      </c>
      <c r="I1304" t="str">
        <f t="shared" si="62"/>
        <v/>
      </c>
      <c r="J1304" t="str">
        <f>SUBSTITUTE(IF(COUNTIF(I$2:I1304,I1304)&gt;1,"",1)," ","")</f>
        <v/>
      </c>
    </row>
    <row r="1305" spans="1:10" x14ac:dyDescent="0.2">
      <c r="A1305" s="51" t="str">
        <f>IFERROR(VLOOKUP(B1305,點上線資訊!A:R,18,0),"")</f>
        <v/>
      </c>
      <c r="B1305" s="41">
        <f>'MB51'!A1305</f>
        <v>0</v>
      </c>
      <c r="C1305" s="60" t="str">
        <f>IFERROR(VLOOKUP(B1305,'MB51'!A:I,9,0),"")</f>
        <v/>
      </c>
      <c r="D1305" s="61" t="str">
        <f>IFERROR(VLOOKUP(B1305,'MB51'!A:J,10,0),"")</f>
        <v/>
      </c>
      <c r="E1305" s="62" t="str">
        <f>IFERROR(VLOOKUP(B1305,'MB51'!A:K,11,0),"")</f>
        <v/>
      </c>
      <c r="F1305" s="42" t="str">
        <f>IFERROR(VLOOKUP(B1305,'MB51'!A:F,6,0),"")</f>
        <v/>
      </c>
      <c r="G1305" s="17" t="str">
        <f t="shared" si="60"/>
        <v>點揀料單</v>
      </c>
      <c r="H1305" s="17">
        <f t="shared" si="61"/>
        <v>0</v>
      </c>
      <c r="I1305" t="str">
        <f t="shared" si="62"/>
        <v/>
      </c>
      <c r="J1305" t="str">
        <f>SUBSTITUTE(IF(COUNTIF(I$2:I1305,I1305)&gt;1,"",1)," ","")</f>
        <v/>
      </c>
    </row>
    <row r="1306" spans="1:10" x14ac:dyDescent="0.2">
      <c r="A1306" s="51" t="str">
        <f>IFERROR(VLOOKUP(B1306,點上線資訊!A:R,18,0),"")</f>
        <v/>
      </c>
      <c r="B1306" s="41">
        <f>'MB51'!A1306</f>
        <v>0</v>
      </c>
      <c r="C1306" s="60" t="str">
        <f>IFERROR(VLOOKUP(B1306,'MB51'!A:I,9,0),"")</f>
        <v/>
      </c>
      <c r="D1306" s="61" t="str">
        <f>IFERROR(VLOOKUP(B1306,'MB51'!A:J,10,0),"")</f>
        <v/>
      </c>
      <c r="E1306" s="62" t="str">
        <f>IFERROR(VLOOKUP(B1306,'MB51'!A:K,11,0),"")</f>
        <v/>
      </c>
      <c r="F1306" s="42" t="str">
        <f>IFERROR(VLOOKUP(B1306,'MB51'!A:F,6,0),"")</f>
        <v/>
      </c>
      <c r="G1306" s="17" t="str">
        <f t="shared" si="60"/>
        <v>點揀料單</v>
      </c>
      <c r="H1306" s="17">
        <f t="shared" si="61"/>
        <v>0</v>
      </c>
      <c r="I1306" t="str">
        <f t="shared" si="62"/>
        <v/>
      </c>
      <c r="J1306" t="str">
        <f>SUBSTITUTE(IF(COUNTIF(I$2:I1306,I1306)&gt;1,"",1)," ","")</f>
        <v/>
      </c>
    </row>
    <row r="1307" spans="1:10" x14ac:dyDescent="0.2">
      <c r="A1307" s="51" t="str">
        <f>IFERROR(VLOOKUP(B1307,點上線資訊!A:R,18,0),"")</f>
        <v/>
      </c>
      <c r="B1307" s="41">
        <f>'MB51'!A1307</f>
        <v>0</v>
      </c>
      <c r="C1307" s="60" t="str">
        <f>IFERROR(VLOOKUP(B1307,'MB51'!A:I,9,0),"")</f>
        <v/>
      </c>
      <c r="D1307" s="61" t="str">
        <f>IFERROR(VLOOKUP(B1307,'MB51'!A:J,10,0),"")</f>
        <v/>
      </c>
      <c r="E1307" s="62" t="str">
        <f>IFERROR(VLOOKUP(B1307,'MB51'!A:K,11,0),"")</f>
        <v/>
      </c>
      <c r="F1307" s="42" t="str">
        <f>IFERROR(VLOOKUP(B1307,'MB51'!A:F,6,0),"")</f>
        <v/>
      </c>
      <c r="G1307" s="17" t="str">
        <f t="shared" si="60"/>
        <v>點揀料單</v>
      </c>
      <c r="H1307" s="17">
        <f t="shared" si="61"/>
        <v>0</v>
      </c>
      <c r="I1307" t="str">
        <f t="shared" si="62"/>
        <v/>
      </c>
      <c r="J1307" t="str">
        <f>SUBSTITUTE(IF(COUNTIF(I$2:I1307,I1307)&gt;1,"",1)," ","")</f>
        <v/>
      </c>
    </row>
    <row r="1308" spans="1:10" x14ac:dyDescent="0.2">
      <c r="A1308" s="51" t="str">
        <f>IFERROR(VLOOKUP(B1308,點上線資訊!A:R,18,0),"")</f>
        <v/>
      </c>
      <c r="B1308" s="41">
        <f>'MB51'!A1308</f>
        <v>0</v>
      </c>
      <c r="C1308" s="60" t="str">
        <f>IFERROR(VLOOKUP(B1308,'MB51'!A:I,9,0),"")</f>
        <v/>
      </c>
      <c r="D1308" s="61" t="str">
        <f>IFERROR(VLOOKUP(B1308,'MB51'!A:J,10,0),"")</f>
        <v/>
      </c>
      <c r="E1308" s="62" t="str">
        <f>IFERROR(VLOOKUP(B1308,'MB51'!A:K,11,0),"")</f>
        <v/>
      </c>
      <c r="F1308" s="42" t="str">
        <f>IFERROR(VLOOKUP(B1308,'MB51'!A:F,6,0),"")</f>
        <v/>
      </c>
      <c r="G1308" s="17" t="str">
        <f t="shared" si="60"/>
        <v>點揀料單</v>
      </c>
      <c r="H1308" s="17">
        <f t="shared" si="61"/>
        <v>0</v>
      </c>
      <c r="I1308" t="str">
        <f t="shared" si="62"/>
        <v/>
      </c>
      <c r="J1308" t="str">
        <f>SUBSTITUTE(IF(COUNTIF(I$2:I1308,I1308)&gt;1,"",1)," ","")</f>
        <v/>
      </c>
    </row>
    <row r="1309" spans="1:10" x14ac:dyDescent="0.2">
      <c r="A1309" s="51" t="str">
        <f>IFERROR(VLOOKUP(B1309,點上線資訊!A:R,18,0),"")</f>
        <v/>
      </c>
      <c r="B1309" s="41">
        <f>'MB51'!A1309</f>
        <v>0</v>
      </c>
      <c r="C1309" s="60" t="str">
        <f>IFERROR(VLOOKUP(B1309,'MB51'!A:I,9,0),"")</f>
        <v/>
      </c>
      <c r="D1309" s="61" t="str">
        <f>IFERROR(VLOOKUP(B1309,'MB51'!A:J,10,0),"")</f>
        <v/>
      </c>
      <c r="E1309" s="62" t="str">
        <f>IFERROR(VLOOKUP(B1309,'MB51'!A:K,11,0),"")</f>
        <v/>
      </c>
      <c r="F1309" s="42" t="str">
        <f>IFERROR(VLOOKUP(B1309,'MB51'!A:F,6,0),"")</f>
        <v/>
      </c>
      <c r="G1309" s="17" t="str">
        <f t="shared" si="60"/>
        <v>點揀料單</v>
      </c>
      <c r="H1309" s="17">
        <f t="shared" si="61"/>
        <v>0</v>
      </c>
      <c r="I1309" t="str">
        <f t="shared" si="62"/>
        <v/>
      </c>
      <c r="J1309" t="str">
        <f>SUBSTITUTE(IF(COUNTIF(I$2:I1309,I1309)&gt;1,"",1)," ","")</f>
        <v/>
      </c>
    </row>
    <row r="1310" spans="1:10" x14ac:dyDescent="0.2">
      <c r="A1310" s="51" t="str">
        <f>IFERROR(VLOOKUP(B1310,點上線資訊!A:R,18,0),"")</f>
        <v/>
      </c>
      <c r="B1310" s="41">
        <f>'MB51'!A1310</f>
        <v>0</v>
      </c>
      <c r="C1310" s="60" t="str">
        <f>IFERROR(VLOOKUP(B1310,'MB51'!A:I,9,0),"")</f>
        <v/>
      </c>
      <c r="D1310" s="61" t="str">
        <f>IFERROR(VLOOKUP(B1310,'MB51'!A:J,10,0),"")</f>
        <v/>
      </c>
      <c r="E1310" s="62" t="str">
        <f>IFERROR(VLOOKUP(B1310,'MB51'!A:K,11,0),"")</f>
        <v/>
      </c>
      <c r="F1310" s="42" t="str">
        <f>IFERROR(VLOOKUP(B1310,'MB51'!A:F,6,0),"")</f>
        <v/>
      </c>
      <c r="G1310" s="17" t="str">
        <f t="shared" si="60"/>
        <v>點揀料單</v>
      </c>
      <c r="H1310" s="17">
        <f t="shared" si="61"/>
        <v>0</v>
      </c>
      <c r="I1310" t="str">
        <f t="shared" si="62"/>
        <v/>
      </c>
      <c r="J1310" t="str">
        <f>SUBSTITUTE(IF(COUNTIF(I$2:I1310,I1310)&gt;1,"",1)," ","")</f>
        <v/>
      </c>
    </row>
    <row r="1311" spans="1:10" x14ac:dyDescent="0.2">
      <c r="A1311" s="51" t="str">
        <f>IFERROR(VLOOKUP(B1311,點上線資訊!A:R,18,0),"")</f>
        <v/>
      </c>
      <c r="B1311" s="41">
        <f>'MB51'!A1311</f>
        <v>0</v>
      </c>
      <c r="C1311" s="60" t="str">
        <f>IFERROR(VLOOKUP(B1311,'MB51'!A:I,9,0),"")</f>
        <v/>
      </c>
      <c r="D1311" s="61" t="str">
        <f>IFERROR(VLOOKUP(B1311,'MB51'!A:J,10,0),"")</f>
        <v/>
      </c>
      <c r="E1311" s="62" t="str">
        <f>IFERROR(VLOOKUP(B1311,'MB51'!A:K,11,0),"")</f>
        <v/>
      </c>
      <c r="F1311" s="42" t="str">
        <f>IFERROR(VLOOKUP(B1311,'MB51'!A:F,6,0),"")</f>
        <v/>
      </c>
      <c r="G1311" s="17" t="str">
        <f t="shared" si="60"/>
        <v>點揀料單</v>
      </c>
      <c r="H1311" s="17">
        <f t="shared" si="61"/>
        <v>0</v>
      </c>
      <c r="I1311" t="str">
        <f t="shared" si="62"/>
        <v/>
      </c>
      <c r="J1311" t="str">
        <f>SUBSTITUTE(IF(COUNTIF(I$2:I1311,I1311)&gt;1,"",1)," ","")</f>
        <v/>
      </c>
    </row>
    <row r="1312" spans="1:10" x14ac:dyDescent="0.2">
      <c r="A1312" s="51" t="str">
        <f>IFERROR(VLOOKUP(B1312,點上線資訊!A:R,18,0),"")</f>
        <v/>
      </c>
      <c r="B1312" s="41">
        <f>'MB51'!A1312</f>
        <v>0</v>
      </c>
      <c r="C1312" s="60" t="str">
        <f>IFERROR(VLOOKUP(B1312,'MB51'!A:I,9,0),"")</f>
        <v/>
      </c>
      <c r="D1312" s="61" t="str">
        <f>IFERROR(VLOOKUP(B1312,'MB51'!A:J,10,0),"")</f>
        <v/>
      </c>
      <c r="E1312" s="62" t="str">
        <f>IFERROR(VLOOKUP(B1312,'MB51'!A:K,11,0),"")</f>
        <v/>
      </c>
      <c r="F1312" s="42" t="str">
        <f>IFERROR(VLOOKUP(B1312,'MB51'!A:F,6,0),"")</f>
        <v/>
      </c>
      <c r="G1312" s="17" t="str">
        <f t="shared" si="60"/>
        <v>點揀料單</v>
      </c>
      <c r="H1312" s="17">
        <f t="shared" si="61"/>
        <v>0</v>
      </c>
      <c r="I1312" t="str">
        <f t="shared" si="62"/>
        <v/>
      </c>
      <c r="J1312" t="str">
        <f>SUBSTITUTE(IF(COUNTIF(I$2:I1312,I1312)&gt;1,"",1)," ","")</f>
        <v/>
      </c>
    </row>
    <row r="1313" spans="1:10" x14ac:dyDescent="0.2">
      <c r="A1313" s="51" t="str">
        <f>IFERROR(VLOOKUP(B1313,點上線資訊!A:R,18,0),"")</f>
        <v/>
      </c>
      <c r="B1313" s="41">
        <f>'MB51'!A1313</f>
        <v>0</v>
      </c>
      <c r="C1313" s="60" t="str">
        <f>IFERROR(VLOOKUP(B1313,'MB51'!A:I,9,0),"")</f>
        <v/>
      </c>
      <c r="D1313" s="61" t="str">
        <f>IFERROR(VLOOKUP(B1313,'MB51'!A:J,10,0),"")</f>
        <v/>
      </c>
      <c r="E1313" s="62" t="str">
        <f>IFERROR(VLOOKUP(B1313,'MB51'!A:K,11,0),"")</f>
        <v/>
      </c>
      <c r="F1313" s="42" t="str">
        <f>IFERROR(VLOOKUP(B1313,'MB51'!A:F,6,0),"")</f>
        <v/>
      </c>
      <c r="G1313" s="17" t="str">
        <f t="shared" si="60"/>
        <v>點揀料單</v>
      </c>
      <c r="H1313" s="17">
        <f t="shared" si="61"/>
        <v>0</v>
      </c>
      <c r="I1313" t="str">
        <f t="shared" si="62"/>
        <v/>
      </c>
      <c r="J1313" t="str">
        <f>SUBSTITUTE(IF(COUNTIF(I$2:I1313,I1313)&gt;1,"",1)," ","")</f>
        <v/>
      </c>
    </row>
    <row r="1314" spans="1:10" x14ac:dyDescent="0.2">
      <c r="A1314" s="51" t="str">
        <f>IFERROR(VLOOKUP(B1314,點上線資訊!A:R,18,0),"")</f>
        <v/>
      </c>
      <c r="B1314" s="41">
        <f>'MB51'!A1314</f>
        <v>0</v>
      </c>
      <c r="C1314" s="60" t="str">
        <f>IFERROR(VLOOKUP(B1314,'MB51'!A:I,9,0),"")</f>
        <v/>
      </c>
      <c r="D1314" s="61" t="str">
        <f>IFERROR(VLOOKUP(B1314,'MB51'!A:J,10,0),"")</f>
        <v/>
      </c>
      <c r="E1314" s="62" t="str">
        <f>IFERROR(VLOOKUP(B1314,'MB51'!A:K,11,0),"")</f>
        <v/>
      </c>
      <c r="F1314" s="42" t="str">
        <f>IFERROR(VLOOKUP(B1314,'MB51'!A:F,6,0),"")</f>
        <v/>
      </c>
      <c r="G1314" s="17" t="str">
        <f t="shared" si="60"/>
        <v>點揀料單</v>
      </c>
      <c r="H1314" s="17">
        <f t="shared" si="61"/>
        <v>0</v>
      </c>
      <c r="I1314" t="str">
        <f t="shared" si="62"/>
        <v/>
      </c>
      <c r="J1314" t="str">
        <f>SUBSTITUTE(IF(COUNTIF(I$2:I1314,I1314)&gt;1,"",1)," ","")</f>
        <v/>
      </c>
    </row>
    <row r="1315" spans="1:10" x14ac:dyDescent="0.2">
      <c r="A1315" s="51" t="str">
        <f>IFERROR(VLOOKUP(B1315,點上線資訊!A:R,18,0),"")</f>
        <v/>
      </c>
      <c r="B1315" s="41">
        <f>'MB51'!A1315</f>
        <v>0</v>
      </c>
      <c r="C1315" s="60" t="str">
        <f>IFERROR(VLOOKUP(B1315,'MB51'!A:I,9,0),"")</f>
        <v/>
      </c>
      <c r="D1315" s="61" t="str">
        <f>IFERROR(VLOOKUP(B1315,'MB51'!A:J,10,0),"")</f>
        <v/>
      </c>
      <c r="E1315" s="62" t="str">
        <f>IFERROR(VLOOKUP(B1315,'MB51'!A:K,11,0),"")</f>
        <v/>
      </c>
      <c r="F1315" s="42" t="str">
        <f>IFERROR(VLOOKUP(B1315,'MB51'!A:F,6,0),"")</f>
        <v/>
      </c>
      <c r="G1315" s="17" t="str">
        <f t="shared" si="60"/>
        <v>點揀料單</v>
      </c>
      <c r="H1315" s="17">
        <f t="shared" si="61"/>
        <v>0</v>
      </c>
      <c r="I1315" t="str">
        <f t="shared" si="62"/>
        <v/>
      </c>
      <c r="J1315" t="str">
        <f>SUBSTITUTE(IF(COUNTIF(I$2:I1315,I1315)&gt;1,"",1)," ","")</f>
        <v/>
      </c>
    </row>
    <row r="1316" spans="1:10" x14ac:dyDescent="0.2">
      <c r="A1316" s="51" t="str">
        <f>IFERROR(VLOOKUP(B1316,點上線資訊!A:R,18,0),"")</f>
        <v/>
      </c>
      <c r="B1316" s="41">
        <f>'MB51'!A1316</f>
        <v>0</v>
      </c>
      <c r="C1316" s="60" t="str">
        <f>IFERROR(VLOOKUP(B1316,'MB51'!A:I,9,0),"")</f>
        <v/>
      </c>
      <c r="D1316" s="61" t="str">
        <f>IFERROR(VLOOKUP(B1316,'MB51'!A:J,10,0),"")</f>
        <v/>
      </c>
      <c r="E1316" s="62" t="str">
        <f>IFERROR(VLOOKUP(B1316,'MB51'!A:K,11,0),"")</f>
        <v/>
      </c>
      <c r="F1316" s="42" t="str">
        <f>IFERROR(VLOOKUP(B1316,'MB51'!A:F,6,0),"")</f>
        <v/>
      </c>
      <c r="G1316" s="17" t="str">
        <f t="shared" si="60"/>
        <v>點揀料單</v>
      </c>
      <c r="H1316" s="17">
        <f t="shared" si="61"/>
        <v>0</v>
      </c>
      <c r="I1316" t="str">
        <f t="shared" si="62"/>
        <v/>
      </c>
      <c r="J1316" t="str">
        <f>SUBSTITUTE(IF(COUNTIF(I$2:I1316,I1316)&gt;1,"",1)," ","")</f>
        <v/>
      </c>
    </row>
    <row r="1317" spans="1:10" x14ac:dyDescent="0.2">
      <c r="A1317" s="51" t="str">
        <f>IFERROR(VLOOKUP(B1317,點上線資訊!A:R,18,0),"")</f>
        <v/>
      </c>
      <c r="B1317" s="41">
        <f>'MB51'!A1317</f>
        <v>0</v>
      </c>
      <c r="C1317" s="60" t="str">
        <f>IFERROR(VLOOKUP(B1317,'MB51'!A:I,9,0),"")</f>
        <v/>
      </c>
      <c r="D1317" s="61" t="str">
        <f>IFERROR(VLOOKUP(B1317,'MB51'!A:J,10,0),"")</f>
        <v/>
      </c>
      <c r="E1317" s="62" t="str">
        <f>IFERROR(VLOOKUP(B1317,'MB51'!A:K,11,0),"")</f>
        <v/>
      </c>
      <c r="F1317" s="42" t="str">
        <f>IFERROR(VLOOKUP(B1317,'MB51'!A:F,6,0),"")</f>
        <v/>
      </c>
      <c r="G1317" s="17" t="str">
        <f t="shared" si="60"/>
        <v>點揀料單</v>
      </c>
      <c r="H1317" s="17">
        <f t="shared" si="61"/>
        <v>0</v>
      </c>
      <c r="I1317" t="str">
        <f t="shared" si="62"/>
        <v/>
      </c>
      <c r="J1317" t="str">
        <f>SUBSTITUTE(IF(COUNTIF(I$2:I1317,I1317)&gt;1,"",1)," ","")</f>
        <v/>
      </c>
    </row>
    <row r="1318" spans="1:10" x14ac:dyDescent="0.2">
      <c r="A1318" s="51" t="str">
        <f>IFERROR(VLOOKUP(B1318,點上線資訊!A:R,18,0),"")</f>
        <v/>
      </c>
      <c r="B1318" s="41">
        <f>'MB51'!A1318</f>
        <v>0</v>
      </c>
      <c r="C1318" s="60" t="str">
        <f>IFERROR(VLOOKUP(B1318,'MB51'!A:I,9,0),"")</f>
        <v/>
      </c>
      <c r="D1318" s="61" t="str">
        <f>IFERROR(VLOOKUP(B1318,'MB51'!A:J,10,0),"")</f>
        <v/>
      </c>
      <c r="E1318" s="62" t="str">
        <f>IFERROR(VLOOKUP(B1318,'MB51'!A:K,11,0),"")</f>
        <v/>
      </c>
      <c r="F1318" s="42" t="str">
        <f>IFERROR(VLOOKUP(B1318,'MB51'!A:F,6,0),"")</f>
        <v/>
      </c>
      <c r="G1318" s="17" t="str">
        <f t="shared" si="60"/>
        <v>點揀料單</v>
      </c>
      <c r="H1318" s="17">
        <f t="shared" si="61"/>
        <v>0</v>
      </c>
      <c r="I1318" t="str">
        <f t="shared" si="62"/>
        <v/>
      </c>
      <c r="J1318" t="str">
        <f>SUBSTITUTE(IF(COUNTIF(I$2:I1318,I1318)&gt;1,"",1)," ","")</f>
        <v/>
      </c>
    </row>
    <row r="1319" spans="1:10" x14ac:dyDescent="0.2">
      <c r="A1319" s="51" t="str">
        <f>IFERROR(VLOOKUP(B1319,點上線資訊!A:R,18,0),"")</f>
        <v/>
      </c>
      <c r="B1319" s="41">
        <f>'MB51'!A1319</f>
        <v>0</v>
      </c>
      <c r="C1319" s="60" t="str">
        <f>IFERROR(VLOOKUP(B1319,'MB51'!A:I,9,0),"")</f>
        <v/>
      </c>
      <c r="D1319" s="61" t="str">
        <f>IFERROR(VLOOKUP(B1319,'MB51'!A:J,10,0),"")</f>
        <v/>
      </c>
      <c r="E1319" s="62" t="str">
        <f>IFERROR(VLOOKUP(B1319,'MB51'!A:K,11,0),"")</f>
        <v/>
      </c>
      <c r="F1319" s="42" t="str">
        <f>IFERROR(VLOOKUP(B1319,'MB51'!A:F,6,0),"")</f>
        <v/>
      </c>
      <c r="G1319" s="17" t="str">
        <f t="shared" si="60"/>
        <v>點揀料單</v>
      </c>
      <c r="H1319" s="17">
        <f t="shared" si="61"/>
        <v>0</v>
      </c>
      <c r="I1319" t="str">
        <f t="shared" si="62"/>
        <v/>
      </c>
      <c r="J1319" t="str">
        <f>SUBSTITUTE(IF(COUNTIF(I$2:I1319,I1319)&gt;1,"",1)," ","")</f>
        <v/>
      </c>
    </row>
    <row r="1320" spans="1:10" x14ac:dyDescent="0.2">
      <c r="A1320" s="51" t="str">
        <f>IFERROR(VLOOKUP(B1320,點上線資訊!A:R,18,0),"")</f>
        <v/>
      </c>
      <c r="B1320" s="41">
        <f>'MB51'!A1320</f>
        <v>0</v>
      </c>
      <c r="C1320" s="60" t="str">
        <f>IFERROR(VLOOKUP(B1320,'MB51'!A:I,9,0),"")</f>
        <v/>
      </c>
      <c r="D1320" s="61" t="str">
        <f>IFERROR(VLOOKUP(B1320,'MB51'!A:J,10,0),"")</f>
        <v/>
      </c>
      <c r="E1320" s="62" t="str">
        <f>IFERROR(VLOOKUP(B1320,'MB51'!A:K,11,0),"")</f>
        <v/>
      </c>
      <c r="F1320" s="42" t="str">
        <f>IFERROR(VLOOKUP(B1320,'MB51'!A:F,6,0),"")</f>
        <v/>
      </c>
      <c r="G1320" s="17" t="str">
        <f t="shared" si="60"/>
        <v>點揀料單</v>
      </c>
      <c r="H1320" s="17">
        <f t="shared" si="61"/>
        <v>0</v>
      </c>
      <c r="I1320" t="str">
        <f t="shared" si="62"/>
        <v/>
      </c>
      <c r="J1320" t="str">
        <f>SUBSTITUTE(IF(COUNTIF(I$2:I1320,I1320)&gt;1,"",1)," ","")</f>
        <v/>
      </c>
    </row>
    <row r="1321" spans="1:10" x14ac:dyDescent="0.2">
      <c r="A1321" s="51" t="str">
        <f>IFERROR(VLOOKUP(B1321,點上線資訊!A:R,18,0),"")</f>
        <v/>
      </c>
      <c r="B1321" s="41">
        <f>'MB51'!A1321</f>
        <v>0</v>
      </c>
      <c r="C1321" s="60" t="str">
        <f>IFERROR(VLOOKUP(B1321,'MB51'!A:I,9,0),"")</f>
        <v/>
      </c>
      <c r="D1321" s="61" t="str">
        <f>IFERROR(VLOOKUP(B1321,'MB51'!A:J,10,0),"")</f>
        <v/>
      </c>
      <c r="E1321" s="62" t="str">
        <f>IFERROR(VLOOKUP(B1321,'MB51'!A:K,11,0),"")</f>
        <v/>
      </c>
      <c r="F1321" s="42" t="str">
        <f>IFERROR(VLOOKUP(B1321,'MB51'!A:F,6,0),"")</f>
        <v/>
      </c>
      <c r="G1321" s="17" t="str">
        <f t="shared" si="60"/>
        <v>點揀料單</v>
      </c>
      <c r="H1321" s="17">
        <f t="shared" si="61"/>
        <v>0</v>
      </c>
      <c r="I1321" t="str">
        <f t="shared" si="62"/>
        <v/>
      </c>
      <c r="J1321" t="str">
        <f>SUBSTITUTE(IF(COUNTIF(I$2:I1321,I1321)&gt;1,"",1)," ","")</f>
        <v/>
      </c>
    </row>
    <row r="1322" spans="1:10" x14ac:dyDescent="0.2">
      <c r="A1322" s="51" t="str">
        <f>IFERROR(VLOOKUP(B1322,點上線資訊!A:R,18,0),"")</f>
        <v/>
      </c>
      <c r="B1322" s="41">
        <f>'MB51'!A1322</f>
        <v>0</v>
      </c>
      <c r="C1322" s="60" t="str">
        <f>IFERROR(VLOOKUP(B1322,'MB51'!A:I,9,0),"")</f>
        <v/>
      </c>
      <c r="D1322" s="61" t="str">
        <f>IFERROR(VLOOKUP(B1322,'MB51'!A:J,10,0),"")</f>
        <v/>
      </c>
      <c r="E1322" s="62" t="str">
        <f>IFERROR(VLOOKUP(B1322,'MB51'!A:K,11,0),"")</f>
        <v/>
      </c>
      <c r="F1322" s="42" t="str">
        <f>IFERROR(VLOOKUP(B1322,'MB51'!A:F,6,0),"")</f>
        <v/>
      </c>
      <c r="G1322" s="17" t="str">
        <f t="shared" si="60"/>
        <v>點揀料單</v>
      </c>
      <c r="H1322" s="17">
        <f t="shared" si="61"/>
        <v>0</v>
      </c>
      <c r="I1322" t="str">
        <f t="shared" si="62"/>
        <v/>
      </c>
      <c r="J1322" t="str">
        <f>SUBSTITUTE(IF(COUNTIF(I$2:I1322,I1322)&gt;1,"",1)," ","")</f>
        <v/>
      </c>
    </row>
    <row r="1323" spans="1:10" x14ac:dyDescent="0.2">
      <c r="A1323" s="51" t="str">
        <f>IFERROR(VLOOKUP(B1323,點上線資訊!A:R,18,0),"")</f>
        <v/>
      </c>
      <c r="B1323" s="41">
        <f>'MB51'!A1323</f>
        <v>0</v>
      </c>
      <c r="C1323" s="60" t="str">
        <f>IFERROR(VLOOKUP(B1323,'MB51'!A:I,9,0),"")</f>
        <v/>
      </c>
      <c r="D1323" s="61" t="str">
        <f>IFERROR(VLOOKUP(B1323,'MB51'!A:J,10,0),"")</f>
        <v/>
      </c>
      <c r="E1323" s="62" t="str">
        <f>IFERROR(VLOOKUP(B1323,'MB51'!A:K,11,0),"")</f>
        <v/>
      </c>
      <c r="F1323" s="42" t="str">
        <f>IFERROR(VLOOKUP(B1323,'MB51'!A:F,6,0),"")</f>
        <v/>
      </c>
      <c r="G1323" s="17" t="str">
        <f t="shared" si="60"/>
        <v>點揀料單</v>
      </c>
      <c r="H1323" s="17">
        <f t="shared" si="61"/>
        <v>0</v>
      </c>
      <c r="I1323" t="str">
        <f t="shared" si="62"/>
        <v/>
      </c>
      <c r="J1323" t="str">
        <f>SUBSTITUTE(IF(COUNTIF(I$2:I1323,I1323)&gt;1,"",1)," ","")</f>
        <v/>
      </c>
    </row>
    <row r="1324" spans="1:10" x14ac:dyDescent="0.2">
      <c r="A1324" s="51" t="str">
        <f>IFERROR(VLOOKUP(B1324,點上線資訊!A:R,18,0),"")</f>
        <v/>
      </c>
      <c r="B1324" s="41">
        <f>'MB51'!A1324</f>
        <v>0</v>
      </c>
      <c r="C1324" s="60" t="str">
        <f>IFERROR(VLOOKUP(B1324,'MB51'!A:I,9,0),"")</f>
        <v/>
      </c>
      <c r="D1324" s="61" t="str">
        <f>IFERROR(VLOOKUP(B1324,'MB51'!A:J,10,0),"")</f>
        <v/>
      </c>
      <c r="E1324" s="62" t="str">
        <f>IFERROR(VLOOKUP(B1324,'MB51'!A:K,11,0),"")</f>
        <v/>
      </c>
      <c r="F1324" s="42" t="str">
        <f>IFERROR(VLOOKUP(B1324,'MB51'!A:F,6,0),"")</f>
        <v/>
      </c>
      <c r="G1324" s="17" t="str">
        <f t="shared" si="60"/>
        <v>點揀料單</v>
      </c>
      <c r="H1324" s="17">
        <f t="shared" si="61"/>
        <v>0</v>
      </c>
      <c r="I1324" t="str">
        <f t="shared" si="62"/>
        <v/>
      </c>
      <c r="J1324" t="str">
        <f>SUBSTITUTE(IF(COUNTIF(I$2:I1324,I1324)&gt;1,"",1)," ","")</f>
        <v/>
      </c>
    </row>
    <row r="1325" spans="1:10" x14ac:dyDescent="0.2">
      <c r="A1325" s="51" t="str">
        <f>IFERROR(VLOOKUP(B1325,點上線資訊!A:R,18,0),"")</f>
        <v/>
      </c>
      <c r="B1325" s="41">
        <f>'MB51'!A1325</f>
        <v>0</v>
      </c>
      <c r="C1325" s="60" t="str">
        <f>IFERROR(VLOOKUP(B1325,'MB51'!A:I,9,0),"")</f>
        <v/>
      </c>
      <c r="D1325" s="61" t="str">
        <f>IFERROR(VLOOKUP(B1325,'MB51'!A:J,10,0),"")</f>
        <v/>
      </c>
      <c r="E1325" s="62" t="str">
        <f>IFERROR(VLOOKUP(B1325,'MB51'!A:K,11,0),"")</f>
        <v/>
      </c>
      <c r="F1325" s="42" t="str">
        <f>IFERROR(VLOOKUP(B1325,'MB51'!A:F,6,0),"")</f>
        <v/>
      </c>
      <c r="G1325" s="17" t="str">
        <f t="shared" si="60"/>
        <v>點揀料單</v>
      </c>
      <c r="H1325" s="17">
        <f t="shared" si="61"/>
        <v>0</v>
      </c>
      <c r="I1325" t="str">
        <f t="shared" si="62"/>
        <v/>
      </c>
      <c r="J1325" t="str">
        <f>SUBSTITUTE(IF(COUNTIF(I$2:I1325,I1325)&gt;1,"",1)," ","")</f>
        <v/>
      </c>
    </row>
    <row r="1326" spans="1:10" x14ac:dyDescent="0.2">
      <c r="A1326" s="51" t="str">
        <f>IFERROR(VLOOKUP(B1326,點上線資訊!A:R,18,0),"")</f>
        <v/>
      </c>
      <c r="B1326" s="41">
        <f>'MB51'!A1326</f>
        <v>0</v>
      </c>
      <c r="C1326" s="60" t="str">
        <f>IFERROR(VLOOKUP(B1326,'MB51'!A:I,9,0),"")</f>
        <v/>
      </c>
      <c r="D1326" s="61" t="str">
        <f>IFERROR(VLOOKUP(B1326,'MB51'!A:J,10,0),"")</f>
        <v/>
      </c>
      <c r="E1326" s="62" t="str">
        <f>IFERROR(VLOOKUP(B1326,'MB51'!A:K,11,0),"")</f>
        <v/>
      </c>
      <c r="F1326" s="42" t="str">
        <f>IFERROR(VLOOKUP(B1326,'MB51'!A:F,6,0),"")</f>
        <v/>
      </c>
      <c r="G1326" s="17" t="str">
        <f t="shared" si="60"/>
        <v>點揀料單</v>
      </c>
      <c r="H1326" s="17">
        <f t="shared" si="61"/>
        <v>0</v>
      </c>
      <c r="I1326" t="str">
        <f t="shared" si="62"/>
        <v/>
      </c>
      <c r="J1326" t="str">
        <f>SUBSTITUTE(IF(COUNTIF(I$2:I1326,I1326)&gt;1,"",1)," ","")</f>
        <v/>
      </c>
    </row>
    <row r="1327" spans="1:10" x14ac:dyDescent="0.2">
      <c r="A1327" s="51" t="str">
        <f>IFERROR(VLOOKUP(B1327,點上線資訊!A:R,18,0),"")</f>
        <v/>
      </c>
      <c r="B1327" s="41">
        <f>'MB51'!A1327</f>
        <v>0</v>
      </c>
      <c r="C1327" s="60" t="str">
        <f>IFERROR(VLOOKUP(B1327,'MB51'!A:I,9,0),"")</f>
        <v/>
      </c>
      <c r="D1327" s="61" t="str">
        <f>IFERROR(VLOOKUP(B1327,'MB51'!A:J,10,0),"")</f>
        <v/>
      </c>
      <c r="E1327" s="62" t="str">
        <f>IFERROR(VLOOKUP(B1327,'MB51'!A:K,11,0),"")</f>
        <v/>
      </c>
      <c r="F1327" s="42" t="str">
        <f>IFERROR(VLOOKUP(B1327,'MB51'!A:F,6,0),"")</f>
        <v/>
      </c>
      <c r="G1327" s="17" t="str">
        <f t="shared" si="60"/>
        <v>點揀料單</v>
      </c>
      <c r="H1327" s="17">
        <f t="shared" si="61"/>
        <v>0</v>
      </c>
      <c r="I1327" t="str">
        <f t="shared" si="62"/>
        <v/>
      </c>
      <c r="J1327" t="str">
        <f>SUBSTITUTE(IF(COUNTIF(I$2:I1327,I1327)&gt;1,"",1)," ","")</f>
        <v/>
      </c>
    </row>
    <row r="1328" spans="1:10" x14ac:dyDescent="0.2">
      <c r="A1328" s="51" t="str">
        <f>IFERROR(VLOOKUP(B1328,點上線資訊!A:R,18,0),"")</f>
        <v/>
      </c>
      <c r="B1328" s="41">
        <f>'MB51'!A1328</f>
        <v>0</v>
      </c>
      <c r="C1328" s="60" t="str">
        <f>IFERROR(VLOOKUP(B1328,'MB51'!A:I,9,0),"")</f>
        <v/>
      </c>
      <c r="D1328" s="61" t="str">
        <f>IFERROR(VLOOKUP(B1328,'MB51'!A:J,10,0),"")</f>
        <v/>
      </c>
      <c r="E1328" s="62" t="str">
        <f>IFERROR(VLOOKUP(B1328,'MB51'!A:K,11,0),"")</f>
        <v/>
      </c>
      <c r="F1328" s="42" t="str">
        <f>IFERROR(VLOOKUP(B1328,'MB51'!A:F,6,0),"")</f>
        <v/>
      </c>
      <c r="G1328" s="17" t="str">
        <f t="shared" si="60"/>
        <v>點揀料單</v>
      </c>
      <c r="H1328" s="17">
        <f t="shared" si="61"/>
        <v>0</v>
      </c>
      <c r="I1328" t="str">
        <f t="shared" si="62"/>
        <v/>
      </c>
      <c r="J1328" t="str">
        <f>SUBSTITUTE(IF(COUNTIF(I$2:I1328,I1328)&gt;1,"",1)," ","")</f>
        <v/>
      </c>
    </row>
    <row r="1329" spans="1:10" x14ac:dyDescent="0.2">
      <c r="A1329" s="51" t="str">
        <f>IFERROR(VLOOKUP(B1329,點上線資訊!A:R,18,0),"")</f>
        <v/>
      </c>
      <c r="B1329" s="41">
        <f>'MB51'!A1329</f>
        <v>0</v>
      </c>
      <c r="C1329" s="60" t="str">
        <f>IFERROR(VLOOKUP(B1329,'MB51'!A:I,9,0),"")</f>
        <v/>
      </c>
      <c r="D1329" s="61" t="str">
        <f>IFERROR(VLOOKUP(B1329,'MB51'!A:J,10,0),"")</f>
        <v/>
      </c>
      <c r="E1329" s="62" t="str">
        <f>IFERROR(VLOOKUP(B1329,'MB51'!A:K,11,0),"")</f>
        <v/>
      </c>
      <c r="F1329" s="42" t="str">
        <f>IFERROR(VLOOKUP(B1329,'MB51'!A:F,6,0),"")</f>
        <v/>
      </c>
      <c r="G1329" s="17" t="str">
        <f t="shared" si="60"/>
        <v>點揀料單</v>
      </c>
      <c r="H1329" s="17">
        <f t="shared" si="61"/>
        <v>0</v>
      </c>
      <c r="I1329" t="str">
        <f t="shared" si="62"/>
        <v/>
      </c>
      <c r="J1329" t="str">
        <f>SUBSTITUTE(IF(COUNTIF(I$2:I1329,I1329)&gt;1,"",1)," ","")</f>
        <v/>
      </c>
    </row>
    <row r="1330" spans="1:10" x14ac:dyDescent="0.2">
      <c r="A1330" s="51" t="str">
        <f>IFERROR(VLOOKUP(B1330,點上線資訊!A:R,18,0),"")</f>
        <v/>
      </c>
      <c r="B1330" s="41">
        <f>'MB51'!A1330</f>
        <v>0</v>
      </c>
      <c r="C1330" s="60" t="str">
        <f>IFERROR(VLOOKUP(B1330,'MB51'!A:I,9,0),"")</f>
        <v/>
      </c>
      <c r="D1330" s="61" t="str">
        <f>IFERROR(VLOOKUP(B1330,'MB51'!A:J,10,0),"")</f>
        <v/>
      </c>
      <c r="E1330" s="62" t="str">
        <f>IFERROR(VLOOKUP(B1330,'MB51'!A:K,11,0),"")</f>
        <v/>
      </c>
      <c r="F1330" s="42" t="str">
        <f>IFERROR(VLOOKUP(B1330,'MB51'!A:F,6,0),"")</f>
        <v/>
      </c>
      <c r="G1330" s="17" t="str">
        <f t="shared" si="60"/>
        <v>點揀料單</v>
      </c>
      <c r="H1330" s="17">
        <f t="shared" si="61"/>
        <v>0</v>
      </c>
      <c r="I1330" t="str">
        <f t="shared" si="62"/>
        <v/>
      </c>
      <c r="J1330" t="str">
        <f>SUBSTITUTE(IF(COUNTIF(I$2:I1330,I1330)&gt;1,"",1)," ","")</f>
        <v/>
      </c>
    </row>
    <row r="1331" spans="1:10" x14ac:dyDescent="0.2">
      <c r="A1331" s="51" t="str">
        <f>IFERROR(VLOOKUP(B1331,點上線資訊!A:R,18,0),"")</f>
        <v/>
      </c>
      <c r="B1331" s="41">
        <f>'MB51'!A1331</f>
        <v>0</v>
      </c>
      <c r="C1331" s="60" t="str">
        <f>IFERROR(VLOOKUP(B1331,'MB51'!A:I,9,0),"")</f>
        <v/>
      </c>
      <c r="D1331" s="61" t="str">
        <f>IFERROR(VLOOKUP(B1331,'MB51'!A:J,10,0),"")</f>
        <v/>
      </c>
      <c r="E1331" s="62" t="str">
        <f>IFERROR(VLOOKUP(B1331,'MB51'!A:K,11,0),"")</f>
        <v/>
      </c>
      <c r="F1331" s="42" t="str">
        <f>IFERROR(VLOOKUP(B1331,'MB51'!A:F,6,0),"")</f>
        <v/>
      </c>
      <c r="G1331" s="17" t="str">
        <f t="shared" si="60"/>
        <v>點揀料單</v>
      </c>
      <c r="H1331" s="17">
        <f t="shared" si="61"/>
        <v>0</v>
      </c>
      <c r="I1331" t="str">
        <f t="shared" si="62"/>
        <v/>
      </c>
      <c r="J1331" t="str">
        <f>SUBSTITUTE(IF(COUNTIF(I$2:I1331,I1331)&gt;1,"",1)," ","")</f>
        <v/>
      </c>
    </row>
    <row r="1332" spans="1:10" x14ac:dyDescent="0.2">
      <c r="A1332" s="51" t="str">
        <f>IFERROR(VLOOKUP(B1332,點上線資訊!A:R,18,0),"")</f>
        <v/>
      </c>
      <c r="B1332" s="41">
        <f>'MB51'!A1332</f>
        <v>0</v>
      </c>
      <c r="C1332" s="60" t="str">
        <f>IFERROR(VLOOKUP(B1332,'MB51'!A:I,9,0),"")</f>
        <v/>
      </c>
      <c r="D1332" s="61" t="str">
        <f>IFERROR(VLOOKUP(B1332,'MB51'!A:J,10,0),"")</f>
        <v/>
      </c>
      <c r="E1332" s="62" t="str">
        <f>IFERROR(VLOOKUP(B1332,'MB51'!A:K,11,0),"")</f>
        <v/>
      </c>
      <c r="F1332" s="42" t="str">
        <f>IFERROR(VLOOKUP(B1332,'MB51'!A:F,6,0),"")</f>
        <v/>
      </c>
      <c r="G1332" s="17" t="str">
        <f t="shared" si="60"/>
        <v>點揀料單</v>
      </c>
      <c r="H1332" s="17">
        <f t="shared" si="61"/>
        <v>0</v>
      </c>
      <c r="I1332" t="str">
        <f t="shared" si="62"/>
        <v/>
      </c>
      <c r="J1332" t="str">
        <f>SUBSTITUTE(IF(COUNTIF(I$2:I1332,I1332)&gt;1,"",1)," ","")</f>
        <v/>
      </c>
    </row>
    <row r="1333" spans="1:10" x14ac:dyDescent="0.2">
      <c r="A1333" s="51" t="str">
        <f>IFERROR(VLOOKUP(B1333,點上線資訊!A:R,18,0),"")</f>
        <v/>
      </c>
      <c r="B1333" s="41">
        <f>'MB51'!A1333</f>
        <v>0</v>
      </c>
      <c r="C1333" s="60" t="str">
        <f>IFERROR(VLOOKUP(B1333,'MB51'!A:I,9,0),"")</f>
        <v/>
      </c>
      <c r="D1333" s="61" t="str">
        <f>IFERROR(VLOOKUP(B1333,'MB51'!A:J,10,0),"")</f>
        <v/>
      </c>
      <c r="E1333" s="62" t="str">
        <f>IFERROR(VLOOKUP(B1333,'MB51'!A:K,11,0),"")</f>
        <v/>
      </c>
      <c r="F1333" s="42" t="str">
        <f>IFERROR(VLOOKUP(B1333,'MB51'!A:F,6,0),"")</f>
        <v/>
      </c>
      <c r="G1333" s="17" t="str">
        <f t="shared" si="60"/>
        <v>點揀料單</v>
      </c>
      <c r="H1333" s="17">
        <f t="shared" si="61"/>
        <v>0</v>
      </c>
      <c r="I1333" t="str">
        <f t="shared" si="62"/>
        <v/>
      </c>
      <c r="J1333" t="str">
        <f>SUBSTITUTE(IF(COUNTIF(I$2:I1333,I1333)&gt;1,"",1)," ","")</f>
        <v/>
      </c>
    </row>
    <row r="1334" spans="1:10" x14ac:dyDescent="0.2">
      <c r="A1334" s="51" t="str">
        <f>IFERROR(VLOOKUP(B1334,點上線資訊!A:R,18,0),"")</f>
        <v/>
      </c>
      <c r="B1334" s="41">
        <f>'MB51'!A1334</f>
        <v>0</v>
      </c>
      <c r="C1334" s="60" t="str">
        <f>IFERROR(VLOOKUP(B1334,'MB51'!A:I,9,0),"")</f>
        <v/>
      </c>
      <c r="D1334" s="61" t="str">
        <f>IFERROR(VLOOKUP(B1334,'MB51'!A:J,10,0),"")</f>
        <v/>
      </c>
      <c r="E1334" s="62" t="str">
        <f>IFERROR(VLOOKUP(B1334,'MB51'!A:K,11,0),"")</f>
        <v/>
      </c>
      <c r="F1334" s="42" t="str">
        <f>IFERROR(VLOOKUP(B1334,'MB51'!A:F,6,0),"")</f>
        <v/>
      </c>
      <c r="G1334" s="17" t="str">
        <f t="shared" si="60"/>
        <v>點揀料單</v>
      </c>
      <c r="H1334" s="17">
        <f t="shared" si="61"/>
        <v>0</v>
      </c>
      <c r="I1334" t="str">
        <f t="shared" si="62"/>
        <v/>
      </c>
      <c r="J1334" t="str">
        <f>SUBSTITUTE(IF(COUNTIF(I$2:I1334,I1334)&gt;1,"",1)," ","")</f>
        <v/>
      </c>
    </row>
    <row r="1335" spans="1:10" x14ac:dyDescent="0.2">
      <c r="A1335" s="51" t="str">
        <f>IFERROR(VLOOKUP(B1335,點上線資訊!A:R,18,0),"")</f>
        <v/>
      </c>
      <c r="B1335" s="41">
        <f>'MB51'!A1335</f>
        <v>0</v>
      </c>
      <c r="C1335" s="60" t="str">
        <f>IFERROR(VLOOKUP(B1335,'MB51'!A:I,9,0),"")</f>
        <v/>
      </c>
      <c r="D1335" s="61" t="str">
        <f>IFERROR(VLOOKUP(B1335,'MB51'!A:J,10,0),"")</f>
        <v/>
      </c>
      <c r="E1335" s="62" t="str">
        <f>IFERROR(VLOOKUP(B1335,'MB51'!A:K,11,0),"")</f>
        <v/>
      </c>
      <c r="F1335" s="42" t="str">
        <f>IFERROR(VLOOKUP(B1335,'MB51'!A:F,6,0),"")</f>
        <v/>
      </c>
      <c r="G1335" s="17" t="str">
        <f t="shared" si="60"/>
        <v>點揀料單</v>
      </c>
      <c r="H1335" s="17">
        <f t="shared" si="61"/>
        <v>0</v>
      </c>
      <c r="I1335" t="str">
        <f t="shared" si="62"/>
        <v/>
      </c>
      <c r="J1335" t="str">
        <f>SUBSTITUTE(IF(COUNTIF(I$2:I1335,I1335)&gt;1,"",1)," ","")</f>
        <v/>
      </c>
    </row>
    <row r="1336" spans="1:10" x14ac:dyDescent="0.2">
      <c r="A1336" s="51" t="str">
        <f>IFERROR(VLOOKUP(B1336,點上線資訊!A:R,18,0),"")</f>
        <v/>
      </c>
      <c r="B1336" s="41">
        <f>'MB51'!A1336</f>
        <v>0</v>
      </c>
      <c r="C1336" s="60" t="str">
        <f>IFERROR(VLOOKUP(B1336,'MB51'!A:I,9,0),"")</f>
        <v/>
      </c>
      <c r="D1336" s="61" t="str">
        <f>IFERROR(VLOOKUP(B1336,'MB51'!A:J,10,0),"")</f>
        <v/>
      </c>
      <c r="E1336" s="62" t="str">
        <f>IFERROR(VLOOKUP(B1336,'MB51'!A:K,11,0),"")</f>
        <v/>
      </c>
      <c r="F1336" s="42" t="str">
        <f>IFERROR(VLOOKUP(B1336,'MB51'!A:F,6,0),"")</f>
        <v/>
      </c>
      <c r="G1336" s="17" t="str">
        <f t="shared" si="60"/>
        <v>點揀料單</v>
      </c>
      <c r="H1336" s="17">
        <f t="shared" si="61"/>
        <v>0</v>
      </c>
      <c r="I1336" t="str">
        <f t="shared" si="62"/>
        <v/>
      </c>
      <c r="J1336" t="str">
        <f>SUBSTITUTE(IF(COUNTIF(I$2:I1336,I1336)&gt;1,"",1)," ","")</f>
        <v/>
      </c>
    </row>
    <row r="1337" spans="1:10" x14ac:dyDescent="0.2">
      <c r="A1337" s="51" t="str">
        <f>IFERROR(VLOOKUP(B1337,點上線資訊!A:R,18,0),"")</f>
        <v/>
      </c>
      <c r="B1337" s="41">
        <f>'MB51'!A1337</f>
        <v>0</v>
      </c>
      <c r="C1337" s="60" t="str">
        <f>IFERROR(VLOOKUP(B1337,'MB51'!A:I,9,0),"")</f>
        <v/>
      </c>
      <c r="D1337" s="61" t="str">
        <f>IFERROR(VLOOKUP(B1337,'MB51'!A:J,10,0),"")</f>
        <v/>
      </c>
      <c r="E1337" s="62" t="str">
        <f>IFERROR(VLOOKUP(B1337,'MB51'!A:K,11,0),"")</f>
        <v/>
      </c>
      <c r="F1337" s="42" t="str">
        <f>IFERROR(VLOOKUP(B1337,'MB51'!A:F,6,0),"")</f>
        <v/>
      </c>
      <c r="G1337" s="17" t="str">
        <f t="shared" si="60"/>
        <v>點揀料單</v>
      </c>
      <c r="H1337" s="17">
        <f t="shared" si="61"/>
        <v>0</v>
      </c>
      <c r="I1337" t="str">
        <f t="shared" si="62"/>
        <v/>
      </c>
      <c r="J1337" t="str">
        <f>SUBSTITUTE(IF(COUNTIF(I$2:I1337,I1337)&gt;1,"",1)," ","")</f>
        <v/>
      </c>
    </row>
    <row r="1338" spans="1:10" x14ac:dyDescent="0.2">
      <c r="A1338" s="51" t="str">
        <f>IFERROR(VLOOKUP(B1338,點上線資訊!A:R,18,0),"")</f>
        <v/>
      </c>
      <c r="B1338" s="41">
        <f>'MB51'!A1338</f>
        <v>0</v>
      </c>
      <c r="C1338" s="60" t="str">
        <f>IFERROR(VLOOKUP(B1338,'MB51'!A:I,9,0),"")</f>
        <v/>
      </c>
      <c r="D1338" s="61" t="str">
        <f>IFERROR(VLOOKUP(B1338,'MB51'!A:J,10,0),"")</f>
        <v/>
      </c>
      <c r="E1338" s="62" t="str">
        <f>IFERROR(VLOOKUP(B1338,'MB51'!A:K,11,0),"")</f>
        <v/>
      </c>
      <c r="F1338" s="42" t="str">
        <f>IFERROR(VLOOKUP(B1338,'MB51'!A:F,6,0),"")</f>
        <v/>
      </c>
      <c r="G1338" s="17" t="str">
        <f t="shared" si="60"/>
        <v>點揀料單</v>
      </c>
      <c r="H1338" s="17">
        <f t="shared" si="61"/>
        <v>0</v>
      </c>
      <c r="I1338" t="str">
        <f t="shared" si="62"/>
        <v/>
      </c>
      <c r="J1338" t="str">
        <f>SUBSTITUTE(IF(COUNTIF(I$2:I1338,I1338)&gt;1,"",1)," ","")</f>
        <v/>
      </c>
    </row>
    <row r="1339" spans="1:10" x14ac:dyDescent="0.2">
      <c r="A1339" s="51" t="str">
        <f>IFERROR(VLOOKUP(B1339,點上線資訊!A:R,18,0),"")</f>
        <v/>
      </c>
      <c r="B1339" s="41">
        <f>'MB51'!A1339</f>
        <v>0</v>
      </c>
      <c r="C1339" s="60" t="str">
        <f>IFERROR(VLOOKUP(B1339,'MB51'!A:I,9,0),"")</f>
        <v/>
      </c>
      <c r="D1339" s="61" t="str">
        <f>IFERROR(VLOOKUP(B1339,'MB51'!A:J,10,0),"")</f>
        <v/>
      </c>
      <c r="E1339" s="62" t="str">
        <f>IFERROR(VLOOKUP(B1339,'MB51'!A:K,11,0),"")</f>
        <v/>
      </c>
      <c r="F1339" s="42" t="str">
        <f>IFERROR(VLOOKUP(B1339,'MB51'!A:F,6,0),"")</f>
        <v/>
      </c>
      <c r="G1339" s="17" t="str">
        <f t="shared" si="60"/>
        <v>點揀料單</v>
      </c>
      <c r="H1339" s="17">
        <f t="shared" si="61"/>
        <v>0</v>
      </c>
      <c r="I1339" t="str">
        <f t="shared" si="62"/>
        <v/>
      </c>
      <c r="J1339" t="str">
        <f>SUBSTITUTE(IF(COUNTIF(I$2:I1339,I1339)&gt;1,"",1)," ","")</f>
        <v/>
      </c>
    </row>
    <row r="1340" spans="1:10" x14ac:dyDescent="0.2">
      <c r="A1340" s="51" t="str">
        <f>IFERROR(VLOOKUP(B1340,點上線資訊!A:R,18,0),"")</f>
        <v/>
      </c>
      <c r="B1340" s="41">
        <f>'MB51'!A1340</f>
        <v>0</v>
      </c>
      <c r="C1340" s="60" t="str">
        <f>IFERROR(VLOOKUP(B1340,'MB51'!A:I,9,0),"")</f>
        <v/>
      </c>
      <c r="D1340" s="61" t="str">
        <f>IFERROR(VLOOKUP(B1340,'MB51'!A:J,10,0),"")</f>
        <v/>
      </c>
      <c r="E1340" s="62" t="str">
        <f>IFERROR(VLOOKUP(B1340,'MB51'!A:K,11,0),"")</f>
        <v/>
      </c>
      <c r="F1340" s="42" t="str">
        <f>IFERROR(VLOOKUP(B1340,'MB51'!A:F,6,0),"")</f>
        <v/>
      </c>
      <c r="G1340" s="17" t="str">
        <f t="shared" si="60"/>
        <v>點揀料單</v>
      </c>
      <c r="H1340" s="17">
        <f t="shared" si="61"/>
        <v>0</v>
      </c>
      <c r="I1340" t="str">
        <f t="shared" si="62"/>
        <v/>
      </c>
      <c r="J1340" t="str">
        <f>SUBSTITUTE(IF(COUNTIF(I$2:I1340,I1340)&gt;1,"",1)," ","")</f>
        <v/>
      </c>
    </row>
    <row r="1341" spans="1:10" x14ac:dyDescent="0.2">
      <c r="A1341" s="51" t="str">
        <f>IFERROR(VLOOKUP(B1341,點上線資訊!A:R,18,0),"")</f>
        <v/>
      </c>
      <c r="B1341" s="41">
        <f>'MB51'!A1341</f>
        <v>0</v>
      </c>
      <c r="C1341" s="60" t="str">
        <f>IFERROR(VLOOKUP(B1341,'MB51'!A:I,9,0),"")</f>
        <v/>
      </c>
      <c r="D1341" s="61" t="str">
        <f>IFERROR(VLOOKUP(B1341,'MB51'!A:J,10,0),"")</f>
        <v/>
      </c>
      <c r="E1341" s="62" t="str">
        <f>IFERROR(VLOOKUP(B1341,'MB51'!A:K,11,0),"")</f>
        <v/>
      </c>
      <c r="F1341" s="42" t="str">
        <f>IFERROR(VLOOKUP(B1341,'MB51'!A:F,6,0),"")</f>
        <v/>
      </c>
      <c r="G1341" s="17" t="str">
        <f t="shared" si="60"/>
        <v>點揀料單</v>
      </c>
      <c r="H1341" s="17">
        <f t="shared" si="61"/>
        <v>0</v>
      </c>
      <c r="I1341" t="str">
        <f t="shared" si="62"/>
        <v/>
      </c>
      <c r="J1341" t="str">
        <f>SUBSTITUTE(IF(COUNTIF(I$2:I1341,I1341)&gt;1,"",1)," ","")</f>
        <v/>
      </c>
    </row>
    <row r="1342" spans="1:10" x14ac:dyDescent="0.2">
      <c r="A1342" s="51" t="str">
        <f>IFERROR(VLOOKUP(B1342,點上線資訊!A:R,18,0),"")</f>
        <v/>
      </c>
      <c r="B1342" s="41">
        <f>'MB51'!A1342</f>
        <v>0</v>
      </c>
      <c r="C1342" s="60" t="str">
        <f>IFERROR(VLOOKUP(B1342,'MB51'!A:I,9,0),"")</f>
        <v/>
      </c>
      <c r="D1342" s="61" t="str">
        <f>IFERROR(VLOOKUP(B1342,'MB51'!A:J,10,0),"")</f>
        <v/>
      </c>
      <c r="E1342" s="62" t="str">
        <f>IFERROR(VLOOKUP(B1342,'MB51'!A:K,11,0),"")</f>
        <v/>
      </c>
      <c r="F1342" s="42" t="str">
        <f>IFERROR(VLOOKUP(B1342,'MB51'!A:F,6,0),"")</f>
        <v/>
      </c>
      <c r="G1342" s="17" t="str">
        <f t="shared" si="60"/>
        <v>點揀料單</v>
      </c>
      <c r="H1342" s="17">
        <f t="shared" si="61"/>
        <v>0</v>
      </c>
      <c r="I1342" t="str">
        <f t="shared" si="62"/>
        <v/>
      </c>
      <c r="J1342" t="str">
        <f>SUBSTITUTE(IF(COUNTIF(I$2:I1342,I1342)&gt;1,"",1)," ","")</f>
        <v/>
      </c>
    </row>
    <row r="1343" spans="1:10" x14ac:dyDescent="0.2">
      <c r="A1343" s="51" t="str">
        <f>IFERROR(VLOOKUP(B1343,點上線資訊!A:R,18,0),"")</f>
        <v/>
      </c>
      <c r="B1343" s="41">
        <f>'MB51'!A1343</f>
        <v>0</v>
      </c>
      <c r="C1343" s="60" t="str">
        <f>IFERROR(VLOOKUP(B1343,'MB51'!A:I,9,0),"")</f>
        <v/>
      </c>
      <c r="D1343" s="61" t="str">
        <f>IFERROR(VLOOKUP(B1343,'MB51'!A:J,10,0),"")</f>
        <v/>
      </c>
      <c r="E1343" s="62" t="str">
        <f>IFERROR(VLOOKUP(B1343,'MB51'!A:K,11,0),"")</f>
        <v/>
      </c>
      <c r="F1343" s="42" t="str">
        <f>IFERROR(VLOOKUP(B1343,'MB51'!A:F,6,0),"")</f>
        <v/>
      </c>
      <c r="G1343" s="17" t="str">
        <f t="shared" si="60"/>
        <v>點揀料單</v>
      </c>
      <c r="H1343" s="17">
        <f t="shared" si="61"/>
        <v>0</v>
      </c>
      <c r="I1343" t="str">
        <f t="shared" si="62"/>
        <v/>
      </c>
      <c r="J1343" t="str">
        <f>SUBSTITUTE(IF(COUNTIF(I$2:I1343,I1343)&gt;1,"",1)," ","")</f>
        <v/>
      </c>
    </row>
    <row r="1344" spans="1:10" x14ac:dyDescent="0.2">
      <c r="A1344" s="51" t="str">
        <f>IFERROR(VLOOKUP(B1344,點上線資訊!A:R,18,0),"")</f>
        <v/>
      </c>
      <c r="B1344" s="41">
        <f>'MB51'!A1344</f>
        <v>0</v>
      </c>
      <c r="C1344" s="60" t="str">
        <f>IFERROR(VLOOKUP(B1344,'MB51'!A:I,9,0),"")</f>
        <v/>
      </c>
      <c r="D1344" s="61" t="str">
        <f>IFERROR(VLOOKUP(B1344,'MB51'!A:J,10,0),"")</f>
        <v/>
      </c>
      <c r="E1344" s="62" t="str">
        <f>IFERROR(VLOOKUP(B1344,'MB51'!A:K,11,0),"")</f>
        <v/>
      </c>
      <c r="F1344" s="42" t="str">
        <f>IFERROR(VLOOKUP(B1344,'MB51'!A:F,6,0),"")</f>
        <v/>
      </c>
      <c r="G1344" s="17" t="str">
        <f t="shared" si="60"/>
        <v>點揀料單</v>
      </c>
      <c r="H1344" s="17">
        <f t="shared" si="61"/>
        <v>0</v>
      </c>
      <c r="I1344" t="str">
        <f t="shared" si="62"/>
        <v/>
      </c>
      <c r="J1344" t="str">
        <f>SUBSTITUTE(IF(COUNTIF(I$2:I1344,I1344)&gt;1,"",1)," ","")</f>
        <v/>
      </c>
    </row>
    <row r="1345" spans="1:10" x14ac:dyDescent="0.2">
      <c r="A1345" s="51" t="str">
        <f>IFERROR(VLOOKUP(B1345,點上線資訊!A:R,18,0),"")</f>
        <v/>
      </c>
      <c r="B1345" s="41">
        <f>'MB51'!A1345</f>
        <v>0</v>
      </c>
      <c r="C1345" s="60" t="str">
        <f>IFERROR(VLOOKUP(B1345,'MB51'!A:I,9,0),"")</f>
        <v/>
      </c>
      <c r="D1345" s="61" t="str">
        <f>IFERROR(VLOOKUP(B1345,'MB51'!A:J,10,0),"")</f>
        <v/>
      </c>
      <c r="E1345" s="62" t="str">
        <f>IFERROR(VLOOKUP(B1345,'MB51'!A:K,11,0),"")</f>
        <v/>
      </c>
      <c r="F1345" s="42" t="str">
        <f>IFERROR(VLOOKUP(B1345,'MB51'!A:F,6,0),"")</f>
        <v/>
      </c>
      <c r="G1345" s="17" t="str">
        <f t="shared" si="60"/>
        <v>點揀料單</v>
      </c>
      <c r="H1345" s="17">
        <f t="shared" si="61"/>
        <v>0</v>
      </c>
      <c r="I1345" t="str">
        <f t="shared" si="62"/>
        <v/>
      </c>
      <c r="J1345" t="str">
        <f>SUBSTITUTE(IF(COUNTIF(I$2:I1345,I1345)&gt;1,"",1)," ","")</f>
        <v/>
      </c>
    </row>
    <row r="1346" spans="1:10" x14ac:dyDescent="0.2">
      <c r="A1346" s="51" t="str">
        <f>IFERROR(VLOOKUP(B1346,點上線資訊!A:R,18,0),"")</f>
        <v/>
      </c>
      <c r="B1346" s="41">
        <f>'MB51'!A1346</f>
        <v>0</v>
      </c>
      <c r="C1346" s="60" t="str">
        <f>IFERROR(VLOOKUP(B1346,'MB51'!A:I,9,0),"")</f>
        <v/>
      </c>
      <c r="D1346" s="61" t="str">
        <f>IFERROR(VLOOKUP(B1346,'MB51'!A:J,10,0),"")</f>
        <v/>
      </c>
      <c r="E1346" s="62" t="str">
        <f>IFERROR(VLOOKUP(B1346,'MB51'!A:K,11,0),"")</f>
        <v/>
      </c>
      <c r="F1346" s="42" t="str">
        <f>IFERROR(VLOOKUP(B1346,'MB51'!A:F,6,0),"")</f>
        <v/>
      </c>
      <c r="G1346" s="17" t="str">
        <f t="shared" si="60"/>
        <v>點揀料單</v>
      </c>
      <c r="H1346" s="17">
        <f t="shared" si="61"/>
        <v>0</v>
      </c>
      <c r="I1346" t="str">
        <f t="shared" si="62"/>
        <v/>
      </c>
      <c r="J1346" t="str">
        <f>SUBSTITUTE(IF(COUNTIF(I$2:I1346,I1346)&gt;1,"",1)," ","")</f>
        <v/>
      </c>
    </row>
    <row r="1347" spans="1:10" x14ac:dyDescent="0.2">
      <c r="A1347" s="51" t="str">
        <f>IFERROR(VLOOKUP(B1347,點上線資訊!A:R,18,0),"")</f>
        <v/>
      </c>
      <c r="B1347" s="41">
        <f>'MB51'!A1347</f>
        <v>0</v>
      </c>
      <c r="C1347" s="60" t="str">
        <f>IFERROR(VLOOKUP(B1347,'MB51'!A:I,9,0),"")</f>
        <v/>
      </c>
      <c r="D1347" s="61" t="str">
        <f>IFERROR(VLOOKUP(B1347,'MB51'!A:J,10,0),"")</f>
        <v/>
      </c>
      <c r="E1347" s="62" t="str">
        <f>IFERROR(VLOOKUP(B1347,'MB51'!A:K,11,0),"")</f>
        <v/>
      </c>
      <c r="F1347" s="42" t="str">
        <f>IFERROR(VLOOKUP(B1347,'MB51'!A:F,6,0),"")</f>
        <v/>
      </c>
      <c r="G1347" s="17" t="str">
        <f t="shared" ref="G1347:G1410" si="63">TEXT(D1347,"MM/DD")&amp;TEXT(E1347,"  HH")&amp;"點揀料單"</f>
        <v>點揀料單</v>
      </c>
      <c r="H1347" s="17">
        <f t="shared" ref="H1347:H1410" si="64">ABS(SUMIF(C:C,C1347,F:F))</f>
        <v>0</v>
      </c>
      <c r="I1347" t="str">
        <f t="shared" ref="I1347:I1410" si="65">RIGHTB(C1347,10)</f>
        <v/>
      </c>
      <c r="J1347" t="str">
        <f>SUBSTITUTE(IF(COUNTIF(I$2:I1347,I1347)&gt;1,"",1)," ","")</f>
        <v/>
      </c>
    </row>
    <row r="1348" spans="1:10" x14ac:dyDescent="0.2">
      <c r="A1348" s="51" t="str">
        <f>IFERROR(VLOOKUP(B1348,點上線資訊!A:R,18,0),"")</f>
        <v/>
      </c>
      <c r="B1348" s="41">
        <f>'MB51'!A1348</f>
        <v>0</v>
      </c>
      <c r="C1348" s="60" t="str">
        <f>IFERROR(VLOOKUP(B1348,'MB51'!A:I,9,0),"")</f>
        <v/>
      </c>
      <c r="D1348" s="61" t="str">
        <f>IFERROR(VLOOKUP(B1348,'MB51'!A:J,10,0),"")</f>
        <v/>
      </c>
      <c r="E1348" s="62" t="str">
        <f>IFERROR(VLOOKUP(B1348,'MB51'!A:K,11,0),"")</f>
        <v/>
      </c>
      <c r="F1348" s="42" t="str">
        <f>IFERROR(VLOOKUP(B1348,'MB51'!A:F,6,0),"")</f>
        <v/>
      </c>
      <c r="G1348" s="17" t="str">
        <f t="shared" si="63"/>
        <v>點揀料單</v>
      </c>
      <c r="H1348" s="17">
        <f t="shared" si="64"/>
        <v>0</v>
      </c>
      <c r="I1348" t="str">
        <f t="shared" si="65"/>
        <v/>
      </c>
      <c r="J1348" t="str">
        <f>SUBSTITUTE(IF(COUNTIF(I$2:I1348,I1348)&gt;1,"",1)," ","")</f>
        <v/>
      </c>
    </row>
    <row r="1349" spans="1:10" x14ac:dyDescent="0.2">
      <c r="A1349" s="51" t="str">
        <f>IFERROR(VLOOKUP(B1349,點上線資訊!A:R,18,0),"")</f>
        <v/>
      </c>
      <c r="B1349" s="41">
        <f>'MB51'!A1349</f>
        <v>0</v>
      </c>
      <c r="C1349" s="60" t="str">
        <f>IFERROR(VLOOKUP(B1349,'MB51'!A:I,9,0),"")</f>
        <v/>
      </c>
      <c r="D1349" s="61" t="str">
        <f>IFERROR(VLOOKUP(B1349,'MB51'!A:J,10,0),"")</f>
        <v/>
      </c>
      <c r="E1349" s="62" t="str">
        <f>IFERROR(VLOOKUP(B1349,'MB51'!A:K,11,0),"")</f>
        <v/>
      </c>
      <c r="F1349" s="42" t="str">
        <f>IFERROR(VLOOKUP(B1349,'MB51'!A:F,6,0),"")</f>
        <v/>
      </c>
      <c r="G1349" s="17" t="str">
        <f t="shared" si="63"/>
        <v>點揀料單</v>
      </c>
      <c r="H1349" s="17">
        <f t="shared" si="64"/>
        <v>0</v>
      </c>
      <c r="I1349" t="str">
        <f t="shared" si="65"/>
        <v/>
      </c>
      <c r="J1349" t="str">
        <f>SUBSTITUTE(IF(COUNTIF(I$2:I1349,I1349)&gt;1,"",1)," ","")</f>
        <v/>
      </c>
    </row>
    <row r="1350" spans="1:10" x14ac:dyDescent="0.2">
      <c r="A1350" s="51" t="str">
        <f>IFERROR(VLOOKUP(B1350,點上線資訊!A:R,18,0),"")</f>
        <v/>
      </c>
      <c r="B1350" s="41">
        <f>'MB51'!A1350</f>
        <v>0</v>
      </c>
      <c r="C1350" s="60" t="str">
        <f>IFERROR(VLOOKUP(B1350,'MB51'!A:I,9,0),"")</f>
        <v/>
      </c>
      <c r="D1350" s="61" t="str">
        <f>IFERROR(VLOOKUP(B1350,'MB51'!A:J,10,0),"")</f>
        <v/>
      </c>
      <c r="E1350" s="62" t="str">
        <f>IFERROR(VLOOKUP(B1350,'MB51'!A:K,11,0),"")</f>
        <v/>
      </c>
      <c r="F1350" s="42" t="str">
        <f>IFERROR(VLOOKUP(B1350,'MB51'!A:F,6,0),"")</f>
        <v/>
      </c>
      <c r="G1350" s="17" t="str">
        <f t="shared" si="63"/>
        <v>點揀料單</v>
      </c>
      <c r="H1350" s="17">
        <f t="shared" si="64"/>
        <v>0</v>
      </c>
      <c r="I1350" t="str">
        <f t="shared" si="65"/>
        <v/>
      </c>
      <c r="J1350" t="str">
        <f>SUBSTITUTE(IF(COUNTIF(I$2:I1350,I1350)&gt;1,"",1)," ","")</f>
        <v/>
      </c>
    </row>
    <row r="1351" spans="1:10" x14ac:dyDescent="0.2">
      <c r="A1351" s="51" t="str">
        <f>IFERROR(VLOOKUP(B1351,點上線資訊!A:R,18,0),"")</f>
        <v/>
      </c>
      <c r="B1351" s="41">
        <f>'MB51'!A1351</f>
        <v>0</v>
      </c>
      <c r="C1351" s="60" t="str">
        <f>IFERROR(VLOOKUP(B1351,'MB51'!A:I,9,0),"")</f>
        <v/>
      </c>
      <c r="D1351" s="61" t="str">
        <f>IFERROR(VLOOKUP(B1351,'MB51'!A:J,10,0),"")</f>
        <v/>
      </c>
      <c r="E1351" s="62" t="str">
        <f>IFERROR(VLOOKUP(B1351,'MB51'!A:K,11,0),"")</f>
        <v/>
      </c>
      <c r="F1351" s="42" t="str">
        <f>IFERROR(VLOOKUP(B1351,'MB51'!A:F,6,0),"")</f>
        <v/>
      </c>
      <c r="G1351" s="17" t="str">
        <f t="shared" si="63"/>
        <v>點揀料單</v>
      </c>
      <c r="H1351" s="17">
        <f t="shared" si="64"/>
        <v>0</v>
      </c>
      <c r="I1351" t="str">
        <f t="shared" si="65"/>
        <v/>
      </c>
      <c r="J1351" t="str">
        <f>SUBSTITUTE(IF(COUNTIF(I$2:I1351,I1351)&gt;1,"",1)," ","")</f>
        <v/>
      </c>
    </row>
    <row r="1352" spans="1:10" x14ac:dyDescent="0.2">
      <c r="A1352" s="51" t="str">
        <f>IFERROR(VLOOKUP(B1352,點上線資訊!A:R,18,0),"")</f>
        <v/>
      </c>
      <c r="B1352" s="41">
        <f>'MB51'!A1352</f>
        <v>0</v>
      </c>
      <c r="C1352" s="60" t="str">
        <f>IFERROR(VLOOKUP(B1352,'MB51'!A:I,9,0),"")</f>
        <v/>
      </c>
      <c r="D1352" s="61" t="str">
        <f>IFERROR(VLOOKUP(B1352,'MB51'!A:J,10,0),"")</f>
        <v/>
      </c>
      <c r="E1352" s="62" t="str">
        <f>IFERROR(VLOOKUP(B1352,'MB51'!A:K,11,0),"")</f>
        <v/>
      </c>
      <c r="F1352" s="42" t="str">
        <f>IFERROR(VLOOKUP(B1352,'MB51'!A:F,6,0),"")</f>
        <v/>
      </c>
      <c r="G1352" s="17" t="str">
        <f t="shared" si="63"/>
        <v>點揀料單</v>
      </c>
      <c r="H1352" s="17">
        <f t="shared" si="64"/>
        <v>0</v>
      </c>
      <c r="I1352" t="str">
        <f t="shared" si="65"/>
        <v/>
      </c>
      <c r="J1352" t="str">
        <f>SUBSTITUTE(IF(COUNTIF(I$2:I1352,I1352)&gt;1,"",1)," ","")</f>
        <v/>
      </c>
    </row>
    <row r="1353" spans="1:10" x14ac:dyDescent="0.2">
      <c r="A1353" s="51" t="str">
        <f>IFERROR(VLOOKUP(B1353,點上線資訊!A:R,18,0),"")</f>
        <v/>
      </c>
      <c r="B1353" s="41">
        <f>'MB51'!A1353</f>
        <v>0</v>
      </c>
      <c r="C1353" s="60" t="str">
        <f>IFERROR(VLOOKUP(B1353,'MB51'!A:I,9,0),"")</f>
        <v/>
      </c>
      <c r="D1353" s="61" t="str">
        <f>IFERROR(VLOOKUP(B1353,'MB51'!A:J,10,0),"")</f>
        <v/>
      </c>
      <c r="E1353" s="62" t="str">
        <f>IFERROR(VLOOKUP(B1353,'MB51'!A:K,11,0),"")</f>
        <v/>
      </c>
      <c r="F1353" s="42" t="str">
        <f>IFERROR(VLOOKUP(B1353,'MB51'!A:F,6,0),"")</f>
        <v/>
      </c>
      <c r="G1353" s="17" t="str">
        <f t="shared" si="63"/>
        <v>點揀料單</v>
      </c>
      <c r="H1353" s="17">
        <f t="shared" si="64"/>
        <v>0</v>
      </c>
      <c r="I1353" t="str">
        <f t="shared" si="65"/>
        <v/>
      </c>
      <c r="J1353" t="str">
        <f>SUBSTITUTE(IF(COUNTIF(I$2:I1353,I1353)&gt;1,"",1)," ","")</f>
        <v/>
      </c>
    </row>
    <row r="1354" spans="1:10" x14ac:dyDescent="0.2">
      <c r="A1354" s="51" t="str">
        <f>IFERROR(VLOOKUP(B1354,點上線資訊!A:R,18,0),"")</f>
        <v/>
      </c>
      <c r="B1354" s="41">
        <f>'MB51'!A1354</f>
        <v>0</v>
      </c>
      <c r="C1354" s="60" t="str">
        <f>IFERROR(VLOOKUP(B1354,'MB51'!A:I,9,0),"")</f>
        <v/>
      </c>
      <c r="D1354" s="61" t="str">
        <f>IFERROR(VLOOKUP(B1354,'MB51'!A:J,10,0),"")</f>
        <v/>
      </c>
      <c r="E1354" s="62" t="str">
        <f>IFERROR(VLOOKUP(B1354,'MB51'!A:K,11,0),"")</f>
        <v/>
      </c>
      <c r="F1354" s="42" t="str">
        <f>IFERROR(VLOOKUP(B1354,'MB51'!A:F,6,0),"")</f>
        <v/>
      </c>
      <c r="G1354" s="17" t="str">
        <f t="shared" si="63"/>
        <v>點揀料單</v>
      </c>
      <c r="H1354" s="17">
        <f t="shared" si="64"/>
        <v>0</v>
      </c>
      <c r="I1354" t="str">
        <f t="shared" si="65"/>
        <v/>
      </c>
      <c r="J1354" t="str">
        <f>SUBSTITUTE(IF(COUNTIF(I$2:I1354,I1354)&gt;1,"",1)," ","")</f>
        <v/>
      </c>
    </row>
    <row r="1355" spans="1:10" x14ac:dyDescent="0.2">
      <c r="A1355" s="51" t="str">
        <f>IFERROR(VLOOKUP(B1355,點上線資訊!A:R,18,0),"")</f>
        <v/>
      </c>
      <c r="B1355" s="41">
        <f>'MB51'!A1355</f>
        <v>0</v>
      </c>
      <c r="C1355" s="60" t="str">
        <f>IFERROR(VLOOKUP(B1355,'MB51'!A:I,9,0),"")</f>
        <v/>
      </c>
      <c r="D1355" s="61" t="str">
        <f>IFERROR(VLOOKUP(B1355,'MB51'!A:J,10,0),"")</f>
        <v/>
      </c>
      <c r="E1355" s="62" t="str">
        <f>IFERROR(VLOOKUP(B1355,'MB51'!A:K,11,0),"")</f>
        <v/>
      </c>
      <c r="F1355" s="42" t="str">
        <f>IFERROR(VLOOKUP(B1355,'MB51'!A:F,6,0),"")</f>
        <v/>
      </c>
      <c r="G1355" s="17" t="str">
        <f t="shared" si="63"/>
        <v>點揀料單</v>
      </c>
      <c r="H1355" s="17">
        <f t="shared" si="64"/>
        <v>0</v>
      </c>
      <c r="I1355" t="str">
        <f t="shared" si="65"/>
        <v/>
      </c>
      <c r="J1355" t="str">
        <f>SUBSTITUTE(IF(COUNTIF(I$2:I1355,I1355)&gt;1,"",1)," ","")</f>
        <v/>
      </c>
    </row>
    <row r="1356" spans="1:10" x14ac:dyDescent="0.2">
      <c r="A1356" s="51" t="str">
        <f>IFERROR(VLOOKUP(B1356,點上線資訊!A:R,18,0),"")</f>
        <v/>
      </c>
      <c r="B1356" s="41">
        <f>'MB51'!A1356</f>
        <v>0</v>
      </c>
      <c r="C1356" s="60" t="str">
        <f>IFERROR(VLOOKUP(B1356,'MB51'!A:I,9,0),"")</f>
        <v/>
      </c>
      <c r="D1356" s="61" t="str">
        <f>IFERROR(VLOOKUP(B1356,'MB51'!A:J,10,0),"")</f>
        <v/>
      </c>
      <c r="E1356" s="62" t="str">
        <f>IFERROR(VLOOKUP(B1356,'MB51'!A:K,11,0),"")</f>
        <v/>
      </c>
      <c r="F1356" s="42" t="str">
        <f>IFERROR(VLOOKUP(B1356,'MB51'!A:F,6,0),"")</f>
        <v/>
      </c>
      <c r="G1356" s="17" t="str">
        <f t="shared" si="63"/>
        <v>點揀料單</v>
      </c>
      <c r="H1356" s="17">
        <f t="shared" si="64"/>
        <v>0</v>
      </c>
      <c r="I1356" t="str">
        <f t="shared" si="65"/>
        <v/>
      </c>
      <c r="J1356" t="str">
        <f>SUBSTITUTE(IF(COUNTIF(I$2:I1356,I1356)&gt;1,"",1)," ","")</f>
        <v/>
      </c>
    </row>
    <row r="1357" spans="1:10" x14ac:dyDescent="0.2">
      <c r="A1357" s="51" t="str">
        <f>IFERROR(VLOOKUP(B1357,點上線資訊!A:R,18,0),"")</f>
        <v/>
      </c>
      <c r="B1357" s="41">
        <f>'MB51'!A1357</f>
        <v>0</v>
      </c>
      <c r="C1357" s="60" t="str">
        <f>IFERROR(VLOOKUP(B1357,'MB51'!A:I,9,0),"")</f>
        <v/>
      </c>
      <c r="D1357" s="61" t="str">
        <f>IFERROR(VLOOKUP(B1357,'MB51'!A:J,10,0),"")</f>
        <v/>
      </c>
      <c r="E1357" s="62" t="str">
        <f>IFERROR(VLOOKUP(B1357,'MB51'!A:K,11,0),"")</f>
        <v/>
      </c>
      <c r="F1357" s="42" t="str">
        <f>IFERROR(VLOOKUP(B1357,'MB51'!A:F,6,0),"")</f>
        <v/>
      </c>
      <c r="G1357" s="17" t="str">
        <f t="shared" si="63"/>
        <v>點揀料單</v>
      </c>
      <c r="H1357" s="17">
        <f t="shared" si="64"/>
        <v>0</v>
      </c>
      <c r="I1357" t="str">
        <f t="shared" si="65"/>
        <v/>
      </c>
      <c r="J1357" t="str">
        <f>SUBSTITUTE(IF(COUNTIF(I$2:I1357,I1357)&gt;1,"",1)," ","")</f>
        <v/>
      </c>
    </row>
    <row r="1358" spans="1:10" x14ac:dyDescent="0.2">
      <c r="A1358" s="51" t="str">
        <f>IFERROR(VLOOKUP(B1358,點上線資訊!A:R,18,0),"")</f>
        <v/>
      </c>
      <c r="B1358" s="41">
        <f>'MB51'!A1358</f>
        <v>0</v>
      </c>
      <c r="C1358" s="60" t="str">
        <f>IFERROR(VLOOKUP(B1358,'MB51'!A:I,9,0),"")</f>
        <v/>
      </c>
      <c r="D1358" s="61" t="str">
        <f>IFERROR(VLOOKUP(B1358,'MB51'!A:J,10,0),"")</f>
        <v/>
      </c>
      <c r="E1358" s="62" t="str">
        <f>IFERROR(VLOOKUP(B1358,'MB51'!A:K,11,0),"")</f>
        <v/>
      </c>
      <c r="F1358" s="42" t="str">
        <f>IFERROR(VLOOKUP(B1358,'MB51'!A:F,6,0),"")</f>
        <v/>
      </c>
      <c r="G1358" s="17" t="str">
        <f t="shared" si="63"/>
        <v>點揀料單</v>
      </c>
      <c r="H1358" s="17">
        <f t="shared" si="64"/>
        <v>0</v>
      </c>
      <c r="I1358" t="str">
        <f t="shared" si="65"/>
        <v/>
      </c>
      <c r="J1358" t="str">
        <f>SUBSTITUTE(IF(COUNTIF(I$2:I1358,I1358)&gt;1,"",1)," ","")</f>
        <v/>
      </c>
    </row>
    <row r="1359" spans="1:10" x14ac:dyDescent="0.2">
      <c r="A1359" s="51" t="str">
        <f>IFERROR(VLOOKUP(B1359,點上線資訊!A:R,18,0),"")</f>
        <v/>
      </c>
      <c r="B1359" s="41">
        <f>'MB51'!A1359</f>
        <v>0</v>
      </c>
      <c r="C1359" s="60" t="str">
        <f>IFERROR(VLOOKUP(B1359,'MB51'!A:I,9,0),"")</f>
        <v/>
      </c>
      <c r="D1359" s="61" t="str">
        <f>IFERROR(VLOOKUP(B1359,'MB51'!A:J,10,0),"")</f>
        <v/>
      </c>
      <c r="E1359" s="62" t="str">
        <f>IFERROR(VLOOKUP(B1359,'MB51'!A:K,11,0),"")</f>
        <v/>
      </c>
      <c r="F1359" s="42" t="str">
        <f>IFERROR(VLOOKUP(B1359,'MB51'!A:F,6,0),"")</f>
        <v/>
      </c>
      <c r="G1359" s="17" t="str">
        <f t="shared" si="63"/>
        <v>點揀料單</v>
      </c>
      <c r="H1359" s="17">
        <f t="shared" si="64"/>
        <v>0</v>
      </c>
      <c r="I1359" t="str">
        <f t="shared" si="65"/>
        <v/>
      </c>
      <c r="J1359" t="str">
        <f>SUBSTITUTE(IF(COUNTIF(I$2:I1359,I1359)&gt;1,"",1)," ","")</f>
        <v/>
      </c>
    </row>
    <row r="1360" spans="1:10" x14ac:dyDescent="0.2">
      <c r="A1360" s="51" t="str">
        <f>IFERROR(VLOOKUP(B1360,點上線資訊!A:R,18,0),"")</f>
        <v/>
      </c>
      <c r="B1360" s="41">
        <f>'MB51'!A1360</f>
        <v>0</v>
      </c>
      <c r="C1360" s="60" t="str">
        <f>IFERROR(VLOOKUP(B1360,'MB51'!A:I,9,0),"")</f>
        <v/>
      </c>
      <c r="D1360" s="61" t="str">
        <f>IFERROR(VLOOKUP(B1360,'MB51'!A:J,10,0),"")</f>
        <v/>
      </c>
      <c r="E1360" s="62" t="str">
        <f>IFERROR(VLOOKUP(B1360,'MB51'!A:K,11,0),"")</f>
        <v/>
      </c>
      <c r="F1360" s="42" t="str">
        <f>IFERROR(VLOOKUP(B1360,'MB51'!A:F,6,0),"")</f>
        <v/>
      </c>
      <c r="G1360" s="17" t="str">
        <f t="shared" si="63"/>
        <v>點揀料單</v>
      </c>
      <c r="H1360" s="17">
        <f t="shared" si="64"/>
        <v>0</v>
      </c>
      <c r="I1360" t="str">
        <f t="shared" si="65"/>
        <v/>
      </c>
      <c r="J1360" t="str">
        <f>SUBSTITUTE(IF(COUNTIF(I$2:I1360,I1360)&gt;1,"",1)," ","")</f>
        <v/>
      </c>
    </row>
    <row r="1361" spans="1:10" x14ac:dyDescent="0.2">
      <c r="A1361" s="51" t="str">
        <f>IFERROR(VLOOKUP(B1361,點上線資訊!A:R,18,0),"")</f>
        <v/>
      </c>
      <c r="B1361" s="41">
        <f>'MB51'!A1361</f>
        <v>0</v>
      </c>
      <c r="C1361" s="60" t="str">
        <f>IFERROR(VLOOKUP(B1361,'MB51'!A:I,9,0),"")</f>
        <v/>
      </c>
      <c r="D1361" s="61" t="str">
        <f>IFERROR(VLOOKUP(B1361,'MB51'!A:J,10,0),"")</f>
        <v/>
      </c>
      <c r="E1361" s="62" t="str">
        <f>IFERROR(VLOOKUP(B1361,'MB51'!A:K,11,0),"")</f>
        <v/>
      </c>
      <c r="F1361" s="42" t="str">
        <f>IFERROR(VLOOKUP(B1361,'MB51'!A:F,6,0),"")</f>
        <v/>
      </c>
      <c r="G1361" s="17" t="str">
        <f t="shared" si="63"/>
        <v>點揀料單</v>
      </c>
      <c r="H1361" s="17">
        <f t="shared" si="64"/>
        <v>0</v>
      </c>
      <c r="I1361" t="str">
        <f t="shared" si="65"/>
        <v/>
      </c>
      <c r="J1361" t="str">
        <f>SUBSTITUTE(IF(COUNTIF(I$2:I1361,I1361)&gt;1,"",1)," ","")</f>
        <v/>
      </c>
    </row>
    <row r="1362" spans="1:10" x14ac:dyDescent="0.2">
      <c r="A1362" s="51" t="str">
        <f>IFERROR(VLOOKUP(B1362,點上線資訊!A:R,18,0),"")</f>
        <v/>
      </c>
      <c r="B1362" s="41">
        <f>'MB51'!A1362</f>
        <v>0</v>
      </c>
      <c r="C1362" s="60" t="str">
        <f>IFERROR(VLOOKUP(B1362,'MB51'!A:I,9,0),"")</f>
        <v/>
      </c>
      <c r="D1362" s="61" t="str">
        <f>IFERROR(VLOOKUP(B1362,'MB51'!A:J,10,0),"")</f>
        <v/>
      </c>
      <c r="E1362" s="62" t="str">
        <f>IFERROR(VLOOKUP(B1362,'MB51'!A:K,11,0),"")</f>
        <v/>
      </c>
      <c r="F1362" s="42" t="str">
        <f>IFERROR(VLOOKUP(B1362,'MB51'!A:F,6,0),"")</f>
        <v/>
      </c>
      <c r="G1362" s="17" t="str">
        <f t="shared" si="63"/>
        <v>點揀料單</v>
      </c>
      <c r="H1362" s="17">
        <f t="shared" si="64"/>
        <v>0</v>
      </c>
      <c r="I1362" t="str">
        <f t="shared" si="65"/>
        <v/>
      </c>
      <c r="J1362" t="str">
        <f>SUBSTITUTE(IF(COUNTIF(I$2:I1362,I1362)&gt;1,"",1)," ","")</f>
        <v/>
      </c>
    </row>
    <row r="1363" spans="1:10" x14ac:dyDescent="0.2">
      <c r="A1363" s="51" t="str">
        <f>IFERROR(VLOOKUP(B1363,點上線資訊!A:R,18,0),"")</f>
        <v/>
      </c>
      <c r="B1363" s="41">
        <f>'MB51'!A1363</f>
        <v>0</v>
      </c>
      <c r="C1363" s="60" t="str">
        <f>IFERROR(VLOOKUP(B1363,'MB51'!A:I,9,0),"")</f>
        <v/>
      </c>
      <c r="D1363" s="61" t="str">
        <f>IFERROR(VLOOKUP(B1363,'MB51'!A:J,10,0),"")</f>
        <v/>
      </c>
      <c r="E1363" s="62" t="str">
        <f>IFERROR(VLOOKUP(B1363,'MB51'!A:K,11,0),"")</f>
        <v/>
      </c>
      <c r="F1363" s="42" t="str">
        <f>IFERROR(VLOOKUP(B1363,'MB51'!A:F,6,0),"")</f>
        <v/>
      </c>
      <c r="G1363" s="17" t="str">
        <f t="shared" si="63"/>
        <v>點揀料單</v>
      </c>
      <c r="H1363" s="17">
        <f t="shared" si="64"/>
        <v>0</v>
      </c>
      <c r="I1363" t="str">
        <f t="shared" si="65"/>
        <v/>
      </c>
      <c r="J1363" t="str">
        <f>SUBSTITUTE(IF(COUNTIF(I$2:I1363,I1363)&gt;1,"",1)," ","")</f>
        <v/>
      </c>
    </row>
    <row r="1364" spans="1:10" x14ac:dyDescent="0.2">
      <c r="A1364" s="51" t="str">
        <f>IFERROR(VLOOKUP(B1364,點上線資訊!A:R,18,0),"")</f>
        <v/>
      </c>
      <c r="B1364" s="41">
        <f>'MB51'!A1364</f>
        <v>0</v>
      </c>
      <c r="C1364" s="60" t="str">
        <f>IFERROR(VLOOKUP(B1364,'MB51'!A:I,9,0),"")</f>
        <v/>
      </c>
      <c r="D1364" s="61" t="str">
        <f>IFERROR(VLOOKUP(B1364,'MB51'!A:J,10,0),"")</f>
        <v/>
      </c>
      <c r="E1364" s="62" t="str">
        <f>IFERROR(VLOOKUP(B1364,'MB51'!A:K,11,0),"")</f>
        <v/>
      </c>
      <c r="F1364" s="42" t="str">
        <f>IFERROR(VLOOKUP(B1364,'MB51'!A:F,6,0),"")</f>
        <v/>
      </c>
      <c r="G1364" s="17" t="str">
        <f t="shared" si="63"/>
        <v>點揀料單</v>
      </c>
      <c r="H1364" s="17">
        <f t="shared" si="64"/>
        <v>0</v>
      </c>
      <c r="I1364" t="str">
        <f t="shared" si="65"/>
        <v/>
      </c>
      <c r="J1364" t="str">
        <f>SUBSTITUTE(IF(COUNTIF(I$2:I1364,I1364)&gt;1,"",1)," ","")</f>
        <v/>
      </c>
    </row>
    <row r="1365" spans="1:10" x14ac:dyDescent="0.2">
      <c r="A1365" s="51" t="str">
        <f>IFERROR(VLOOKUP(B1365,點上線資訊!A:R,18,0),"")</f>
        <v/>
      </c>
      <c r="B1365" s="41">
        <f>'MB51'!A1365</f>
        <v>0</v>
      </c>
      <c r="C1365" s="60" t="str">
        <f>IFERROR(VLOOKUP(B1365,'MB51'!A:I,9,0),"")</f>
        <v/>
      </c>
      <c r="D1365" s="61" t="str">
        <f>IFERROR(VLOOKUP(B1365,'MB51'!A:J,10,0),"")</f>
        <v/>
      </c>
      <c r="E1365" s="62" t="str">
        <f>IFERROR(VLOOKUP(B1365,'MB51'!A:K,11,0),"")</f>
        <v/>
      </c>
      <c r="F1365" s="42" t="str">
        <f>IFERROR(VLOOKUP(B1365,'MB51'!A:F,6,0),"")</f>
        <v/>
      </c>
      <c r="G1365" s="17" t="str">
        <f t="shared" si="63"/>
        <v>點揀料單</v>
      </c>
      <c r="H1365" s="17">
        <f t="shared" si="64"/>
        <v>0</v>
      </c>
      <c r="I1365" t="str">
        <f t="shared" si="65"/>
        <v/>
      </c>
      <c r="J1365" t="str">
        <f>SUBSTITUTE(IF(COUNTIF(I$2:I1365,I1365)&gt;1,"",1)," ","")</f>
        <v/>
      </c>
    </row>
    <row r="1366" spans="1:10" x14ac:dyDescent="0.2">
      <c r="A1366" s="51" t="str">
        <f>IFERROR(VLOOKUP(B1366,點上線資訊!A:R,18,0),"")</f>
        <v/>
      </c>
      <c r="B1366" s="41">
        <f>'MB51'!A1366</f>
        <v>0</v>
      </c>
      <c r="C1366" s="60" t="str">
        <f>IFERROR(VLOOKUP(B1366,'MB51'!A:I,9,0),"")</f>
        <v/>
      </c>
      <c r="D1366" s="61" t="str">
        <f>IFERROR(VLOOKUP(B1366,'MB51'!A:J,10,0),"")</f>
        <v/>
      </c>
      <c r="E1366" s="62" t="str">
        <f>IFERROR(VLOOKUP(B1366,'MB51'!A:K,11,0),"")</f>
        <v/>
      </c>
      <c r="F1366" s="42" t="str">
        <f>IFERROR(VLOOKUP(B1366,'MB51'!A:F,6,0),"")</f>
        <v/>
      </c>
      <c r="G1366" s="17" t="str">
        <f t="shared" si="63"/>
        <v>點揀料單</v>
      </c>
      <c r="H1366" s="17">
        <f t="shared" si="64"/>
        <v>0</v>
      </c>
      <c r="I1366" t="str">
        <f t="shared" si="65"/>
        <v/>
      </c>
      <c r="J1366" t="str">
        <f>SUBSTITUTE(IF(COUNTIF(I$2:I1366,I1366)&gt;1,"",1)," ","")</f>
        <v/>
      </c>
    </row>
    <row r="1367" spans="1:10" x14ac:dyDescent="0.2">
      <c r="A1367" s="51" t="str">
        <f>IFERROR(VLOOKUP(B1367,點上線資訊!A:R,18,0),"")</f>
        <v/>
      </c>
      <c r="B1367" s="41">
        <f>'MB51'!A1367</f>
        <v>0</v>
      </c>
      <c r="C1367" s="60" t="str">
        <f>IFERROR(VLOOKUP(B1367,'MB51'!A:I,9,0),"")</f>
        <v/>
      </c>
      <c r="D1367" s="61" t="str">
        <f>IFERROR(VLOOKUP(B1367,'MB51'!A:J,10,0),"")</f>
        <v/>
      </c>
      <c r="E1367" s="62" t="str">
        <f>IFERROR(VLOOKUP(B1367,'MB51'!A:K,11,0),"")</f>
        <v/>
      </c>
      <c r="F1367" s="42" t="str">
        <f>IFERROR(VLOOKUP(B1367,'MB51'!A:F,6,0),"")</f>
        <v/>
      </c>
      <c r="G1367" s="17" t="str">
        <f t="shared" si="63"/>
        <v>點揀料單</v>
      </c>
      <c r="H1367" s="17">
        <f t="shared" si="64"/>
        <v>0</v>
      </c>
      <c r="I1367" t="str">
        <f t="shared" si="65"/>
        <v/>
      </c>
      <c r="J1367" t="str">
        <f>SUBSTITUTE(IF(COUNTIF(I$2:I1367,I1367)&gt;1,"",1)," ","")</f>
        <v/>
      </c>
    </row>
    <row r="1368" spans="1:10" x14ac:dyDescent="0.2">
      <c r="A1368" s="51" t="str">
        <f>IFERROR(VLOOKUP(B1368,點上線資訊!A:R,18,0),"")</f>
        <v/>
      </c>
      <c r="B1368" s="41">
        <f>'MB51'!A1368</f>
        <v>0</v>
      </c>
      <c r="C1368" s="60" t="str">
        <f>IFERROR(VLOOKUP(B1368,'MB51'!A:I,9,0),"")</f>
        <v/>
      </c>
      <c r="D1368" s="61" t="str">
        <f>IFERROR(VLOOKUP(B1368,'MB51'!A:J,10,0),"")</f>
        <v/>
      </c>
      <c r="E1368" s="62" t="str">
        <f>IFERROR(VLOOKUP(B1368,'MB51'!A:K,11,0),"")</f>
        <v/>
      </c>
      <c r="F1368" s="42" t="str">
        <f>IFERROR(VLOOKUP(B1368,'MB51'!A:F,6,0),"")</f>
        <v/>
      </c>
      <c r="G1368" s="17" t="str">
        <f t="shared" si="63"/>
        <v>點揀料單</v>
      </c>
      <c r="H1368" s="17">
        <f t="shared" si="64"/>
        <v>0</v>
      </c>
      <c r="I1368" t="str">
        <f t="shared" si="65"/>
        <v/>
      </c>
      <c r="J1368" t="str">
        <f>SUBSTITUTE(IF(COUNTIF(I$2:I1368,I1368)&gt;1,"",1)," ","")</f>
        <v/>
      </c>
    </row>
    <row r="1369" spans="1:10" x14ac:dyDescent="0.2">
      <c r="A1369" s="51" t="str">
        <f>IFERROR(VLOOKUP(B1369,點上線資訊!A:R,18,0),"")</f>
        <v/>
      </c>
      <c r="B1369" s="41">
        <f>'MB51'!A1369</f>
        <v>0</v>
      </c>
      <c r="C1369" s="60" t="str">
        <f>IFERROR(VLOOKUP(B1369,'MB51'!A:I,9,0),"")</f>
        <v/>
      </c>
      <c r="D1369" s="61" t="str">
        <f>IFERROR(VLOOKUP(B1369,'MB51'!A:J,10,0),"")</f>
        <v/>
      </c>
      <c r="E1369" s="62" t="str">
        <f>IFERROR(VLOOKUP(B1369,'MB51'!A:K,11,0),"")</f>
        <v/>
      </c>
      <c r="F1369" s="42" t="str">
        <f>IFERROR(VLOOKUP(B1369,'MB51'!A:F,6,0),"")</f>
        <v/>
      </c>
      <c r="G1369" s="17" t="str">
        <f t="shared" si="63"/>
        <v>點揀料單</v>
      </c>
      <c r="H1369" s="17">
        <f t="shared" si="64"/>
        <v>0</v>
      </c>
      <c r="I1369" t="str">
        <f t="shared" si="65"/>
        <v/>
      </c>
      <c r="J1369" t="str">
        <f>SUBSTITUTE(IF(COUNTIF(I$2:I1369,I1369)&gt;1,"",1)," ","")</f>
        <v/>
      </c>
    </row>
    <row r="1370" spans="1:10" x14ac:dyDescent="0.2">
      <c r="A1370" s="51" t="str">
        <f>IFERROR(VLOOKUP(B1370,點上線資訊!A:R,18,0),"")</f>
        <v/>
      </c>
      <c r="B1370" s="41">
        <f>'MB51'!A1370</f>
        <v>0</v>
      </c>
      <c r="C1370" s="60" t="str">
        <f>IFERROR(VLOOKUP(B1370,'MB51'!A:I,9,0),"")</f>
        <v/>
      </c>
      <c r="D1370" s="61" t="str">
        <f>IFERROR(VLOOKUP(B1370,'MB51'!A:J,10,0),"")</f>
        <v/>
      </c>
      <c r="E1370" s="62" t="str">
        <f>IFERROR(VLOOKUP(B1370,'MB51'!A:K,11,0),"")</f>
        <v/>
      </c>
      <c r="F1370" s="42" t="str">
        <f>IFERROR(VLOOKUP(B1370,'MB51'!A:F,6,0),"")</f>
        <v/>
      </c>
      <c r="G1370" s="17" t="str">
        <f t="shared" si="63"/>
        <v>點揀料單</v>
      </c>
      <c r="H1370" s="17">
        <f t="shared" si="64"/>
        <v>0</v>
      </c>
      <c r="I1370" t="str">
        <f t="shared" si="65"/>
        <v/>
      </c>
      <c r="J1370" t="str">
        <f>SUBSTITUTE(IF(COUNTIF(I$2:I1370,I1370)&gt;1,"",1)," ","")</f>
        <v/>
      </c>
    </row>
    <row r="1371" spans="1:10" x14ac:dyDescent="0.2">
      <c r="A1371" s="51" t="str">
        <f>IFERROR(VLOOKUP(B1371,點上線資訊!A:R,18,0),"")</f>
        <v/>
      </c>
      <c r="B1371" s="41">
        <f>'MB51'!A1371</f>
        <v>0</v>
      </c>
      <c r="C1371" s="60" t="str">
        <f>IFERROR(VLOOKUP(B1371,'MB51'!A:I,9,0),"")</f>
        <v/>
      </c>
      <c r="D1371" s="61" t="str">
        <f>IFERROR(VLOOKUP(B1371,'MB51'!A:J,10,0),"")</f>
        <v/>
      </c>
      <c r="E1371" s="62" t="str">
        <f>IFERROR(VLOOKUP(B1371,'MB51'!A:K,11,0),"")</f>
        <v/>
      </c>
      <c r="F1371" s="42" t="str">
        <f>IFERROR(VLOOKUP(B1371,'MB51'!A:F,6,0),"")</f>
        <v/>
      </c>
      <c r="G1371" s="17" t="str">
        <f t="shared" si="63"/>
        <v>點揀料單</v>
      </c>
      <c r="H1371" s="17">
        <f t="shared" si="64"/>
        <v>0</v>
      </c>
      <c r="I1371" t="str">
        <f t="shared" si="65"/>
        <v/>
      </c>
      <c r="J1371" t="str">
        <f>SUBSTITUTE(IF(COUNTIF(I$2:I1371,I1371)&gt;1,"",1)," ","")</f>
        <v/>
      </c>
    </row>
    <row r="1372" spans="1:10" x14ac:dyDescent="0.2">
      <c r="A1372" s="51" t="str">
        <f>IFERROR(VLOOKUP(B1372,點上線資訊!A:R,18,0),"")</f>
        <v/>
      </c>
      <c r="B1372" s="41">
        <f>'MB51'!A1372</f>
        <v>0</v>
      </c>
      <c r="C1372" s="60" t="str">
        <f>IFERROR(VLOOKUP(B1372,'MB51'!A:I,9,0),"")</f>
        <v/>
      </c>
      <c r="D1372" s="61" t="str">
        <f>IFERROR(VLOOKUP(B1372,'MB51'!A:J,10,0),"")</f>
        <v/>
      </c>
      <c r="E1372" s="62" t="str">
        <f>IFERROR(VLOOKUP(B1372,'MB51'!A:K,11,0),"")</f>
        <v/>
      </c>
      <c r="F1372" s="42" t="str">
        <f>IFERROR(VLOOKUP(B1372,'MB51'!A:F,6,0),"")</f>
        <v/>
      </c>
      <c r="G1372" s="17" t="str">
        <f t="shared" si="63"/>
        <v>點揀料單</v>
      </c>
      <c r="H1372" s="17">
        <f t="shared" si="64"/>
        <v>0</v>
      </c>
      <c r="I1372" t="str">
        <f t="shared" si="65"/>
        <v/>
      </c>
      <c r="J1372" t="str">
        <f>SUBSTITUTE(IF(COUNTIF(I$2:I1372,I1372)&gt;1,"",1)," ","")</f>
        <v/>
      </c>
    </row>
    <row r="1373" spans="1:10" x14ac:dyDescent="0.2">
      <c r="A1373" s="51" t="str">
        <f>IFERROR(VLOOKUP(B1373,點上線資訊!A:R,18,0),"")</f>
        <v/>
      </c>
      <c r="B1373" s="41">
        <f>'MB51'!A1373</f>
        <v>0</v>
      </c>
      <c r="C1373" s="60" t="str">
        <f>IFERROR(VLOOKUP(B1373,'MB51'!A:I,9,0),"")</f>
        <v/>
      </c>
      <c r="D1373" s="61" t="str">
        <f>IFERROR(VLOOKUP(B1373,'MB51'!A:J,10,0),"")</f>
        <v/>
      </c>
      <c r="E1373" s="62" t="str">
        <f>IFERROR(VLOOKUP(B1373,'MB51'!A:K,11,0),"")</f>
        <v/>
      </c>
      <c r="F1373" s="42" t="str">
        <f>IFERROR(VLOOKUP(B1373,'MB51'!A:F,6,0),"")</f>
        <v/>
      </c>
      <c r="G1373" s="17" t="str">
        <f t="shared" si="63"/>
        <v>點揀料單</v>
      </c>
      <c r="H1373" s="17">
        <f t="shared" si="64"/>
        <v>0</v>
      </c>
      <c r="I1373" t="str">
        <f t="shared" si="65"/>
        <v/>
      </c>
      <c r="J1373" t="str">
        <f>SUBSTITUTE(IF(COUNTIF(I$2:I1373,I1373)&gt;1,"",1)," ","")</f>
        <v/>
      </c>
    </row>
    <row r="1374" spans="1:10" x14ac:dyDescent="0.2">
      <c r="A1374" s="51" t="str">
        <f>IFERROR(VLOOKUP(B1374,點上線資訊!A:R,18,0),"")</f>
        <v/>
      </c>
      <c r="B1374" s="41">
        <f>'MB51'!A1374</f>
        <v>0</v>
      </c>
      <c r="C1374" s="60" t="str">
        <f>IFERROR(VLOOKUP(B1374,'MB51'!A:I,9,0),"")</f>
        <v/>
      </c>
      <c r="D1374" s="61" t="str">
        <f>IFERROR(VLOOKUP(B1374,'MB51'!A:J,10,0),"")</f>
        <v/>
      </c>
      <c r="E1374" s="62" t="str">
        <f>IFERROR(VLOOKUP(B1374,'MB51'!A:K,11,0),"")</f>
        <v/>
      </c>
      <c r="F1374" s="42" t="str">
        <f>IFERROR(VLOOKUP(B1374,'MB51'!A:F,6,0),"")</f>
        <v/>
      </c>
      <c r="G1374" s="17" t="str">
        <f t="shared" si="63"/>
        <v>點揀料單</v>
      </c>
      <c r="H1374" s="17">
        <f t="shared" si="64"/>
        <v>0</v>
      </c>
      <c r="I1374" t="str">
        <f t="shared" si="65"/>
        <v/>
      </c>
      <c r="J1374" t="str">
        <f>SUBSTITUTE(IF(COUNTIF(I$2:I1374,I1374)&gt;1,"",1)," ","")</f>
        <v/>
      </c>
    </row>
    <row r="1375" spans="1:10" x14ac:dyDescent="0.2">
      <c r="A1375" s="51" t="str">
        <f>IFERROR(VLOOKUP(B1375,點上線資訊!A:R,18,0),"")</f>
        <v/>
      </c>
      <c r="B1375" s="41">
        <f>'MB51'!A1375</f>
        <v>0</v>
      </c>
      <c r="C1375" s="60" t="str">
        <f>IFERROR(VLOOKUP(B1375,'MB51'!A:I,9,0),"")</f>
        <v/>
      </c>
      <c r="D1375" s="61" t="str">
        <f>IFERROR(VLOOKUP(B1375,'MB51'!A:J,10,0),"")</f>
        <v/>
      </c>
      <c r="E1375" s="62" t="str">
        <f>IFERROR(VLOOKUP(B1375,'MB51'!A:K,11,0),"")</f>
        <v/>
      </c>
      <c r="F1375" s="42" t="str">
        <f>IFERROR(VLOOKUP(B1375,'MB51'!A:F,6,0),"")</f>
        <v/>
      </c>
      <c r="G1375" s="17" t="str">
        <f t="shared" si="63"/>
        <v>點揀料單</v>
      </c>
      <c r="H1375" s="17">
        <f t="shared" si="64"/>
        <v>0</v>
      </c>
      <c r="I1375" t="str">
        <f t="shared" si="65"/>
        <v/>
      </c>
      <c r="J1375" t="str">
        <f>SUBSTITUTE(IF(COUNTIF(I$2:I1375,I1375)&gt;1,"",1)," ","")</f>
        <v/>
      </c>
    </row>
    <row r="1376" spans="1:10" x14ac:dyDescent="0.2">
      <c r="A1376" s="51" t="str">
        <f>IFERROR(VLOOKUP(B1376,點上線資訊!A:R,18,0),"")</f>
        <v/>
      </c>
      <c r="B1376" s="41">
        <f>'MB51'!A1376</f>
        <v>0</v>
      </c>
      <c r="C1376" s="60" t="str">
        <f>IFERROR(VLOOKUP(B1376,'MB51'!A:I,9,0),"")</f>
        <v/>
      </c>
      <c r="D1376" s="61" t="str">
        <f>IFERROR(VLOOKUP(B1376,'MB51'!A:J,10,0),"")</f>
        <v/>
      </c>
      <c r="E1376" s="62" t="str">
        <f>IFERROR(VLOOKUP(B1376,'MB51'!A:K,11,0),"")</f>
        <v/>
      </c>
      <c r="F1376" s="42" t="str">
        <f>IFERROR(VLOOKUP(B1376,'MB51'!A:F,6,0),"")</f>
        <v/>
      </c>
      <c r="G1376" s="17" t="str">
        <f t="shared" si="63"/>
        <v>點揀料單</v>
      </c>
      <c r="H1376" s="17">
        <f t="shared" si="64"/>
        <v>0</v>
      </c>
      <c r="I1376" t="str">
        <f t="shared" si="65"/>
        <v/>
      </c>
      <c r="J1376" t="str">
        <f>SUBSTITUTE(IF(COUNTIF(I$2:I1376,I1376)&gt;1,"",1)," ","")</f>
        <v/>
      </c>
    </row>
    <row r="1377" spans="1:10" x14ac:dyDescent="0.2">
      <c r="A1377" s="51" t="str">
        <f>IFERROR(VLOOKUP(B1377,點上線資訊!A:R,18,0),"")</f>
        <v/>
      </c>
      <c r="B1377" s="41">
        <f>'MB51'!A1377</f>
        <v>0</v>
      </c>
      <c r="C1377" s="60" t="str">
        <f>IFERROR(VLOOKUP(B1377,'MB51'!A:I,9,0),"")</f>
        <v/>
      </c>
      <c r="D1377" s="61" t="str">
        <f>IFERROR(VLOOKUP(B1377,'MB51'!A:J,10,0),"")</f>
        <v/>
      </c>
      <c r="E1377" s="62" t="str">
        <f>IFERROR(VLOOKUP(B1377,'MB51'!A:K,11,0),"")</f>
        <v/>
      </c>
      <c r="F1377" s="42" t="str">
        <f>IFERROR(VLOOKUP(B1377,'MB51'!A:F,6,0),"")</f>
        <v/>
      </c>
      <c r="G1377" s="17" t="str">
        <f t="shared" si="63"/>
        <v>點揀料單</v>
      </c>
      <c r="H1377" s="17">
        <f t="shared" si="64"/>
        <v>0</v>
      </c>
      <c r="I1377" t="str">
        <f t="shared" si="65"/>
        <v/>
      </c>
      <c r="J1377" t="str">
        <f>SUBSTITUTE(IF(COUNTIF(I$2:I1377,I1377)&gt;1,"",1)," ","")</f>
        <v/>
      </c>
    </row>
    <row r="1378" spans="1:10" x14ac:dyDescent="0.2">
      <c r="A1378" s="51" t="str">
        <f>IFERROR(VLOOKUP(B1378,點上線資訊!A:R,18,0),"")</f>
        <v/>
      </c>
      <c r="B1378" s="41">
        <f>'MB51'!A1378</f>
        <v>0</v>
      </c>
      <c r="C1378" s="60" t="str">
        <f>IFERROR(VLOOKUP(B1378,'MB51'!A:I,9,0),"")</f>
        <v/>
      </c>
      <c r="D1378" s="61" t="str">
        <f>IFERROR(VLOOKUP(B1378,'MB51'!A:J,10,0),"")</f>
        <v/>
      </c>
      <c r="E1378" s="62" t="str">
        <f>IFERROR(VLOOKUP(B1378,'MB51'!A:K,11,0),"")</f>
        <v/>
      </c>
      <c r="F1378" s="42" t="str">
        <f>IFERROR(VLOOKUP(B1378,'MB51'!A:F,6,0),"")</f>
        <v/>
      </c>
      <c r="G1378" s="17" t="str">
        <f t="shared" si="63"/>
        <v>點揀料單</v>
      </c>
      <c r="H1378" s="17">
        <f t="shared" si="64"/>
        <v>0</v>
      </c>
      <c r="I1378" t="str">
        <f t="shared" si="65"/>
        <v/>
      </c>
      <c r="J1378" t="str">
        <f>SUBSTITUTE(IF(COUNTIF(I$2:I1378,I1378)&gt;1,"",1)," ","")</f>
        <v/>
      </c>
    </row>
    <row r="1379" spans="1:10" x14ac:dyDescent="0.2">
      <c r="A1379" s="51" t="str">
        <f>IFERROR(VLOOKUP(B1379,點上線資訊!A:R,18,0),"")</f>
        <v/>
      </c>
      <c r="B1379" s="41">
        <f>'MB51'!A1379</f>
        <v>0</v>
      </c>
      <c r="C1379" s="60" t="str">
        <f>IFERROR(VLOOKUP(B1379,'MB51'!A:I,9,0),"")</f>
        <v/>
      </c>
      <c r="D1379" s="61" t="str">
        <f>IFERROR(VLOOKUP(B1379,'MB51'!A:J,10,0),"")</f>
        <v/>
      </c>
      <c r="E1379" s="62" t="str">
        <f>IFERROR(VLOOKUP(B1379,'MB51'!A:K,11,0),"")</f>
        <v/>
      </c>
      <c r="F1379" s="42" t="str">
        <f>IFERROR(VLOOKUP(B1379,'MB51'!A:F,6,0),"")</f>
        <v/>
      </c>
      <c r="G1379" s="17" t="str">
        <f t="shared" si="63"/>
        <v>點揀料單</v>
      </c>
      <c r="H1379" s="17">
        <f t="shared" si="64"/>
        <v>0</v>
      </c>
      <c r="I1379" t="str">
        <f t="shared" si="65"/>
        <v/>
      </c>
      <c r="J1379" t="str">
        <f>SUBSTITUTE(IF(COUNTIF(I$2:I1379,I1379)&gt;1,"",1)," ","")</f>
        <v/>
      </c>
    </row>
    <row r="1380" spans="1:10" x14ac:dyDescent="0.2">
      <c r="A1380" s="51" t="str">
        <f>IFERROR(VLOOKUP(B1380,點上線資訊!A:R,18,0),"")</f>
        <v/>
      </c>
      <c r="B1380" s="41">
        <f>'MB51'!A1380</f>
        <v>0</v>
      </c>
      <c r="C1380" s="60" t="str">
        <f>IFERROR(VLOOKUP(B1380,'MB51'!A:I,9,0),"")</f>
        <v/>
      </c>
      <c r="D1380" s="61" t="str">
        <f>IFERROR(VLOOKUP(B1380,'MB51'!A:J,10,0),"")</f>
        <v/>
      </c>
      <c r="E1380" s="62" t="str">
        <f>IFERROR(VLOOKUP(B1380,'MB51'!A:K,11,0),"")</f>
        <v/>
      </c>
      <c r="F1380" s="42" t="str">
        <f>IFERROR(VLOOKUP(B1380,'MB51'!A:F,6,0),"")</f>
        <v/>
      </c>
      <c r="G1380" s="17" t="str">
        <f t="shared" si="63"/>
        <v>點揀料單</v>
      </c>
      <c r="H1380" s="17">
        <f t="shared" si="64"/>
        <v>0</v>
      </c>
      <c r="I1380" t="str">
        <f t="shared" si="65"/>
        <v/>
      </c>
      <c r="J1380" t="str">
        <f>SUBSTITUTE(IF(COUNTIF(I$2:I1380,I1380)&gt;1,"",1)," ","")</f>
        <v/>
      </c>
    </row>
    <row r="1381" spans="1:10" x14ac:dyDescent="0.2">
      <c r="A1381" s="51" t="str">
        <f>IFERROR(VLOOKUP(B1381,點上線資訊!A:R,18,0),"")</f>
        <v/>
      </c>
      <c r="B1381" s="41">
        <f>'MB51'!A1381</f>
        <v>0</v>
      </c>
      <c r="C1381" s="60" t="str">
        <f>IFERROR(VLOOKUP(B1381,'MB51'!A:I,9,0),"")</f>
        <v/>
      </c>
      <c r="D1381" s="61" t="str">
        <f>IFERROR(VLOOKUP(B1381,'MB51'!A:J,10,0),"")</f>
        <v/>
      </c>
      <c r="E1381" s="62" t="str">
        <f>IFERROR(VLOOKUP(B1381,'MB51'!A:K,11,0),"")</f>
        <v/>
      </c>
      <c r="F1381" s="42" t="str">
        <f>IFERROR(VLOOKUP(B1381,'MB51'!A:F,6,0),"")</f>
        <v/>
      </c>
      <c r="G1381" s="17" t="str">
        <f t="shared" si="63"/>
        <v>點揀料單</v>
      </c>
      <c r="H1381" s="17">
        <f t="shared" si="64"/>
        <v>0</v>
      </c>
      <c r="I1381" t="str">
        <f t="shared" si="65"/>
        <v/>
      </c>
      <c r="J1381" t="str">
        <f>SUBSTITUTE(IF(COUNTIF(I$2:I1381,I1381)&gt;1,"",1)," ","")</f>
        <v/>
      </c>
    </row>
    <row r="1382" spans="1:10" x14ac:dyDescent="0.2">
      <c r="A1382" s="51" t="str">
        <f>IFERROR(VLOOKUP(B1382,點上線資訊!A:R,18,0),"")</f>
        <v/>
      </c>
      <c r="B1382" s="41">
        <f>'MB51'!A1382</f>
        <v>0</v>
      </c>
      <c r="C1382" s="60" t="str">
        <f>IFERROR(VLOOKUP(B1382,'MB51'!A:I,9,0),"")</f>
        <v/>
      </c>
      <c r="D1382" s="61" t="str">
        <f>IFERROR(VLOOKUP(B1382,'MB51'!A:J,10,0),"")</f>
        <v/>
      </c>
      <c r="E1382" s="62" t="str">
        <f>IFERROR(VLOOKUP(B1382,'MB51'!A:K,11,0),"")</f>
        <v/>
      </c>
      <c r="F1382" s="42" t="str">
        <f>IFERROR(VLOOKUP(B1382,'MB51'!A:F,6,0),"")</f>
        <v/>
      </c>
      <c r="G1382" s="17" t="str">
        <f t="shared" si="63"/>
        <v>點揀料單</v>
      </c>
      <c r="H1382" s="17">
        <f t="shared" si="64"/>
        <v>0</v>
      </c>
      <c r="I1382" t="str">
        <f t="shared" si="65"/>
        <v/>
      </c>
      <c r="J1382" t="str">
        <f>SUBSTITUTE(IF(COUNTIF(I$2:I1382,I1382)&gt;1,"",1)," ","")</f>
        <v/>
      </c>
    </row>
    <row r="1383" spans="1:10" x14ac:dyDescent="0.2">
      <c r="A1383" s="51" t="str">
        <f>IFERROR(VLOOKUP(B1383,點上線資訊!A:R,18,0),"")</f>
        <v/>
      </c>
      <c r="B1383" s="41">
        <f>'MB51'!A1383</f>
        <v>0</v>
      </c>
      <c r="C1383" s="60" t="str">
        <f>IFERROR(VLOOKUP(B1383,'MB51'!A:I,9,0),"")</f>
        <v/>
      </c>
      <c r="D1383" s="61" t="str">
        <f>IFERROR(VLOOKUP(B1383,'MB51'!A:J,10,0),"")</f>
        <v/>
      </c>
      <c r="E1383" s="62" t="str">
        <f>IFERROR(VLOOKUP(B1383,'MB51'!A:K,11,0),"")</f>
        <v/>
      </c>
      <c r="F1383" s="42" t="str">
        <f>IFERROR(VLOOKUP(B1383,'MB51'!A:F,6,0),"")</f>
        <v/>
      </c>
      <c r="G1383" s="17" t="str">
        <f t="shared" si="63"/>
        <v>點揀料單</v>
      </c>
      <c r="H1383" s="17">
        <f t="shared" si="64"/>
        <v>0</v>
      </c>
      <c r="I1383" t="str">
        <f t="shared" si="65"/>
        <v/>
      </c>
      <c r="J1383" t="str">
        <f>SUBSTITUTE(IF(COUNTIF(I$2:I1383,I1383)&gt;1,"",1)," ","")</f>
        <v/>
      </c>
    </row>
    <row r="1384" spans="1:10" x14ac:dyDescent="0.2">
      <c r="A1384" s="51" t="str">
        <f>IFERROR(VLOOKUP(B1384,點上線資訊!A:R,18,0),"")</f>
        <v/>
      </c>
      <c r="B1384" s="41">
        <f>'MB51'!A1384</f>
        <v>0</v>
      </c>
      <c r="C1384" s="60" t="str">
        <f>IFERROR(VLOOKUP(B1384,'MB51'!A:I,9,0),"")</f>
        <v/>
      </c>
      <c r="D1384" s="61" t="str">
        <f>IFERROR(VLOOKUP(B1384,'MB51'!A:J,10,0),"")</f>
        <v/>
      </c>
      <c r="E1384" s="62" t="str">
        <f>IFERROR(VLOOKUP(B1384,'MB51'!A:K,11,0),"")</f>
        <v/>
      </c>
      <c r="F1384" s="42" t="str">
        <f>IFERROR(VLOOKUP(B1384,'MB51'!A:F,6,0),"")</f>
        <v/>
      </c>
      <c r="G1384" s="17" t="str">
        <f t="shared" si="63"/>
        <v>點揀料單</v>
      </c>
      <c r="H1384" s="17">
        <f t="shared" si="64"/>
        <v>0</v>
      </c>
      <c r="I1384" t="str">
        <f t="shared" si="65"/>
        <v/>
      </c>
      <c r="J1384" t="str">
        <f>SUBSTITUTE(IF(COUNTIF(I$2:I1384,I1384)&gt;1,"",1)," ","")</f>
        <v/>
      </c>
    </row>
    <row r="1385" spans="1:10" x14ac:dyDescent="0.2">
      <c r="A1385" s="51" t="str">
        <f>IFERROR(VLOOKUP(B1385,點上線資訊!A:R,18,0),"")</f>
        <v/>
      </c>
      <c r="B1385" s="41">
        <f>'MB51'!A1385</f>
        <v>0</v>
      </c>
      <c r="C1385" s="60" t="str">
        <f>IFERROR(VLOOKUP(B1385,'MB51'!A:I,9,0),"")</f>
        <v/>
      </c>
      <c r="D1385" s="61" t="str">
        <f>IFERROR(VLOOKUP(B1385,'MB51'!A:J,10,0),"")</f>
        <v/>
      </c>
      <c r="E1385" s="62" t="str">
        <f>IFERROR(VLOOKUP(B1385,'MB51'!A:K,11,0),"")</f>
        <v/>
      </c>
      <c r="F1385" s="42" t="str">
        <f>IFERROR(VLOOKUP(B1385,'MB51'!A:F,6,0),"")</f>
        <v/>
      </c>
      <c r="G1385" s="17" t="str">
        <f t="shared" si="63"/>
        <v>點揀料單</v>
      </c>
      <c r="H1385" s="17">
        <f t="shared" si="64"/>
        <v>0</v>
      </c>
      <c r="I1385" t="str">
        <f t="shared" si="65"/>
        <v/>
      </c>
      <c r="J1385" t="str">
        <f>SUBSTITUTE(IF(COUNTIF(I$2:I1385,I1385)&gt;1,"",1)," ","")</f>
        <v/>
      </c>
    </row>
    <row r="1386" spans="1:10" x14ac:dyDescent="0.2">
      <c r="A1386" s="51" t="str">
        <f>IFERROR(VLOOKUP(B1386,點上線資訊!A:R,18,0),"")</f>
        <v/>
      </c>
      <c r="B1386" s="41">
        <f>'MB51'!A1386</f>
        <v>0</v>
      </c>
      <c r="C1386" s="60" t="str">
        <f>IFERROR(VLOOKUP(B1386,'MB51'!A:I,9,0),"")</f>
        <v/>
      </c>
      <c r="D1386" s="61" t="str">
        <f>IFERROR(VLOOKUP(B1386,'MB51'!A:J,10,0),"")</f>
        <v/>
      </c>
      <c r="E1386" s="62" t="str">
        <f>IFERROR(VLOOKUP(B1386,'MB51'!A:K,11,0),"")</f>
        <v/>
      </c>
      <c r="F1386" s="42" t="str">
        <f>IFERROR(VLOOKUP(B1386,'MB51'!A:F,6,0),"")</f>
        <v/>
      </c>
      <c r="G1386" s="17" t="str">
        <f t="shared" si="63"/>
        <v>點揀料單</v>
      </c>
      <c r="H1386" s="17">
        <f t="shared" si="64"/>
        <v>0</v>
      </c>
      <c r="I1386" t="str">
        <f t="shared" si="65"/>
        <v/>
      </c>
      <c r="J1386" t="str">
        <f>SUBSTITUTE(IF(COUNTIF(I$2:I1386,I1386)&gt;1,"",1)," ","")</f>
        <v/>
      </c>
    </row>
    <row r="1387" spans="1:10" x14ac:dyDescent="0.2">
      <c r="A1387" s="51" t="str">
        <f>IFERROR(VLOOKUP(B1387,點上線資訊!A:R,18,0),"")</f>
        <v/>
      </c>
      <c r="B1387" s="41">
        <f>'MB51'!A1387</f>
        <v>0</v>
      </c>
      <c r="C1387" s="60" t="str">
        <f>IFERROR(VLOOKUP(B1387,'MB51'!A:I,9,0),"")</f>
        <v/>
      </c>
      <c r="D1387" s="61" t="str">
        <f>IFERROR(VLOOKUP(B1387,'MB51'!A:J,10,0),"")</f>
        <v/>
      </c>
      <c r="E1387" s="62" t="str">
        <f>IFERROR(VLOOKUP(B1387,'MB51'!A:K,11,0),"")</f>
        <v/>
      </c>
      <c r="F1387" s="42" t="str">
        <f>IFERROR(VLOOKUP(B1387,'MB51'!A:F,6,0),"")</f>
        <v/>
      </c>
      <c r="G1387" s="17" t="str">
        <f t="shared" si="63"/>
        <v>點揀料單</v>
      </c>
      <c r="H1387" s="17">
        <f t="shared" si="64"/>
        <v>0</v>
      </c>
      <c r="I1387" t="str">
        <f t="shared" si="65"/>
        <v/>
      </c>
      <c r="J1387" t="str">
        <f>SUBSTITUTE(IF(COUNTIF(I$2:I1387,I1387)&gt;1,"",1)," ","")</f>
        <v/>
      </c>
    </row>
    <row r="1388" spans="1:10" x14ac:dyDescent="0.2">
      <c r="A1388" s="51" t="str">
        <f>IFERROR(VLOOKUP(B1388,點上線資訊!A:R,18,0),"")</f>
        <v/>
      </c>
      <c r="B1388" s="41">
        <f>'MB51'!A1388</f>
        <v>0</v>
      </c>
      <c r="C1388" s="60" t="str">
        <f>IFERROR(VLOOKUP(B1388,'MB51'!A:I,9,0),"")</f>
        <v/>
      </c>
      <c r="D1388" s="61" t="str">
        <f>IFERROR(VLOOKUP(B1388,'MB51'!A:J,10,0),"")</f>
        <v/>
      </c>
      <c r="E1388" s="62" t="str">
        <f>IFERROR(VLOOKUP(B1388,'MB51'!A:K,11,0),"")</f>
        <v/>
      </c>
      <c r="F1388" s="42" t="str">
        <f>IFERROR(VLOOKUP(B1388,'MB51'!A:F,6,0),"")</f>
        <v/>
      </c>
      <c r="G1388" s="17" t="str">
        <f t="shared" si="63"/>
        <v>點揀料單</v>
      </c>
      <c r="H1388" s="17">
        <f t="shared" si="64"/>
        <v>0</v>
      </c>
      <c r="I1388" t="str">
        <f t="shared" si="65"/>
        <v/>
      </c>
      <c r="J1388" t="str">
        <f>SUBSTITUTE(IF(COUNTIF(I$2:I1388,I1388)&gt;1,"",1)," ","")</f>
        <v/>
      </c>
    </row>
    <row r="1389" spans="1:10" x14ac:dyDescent="0.2">
      <c r="A1389" s="51" t="str">
        <f>IFERROR(VLOOKUP(B1389,點上線資訊!A:R,18,0),"")</f>
        <v/>
      </c>
      <c r="B1389" s="41">
        <f>'MB51'!A1389</f>
        <v>0</v>
      </c>
      <c r="C1389" s="60" t="str">
        <f>IFERROR(VLOOKUP(B1389,'MB51'!A:I,9,0),"")</f>
        <v/>
      </c>
      <c r="D1389" s="61" t="str">
        <f>IFERROR(VLOOKUP(B1389,'MB51'!A:J,10,0),"")</f>
        <v/>
      </c>
      <c r="E1389" s="62" t="str">
        <f>IFERROR(VLOOKUP(B1389,'MB51'!A:K,11,0),"")</f>
        <v/>
      </c>
      <c r="F1389" s="42" t="str">
        <f>IFERROR(VLOOKUP(B1389,'MB51'!A:F,6,0),"")</f>
        <v/>
      </c>
      <c r="G1389" s="17" t="str">
        <f t="shared" si="63"/>
        <v>點揀料單</v>
      </c>
      <c r="H1389" s="17">
        <f t="shared" si="64"/>
        <v>0</v>
      </c>
      <c r="I1389" t="str">
        <f t="shared" si="65"/>
        <v/>
      </c>
      <c r="J1389" t="str">
        <f>SUBSTITUTE(IF(COUNTIF(I$2:I1389,I1389)&gt;1,"",1)," ","")</f>
        <v/>
      </c>
    </row>
    <row r="1390" spans="1:10" x14ac:dyDescent="0.2">
      <c r="A1390" s="51" t="str">
        <f>IFERROR(VLOOKUP(B1390,點上線資訊!A:R,18,0),"")</f>
        <v/>
      </c>
      <c r="B1390" s="41">
        <f>'MB51'!A1390</f>
        <v>0</v>
      </c>
      <c r="C1390" s="60" t="str">
        <f>IFERROR(VLOOKUP(B1390,'MB51'!A:I,9,0),"")</f>
        <v/>
      </c>
      <c r="D1390" s="61" t="str">
        <f>IFERROR(VLOOKUP(B1390,'MB51'!A:J,10,0),"")</f>
        <v/>
      </c>
      <c r="E1390" s="62" t="str">
        <f>IFERROR(VLOOKUP(B1390,'MB51'!A:K,11,0),"")</f>
        <v/>
      </c>
      <c r="F1390" s="42" t="str">
        <f>IFERROR(VLOOKUP(B1390,'MB51'!A:F,6,0),"")</f>
        <v/>
      </c>
      <c r="G1390" s="17" t="str">
        <f t="shared" si="63"/>
        <v>點揀料單</v>
      </c>
      <c r="H1390" s="17">
        <f t="shared" si="64"/>
        <v>0</v>
      </c>
      <c r="I1390" t="str">
        <f t="shared" si="65"/>
        <v/>
      </c>
      <c r="J1390" t="str">
        <f>SUBSTITUTE(IF(COUNTIF(I$2:I1390,I1390)&gt;1,"",1)," ","")</f>
        <v/>
      </c>
    </row>
    <row r="1391" spans="1:10" x14ac:dyDescent="0.2">
      <c r="A1391" s="51" t="str">
        <f>IFERROR(VLOOKUP(B1391,點上線資訊!A:R,18,0),"")</f>
        <v/>
      </c>
      <c r="B1391" s="41">
        <f>'MB51'!A1391</f>
        <v>0</v>
      </c>
      <c r="C1391" s="60" t="str">
        <f>IFERROR(VLOOKUP(B1391,'MB51'!A:I,9,0),"")</f>
        <v/>
      </c>
      <c r="D1391" s="61" t="str">
        <f>IFERROR(VLOOKUP(B1391,'MB51'!A:J,10,0),"")</f>
        <v/>
      </c>
      <c r="E1391" s="62" t="str">
        <f>IFERROR(VLOOKUP(B1391,'MB51'!A:K,11,0),"")</f>
        <v/>
      </c>
      <c r="F1391" s="42" t="str">
        <f>IFERROR(VLOOKUP(B1391,'MB51'!A:F,6,0),"")</f>
        <v/>
      </c>
      <c r="G1391" s="17" t="str">
        <f t="shared" si="63"/>
        <v>點揀料單</v>
      </c>
      <c r="H1391" s="17">
        <f t="shared" si="64"/>
        <v>0</v>
      </c>
      <c r="I1391" t="str">
        <f t="shared" si="65"/>
        <v/>
      </c>
      <c r="J1391" t="str">
        <f>SUBSTITUTE(IF(COUNTIF(I$2:I1391,I1391)&gt;1,"",1)," ","")</f>
        <v/>
      </c>
    </row>
    <row r="1392" spans="1:10" x14ac:dyDescent="0.2">
      <c r="A1392" s="51" t="str">
        <f>IFERROR(VLOOKUP(B1392,點上線資訊!A:R,18,0),"")</f>
        <v/>
      </c>
      <c r="B1392" s="41">
        <f>'MB51'!A1392</f>
        <v>0</v>
      </c>
      <c r="C1392" s="60" t="str">
        <f>IFERROR(VLOOKUP(B1392,'MB51'!A:I,9,0),"")</f>
        <v/>
      </c>
      <c r="D1392" s="61" t="str">
        <f>IFERROR(VLOOKUP(B1392,'MB51'!A:J,10,0),"")</f>
        <v/>
      </c>
      <c r="E1392" s="62" t="str">
        <f>IFERROR(VLOOKUP(B1392,'MB51'!A:K,11,0),"")</f>
        <v/>
      </c>
      <c r="F1392" s="42" t="str">
        <f>IFERROR(VLOOKUP(B1392,'MB51'!A:F,6,0),"")</f>
        <v/>
      </c>
      <c r="G1392" s="17" t="str">
        <f t="shared" si="63"/>
        <v>點揀料單</v>
      </c>
      <c r="H1392" s="17">
        <f t="shared" si="64"/>
        <v>0</v>
      </c>
      <c r="I1392" t="str">
        <f t="shared" si="65"/>
        <v/>
      </c>
      <c r="J1392" t="str">
        <f>SUBSTITUTE(IF(COUNTIF(I$2:I1392,I1392)&gt;1,"",1)," ","")</f>
        <v/>
      </c>
    </row>
    <row r="1393" spans="1:10" x14ac:dyDescent="0.2">
      <c r="A1393" s="51" t="str">
        <f>IFERROR(VLOOKUP(B1393,點上線資訊!A:R,18,0),"")</f>
        <v/>
      </c>
      <c r="B1393" s="41">
        <f>'MB51'!A1393</f>
        <v>0</v>
      </c>
      <c r="C1393" s="60" t="str">
        <f>IFERROR(VLOOKUP(B1393,'MB51'!A:I,9,0),"")</f>
        <v/>
      </c>
      <c r="D1393" s="61" t="str">
        <f>IFERROR(VLOOKUP(B1393,'MB51'!A:J,10,0),"")</f>
        <v/>
      </c>
      <c r="E1393" s="62" t="str">
        <f>IFERROR(VLOOKUP(B1393,'MB51'!A:K,11,0),"")</f>
        <v/>
      </c>
      <c r="F1393" s="42" t="str">
        <f>IFERROR(VLOOKUP(B1393,'MB51'!A:F,6,0),"")</f>
        <v/>
      </c>
      <c r="G1393" s="17" t="str">
        <f t="shared" si="63"/>
        <v>點揀料單</v>
      </c>
      <c r="H1393" s="17">
        <f t="shared" si="64"/>
        <v>0</v>
      </c>
      <c r="I1393" t="str">
        <f t="shared" si="65"/>
        <v/>
      </c>
      <c r="J1393" t="str">
        <f>SUBSTITUTE(IF(COUNTIF(I$2:I1393,I1393)&gt;1,"",1)," ","")</f>
        <v/>
      </c>
    </row>
    <row r="1394" spans="1:10" x14ac:dyDescent="0.2">
      <c r="A1394" s="51" t="str">
        <f>IFERROR(VLOOKUP(B1394,點上線資訊!A:R,18,0),"")</f>
        <v/>
      </c>
      <c r="B1394" s="41">
        <f>'MB51'!A1394</f>
        <v>0</v>
      </c>
      <c r="C1394" s="60" t="str">
        <f>IFERROR(VLOOKUP(B1394,'MB51'!A:I,9,0),"")</f>
        <v/>
      </c>
      <c r="D1394" s="61" t="str">
        <f>IFERROR(VLOOKUP(B1394,'MB51'!A:J,10,0),"")</f>
        <v/>
      </c>
      <c r="E1394" s="62" t="str">
        <f>IFERROR(VLOOKUP(B1394,'MB51'!A:K,11,0),"")</f>
        <v/>
      </c>
      <c r="F1394" s="42" t="str">
        <f>IFERROR(VLOOKUP(B1394,'MB51'!A:F,6,0),"")</f>
        <v/>
      </c>
      <c r="G1394" s="17" t="str">
        <f t="shared" si="63"/>
        <v>點揀料單</v>
      </c>
      <c r="H1394" s="17">
        <f t="shared" si="64"/>
        <v>0</v>
      </c>
      <c r="I1394" t="str">
        <f t="shared" si="65"/>
        <v/>
      </c>
      <c r="J1394" t="str">
        <f>SUBSTITUTE(IF(COUNTIF(I$2:I1394,I1394)&gt;1,"",1)," ","")</f>
        <v/>
      </c>
    </row>
    <row r="1395" spans="1:10" x14ac:dyDescent="0.2">
      <c r="A1395" s="51" t="str">
        <f>IFERROR(VLOOKUP(B1395,點上線資訊!A:R,18,0),"")</f>
        <v/>
      </c>
      <c r="B1395" s="41">
        <f>'MB51'!A1395</f>
        <v>0</v>
      </c>
      <c r="C1395" s="60" t="str">
        <f>IFERROR(VLOOKUP(B1395,'MB51'!A:I,9,0),"")</f>
        <v/>
      </c>
      <c r="D1395" s="61" t="str">
        <f>IFERROR(VLOOKUP(B1395,'MB51'!A:J,10,0),"")</f>
        <v/>
      </c>
      <c r="E1395" s="62" t="str">
        <f>IFERROR(VLOOKUP(B1395,'MB51'!A:K,11,0),"")</f>
        <v/>
      </c>
      <c r="F1395" s="42" t="str">
        <f>IFERROR(VLOOKUP(B1395,'MB51'!A:F,6,0),"")</f>
        <v/>
      </c>
      <c r="G1395" s="17" t="str">
        <f t="shared" si="63"/>
        <v>點揀料單</v>
      </c>
      <c r="H1395" s="17">
        <f t="shared" si="64"/>
        <v>0</v>
      </c>
      <c r="I1395" t="str">
        <f t="shared" si="65"/>
        <v/>
      </c>
      <c r="J1395" t="str">
        <f>SUBSTITUTE(IF(COUNTIF(I$2:I1395,I1395)&gt;1,"",1)," ","")</f>
        <v/>
      </c>
    </row>
    <row r="1396" spans="1:10" x14ac:dyDescent="0.2">
      <c r="A1396" s="51" t="str">
        <f>IFERROR(VLOOKUP(B1396,點上線資訊!A:R,18,0),"")</f>
        <v/>
      </c>
      <c r="B1396" s="41">
        <f>'MB51'!A1396</f>
        <v>0</v>
      </c>
      <c r="C1396" s="60" t="str">
        <f>IFERROR(VLOOKUP(B1396,'MB51'!A:I,9,0),"")</f>
        <v/>
      </c>
      <c r="D1396" s="61" t="str">
        <f>IFERROR(VLOOKUP(B1396,'MB51'!A:J,10,0),"")</f>
        <v/>
      </c>
      <c r="E1396" s="62" t="str">
        <f>IFERROR(VLOOKUP(B1396,'MB51'!A:K,11,0),"")</f>
        <v/>
      </c>
      <c r="F1396" s="42" t="str">
        <f>IFERROR(VLOOKUP(B1396,'MB51'!A:F,6,0),"")</f>
        <v/>
      </c>
      <c r="G1396" s="17" t="str">
        <f t="shared" si="63"/>
        <v>點揀料單</v>
      </c>
      <c r="H1396" s="17">
        <f t="shared" si="64"/>
        <v>0</v>
      </c>
      <c r="I1396" t="str">
        <f t="shared" si="65"/>
        <v/>
      </c>
      <c r="J1396" t="str">
        <f>SUBSTITUTE(IF(COUNTIF(I$2:I1396,I1396)&gt;1,"",1)," ","")</f>
        <v/>
      </c>
    </row>
    <row r="1397" spans="1:10" x14ac:dyDescent="0.2">
      <c r="A1397" s="51" t="str">
        <f>IFERROR(VLOOKUP(B1397,點上線資訊!A:R,18,0),"")</f>
        <v/>
      </c>
      <c r="B1397" s="41">
        <f>'MB51'!A1397</f>
        <v>0</v>
      </c>
      <c r="C1397" s="60" t="str">
        <f>IFERROR(VLOOKUP(B1397,'MB51'!A:I,9,0),"")</f>
        <v/>
      </c>
      <c r="D1397" s="61" t="str">
        <f>IFERROR(VLOOKUP(B1397,'MB51'!A:J,10,0),"")</f>
        <v/>
      </c>
      <c r="E1397" s="62" t="str">
        <f>IFERROR(VLOOKUP(B1397,'MB51'!A:K,11,0),"")</f>
        <v/>
      </c>
      <c r="F1397" s="42" t="str">
        <f>IFERROR(VLOOKUP(B1397,'MB51'!A:F,6,0),"")</f>
        <v/>
      </c>
      <c r="G1397" s="17" t="str">
        <f t="shared" si="63"/>
        <v>點揀料單</v>
      </c>
      <c r="H1397" s="17">
        <f t="shared" si="64"/>
        <v>0</v>
      </c>
      <c r="I1397" t="str">
        <f t="shared" si="65"/>
        <v/>
      </c>
      <c r="J1397" t="str">
        <f>SUBSTITUTE(IF(COUNTIF(I$2:I1397,I1397)&gt;1,"",1)," ","")</f>
        <v/>
      </c>
    </row>
    <row r="1398" spans="1:10" x14ac:dyDescent="0.2">
      <c r="A1398" s="51" t="str">
        <f>IFERROR(VLOOKUP(B1398,點上線資訊!A:R,18,0),"")</f>
        <v/>
      </c>
      <c r="B1398" s="41">
        <f>'MB51'!A1398</f>
        <v>0</v>
      </c>
      <c r="C1398" s="60" t="str">
        <f>IFERROR(VLOOKUP(B1398,'MB51'!A:I,9,0),"")</f>
        <v/>
      </c>
      <c r="D1398" s="61" t="str">
        <f>IFERROR(VLOOKUP(B1398,'MB51'!A:J,10,0),"")</f>
        <v/>
      </c>
      <c r="E1398" s="62" t="str">
        <f>IFERROR(VLOOKUP(B1398,'MB51'!A:K,11,0),"")</f>
        <v/>
      </c>
      <c r="F1398" s="42" t="str">
        <f>IFERROR(VLOOKUP(B1398,'MB51'!A:F,6,0),"")</f>
        <v/>
      </c>
      <c r="G1398" s="17" t="str">
        <f t="shared" si="63"/>
        <v>點揀料單</v>
      </c>
      <c r="H1398" s="17">
        <f t="shared" si="64"/>
        <v>0</v>
      </c>
      <c r="I1398" t="str">
        <f t="shared" si="65"/>
        <v/>
      </c>
      <c r="J1398" t="str">
        <f>SUBSTITUTE(IF(COUNTIF(I$2:I1398,I1398)&gt;1,"",1)," ","")</f>
        <v/>
      </c>
    </row>
    <row r="1399" spans="1:10" x14ac:dyDescent="0.2">
      <c r="A1399" s="51" t="str">
        <f>IFERROR(VLOOKUP(B1399,點上線資訊!A:R,18,0),"")</f>
        <v/>
      </c>
      <c r="B1399" s="41">
        <f>'MB51'!A1399</f>
        <v>0</v>
      </c>
      <c r="C1399" s="60" t="str">
        <f>IFERROR(VLOOKUP(B1399,'MB51'!A:I,9,0),"")</f>
        <v/>
      </c>
      <c r="D1399" s="61" t="str">
        <f>IFERROR(VLOOKUP(B1399,'MB51'!A:J,10,0),"")</f>
        <v/>
      </c>
      <c r="E1399" s="62" t="str">
        <f>IFERROR(VLOOKUP(B1399,'MB51'!A:K,11,0),"")</f>
        <v/>
      </c>
      <c r="F1399" s="42" t="str">
        <f>IFERROR(VLOOKUP(B1399,'MB51'!A:F,6,0),"")</f>
        <v/>
      </c>
      <c r="G1399" s="17" t="str">
        <f t="shared" si="63"/>
        <v>點揀料單</v>
      </c>
      <c r="H1399" s="17">
        <f t="shared" si="64"/>
        <v>0</v>
      </c>
      <c r="I1399" t="str">
        <f t="shared" si="65"/>
        <v/>
      </c>
      <c r="J1399" t="str">
        <f>SUBSTITUTE(IF(COUNTIF(I$2:I1399,I1399)&gt;1,"",1)," ","")</f>
        <v/>
      </c>
    </row>
    <row r="1400" spans="1:10" x14ac:dyDescent="0.2">
      <c r="A1400" s="51" t="str">
        <f>IFERROR(VLOOKUP(B1400,點上線資訊!A:R,18,0),"")</f>
        <v/>
      </c>
      <c r="B1400" s="41">
        <f>'MB51'!A1400</f>
        <v>0</v>
      </c>
      <c r="C1400" s="60" t="str">
        <f>IFERROR(VLOOKUP(B1400,'MB51'!A:I,9,0),"")</f>
        <v/>
      </c>
      <c r="D1400" s="61" t="str">
        <f>IFERROR(VLOOKUP(B1400,'MB51'!A:J,10,0),"")</f>
        <v/>
      </c>
      <c r="E1400" s="62" t="str">
        <f>IFERROR(VLOOKUP(B1400,'MB51'!A:K,11,0),"")</f>
        <v/>
      </c>
      <c r="F1400" s="42" t="str">
        <f>IFERROR(VLOOKUP(B1400,'MB51'!A:F,6,0),"")</f>
        <v/>
      </c>
      <c r="G1400" s="17" t="str">
        <f t="shared" si="63"/>
        <v>點揀料單</v>
      </c>
      <c r="H1400" s="17">
        <f t="shared" si="64"/>
        <v>0</v>
      </c>
      <c r="I1400" t="str">
        <f t="shared" si="65"/>
        <v/>
      </c>
      <c r="J1400" t="str">
        <f>SUBSTITUTE(IF(COUNTIF(I$2:I1400,I1400)&gt;1,"",1)," ","")</f>
        <v/>
      </c>
    </row>
    <row r="1401" spans="1:10" x14ac:dyDescent="0.2">
      <c r="A1401" s="51" t="str">
        <f>IFERROR(VLOOKUP(B1401,點上線資訊!A:R,18,0),"")</f>
        <v/>
      </c>
      <c r="B1401" s="41">
        <f>'MB51'!A1401</f>
        <v>0</v>
      </c>
      <c r="C1401" s="60" t="str">
        <f>IFERROR(VLOOKUP(B1401,'MB51'!A:I,9,0),"")</f>
        <v/>
      </c>
      <c r="D1401" s="61" t="str">
        <f>IFERROR(VLOOKUP(B1401,'MB51'!A:J,10,0),"")</f>
        <v/>
      </c>
      <c r="E1401" s="62" t="str">
        <f>IFERROR(VLOOKUP(B1401,'MB51'!A:K,11,0),"")</f>
        <v/>
      </c>
      <c r="F1401" s="42" t="str">
        <f>IFERROR(VLOOKUP(B1401,'MB51'!A:F,6,0),"")</f>
        <v/>
      </c>
      <c r="G1401" s="17" t="str">
        <f t="shared" si="63"/>
        <v>點揀料單</v>
      </c>
      <c r="H1401" s="17">
        <f t="shared" si="64"/>
        <v>0</v>
      </c>
      <c r="I1401" t="str">
        <f t="shared" si="65"/>
        <v/>
      </c>
      <c r="J1401" t="str">
        <f>SUBSTITUTE(IF(COUNTIF(I$2:I1401,I1401)&gt;1,"",1)," ","")</f>
        <v/>
      </c>
    </row>
    <row r="1402" spans="1:10" x14ac:dyDescent="0.2">
      <c r="A1402" s="51" t="str">
        <f>IFERROR(VLOOKUP(B1402,點上線資訊!A:R,18,0),"")</f>
        <v/>
      </c>
      <c r="B1402" s="41">
        <f>'MB51'!A1402</f>
        <v>0</v>
      </c>
      <c r="C1402" s="60" t="str">
        <f>IFERROR(VLOOKUP(B1402,'MB51'!A:I,9,0),"")</f>
        <v/>
      </c>
      <c r="D1402" s="61" t="str">
        <f>IFERROR(VLOOKUP(B1402,'MB51'!A:J,10,0),"")</f>
        <v/>
      </c>
      <c r="E1402" s="62" t="str">
        <f>IFERROR(VLOOKUP(B1402,'MB51'!A:K,11,0),"")</f>
        <v/>
      </c>
      <c r="F1402" s="42" t="str">
        <f>IFERROR(VLOOKUP(B1402,'MB51'!A:F,6,0),"")</f>
        <v/>
      </c>
      <c r="G1402" s="17" t="str">
        <f t="shared" si="63"/>
        <v>點揀料單</v>
      </c>
      <c r="H1402" s="17">
        <f t="shared" si="64"/>
        <v>0</v>
      </c>
      <c r="I1402" t="str">
        <f t="shared" si="65"/>
        <v/>
      </c>
      <c r="J1402" t="str">
        <f>SUBSTITUTE(IF(COUNTIF(I$2:I1402,I1402)&gt;1,"",1)," ","")</f>
        <v/>
      </c>
    </row>
    <row r="1403" spans="1:10" x14ac:dyDescent="0.2">
      <c r="A1403" s="51" t="str">
        <f>IFERROR(VLOOKUP(B1403,點上線資訊!A:R,18,0),"")</f>
        <v/>
      </c>
      <c r="B1403" s="41">
        <f>'MB51'!A1403</f>
        <v>0</v>
      </c>
      <c r="C1403" s="60" t="str">
        <f>IFERROR(VLOOKUP(B1403,'MB51'!A:I,9,0),"")</f>
        <v/>
      </c>
      <c r="D1403" s="61" t="str">
        <f>IFERROR(VLOOKUP(B1403,'MB51'!A:J,10,0),"")</f>
        <v/>
      </c>
      <c r="E1403" s="62" t="str">
        <f>IFERROR(VLOOKUP(B1403,'MB51'!A:K,11,0),"")</f>
        <v/>
      </c>
      <c r="F1403" s="42" t="str">
        <f>IFERROR(VLOOKUP(B1403,'MB51'!A:F,6,0),"")</f>
        <v/>
      </c>
      <c r="G1403" s="17" t="str">
        <f t="shared" si="63"/>
        <v>點揀料單</v>
      </c>
      <c r="H1403" s="17">
        <f t="shared" si="64"/>
        <v>0</v>
      </c>
      <c r="I1403" t="str">
        <f t="shared" si="65"/>
        <v/>
      </c>
      <c r="J1403" t="str">
        <f>SUBSTITUTE(IF(COUNTIF(I$2:I1403,I1403)&gt;1,"",1)," ","")</f>
        <v/>
      </c>
    </row>
    <row r="1404" spans="1:10" x14ac:dyDescent="0.2">
      <c r="A1404" s="51" t="str">
        <f>IFERROR(VLOOKUP(B1404,點上線資訊!A:R,18,0),"")</f>
        <v/>
      </c>
      <c r="B1404" s="41">
        <f>'MB51'!A1404</f>
        <v>0</v>
      </c>
      <c r="C1404" s="60" t="str">
        <f>IFERROR(VLOOKUP(B1404,'MB51'!A:I,9,0),"")</f>
        <v/>
      </c>
      <c r="D1404" s="61" t="str">
        <f>IFERROR(VLOOKUP(B1404,'MB51'!A:J,10,0),"")</f>
        <v/>
      </c>
      <c r="E1404" s="62" t="str">
        <f>IFERROR(VLOOKUP(B1404,'MB51'!A:K,11,0),"")</f>
        <v/>
      </c>
      <c r="F1404" s="42" t="str">
        <f>IFERROR(VLOOKUP(B1404,'MB51'!A:F,6,0),"")</f>
        <v/>
      </c>
      <c r="G1404" s="17" t="str">
        <f t="shared" si="63"/>
        <v>點揀料單</v>
      </c>
      <c r="H1404" s="17">
        <f t="shared" si="64"/>
        <v>0</v>
      </c>
      <c r="I1404" t="str">
        <f t="shared" si="65"/>
        <v/>
      </c>
      <c r="J1404" t="str">
        <f>SUBSTITUTE(IF(COUNTIF(I$2:I1404,I1404)&gt;1,"",1)," ","")</f>
        <v/>
      </c>
    </row>
    <row r="1405" spans="1:10" x14ac:dyDescent="0.2">
      <c r="A1405" s="51" t="str">
        <f>IFERROR(VLOOKUP(B1405,點上線資訊!A:R,18,0),"")</f>
        <v/>
      </c>
      <c r="B1405" s="41">
        <f>'MB51'!A1405</f>
        <v>0</v>
      </c>
      <c r="C1405" s="60" t="str">
        <f>IFERROR(VLOOKUP(B1405,'MB51'!A:I,9,0),"")</f>
        <v/>
      </c>
      <c r="D1405" s="61" t="str">
        <f>IFERROR(VLOOKUP(B1405,'MB51'!A:J,10,0),"")</f>
        <v/>
      </c>
      <c r="E1405" s="62" t="str">
        <f>IFERROR(VLOOKUP(B1405,'MB51'!A:K,11,0),"")</f>
        <v/>
      </c>
      <c r="F1405" s="42" t="str">
        <f>IFERROR(VLOOKUP(B1405,'MB51'!A:F,6,0),"")</f>
        <v/>
      </c>
      <c r="G1405" s="17" t="str">
        <f t="shared" si="63"/>
        <v>點揀料單</v>
      </c>
      <c r="H1405" s="17">
        <f t="shared" si="64"/>
        <v>0</v>
      </c>
      <c r="I1405" t="str">
        <f t="shared" si="65"/>
        <v/>
      </c>
      <c r="J1405" t="str">
        <f>SUBSTITUTE(IF(COUNTIF(I$2:I1405,I1405)&gt;1,"",1)," ","")</f>
        <v/>
      </c>
    </row>
    <row r="1406" spans="1:10" x14ac:dyDescent="0.2">
      <c r="A1406" s="51" t="str">
        <f>IFERROR(VLOOKUP(B1406,點上線資訊!A:R,18,0),"")</f>
        <v/>
      </c>
      <c r="B1406" s="41">
        <f>'MB51'!A1406</f>
        <v>0</v>
      </c>
      <c r="C1406" s="60" t="str">
        <f>IFERROR(VLOOKUP(B1406,'MB51'!A:I,9,0),"")</f>
        <v/>
      </c>
      <c r="D1406" s="61" t="str">
        <f>IFERROR(VLOOKUP(B1406,'MB51'!A:J,10,0),"")</f>
        <v/>
      </c>
      <c r="E1406" s="62" t="str">
        <f>IFERROR(VLOOKUP(B1406,'MB51'!A:K,11,0),"")</f>
        <v/>
      </c>
      <c r="F1406" s="42" t="str">
        <f>IFERROR(VLOOKUP(B1406,'MB51'!A:F,6,0),"")</f>
        <v/>
      </c>
      <c r="G1406" s="17" t="str">
        <f t="shared" si="63"/>
        <v>點揀料單</v>
      </c>
      <c r="H1406" s="17">
        <f t="shared" si="64"/>
        <v>0</v>
      </c>
      <c r="I1406" t="str">
        <f t="shared" si="65"/>
        <v/>
      </c>
      <c r="J1406" t="str">
        <f>SUBSTITUTE(IF(COUNTIF(I$2:I1406,I1406)&gt;1,"",1)," ","")</f>
        <v/>
      </c>
    </row>
    <row r="1407" spans="1:10" x14ac:dyDescent="0.2">
      <c r="A1407" s="51" t="str">
        <f>IFERROR(VLOOKUP(B1407,點上線資訊!A:R,18,0),"")</f>
        <v/>
      </c>
      <c r="B1407" s="41">
        <f>'MB51'!A1407</f>
        <v>0</v>
      </c>
      <c r="C1407" s="60" t="str">
        <f>IFERROR(VLOOKUP(B1407,'MB51'!A:I,9,0),"")</f>
        <v/>
      </c>
      <c r="D1407" s="61" t="str">
        <f>IFERROR(VLOOKUP(B1407,'MB51'!A:J,10,0),"")</f>
        <v/>
      </c>
      <c r="E1407" s="62" t="str">
        <f>IFERROR(VLOOKUP(B1407,'MB51'!A:K,11,0),"")</f>
        <v/>
      </c>
      <c r="F1407" s="42" t="str">
        <f>IFERROR(VLOOKUP(B1407,'MB51'!A:F,6,0),"")</f>
        <v/>
      </c>
      <c r="G1407" s="17" t="str">
        <f t="shared" si="63"/>
        <v>點揀料單</v>
      </c>
      <c r="H1407" s="17">
        <f t="shared" si="64"/>
        <v>0</v>
      </c>
      <c r="I1407" t="str">
        <f t="shared" si="65"/>
        <v/>
      </c>
      <c r="J1407" t="str">
        <f>SUBSTITUTE(IF(COUNTIF(I$2:I1407,I1407)&gt;1,"",1)," ","")</f>
        <v/>
      </c>
    </row>
    <row r="1408" spans="1:10" x14ac:dyDescent="0.2">
      <c r="A1408" s="51" t="str">
        <f>IFERROR(VLOOKUP(B1408,點上線資訊!A:R,18,0),"")</f>
        <v/>
      </c>
      <c r="B1408" s="41">
        <f>'MB51'!A1408</f>
        <v>0</v>
      </c>
      <c r="C1408" s="60" t="str">
        <f>IFERROR(VLOOKUP(B1408,'MB51'!A:I,9,0),"")</f>
        <v/>
      </c>
      <c r="D1408" s="61" t="str">
        <f>IFERROR(VLOOKUP(B1408,'MB51'!A:J,10,0),"")</f>
        <v/>
      </c>
      <c r="E1408" s="62" t="str">
        <f>IFERROR(VLOOKUP(B1408,'MB51'!A:K,11,0),"")</f>
        <v/>
      </c>
      <c r="F1408" s="42" t="str">
        <f>IFERROR(VLOOKUP(B1408,'MB51'!A:F,6,0),"")</f>
        <v/>
      </c>
      <c r="G1408" s="17" t="str">
        <f t="shared" si="63"/>
        <v>點揀料單</v>
      </c>
      <c r="H1408" s="17">
        <f t="shared" si="64"/>
        <v>0</v>
      </c>
      <c r="I1408" t="str">
        <f t="shared" si="65"/>
        <v/>
      </c>
      <c r="J1408" t="str">
        <f>SUBSTITUTE(IF(COUNTIF(I$2:I1408,I1408)&gt;1,"",1)," ","")</f>
        <v/>
      </c>
    </row>
    <row r="1409" spans="1:10" x14ac:dyDescent="0.2">
      <c r="A1409" s="51" t="str">
        <f>IFERROR(VLOOKUP(B1409,點上線資訊!A:R,18,0),"")</f>
        <v/>
      </c>
      <c r="B1409" s="41">
        <f>'MB51'!A1409</f>
        <v>0</v>
      </c>
      <c r="C1409" s="60" t="str">
        <f>IFERROR(VLOOKUP(B1409,'MB51'!A:I,9,0),"")</f>
        <v/>
      </c>
      <c r="D1409" s="61" t="str">
        <f>IFERROR(VLOOKUP(B1409,'MB51'!A:J,10,0),"")</f>
        <v/>
      </c>
      <c r="E1409" s="62" t="str">
        <f>IFERROR(VLOOKUP(B1409,'MB51'!A:K,11,0),"")</f>
        <v/>
      </c>
      <c r="F1409" s="42" t="str">
        <f>IFERROR(VLOOKUP(B1409,'MB51'!A:F,6,0),"")</f>
        <v/>
      </c>
      <c r="G1409" s="17" t="str">
        <f t="shared" si="63"/>
        <v>點揀料單</v>
      </c>
      <c r="H1409" s="17">
        <f t="shared" si="64"/>
        <v>0</v>
      </c>
      <c r="I1409" t="str">
        <f t="shared" si="65"/>
        <v/>
      </c>
      <c r="J1409" t="str">
        <f>SUBSTITUTE(IF(COUNTIF(I$2:I1409,I1409)&gt;1,"",1)," ","")</f>
        <v/>
      </c>
    </row>
    <row r="1410" spans="1:10" x14ac:dyDescent="0.2">
      <c r="A1410" s="51" t="str">
        <f>IFERROR(VLOOKUP(B1410,點上線資訊!A:R,18,0),"")</f>
        <v/>
      </c>
      <c r="B1410" s="41">
        <f>'MB51'!A1410</f>
        <v>0</v>
      </c>
      <c r="C1410" s="60" t="str">
        <f>IFERROR(VLOOKUP(B1410,'MB51'!A:I,9,0),"")</f>
        <v/>
      </c>
      <c r="D1410" s="61" t="str">
        <f>IFERROR(VLOOKUP(B1410,'MB51'!A:J,10,0),"")</f>
        <v/>
      </c>
      <c r="E1410" s="62" t="str">
        <f>IFERROR(VLOOKUP(B1410,'MB51'!A:K,11,0),"")</f>
        <v/>
      </c>
      <c r="F1410" s="42" t="str">
        <f>IFERROR(VLOOKUP(B1410,'MB51'!A:F,6,0),"")</f>
        <v/>
      </c>
      <c r="G1410" s="17" t="str">
        <f t="shared" si="63"/>
        <v>點揀料單</v>
      </c>
      <c r="H1410" s="17">
        <f t="shared" si="64"/>
        <v>0</v>
      </c>
      <c r="I1410" t="str">
        <f t="shared" si="65"/>
        <v/>
      </c>
      <c r="J1410" t="str">
        <f>SUBSTITUTE(IF(COUNTIF(I$2:I1410,I1410)&gt;1,"",1)," ","")</f>
        <v/>
      </c>
    </row>
    <row r="1411" spans="1:10" x14ac:dyDescent="0.2">
      <c r="A1411" s="51" t="str">
        <f>IFERROR(VLOOKUP(B1411,點上線資訊!A:R,18,0),"")</f>
        <v/>
      </c>
      <c r="B1411" s="41">
        <f>'MB51'!A1411</f>
        <v>0</v>
      </c>
      <c r="C1411" s="60" t="str">
        <f>IFERROR(VLOOKUP(B1411,'MB51'!A:I,9,0),"")</f>
        <v/>
      </c>
      <c r="D1411" s="61" t="str">
        <f>IFERROR(VLOOKUP(B1411,'MB51'!A:J,10,0),"")</f>
        <v/>
      </c>
      <c r="E1411" s="62" t="str">
        <f>IFERROR(VLOOKUP(B1411,'MB51'!A:K,11,0),"")</f>
        <v/>
      </c>
      <c r="F1411" s="42" t="str">
        <f>IFERROR(VLOOKUP(B1411,'MB51'!A:F,6,0),"")</f>
        <v/>
      </c>
      <c r="G1411" s="17" t="str">
        <f t="shared" ref="G1411:G1474" si="66">TEXT(D1411,"MM/DD")&amp;TEXT(E1411,"  HH")&amp;"點揀料單"</f>
        <v>點揀料單</v>
      </c>
      <c r="H1411" s="17">
        <f t="shared" ref="H1411:H1474" si="67">ABS(SUMIF(C:C,C1411,F:F))</f>
        <v>0</v>
      </c>
      <c r="I1411" t="str">
        <f t="shared" ref="I1411:I1474" si="68">RIGHTB(C1411,10)</f>
        <v/>
      </c>
      <c r="J1411" t="str">
        <f>SUBSTITUTE(IF(COUNTIF(I$2:I1411,I1411)&gt;1,"",1)," ","")</f>
        <v/>
      </c>
    </row>
    <row r="1412" spans="1:10" x14ac:dyDescent="0.2">
      <c r="A1412" s="51" t="str">
        <f>IFERROR(VLOOKUP(B1412,點上線資訊!A:R,18,0),"")</f>
        <v/>
      </c>
      <c r="B1412" s="41">
        <f>'MB51'!A1412</f>
        <v>0</v>
      </c>
      <c r="C1412" s="60" t="str">
        <f>IFERROR(VLOOKUP(B1412,'MB51'!A:I,9,0),"")</f>
        <v/>
      </c>
      <c r="D1412" s="61" t="str">
        <f>IFERROR(VLOOKUP(B1412,'MB51'!A:J,10,0),"")</f>
        <v/>
      </c>
      <c r="E1412" s="62" t="str">
        <f>IFERROR(VLOOKUP(B1412,'MB51'!A:K,11,0),"")</f>
        <v/>
      </c>
      <c r="F1412" s="42" t="str">
        <f>IFERROR(VLOOKUP(B1412,'MB51'!A:F,6,0),"")</f>
        <v/>
      </c>
      <c r="G1412" s="17" t="str">
        <f t="shared" si="66"/>
        <v>點揀料單</v>
      </c>
      <c r="H1412" s="17">
        <f t="shared" si="67"/>
        <v>0</v>
      </c>
      <c r="I1412" t="str">
        <f t="shared" si="68"/>
        <v/>
      </c>
      <c r="J1412" t="str">
        <f>SUBSTITUTE(IF(COUNTIF(I$2:I1412,I1412)&gt;1,"",1)," ","")</f>
        <v/>
      </c>
    </row>
    <row r="1413" spans="1:10" x14ac:dyDescent="0.2">
      <c r="A1413" s="51" t="str">
        <f>IFERROR(VLOOKUP(B1413,點上線資訊!A:R,18,0),"")</f>
        <v/>
      </c>
      <c r="B1413" s="41">
        <f>'MB51'!A1413</f>
        <v>0</v>
      </c>
      <c r="C1413" s="60" t="str">
        <f>IFERROR(VLOOKUP(B1413,'MB51'!A:I,9,0),"")</f>
        <v/>
      </c>
      <c r="D1413" s="61" t="str">
        <f>IFERROR(VLOOKUP(B1413,'MB51'!A:J,10,0),"")</f>
        <v/>
      </c>
      <c r="E1413" s="62" t="str">
        <f>IFERROR(VLOOKUP(B1413,'MB51'!A:K,11,0),"")</f>
        <v/>
      </c>
      <c r="F1413" s="42" t="str">
        <f>IFERROR(VLOOKUP(B1413,'MB51'!A:F,6,0),"")</f>
        <v/>
      </c>
      <c r="G1413" s="17" t="str">
        <f t="shared" si="66"/>
        <v>點揀料單</v>
      </c>
      <c r="H1413" s="17">
        <f t="shared" si="67"/>
        <v>0</v>
      </c>
      <c r="I1413" t="str">
        <f t="shared" si="68"/>
        <v/>
      </c>
      <c r="J1413" t="str">
        <f>SUBSTITUTE(IF(COUNTIF(I$2:I1413,I1413)&gt;1,"",1)," ","")</f>
        <v/>
      </c>
    </row>
    <row r="1414" spans="1:10" x14ac:dyDescent="0.2">
      <c r="A1414" s="51" t="str">
        <f>IFERROR(VLOOKUP(B1414,點上線資訊!A:R,18,0),"")</f>
        <v/>
      </c>
      <c r="B1414" s="41">
        <f>'MB51'!A1414</f>
        <v>0</v>
      </c>
      <c r="C1414" s="60" t="str">
        <f>IFERROR(VLOOKUP(B1414,'MB51'!A:I,9,0),"")</f>
        <v/>
      </c>
      <c r="D1414" s="61" t="str">
        <f>IFERROR(VLOOKUP(B1414,'MB51'!A:J,10,0),"")</f>
        <v/>
      </c>
      <c r="E1414" s="62" t="str">
        <f>IFERROR(VLOOKUP(B1414,'MB51'!A:K,11,0),"")</f>
        <v/>
      </c>
      <c r="F1414" s="42" t="str">
        <f>IFERROR(VLOOKUP(B1414,'MB51'!A:F,6,0),"")</f>
        <v/>
      </c>
      <c r="G1414" s="17" t="str">
        <f t="shared" si="66"/>
        <v>點揀料單</v>
      </c>
      <c r="H1414" s="17">
        <f t="shared" si="67"/>
        <v>0</v>
      </c>
      <c r="I1414" t="str">
        <f t="shared" si="68"/>
        <v/>
      </c>
      <c r="J1414" t="str">
        <f>SUBSTITUTE(IF(COUNTIF(I$2:I1414,I1414)&gt;1,"",1)," ","")</f>
        <v/>
      </c>
    </row>
    <row r="1415" spans="1:10" x14ac:dyDescent="0.2">
      <c r="A1415" s="51" t="str">
        <f>IFERROR(VLOOKUP(B1415,點上線資訊!A:R,18,0),"")</f>
        <v/>
      </c>
      <c r="B1415" s="41">
        <f>'MB51'!A1415</f>
        <v>0</v>
      </c>
      <c r="C1415" s="60" t="str">
        <f>IFERROR(VLOOKUP(B1415,'MB51'!A:I,9,0),"")</f>
        <v/>
      </c>
      <c r="D1415" s="61" t="str">
        <f>IFERROR(VLOOKUP(B1415,'MB51'!A:J,10,0),"")</f>
        <v/>
      </c>
      <c r="E1415" s="62" t="str">
        <f>IFERROR(VLOOKUP(B1415,'MB51'!A:K,11,0),"")</f>
        <v/>
      </c>
      <c r="F1415" s="42" t="str">
        <f>IFERROR(VLOOKUP(B1415,'MB51'!A:F,6,0),"")</f>
        <v/>
      </c>
      <c r="G1415" s="17" t="str">
        <f t="shared" si="66"/>
        <v>點揀料單</v>
      </c>
      <c r="H1415" s="17">
        <f t="shared" si="67"/>
        <v>0</v>
      </c>
      <c r="I1415" t="str">
        <f t="shared" si="68"/>
        <v/>
      </c>
      <c r="J1415" t="str">
        <f>SUBSTITUTE(IF(COUNTIF(I$2:I1415,I1415)&gt;1,"",1)," ","")</f>
        <v/>
      </c>
    </row>
    <row r="1416" spans="1:10" x14ac:dyDescent="0.2">
      <c r="A1416" s="51" t="str">
        <f>IFERROR(VLOOKUP(B1416,點上線資訊!A:R,18,0),"")</f>
        <v/>
      </c>
      <c r="B1416" s="41">
        <f>'MB51'!A1416</f>
        <v>0</v>
      </c>
      <c r="C1416" s="60" t="str">
        <f>IFERROR(VLOOKUP(B1416,'MB51'!A:I,9,0),"")</f>
        <v/>
      </c>
      <c r="D1416" s="61" t="str">
        <f>IFERROR(VLOOKUP(B1416,'MB51'!A:J,10,0),"")</f>
        <v/>
      </c>
      <c r="E1416" s="62" t="str">
        <f>IFERROR(VLOOKUP(B1416,'MB51'!A:K,11,0),"")</f>
        <v/>
      </c>
      <c r="F1416" s="42" t="str">
        <f>IFERROR(VLOOKUP(B1416,'MB51'!A:F,6,0),"")</f>
        <v/>
      </c>
      <c r="G1416" s="17" t="str">
        <f t="shared" si="66"/>
        <v>點揀料單</v>
      </c>
      <c r="H1416" s="17">
        <f t="shared" si="67"/>
        <v>0</v>
      </c>
      <c r="I1416" t="str">
        <f t="shared" si="68"/>
        <v/>
      </c>
      <c r="J1416" t="str">
        <f>SUBSTITUTE(IF(COUNTIF(I$2:I1416,I1416)&gt;1,"",1)," ","")</f>
        <v/>
      </c>
    </row>
    <row r="1417" spans="1:10" x14ac:dyDescent="0.2">
      <c r="A1417" s="51" t="str">
        <f>IFERROR(VLOOKUP(B1417,點上線資訊!A:R,18,0),"")</f>
        <v/>
      </c>
      <c r="B1417" s="41">
        <f>'MB51'!A1417</f>
        <v>0</v>
      </c>
      <c r="C1417" s="60" t="str">
        <f>IFERROR(VLOOKUP(B1417,'MB51'!A:I,9,0),"")</f>
        <v/>
      </c>
      <c r="D1417" s="61" t="str">
        <f>IFERROR(VLOOKUP(B1417,'MB51'!A:J,10,0),"")</f>
        <v/>
      </c>
      <c r="E1417" s="62" t="str">
        <f>IFERROR(VLOOKUP(B1417,'MB51'!A:K,11,0),"")</f>
        <v/>
      </c>
      <c r="F1417" s="42" t="str">
        <f>IFERROR(VLOOKUP(B1417,'MB51'!A:F,6,0),"")</f>
        <v/>
      </c>
      <c r="G1417" s="17" t="str">
        <f t="shared" si="66"/>
        <v>點揀料單</v>
      </c>
      <c r="H1417" s="17">
        <f t="shared" si="67"/>
        <v>0</v>
      </c>
      <c r="I1417" t="str">
        <f t="shared" si="68"/>
        <v/>
      </c>
      <c r="J1417" t="str">
        <f>SUBSTITUTE(IF(COUNTIF(I$2:I1417,I1417)&gt;1,"",1)," ","")</f>
        <v/>
      </c>
    </row>
    <row r="1418" spans="1:10" x14ac:dyDescent="0.2">
      <c r="A1418" s="51" t="str">
        <f>IFERROR(VLOOKUP(B1418,點上線資訊!A:R,18,0),"")</f>
        <v/>
      </c>
      <c r="B1418" s="41">
        <f>'MB51'!A1418</f>
        <v>0</v>
      </c>
      <c r="C1418" s="60" t="str">
        <f>IFERROR(VLOOKUP(B1418,'MB51'!A:I,9,0),"")</f>
        <v/>
      </c>
      <c r="D1418" s="61" t="str">
        <f>IFERROR(VLOOKUP(B1418,'MB51'!A:J,10,0),"")</f>
        <v/>
      </c>
      <c r="E1418" s="62" t="str">
        <f>IFERROR(VLOOKUP(B1418,'MB51'!A:K,11,0),"")</f>
        <v/>
      </c>
      <c r="F1418" s="42" t="str">
        <f>IFERROR(VLOOKUP(B1418,'MB51'!A:F,6,0),"")</f>
        <v/>
      </c>
      <c r="G1418" s="17" t="str">
        <f t="shared" si="66"/>
        <v>點揀料單</v>
      </c>
      <c r="H1418" s="17">
        <f t="shared" si="67"/>
        <v>0</v>
      </c>
      <c r="I1418" t="str">
        <f t="shared" si="68"/>
        <v/>
      </c>
      <c r="J1418" t="str">
        <f>SUBSTITUTE(IF(COUNTIF(I$2:I1418,I1418)&gt;1,"",1)," ","")</f>
        <v/>
      </c>
    </row>
    <row r="1419" spans="1:10" x14ac:dyDescent="0.2">
      <c r="A1419" s="51" t="str">
        <f>IFERROR(VLOOKUP(B1419,點上線資訊!A:R,18,0),"")</f>
        <v/>
      </c>
      <c r="B1419" s="41">
        <f>'MB51'!A1419</f>
        <v>0</v>
      </c>
      <c r="C1419" s="60" t="str">
        <f>IFERROR(VLOOKUP(B1419,'MB51'!A:I,9,0),"")</f>
        <v/>
      </c>
      <c r="D1419" s="61" t="str">
        <f>IFERROR(VLOOKUP(B1419,'MB51'!A:J,10,0),"")</f>
        <v/>
      </c>
      <c r="E1419" s="62" t="str">
        <f>IFERROR(VLOOKUP(B1419,'MB51'!A:K,11,0),"")</f>
        <v/>
      </c>
      <c r="F1419" s="42" t="str">
        <f>IFERROR(VLOOKUP(B1419,'MB51'!A:F,6,0),"")</f>
        <v/>
      </c>
      <c r="G1419" s="17" t="str">
        <f t="shared" si="66"/>
        <v>點揀料單</v>
      </c>
      <c r="H1419" s="17">
        <f t="shared" si="67"/>
        <v>0</v>
      </c>
      <c r="I1419" t="str">
        <f t="shared" si="68"/>
        <v/>
      </c>
      <c r="J1419" t="str">
        <f>SUBSTITUTE(IF(COUNTIF(I$2:I1419,I1419)&gt;1,"",1)," ","")</f>
        <v/>
      </c>
    </row>
    <row r="1420" spans="1:10" x14ac:dyDescent="0.2">
      <c r="A1420" s="51" t="str">
        <f>IFERROR(VLOOKUP(B1420,點上線資訊!A:R,18,0),"")</f>
        <v/>
      </c>
      <c r="B1420" s="41">
        <f>'MB51'!A1420</f>
        <v>0</v>
      </c>
      <c r="C1420" s="60" t="str">
        <f>IFERROR(VLOOKUP(B1420,'MB51'!A:I,9,0),"")</f>
        <v/>
      </c>
      <c r="D1420" s="61" t="str">
        <f>IFERROR(VLOOKUP(B1420,'MB51'!A:J,10,0),"")</f>
        <v/>
      </c>
      <c r="E1420" s="62" t="str">
        <f>IFERROR(VLOOKUP(B1420,'MB51'!A:K,11,0),"")</f>
        <v/>
      </c>
      <c r="F1420" s="42" t="str">
        <f>IFERROR(VLOOKUP(B1420,'MB51'!A:F,6,0),"")</f>
        <v/>
      </c>
      <c r="G1420" s="17" t="str">
        <f t="shared" si="66"/>
        <v>點揀料單</v>
      </c>
      <c r="H1420" s="17">
        <f t="shared" si="67"/>
        <v>0</v>
      </c>
      <c r="I1420" t="str">
        <f t="shared" si="68"/>
        <v/>
      </c>
      <c r="J1420" t="str">
        <f>SUBSTITUTE(IF(COUNTIF(I$2:I1420,I1420)&gt;1,"",1)," ","")</f>
        <v/>
      </c>
    </row>
    <row r="1421" spans="1:10" x14ac:dyDescent="0.2">
      <c r="A1421" s="51" t="str">
        <f>IFERROR(VLOOKUP(B1421,點上線資訊!A:R,18,0),"")</f>
        <v/>
      </c>
      <c r="B1421" s="41">
        <f>'MB51'!A1421</f>
        <v>0</v>
      </c>
      <c r="C1421" s="60" t="str">
        <f>IFERROR(VLOOKUP(B1421,'MB51'!A:I,9,0),"")</f>
        <v/>
      </c>
      <c r="D1421" s="61" t="str">
        <f>IFERROR(VLOOKUP(B1421,'MB51'!A:J,10,0),"")</f>
        <v/>
      </c>
      <c r="E1421" s="62" t="str">
        <f>IFERROR(VLOOKUP(B1421,'MB51'!A:K,11,0),"")</f>
        <v/>
      </c>
      <c r="F1421" s="42" t="str">
        <f>IFERROR(VLOOKUP(B1421,'MB51'!A:F,6,0),"")</f>
        <v/>
      </c>
      <c r="G1421" s="17" t="str">
        <f t="shared" si="66"/>
        <v>點揀料單</v>
      </c>
      <c r="H1421" s="17">
        <f t="shared" si="67"/>
        <v>0</v>
      </c>
      <c r="I1421" t="str">
        <f t="shared" si="68"/>
        <v/>
      </c>
      <c r="J1421" t="str">
        <f>SUBSTITUTE(IF(COUNTIF(I$2:I1421,I1421)&gt;1,"",1)," ","")</f>
        <v/>
      </c>
    </row>
    <row r="1422" spans="1:10" x14ac:dyDescent="0.2">
      <c r="A1422" s="51" t="str">
        <f>IFERROR(VLOOKUP(B1422,點上線資訊!A:R,18,0),"")</f>
        <v/>
      </c>
      <c r="B1422" s="41">
        <f>'MB51'!A1422</f>
        <v>0</v>
      </c>
      <c r="C1422" s="60" t="str">
        <f>IFERROR(VLOOKUP(B1422,'MB51'!A:I,9,0),"")</f>
        <v/>
      </c>
      <c r="D1422" s="61" t="str">
        <f>IFERROR(VLOOKUP(B1422,'MB51'!A:J,10,0),"")</f>
        <v/>
      </c>
      <c r="E1422" s="62" t="str">
        <f>IFERROR(VLOOKUP(B1422,'MB51'!A:K,11,0),"")</f>
        <v/>
      </c>
      <c r="F1422" s="42" t="str">
        <f>IFERROR(VLOOKUP(B1422,'MB51'!A:F,6,0),"")</f>
        <v/>
      </c>
      <c r="G1422" s="17" t="str">
        <f t="shared" si="66"/>
        <v>點揀料單</v>
      </c>
      <c r="H1422" s="17">
        <f t="shared" si="67"/>
        <v>0</v>
      </c>
      <c r="I1422" t="str">
        <f t="shared" si="68"/>
        <v/>
      </c>
      <c r="J1422" t="str">
        <f>SUBSTITUTE(IF(COUNTIF(I$2:I1422,I1422)&gt;1,"",1)," ","")</f>
        <v/>
      </c>
    </row>
    <row r="1423" spans="1:10" x14ac:dyDescent="0.2">
      <c r="A1423" s="51" t="str">
        <f>IFERROR(VLOOKUP(B1423,點上線資訊!A:R,18,0),"")</f>
        <v/>
      </c>
      <c r="B1423" s="41">
        <f>'MB51'!A1423</f>
        <v>0</v>
      </c>
      <c r="C1423" s="60" t="str">
        <f>IFERROR(VLOOKUP(B1423,'MB51'!A:I,9,0),"")</f>
        <v/>
      </c>
      <c r="D1423" s="61" t="str">
        <f>IFERROR(VLOOKUP(B1423,'MB51'!A:J,10,0),"")</f>
        <v/>
      </c>
      <c r="E1423" s="62" t="str">
        <f>IFERROR(VLOOKUP(B1423,'MB51'!A:K,11,0),"")</f>
        <v/>
      </c>
      <c r="F1423" s="42" t="str">
        <f>IFERROR(VLOOKUP(B1423,'MB51'!A:F,6,0),"")</f>
        <v/>
      </c>
      <c r="G1423" s="17" t="str">
        <f t="shared" si="66"/>
        <v>點揀料單</v>
      </c>
      <c r="H1423" s="17">
        <f t="shared" si="67"/>
        <v>0</v>
      </c>
      <c r="I1423" t="str">
        <f t="shared" si="68"/>
        <v/>
      </c>
      <c r="J1423" t="str">
        <f>SUBSTITUTE(IF(COUNTIF(I$2:I1423,I1423)&gt;1,"",1)," ","")</f>
        <v/>
      </c>
    </row>
    <row r="1424" spans="1:10" x14ac:dyDescent="0.2">
      <c r="A1424" s="51" t="str">
        <f>IFERROR(VLOOKUP(B1424,點上線資訊!A:R,18,0),"")</f>
        <v/>
      </c>
      <c r="B1424" s="41">
        <f>'MB51'!A1424</f>
        <v>0</v>
      </c>
      <c r="C1424" s="60" t="str">
        <f>IFERROR(VLOOKUP(B1424,'MB51'!A:I,9,0),"")</f>
        <v/>
      </c>
      <c r="D1424" s="61" t="str">
        <f>IFERROR(VLOOKUP(B1424,'MB51'!A:J,10,0),"")</f>
        <v/>
      </c>
      <c r="E1424" s="62" t="str">
        <f>IFERROR(VLOOKUP(B1424,'MB51'!A:K,11,0),"")</f>
        <v/>
      </c>
      <c r="F1424" s="42" t="str">
        <f>IFERROR(VLOOKUP(B1424,'MB51'!A:F,6,0),"")</f>
        <v/>
      </c>
      <c r="G1424" s="17" t="str">
        <f t="shared" si="66"/>
        <v>點揀料單</v>
      </c>
      <c r="H1424" s="17">
        <f t="shared" si="67"/>
        <v>0</v>
      </c>
      <c r="I1424" t="str">
        <f t="shared" si="68"/>
        <v/>
      </c>
      <c r="J1424" t="str">
        <f>SUBSTITUTE(IF(COUNTIF(I$2:I1424,I1424)&gt;1,"",1)," ","")</f>
        <v/>
      </c>
    </row>
    <row r="1425" spans="1:10" x14ac:dyDescent="0.2">
      <c r="A1425" s="51" t="str">
        <f>IFERROR(VLOOKUP(B1425,點上線資訊!A:R,18,0),"")</f>
        <v/>
      </c>
      <c r="B1425" s="41">
        <f>'MB51'!A1425</f>
        <v>0</v>
      </c>
      <c r="C1425" s="60" t="str">
        <f>IFERROR(VLOOKUP(B1425,'MB51'!A:I,9,0),"")</f>
        <v/>
      </c>
      <c r="D1425" s="61" t="str">
        <f>IFERROR(VLOOKUP(B1425,'MB51'!A:J,10,0),"")</f>
        <v/>
      </c>
      <c r="E1425" s="62" t="str">
        <f>IFERROR(VLOOKUP(B1425,'MB51'!A:K,11,0),"")</f>
        <v/>
      </c>
      <c r="F1425" s="42" t="str">
        <f>IFERROR(VLOOKUP(B1425,'MB51'!A:F,6,0),"")</f>
        <v/>
      </c>
      <c r="G1425" s="17" t="str">
        <f t="shared" si="66"/>
        <v>點揀料單</v>
      </c>
      <c r="H1425" s="17">
        <f t="shared" si="67"/>
        <v>0</v>
      </c>
      <c r="I1425" t="str">
        <f t="shared" si="68"/>
        <v/>
      </c>
      <c r="J1425" t="str">
        <f>SUBSTITUTE(IF(COUNTIF(I$2:I1425,I1425)&gt;1,"",1)," ","")</f>
        <v/>
      </c>
    </row>
    <row r="1426" spans="1:10" x14ac:dyDescent="0.2">
      <c r="A1426" s="51" t="str">
        <f>IFERROR(VLOOKUP(B1426,點上線資訊!A:R,18,0),"")</f>
        <v/>
      </c>
      <c r="B1426" s="41">
        <f>'MB51'!A1426</f>
        <v>0</v>
      </c>
      <c r="C1426" s="60" t="str">
        <f>IFERROR(VLOOKUP(B1426,'MB51'!A:I,9,0),"")</f>
        <v/>
      </c>
      <c r="D1426" s="61" t="str">
        <f>IFERROR(VLOOKUP(B1426,'MB51'!A:J,10,0),"")</f>
        <v/>
      </c>
      <c r="E1426" s="62" t="str">
        <f>IFERROR(VLOOKUP(B1426,'MB51'!A:K,11,0),"")</f>
        <v/>
      </c>
      <c r="F1426" s="42" t="str">
        <f>IFERROR(VLOOKUP(B1426,'MB51'!A:F,6,0),"")</f>
        <v/>
      </c>
      <c r="G1426" s="17" t="str">
        <f t="shared" si="66"/>
        <v>點揀料單</v>
      </c>
      <c r="H1426" s="17">
        <f t="shared" si="67"/>
        <v>0</v>
      </c>
      <c r="I1426" t="str">
        <f t="shared" si="68"/>
        <v/>
      </c>
      <c r="J1426" t="str">
        <f>SUBSTITUTE(IF(COUNTIF(I$2:I1426,I1426)&gt;1,"",1)," ","")</f>
        <v/>
      </c>
    </row>
    <row r="1427" spans="1:10" x14ac:dyDescent="0.2">
      <c r="A1427" s="51" t="str">
        <f>IFERROR(VLOOKUP(B1427,點上線資訊!A:R,18,0),"")</f>
        <v/>
      </c>
      <c r="B1427" s="41">
        <f>'MB51'!A1427</f>
        <v>0</v>
      </c>
      <c r="C1427" s="60" t="str">
        <f>IFERROR(VLOOKUP(B1427,'MB51'!A:I,9,0),"")</f>
        <v/>
      </c>
      <c r="D1427" s="61" t="str">
        <f>IFERROR(VLOOKUP(B1427,'MB51'!A:J,10,0),"")</f>
        <v/>
      </c>
      <c r="E1427" s="62" t="str">
        <f>IFERROR(VLOOKUP(B1427,'MB51'!A:K,11,0),"")</f>
        <v/>
      </c>
      <c r="F1427" s="42" t="str">
        <f>IFERROR(VLOOKUP(B1427,'MB51'!A:F,6,0),"")</f>
        <v/>
      </c>
      <c r="G1427" s="17" t="str">
        <f t="shared" si="66"/>
        <v>點揀料單</v>
      </c>
      <c r="H1427" s="17">
        <f t="shared" si="67"/>
        <v>0</v>
      </c>
      <c r="I1427" t="str">
        <f t="shared" si="68"/>
        <v/>
      </c>
      <c r="J1427" t="str">
        <f>SUBSTITUTE(IF(COUNTIF(I$2:I1427,I1427)&gt;1,"",1)," ","")</f>
        <v/>
      </c>
    </row>
    <row r="1428" spans="1:10" x14ac:dyDescent="0.2">
      <c r="A1428" s="51" t="str">
        <f>IFERROR(VLOOKUP(B1428,點上線資訊!A:R,18,0),"")</f>
        <v/>
      </c>
      <c r="B1428" s="41">
        <f>'MB51'!A1428</f>
        <v>0</v>
      </c>
      <c r="C1428" s="60" t="str">
        <f>IFERROR(VLOOKUP(B1428,'MB51'!A:I,9,0),"")</f>
        <v/>
      </c>
      <c r="D1428" s="61" t="str">
        <f>IFERROR(VLOOKUP(B1428,'MB51'!A:J,10,0),"")</f>
        <v/>
      </c>
      <c r="E1428" s="62" t="str">
        <f>IFERROR(VLOOKUP(B1428,'MB51'!A:K,11,0),"")</f>
        <v/>
      </c>
      <c r="F1428" s="42" t="str">
        <f>IFERROR(VLOOKUP(B1428,'MB51'!A:F,6,0),"")</f>
        <v/>
      </c>
      <c r="G1428" s="17" t="str">
        <f t="shared" si="66"/>
        <v>點揀料單</v>
      </c>
      <c r="H1428" s="17">
        <f t="shared" si="67"/>
        <v>0</v>
      </c>
      <c r="I1428" t="str">
        <f t="shared" si="68"/>
        <v/>
      </c>
      <c r="J1428" t="str">
        <f>SUBSTITUTE(IF(COUNTIF(I$2:I1428,I1428)&gt;1,"",1)," ","")</f>
        <v/>
      </c>
    </row>
    <row r="1429" spans="1:10" x14ac:dyDescent="0.2">
      <c r="A1429" s="51" t="str">
        <f>IFERROR(VLOOKUP(B1429,點上線資訊!A:R,18,0),"")</f>
        <v/>
      </c>
      <c r="B1429" s="41">
        <f>'MB51'!A1429</f>
        <v>0</v>
      </c>
      <c r="C1429" s="60" t="str">
        <f>IFERROR(VLOOKUP(B1429,'MB51'!A:I,9,0),"")</f>
        <v/>
      </c>
      <c r="D1429" s="61" t="str">
        <f>IFERROR(VLOOKUP(B1429,'MB51'!A:J,10,0),"")</f>
        <v/>
      </c>
      <c r="E1429" s="62" t="str">
        <f>IFERROR(VLOOKUP(B1429,'MB51'!A:K,11,0),"")</f>
        <v/>
      </c>
      <c r="F1429" s="42" t="str">
        <f>IFERROR(VLOOKUP(B1429,'MB51'!A:F,6,0),"")</f>
        <v/>
      </c>
      <c r="G1429" s="17" t="str">
        <f t="shared" si="66"/>
        <v>點揀料單</v>
      </c>
      <c r="H1429" s="17">
        <f t="shared" si="67"/>
        <v>0</v>
      </c>
      <c r="I1429" t="str">
        <f t="shared" si="68"/>
        <v/>
      </c>
      <c r="J1429" t="str">
        <f>SUBSTITUTE(IF(COUNTIF(I$2:I1429,I1429)&gt;1,"",1)," ","")</f>
        <v/>
      </c>
    </row>
    <row r="1430" spans="1:10" x14ac:dyDescent="0.2">
      <c r="A1430" s="51" t="str">
        <f>IFERROR(VLOOKUP(B1430,點上線資訊!A:R,18,0),"")</f>
        <v/>
      </c>
      <c r="B1430" s="41">
        <f>'MB51'!A1430</f>
        <v>0</v>
      </c>
      <c r="C1430" s="60" t="str">
        <f>IFERROR(VLOOKUP(B1430,'MB51'!A:I,9,0),"")</f>
        <v/>
      </c>
      <c r="D1430" s="61" t="str">
        <f>IFERROR(VLOOKUP(B1430,'MB51'!A:J,10,0),"")</f>
        <v/>
      </c>
      <c r="E1430" s="62" t="str">
        <f>IFERROR(VLOOKUP(B1430,'MB51'!A:K,11,0),"")</f>
        <v/>
      </c>
      <c r="F1430" s="42" t="str">
        <f>IFERROR(VLOOKUP(B1430,'MB51'!A:F,6,0),"")</f>
        <v/>
      </c>
      <c r="G1430" s="17" t="str">
        <f t="shared" si="66"/>
        <v>點揀料單</v>
      </c>
      <c r="H1430" s="17">
        <f t="shared" si="67"/>
        <v>0</v>
      </c>
      <c r="I1430" t="str">
        <f t="shared" si="68"/>
        <v/>
      </c>
      <c r="J1430" t="str">
        <f>SUBSTITUTE(IF(COUNTIF(I$2:I1430,I1430)&gt;1,"",1)," ","")</f>
        <v/>
      </c>
    </row>
    <row r="1431" spans="1:10" x14ac:dyDescent="0.2">
      <c r="A1431" s="51" t="str">
        <f>IFERROR(VLOOKUP(B1431,點上線資訊!A:R,18,0),"")</f>
        <v/>
      </c>
      <c r="B1431" s="41">
        <f>'MB51'!A1431</f>
        <v>0</v>
      </c>
      <c r="C1431" s="60" t="str">
        <f>IFERROR(VLOOKUP(B1431,'MB51'!A:I,9,0),"")</f>
        <v/>
      </c>
      <c r="D1431" s="61" t="str">
        <f>IFERROR(VLOOKUP(B1431,'MB51'!A:J,10,0),"")</f>
        <v/>
      </c>
      <c r="E1431" s="62" t="str">
        <f>IFERROR(VLOOKUP(B1431,'MB51'!A:K,11,0),"")</f>
        <v/>
      </c>
      <c r="F1431" s="42" t="str">
        <f>IFERROR(VLOOKUP(B1431,'MB51'!A:F,6,0),"")</f>
        <v/>
      </c>
      <c r="G1431" s="17" t="str">
        <f t="shared" si="66"/>
        <v>點揀料單</v>
      </c>
      <c r="H1431" s="17">
        <f t="shared" si="67"/>
        <v>0</v>
      </c>
      <c r="I1431" t="str">
        <f t="shared" si="68"/>
        <v/>
      </c>
      <c r="J1431" t="str">
        <f>SUBSTITUTE(IF(COUNTIF(I$2:I1431,I1431)&gt;1,"",1)," ","")</f>
        <v/>
      </c>
    </row>
    <row r="1432" spans="1:10" x14ac:dyDescent="0.2">
      <c r="A1432" s="51" t="str">
        <f>IFERROR(VLOOKUP(B1432,點上線資訊!A:R,18,0),"")</f>
        <v/>
      </c>
      <c r="B1432" s="41">
        <f>'MB51'!A1432</f>
        <v>0</v>
      </c>
      <c r="C1432" s="60" t="str">
        <f>IFERROR(VLOOKUP(B1432,'MB51'!A:I,9,0),"")</f>
        <v/>
      </c>
      <c r="D1432" s="61" t="str">
        <f>IFERROR(VLOOKUP(B1432,'MB51'!A:J,10,0),"")</f>
        <v/>
      </c>
      <c r="E1432" s="62" t="str">
        <f>IFERROR(VLOOKUP(B1432,'MB51'!A:K,11,0),"")</f>
        <v/>
      </c>
      <c r="F1432" s="42" t="str">
        <f>IFERROR(VLOOKUP(B1432,'MB51'!A:F,6,0),"")</f>
        <v/>
      </c>
      <c r="G1432" s="17" t="str">
        <f t="shared" si="66"/>
        <v>點揀料單</v>
      </c>
      <c r="H1432" s="17">
        <f t="shared" si="67"/>
        <v>0</v>
      </c>
      <c r="I1432" t="str">
        <f t="shared" si="68"/>
        <v/>
      </c>
      <c r="J1432" t="str">
        <f>SUBSTITUTE(IF(COUNTIF(I$2:I1432,I1432)&gt;1,"",1)," ","")</f>
        <v/>
      </c>
    </row>
    <row r="1433" spans="1:10" x14ac:dyDescent="0.2">
      <c r="A1433" s="51" t="str">
        <f>IFERROR(VLOOKUP(B1433,點上線資訊!A:R,18,0),"")</f>
        <v/>
      </c>
      <c r="B1433" s="41">
        <f>'MB51'!A1433</f>
        <v>0</v>
      </c>
      <c r="C1433" s="60" t="str">
        <f>IFERROR(VLOOKUP(B1433,'MB51'!A:I,9,0),"")</f>
        <v/>
      </c>
      <c r="D1433" s="61" t="str">
        <f>IFERROR(VLOOKUP(B1433,'MB51'!A:J,10,0),"")</f>
        <v/>
      </c>
      <c r="E1433" s="62" t="str">
        <f>IFERROR(VLOOKUP(B1433,'MB51'!A:K,11,0),"")</f>
        <v/>
      </c>
      <c r="F1433" s="42" t="str">
        <f>IFERROR(VLOOKUP(B1433,'MB51'!A:F,6,0),"")</f>
        <v/>
      </c>
      <c r="G1433" s="17" t="str">
        <f t="shared" si="66"/>
        <v>點揀料單</v>
      </c>
      <c r="H1433" s="17">
        <f t="shared" si="67"/>
        <v>0</v>
      </c>
      <c r="I1433" t="str">
        <f t="shared" si="68"/>
        <v/>
      </c>
      <c r="J1433" t="str">
        <f>SUBSTITUTE(IF(COUNTIF(I$2:I1433,I1433)&gt;1,"",1)," ","")</f>
        <v/>
      </c>
    </row>
    <row r="1434" spans="1:10" x14ac:dyDescent="0.2">
      <c r="A1434" s="51" t="str">
        <f>IFERROR(VLOOKUP(B1434,點上線資訊!A:R,18,0),"")</f>
        <v/>
      </c>
      <c r="B1434" s="41">
        <f>'MB51'!A1434</f>
        <v>0</v>
      </c>
      <c r="C1434" s="60" t="str">
        <f>IFERROR(VLOOKUP(B1434,'MB51'!A:I,9,0),"")</f>
        <v/>
      </c>
      <c r="D1434" s="61" t="str">
        <f>IFERROR(VLOOKUP(B1434,'MB51'!A:J,10,0),"")</f>
        <v/>
      </c>
      <c r="E1434" s="62" t="str">
        <f>IFERROR(VLOOKUP(B1434,'MB51'!A:K,11,0),"")</f>
        <v/>
      </c>
      <c r="F1434" s="42" t="str">
        <f>IFERROR(VLOOKUP(B1434,'MB51'!A:F,6,0),"")</f>
        <v/>
      </c>
      <c r="G1434" s="17" t="str">
        <f t="shared" si="66"/>
        <v>點揀料單</v>
      </c>
      <c r="H1434" s="17">
        <f t="shared" si="67"/>
        <v>0</v>
      </c>
      <c r="I1434" t="str">
        <f t="shared" si="68"/>
        <v/>
      </c>
      <c r="J1434" t="str">
        <f>SUBSTITUTE(IF(COUNTIF(I$2:I1434,I1434)&gt;1,"",1)," ","")</f>
        <v/>
      </c>
    </row>
    <row r="1435" spans="1:10" x14ac:dyDescent="0.2">
      <c r="A1435" s="51" t="str">
        <f>IFERROR(VLOOKUP(B1435,點上線資訊!A:R,18,0),"")</f>
        <v/>
      </c>
      <c r="B1435" s="41">
        <f>'MB51'!A1435</f>
        <v>0</v>
      </c>
      <c r="C1435" s="60" t="str">
        <f>IFERROR(VLOOKUP(B1435,'MB51'!A:I,9,0),"")</f>
        <v/>
      </c>
      <c r="D1435" s="61" t="str">
        <f>IFERROR(VLOOKUP(B1435,'MB51'!A:J,10,0),"")</f>
        <v/>
      </c>
      <c r="E1435" s="62" t="str">
        <f>IFERROR(VLOOKUP(B1435,'MB51'!A:K,11,0),"")</f>
        <v/>
      </c>
      <c r="F1435" s="42" t="str">
        <f>IFERROR(VLOOKUP(B1435,'MB51'!A:F,6,0),"")</f>
        <v/>
      </c>
      <c r="G1435" s="17" t="str">
        <f t="shared" si="66"/>
        <v>點揀料單</v>
      </c>
      <c r="H1435" s="17">
        <f t="shared" si="67"/>
        <v>0</v>
      </c>
      <c r="I1435" t="str">
        <f t="shared" si="68"/>
        <v/>
      </c>
      <c r="J1435" t="str">
        <f>SUBSTITUTE(IF(COUNTIF(I$2:I1435,I1435)&gt;1,"",1)," ","")</f>
        <v/>
      </c>
    </row>
    <row r="1436" spans="1:10" x14ac:dyDescent="0.2">
      <c r="A1436" s="51" t="str">
        <f>IFERROR(VLOOKUP(B1436,點上線資訊!A:R,18,0),"")</f>
        <v/>
      </c>
      <c r="B1436" s="41">
        <f>'MB51'!A1436</f>
        <v>0</v>
      </c>
      <c r="C1436" s="60" t="str">
        <f>IFERROR(VLOOKUP(B1436,'MB51'!A:I,9,0),"")</f>
        <v/>
      </c>
      <c r="D1436" s="61" t="str">
        <f>IFERROR(VLOOKUP(B1436,'MB51'!A:J,10,0),"")</f>
        <v/>
      </c>
      <c r="E1436" s="62" t="str">
        <f>IFERROR(VLOOKUP(B1436,'MB51'!A:K,11,0),"")</f>
        <v/>
      </c>
      <c r="F1436" s="42" t="str">
        <f>IFERROR(VLOOKUP(B1436,'MB51'!A:F,6,0),"")</f>
        <v/>
      </c>
      <c r="G1436" s="17" t="str">
        <f t="shared" si="66"/>
        <v>點揀料單</v>
      </c>
      <c r="H1436" s="17">
        <f t="shared" si="67"/>
        <v>0</v>
      </c>
      <c r="I1436" t="str">
        <f t="shared" si="68"/>
        <v/>
      </c>
      <c r="J1436" t="str">
        <f>SUBSTITUTE(IF(COUNTIF(I$2:I1436,I1436)&gt;1,"",1)," ","")</f>
        <v/>
      </c>
    </row>
    <row r="1437" spans="1:10" x14ac:dyDescent="0.2">
      <c r="A1437" s="51" t="str">
        <f>IFERROR(VLOOKUP(B1437,點上線資訊!A:R,18,0),"")</f>
        <v/>
      </c>
      <c r="B1437" s="41">
        <f>'MB51'!A1437</f>
        <v>0</v>
      </c>
      <c r="C1437" s="60" t="str">
        <f>IFERROR(VLOOKUP(B1437,'MB51'!A:I,9,0),"")</f>
        <v/>
      </c>
      <c r="D1437" s="61" t="str">
        <f>IFERROR(VLOOKUP(B1437,'MB51'!A:J,10,0),"")</f>
        <v/>
      </c>
      <c r="E1437" s="62" t="str">
        <f>IFERROR(VLOOKUP(B1437,'MB51'!A:K,11,0),"")</f>
        <v/>
      </c>
      <c r="F1437" s="42" t="str">
        <f>IFERROR(VLOOKUP(B1437,'MB51'!A:F,6,0),"")</f>
        <v/>
      </c>
      <c r="G1437" s="17" t="str">
        <f t="shared" si="66"/>
        <v>點揀料單</v>
      </c>
      <c r="H1437" s="17">
        <f t="shared" si="67"/>
        <v>0</v>
      </c>
      <c r="I1437" t="str">
        <f t="shared" si="68"/>
        <v/>
      </c>
      <c r="J1437" t="str">
        <f>SUBSTITUTE(IF(COUNTIF(I$2:I1437,I1437)&gt;1,"",1)," ","")</f>
        <v/>
      </c>
    </row>
    <row r="1438" spans="1:10" x14ac:dyDescent="0.2">
      <c r="A1438" s="51" t="str">
        <f>IFERROR(VLOOKUP(B1438,點上線資訊!A:R,18,0),"")</f>
        <v/>
      </c>
      <c r="B1438" s="41">
        <f>'MB51'!A1438</f>
        <v>0</v>
      </c>
      <c r="C1438" s="60" t="str">
        <f>IFERROR(VLOOKUP(B1438,'MB51'!A:I,9,0),"")</f>
        <v/>
      </c>
      <c r="D1438" s="61" t="str">
        <f>IFERROR(VLOOKUP(B1438,'MB51'!A:J,10,0),"")</f>
        <v/>
      </c>
      <c r="E1438" s="62" t="str">
        <f>IFERROR(VLOOKUP(B1438,'MB51'!A:K,11,0),"")</f>
        <v/>
      </c>
      <c r="F1438" s="42" t="str">
        <f>IFERROR(VLOOKUP(B1438,'MB51'!A:F,6,0),"")</f>
        <v/>
      </c>
      <c r="G1438" s="17" t="str">
        <f t="shared" si="66"/>
        <v>點揀料單</v>
      </c>
      <c r="H1438" s="17">
        <f t="shared" si="67"/>
        <v>0</v>
      </c>
      <c r="I1438" t="str">
        <f t="shared" si="68"/>
        <v/>
      </c>
      <c r="J1438" t="str">
        <f>SUBSTITUTE(IF(COUNTIF(I$2:I1438,I1438)&gt;1,"",1)," ","")</f>
        <v/>
      </c>
    </row>
    <row r="1439" spans="1:10" x14ac:dyDescent="0.2">
      <c r="A1439" s="51" t="str">
        <f>IFERROR(VLOOKUP(B1439,點上線資訊!A:R,18,0),"")</f>
        <v/>
      </c>
      <c r="B1439" s="41">
        <f>'MB51'!A1439</f>
        <v>0</v>
      </c>
      <c r="C1439" s="60" t="str">
        <f>IFERROR(VLOOKUP(B1439,'MB51'!A:I,9,0),"")</f>
        <v/>
      </c>
      <c r="D1439" s="61" t="str">
        <f>IFERROR(VLOOKUP(B1439,'MB51'!A:J,10,0),"")</f>
        <v/>
      </c>
      <c r="E1439" s="62" t="str">
        <f>IFERROR(VLOOKUP(B1439,'MB51'!A:K,11,0),"")</f>
        <v/>
      </c>
      <c r="F1439" s="42" t="str">
        <f>IFERROR(VLOOKUP(B1439,'MB51'!A:F,6,0),"")</f>
        <v/>
      </c>
      <c r="G1439" s="17" t="str">
        <f t="shared" si="66"/>
        <v>點揀料單</v>
      </c>
      <c r="H1439" s="17">
        <f t="shared" si="67"/>
        <v>0</v>
      </c>
      <c r="I1439" t="str">
        <f t="shared" si="68"/>
        <v/>
      </c>
      <c r="J1439" t="str">
        <f>SUBSTITUTE(IF(COUNTIF(I$2:I1439,I1439)&gt;1,"",1)," ","")</f>
        <v/>
      </c>
    </row>
    <row r="1440" spans="1:10" x14ac:dyDescent="0.2">
      <c r="A1440" s="51" t="str">
        <f>IFERROR(VLOOKUP(B1440,點上線資訊!A:R,18,0),"")</f>
        <v/>
      </c>
      <c r="B1440" s="41">
        <f>'MB51'!A1440</f>
        <v>0</v>
      </c>
      <c r="C1440" s="60" t="str">
        <f>IFERROR(VLOOKUP(B1440,'MB51'!A:I,9,0),"")</f>
        <v/>
      </c>
      <c r="D1440" s="61" t="str">
        <f>IFERROR(VLOOKUP(B1440,'MB51'!A:J,10,0),"")</f>
        <v/>
      </c>
      <c r="E1440" s="62" t="str">
        <f>IFERROR(VLOOKUP(B1440,'MB51'!A:K,11,0),"")</f>
        <v/>
      </c>
      <c r="F1440" s="42" t="str">
        <f>IFERROR(VLOOKUP(B1440,'MB51'!A:F,6,0),"")</f>
        <v/>
      </c>
      <c r="G1440" s="17" t="str">
        <f t="shared" si="66"/>
        <v>點揀料單</v>
      </c>
      <c r="H1440" s="17">
        <f t="shared" si="67"/>
        <v>0</v>
      </c>
      <c r="I1440" t="str">
        <f t="shared" si="68"/>
        <v/>
      </c>
      <c r="J1440" t="str">
        <f>SUBSTITUTE(IF(COUNTIF(I$2:I1440,I1440)&gt;1,"",1)," ","")</f>
        <v/>
      </c>
    </row>
    <row r="1441" spans="1:10" x14ac:dyDescent="0.2">
      <c r="A1441" s="51" t="str">
        <f>IFERROR(VLOOKUP(B1441,點上線資訊!A:R,18,0),"")</f>
        <v/>
      </c>
      <c r="B1441" s="41">
        <f>'MB51'!A1441</f>
        <v>0</v>
      </c>
      <c r="C1441" s="60" t="str">
        <f>IFERROR(VLOOKUP(B1441,'MB51'!A:I,9,0),"")</f>
        <v/>
      </c>
      <c r="D1441" s="61" t="str">
        <f>IFERROR(VLOOKUP(B1441,'MB51'!A:J,10,0),"")</f>
        <v/>
      </c>
      <c r="E1441" s="62" t="str">
        <f>IFERROR(VLOOKUP(B1441,'MB51'!A:K,11,0),"")</f>
        <v/>
      </c>
      <c r="F1441" s="42" t="str">
        <f>IFERROR(VLOOKUP(B1441,'MB51'!A:F,6,0),"")</f>
        <v/>
      </c>
      <c r="G1441" s="17" t="str">
        <f t="shared" si="66"/>
        <v>點揀料單</v>
      </c>
      <c r="H1441" s="17">
        <f t="shared" si="67"/>
        <v>0</v>
      </c>
      <c r="I1441" t="str">
        <f t="shared" si="68"/>
        <v/>
      </c>
      <c r="J1441" t="str">
        <f>SUBSTITUTE(IF(COUNTIF(I$2:I1441,I1441)&gt;1,"",1)," ","")</f>
        <v/>
      </c>
    </row>
    <row r="1442" spans="1:10" x14ac:dyDescent="0.2">
      <c r="A1442" s="51" t="str">
        <f>IFERROR(VLOOKUP(B1442,點上線資訊!A:R,18,0),"")</f>
        <v/>
      </c>
      <c r="B1442" s="41">
        <f>'MB51'!A1442</f>
        <v>0</v>
      </c>
      <c r="C1442" s="60" t="str">
        <f>IFERROR(VLOOKUP(B1442,'MB51'!A:I,9,0),"")</f>
        <v/>
      </c>
      <c r="D1442" s="61" t="str">
        <f>IFERROR(VLOOKUP(B1442,'MB51'!A:J,10,0),"")</f>
        <v/>
      </c>
      <c r="E1442" s="62" t="str">
        <f>IFERROR(VLOOKUP(B1442,'MB51'!A:K,11,0),"")</f>
        <v/>
      </c>
      <c r="F1442" s="42" t="str">
        <f>IFERROR(VLOOKUP(B1442,'MB51'!A:F,6,0),"")</f>
        <v/>
      </c>
      <c r="G1442" s="17" t="str">
        <f t="shared" si="66"/>
        <v>點揀料單</v>
      </c>
      <c r="H1442" s="17">
        <f t="shared" si="67"/>
        <v>0</v>
      </c>
      <c r="I1442" t="str">
        <f t="shared" si="68"/>
        <v/>
      </c>
      <c r="J1442" t="str">
        <f>SUBSTITUTE(IF(COUNTIF(I$2:I1442,I1442)&gt;1,"",1)," ","")</f>
        <v/>
      </c>
    </row>
    <row r="1443" spans="1:10" x14ac:dyDescent="0.2">
      <c r="A1443" s="51" t="str">
        <f>IFERROR(VLOOKUP(B1443,點上線資訊!A:R,18,0),"")</f>
        <v/>
      </c>
      <c r="B1443" s="41">
        <f>'MB51'!A1443</f>
        <v>0</v>
      </c>
      <c r="C1443" s="60" t="str">
        <f>IFERROR(VLOOKUP(B1443,'MB51'!A:I,9,0),"")</f>
        <v/>
      </c>
      <c r="D1443" s="61" t="str">
        <f>IFERROR(VLOOKUP(B1443,'MB51'!A:J,10,0),"")</f>
        <v/>
      </c>
      <c r="E1443" s="62" t="str">
        <f>IFERROR(VLOOKUP(B1443,'MB51'!A:K,11,0),"")</f>
        <v/>
      </c>
      <c r="F1443" s="42" t="str">
        <f>IFERROR(VLOOKUP(B1443,'MB51'!A:F,6,0),"")</f>
        <v/>
      </c>
      <c r="G1443" s="17" t="str">
        <f t="shared" si="66"/>
        <v>點揀料單</v>
      </c>
      <c r="H1443" s="17">
        <f t="shared" si="67"/>
        <v>0</v>
      </c>
      <c r="I1443" t="str">
        <f t="shared" si="68"/>
        <v/>
      </c>
      <c r="J1443" t="str">
        <f>SUBSTITUTE(IF(COUNTIF(I$2:I1443,I1443)&gt;1,"",1)," ","")</f>
        <v/>
      </c>
    </row>
    <row r="1444" spans="1:10" x14ac:dyDescent="0.2">
      <c r="A1444" s="51" t="str">
        <f>IFERROR(VLOOKUP(B1444,點上線資訊!A:R,18,0),"")</f>
        <v/>
      </c>
      <c r="B1444" s="41">
        <f>'MB51'!A1444</f>
        <v>0</v>
      </c>
      <c r="C1444" s="60" t="str">
        <f>IFERROR(VLOOKUP(B1444,'MB51'!A:I,9,0),"")</f>
        <v/>
      </c>
      <c r="D1444" s="61" t="str">
        <f>IFERROR(VLOOKUP(B1444,'MB51'!A:J,10,0),"")</f>
        <v/>
      </c>
      <c r="E1444" s="62" t="str">
        <f>IFERROR(VLOOKUP(B1444,'MB51'!A:K,11,0),"")</f>
        <v/>
      </c>
      <c r="F1444" s="42" t="str">
        <f>IFERROR(VLOOKUP(B1444,'MB51'!A:F,6,0),"")</f>
        <v/>
      </c>
      <c r="G1444" s="17" t="str">
        <f t="shared" si="66"/>
        <v>點揀料單</v>
      </c>
      <c r="H1444" s="17">
        <f t="shared" si="67"/>
        <v>0</v>
      </c>
      <c r="I1444" t="str">
        <f t="shared" si="68"/>
        <v/>
      </c>
      <c r="J1444" t="str">
        <f>SUBSTITUTE(IF(COUNTIF(I$2:I1444,I1444)&gt;1,"",1)," ","")</f>
        <v/>
      </c>
    </row>
    <row r="1445" spans="1:10" x14ac:dyDescent="0.2">
      <c r="A1445" s="51" t="str">
        <f>IFERROR(VLOOKUP(B1445,點上線資訊!A:R,18,0),"")</f>
        <v/>
      </c>
      <c r="B1445" s="41">
        <f>'MB51'!A1445</f>
        <v>0</v>
      </c>
      <c r="C1445" s="60" t="str">
        <f>IFERROR(VLOOKUP(B1445,'MB51'!A:I,9,0),"")</f>
        <v/>
      </c>
      <c r="D1445" s="61" t="str">
        <f>IFERROR(VLOOKUP(B1445,'MB51'!A:J,10,0),"")</f>
        <v/>
      </c>
      <c r="E1445" s="62" t="str">
        <f>IFERROR(VLOOKUP(B1445,'MB51'!A:K,11,0),"")</f>
        <v/>
      </c>
      <c r="F1445" s="42" t="str">
        <f>IFERROR(VLOOKUP(B1445,'MB51'!A:F,6,0),"")</f>
        <v/>
      </c>
      <c r="G1445" s="17" t="str">
        <f t="shared" si="66"/>
        <v>點揀料單</v>
      </c>
      <c r="H1445" s="17">
        <f t="shared" si="67"/>
        <v>0</v>
      </c>
      <c r="I1445" t="str">
        <f t="shared" si="68"/>
        <v/>
      </c>
      <c r="J1445" t="str">
        <f>SUBSTITUTE(IF(COUNTIF(I$2:I1445,I1445)&gt;1,"",1)," ","")</f>
        <v/>
      </c>
    </row>
    <row r="1446" spans="1:10" x14ac:dyDescent="0.2">
      <c r="A1446" s="51" t="str">
        <f>IFERROR(VLOOKUP(B1446,點上線資訊!A:R,18,0),"")</f>
        <v/>
      </c>
      <c r="B1446" s="41">
        <f>'MB51'!A1446</f>
        <v>0</v>
      </c>
      <c r="C1446" s="60" t="str">
        <f>IFERROR(VLOOKUP(B1446,'MB51'!A:I,9,0),"")</f>
        <v/>
      </c>
      <c r="D1446" s="61" t="str">
        <f>IFERROR(VLOOKUP(B1446,'MB51'!A:J,10,0),"")</f>
        <v/>
      </c>
      <c r="E1446" s="62" t="str">
        <f>IFERROR(VLOOKUP(B1446,'MB51'!A:K,11,0),"")</f>
        <v/>
      </c>
      <c r="F1446" s="42" t="str">
        <f>IFERROR(VLOOKUP(B1446,'MB51'!A:F,6,0),"")</f>
        <v/>
      </c>
      <c r="G1446" s="17" t="str">
        <f t="shared" si="66"/>
        <v>點揀料單</v>
      </c>
      <c r="H1446" s="17">
        <f t="shared" si="67"/>
        <v>0</v>
      </c>
      <c r="I1446" t="str">
        <f t="shared" si="68"/>
        <v/>
      </c>
      <c r="J1446" t="str">
        <f>SUBSTITUTE(IF(COUNTIF(I$2:I1446,I1446)&gt;1,"",1)," ","")</f>
        <v/>
      </c>
    </row>
    <row r="1447" spans="1:10" x14ac:dyDescent="0.2">
      <c r="A1447" s="51" t="str">
        <f>IFERROR(VLOOKUP(B1447,點上線資訊!A:R,18,0),"")</f>
        <v/>
      </c>
      <c r="B1447" s="41">
        <f>'MB51'!A1447</f>
        <v>0</v>
      </c>
      <c r="C1447" s="60" t="str">
        <f>IFERROR(VLOOKUP(B1447,'MB51'!A:I,9,0),"")</f>
        <v/>
      </c>
      <c r="D1447" s="61" t="str">
        <f>IFERROR(VLOOKUP(B1447,'MB51'!A:J,10,0),"")</f>
        <v/>
      </c>
      <c r="E1447" s="62" t="str">
        <f>IFERROR(VLOOKUP(B1447,'MB51'!A:K,11,0),"")</f>
        <v/>
      </c>
      <c r="F1447" s="42" t="str">
        <f>IFERROR(VLOOKUP(B1447,'MB51'!A:F,6,0),"")</f>
        <v/>
      </c>
      <c r="G1447" s="17" t="str">
        <f t="shared" si="66"/>
        <v>點揀料單</v>
      </c>
      <c r="H1447" s="17">
        <f t="shared" si="67"/>
        <v>0</v>
      </c>
      <c r="I1447" t="str">
        <f t="shared" si="68"/>
        <v/>
      </c>
      <c r="J1447" t="str">
        <f>SUBSTITUTE(IF(COUNTIF(I$2:I1447,I1447)&gt;1,"",1)," ","")</f>
        <v/>
      </c>
    </row>
    <row r="1448" spans="1:10" x14ac:dyDescent="0.2">
      <c r="A1448" s="51" t="str">
        <f>IFERROR(VLOOKUP(B1448,點上線資訊!A:R,18,0),"")</f>
        <v/>
      </c>
      <c r="B1448" s="41">
        <f>'MB51'!A1448</f>
        <v>0</v>
      </c>
      <c r="C1448" s="60" t="str">
        <f>IFERROR(VLOOKUP(B1448,'MB51'!A:I,9,0),"")</f>
        <v/>
      </c>
      <c r="D1448" s="61" t="str">
        <f>IFERROR(VLOOKUP(B1448,'MB51'!A:J,10,0),"")</f>
        <v/>
      </c>
      <c r="E1448" s="62" t="str">
        <f>IFERROR(VLOOKUP(B1448,'MB51'!A:K,11,0),"")</f>
        <v/>
      </c>
      <c r="F1448" s="42" t="str">
        <f>IFERROR(VLOOKUP(B1448,'MB51'!A:F,6,0),"")</f>
        <v/>
      </c>
      <c r="G1448" s="17" t="str">
        <f t="shared" si="66"/>
        <v>點揀料單</v>
      </c>
      <c r="H1448" s="17">
        <f t="shared" si="67"/>
        <v>0</v>
      </c>
      <c r="I1448" t="str">
        <f t="shared" si="68"/>
        <v/>
      </c>
      <c r="J1448" t="str">
        <f>SUBSTITUTE(IF(COUNTIF(I$2:I1448,I1448)&gt;1,"",1)," ","")</f>
        <v/>
      </c>
    </row>
    <row r="1449" spans="1:10" x14ac:dyDescent="0.2">
      <c r="A1449" s="51" t="str">
        <f>IFERROR(VLOOKUP(B1449,點上線資訊!A:R,18,0),"")</f>
        <v/>
      </c>
      <c r="B1449" s="41">
        <f>'MB51'!A1449</f>
        <v>0</v>
      </c>
      <c r="C1449" s="60" t="str">
        <f>IFERROR(VLOOKUP(B1449,'MB51'!A:I,9,0),"")</f>
        <v/>
      </c>
      <c r="D1449" s="61" t="str">
        <f>IFERROR(VLOOKUP(B1449,'MB51'!A:J,10,0),"")</f>
        <v/>
      </c>
      <c r="E1449" s="62" t="str">
        <f>IFERROR(VLOOKUP(B1449,'MB51'!A:K,11,0),"")</f>
        <v/>
      </c>
      <c r="F1449" s="42" t="str">
        <f>IFERROR(VLOOKUP(B1449,'MB51'!A:F,6,0),"")</f>
        <v/>
      </c>
      <c r="G1449" s="17" t="str">
        <f t="shared" si="66"/>
        <v>點揀料單</v>
      </c>
      <c r="H1449" s="17">
        <f t="shared" si="67"/>
        <v>0</v>
      </c>
      <c r="I1449" t="str">
        <f t="shared" si="68"/>
        <v/>
      </c>
      <c r="J1449" t="str">
        <f>SUBSTITUTE(IF(COUNTIF(I$2:I1449,I1449)&gt;1,"",1)," ","")</f>
        <v/>
      </c>
    </row>
    <row r="1450" spans="1:10" x14ac:dyDescent="0.2">
      <c r="A1450" s="51" t="str">
        <f>IFERROR(VLOOKUP(B1450,點上線資訊!A:R,18,0),"")</f>
        <v/>
      </c>
      <c r="B1450" s="41">
        <f>'MB51'!A1450</f>
        <v>0</v>
      </c>
      <c r="C1450" s="60" t="str">
        <f>IFERROR(VLOOKUP(B1450,'MB51'!A:I,9,0),"")</f>
        <v/>
      </c>
      <c r="D1450" s="61" t="str">
        <f>IFERROR(VLOOKUP(B1450,'MB51'!A:J,10,0),"")</f>
        <v/>
      </c>
      <c r="E1450" s="62" t="str">
        <f>IFERROR(VLOOKUP(B1450,'MB51'!A:K,11,0),"")</f>
        <v/>
      </c>
      <c r="F1450" s="42" t="str">
        <f>IFERROR(VLOOKUP(B1450,'MB51'!A:F,6,0),"")</f>
        <v/>
      </c>
      <c r="G1450" s="17" t="str">
        <f t="shared" si="66"/>
        <v>點揀料單</v>
      </c>
      <c r="H1450" s="17">
        <f t="shared" si="67"/>
        <v>0</v>
      </c>
      <c r="I1450" t="str">
        <f t="shared" si="68"/>
        <v/>
      </c>
      <c r="J1450" t="str">
        <f>SUBSTITUTE(IF(COUNTIF(I$2:I1450,I1450)&gt;1,"",1)," ","")</f>
        <v/>
      </c>
    </row>
    <row r="1451" spans="1:10" x14ac:dyDescent="0.2">
      <c r="A1451" s="51" t="str">
        <f>IFERROR(VLOOKUP(B1451,點上線資訊!A:R,18,0),"")</f>
        <v/>
      </c>
      <c r="B1451" s="41">
        <f>'MB51'!A1451</f>
        <v>0</v>
      </c>
      <c r="C1451" s="60" t="str">
        <f>IFERROR(VLOOKUP(B1451,'MB51'!A:I,9,0),"")</f>
        <v/>
      </c>
      <c r="D1451" s="61" t="str">
        <f>IFERROR(VLOOKUP(B1451,'MB51'!A:J,10,0),"")</f>
        <v/>
      </c>
      <c r="E1451" s="62" t="str">
        <f>IFERROR(VLOOKUP(B1451,'MB51'!A:K,11,0),"")</f>
        <v/>
      </c>
      <c r="F1451" s="42" t="str">
        <f>IFERROR(VLOOKUP(B1451,'MB51'!A:F,6,0),"")</f>
        <v/>
      </c>
      <c r="G1451" s="17" t="str">
        <f t="shared" si="66"/>
        <v>點揀料單</v>
      </c>
      <c r="H1451" s="17">
        <f t="shared" si="67"/>
        <v>0</v>
      </c>
      <c r="I1451" t="str">
        <f t="shared" si="68"/>
        <v/>
      </c>
      <c r="J1451" t="str">
        <f>SUBSTITUTE(IF(COUNTIF(I$2:I1451,I1451)&gt;1,"",1)," ","")</f>
        <v/>
      </c>
    </row>
    <row r="1452" spans="1:10" x14ac:dyDescent="0.2">
      <c r="A1452" s="51" t="str">
        <f>IFERROR(VLOOKUP(B1452,點上線資訊!A:R,18,0),"")</f>
        <v/>
      </c>
      <c r="B1452" s="41">
        <f>'MB51'!A1452</f>
        <v>0</v>
      </c>
      <c r="C1452" s="60" t="str">
        <f>IFERROR(VLOOKUP(B1452,'MB51'!A:I,9,0),"")</f>
        <v/>
      </c>
      <c r="D1452" s="61" t="str">
        <f>IFERROR(VLOOKUP(B1452,'MB51'!A:J,10,0),"")</f>
        <v/>
      </c>
      <c r="E1452" s="62" t="str">
        <f>IFERROR(VLOOKUP(B1452,'MB51'!A:K,11,0),"")</f>
        <v/>
      </c>
      <c r="F1452" s="42" t="str">
        <f>IFERROR(VLOOKUP(B1452,'MB51'!A:F,6,0),"")</f>
        <v/>
      </c>
      <c r="G1452" s="17" t="str">
        <f t="shared" si="66"/>
        <v>點揀料單</v>
      </c>
      <c r="H1452" s="17">
        <f t="shared" si="67"/>
        <v>0</v>
      </c>
      <c r="I1452" t="str">
        <f t="shared" si="68"/>
        <v/>
      </c>
      <c r="J1452" t="str">
        <f>SUBSTITUTE(IF(COUNTIF(I$2:I1452,I1452)&gt;1,"",1)," ","")</f>
        <v/>
      </c>
    </row>
    <row r="1453" spans="1:10" x14ac:dyDescent="0.2">
      <c r="A1453" s="51" t="str">
        <f>IFERROR(VLOOKUP(B1453,點上線資訊!A:R,18,0),"")</f>
        <v/>
      </c>
      <c r="B1453" s="41">
        <f>'MB51'!A1453</f>
        <v>0</v>
      </c>
      <c r="C1453" s="60" t="str">
        <f>IFERROR(VLOOKUP(B1453,'MB51'!A:I,9,0),"")</f>
        <v/>
      </c>
      <c r="D1453" s="61" t="str">
        <f>IFERROR(VLOOKUP(B1453,'MB51'!A:J,10,0),"")</f>
        <v/>
      </c>
      <c r="E1453" s="62" t="str">
        <f>IFERROR(VLOOKUP(B1453,'MB51'!A:K,11,0),"")</f>
        <v/>
      </c>
      <c r="F1453" s="42" t="str">
        <f>IFERROR(VLOOKUP(B1453,'MB51'!A:F,6,0),"")</f>
        <v/>
      </c>
      <c r="G1453" s="17" t="str">
        <f t="shared" si="66"/>
        <v>點揀料單</v>
      </c>
      <c r="H1453" s="17">
        <f t="shared" si="67"/>
        <v>0</v>
      </c>
      <c r="I1453" t="str">
        <f t="shared" si="68"/>
        <v/>
      </c>
      <c r="J1453" t="str">
        <f>SUBSTITUTE(IF(COUNTIF(I$2:I1453,I1453)&gt;1,"",1)," ","")</f>
        <v/>
      </c>
    </row>
    <row r="1454" spans="1:10" x14ac:dyDescent="0.2">
      <c r="A1454" s="51" t="str">
        <f>IFERROR(VLOOKUP(B1454,點上線資訊!A:R,18,0),"")</f>
        <v/>
      </c>
      <c r="B1454" s="41">
        <f>'MB51'!A1454</f>
        <v>0</v>
      </c>
      <c r="C1454" s="60" t="str">
        <f>IFERROR(VLOOKUP(B1454,'MB51'!A:I,9,0),"")</f>
        <v/>
      </c>
      <c r="D1454" s="61" t="str">
        <f>IFERROR(VLOOKUP(B1454,'MB51'!A:J,10,0),"")</f>
        <v/>
      </c>
      <c r="E1454" s="62" t="str">
        <f>IFERROR(VLOOKUP(B1454,'MB51'!A:K,11,0),"")</f>
        <v/>
      </c>
      <c r="F1454" s="42" t="str">
        <f>IFERROR(VLOOKUP(B1454,'MB51'!A:F,6,0),"")</f>
        <v/>
      </c>
      <c r="G1454" s="17" t="str">
        <f t="shared" si="66"/>
        <v>點揀料單</v>
      </c>
      <c r="H1454" s="17">
        <f t="shared" si="67"/>
        <v>0</v>
      </c>
      <c r="I1454" t="str">
        <f t="shared" si="68"/>
        <v/>
      </c>
      <c r="J1454" t="str">
        <f>SUBSTITUTE(IF(COUNTIF(I$2:I1454,I1454)&gt;1,"",1)," ","")</f>
        <v/>
      </c>
    </row>
    <row r="1455" spans="1:10" x14ac:dyDescent="0.2">
      <c r="A1455" s="51" t="str">
        <f>IFERROR(VLOOKUP(B1455,點上線資訊!A:R,18,0),"")</f>
        <v/>
      </c>
      <c r="B1455" s="41">
        <f>'MB51'!A1455</f>
        <v>0</v>
      </c>
      <c r="C1455" s="60" t="str">
        <f>IFERROR(VLOOKUP(B1455,'MB51'!A:I,9,0),"")</f>
        <v/>
      </c>
      <c r="D1455" s="61" t="str">
        <f>IFERROR(VLOOKUP(B1455,'MB51'!A:J,10,0),"")</f>
        <v/>
      </c>
      <c r="E1455" s="62" t="str">
        <f>IFERROR(VLOOKUP(B1455,'MB51'!A:K,11,0),"")</f>
        <v/>
      </c>
      <c r="F1455" s="42" t="str">
        <f>IFERROR(VLOOKUP(B1455,'MB51'!A:F,6,0),"")</f>
        <v/>
      </c>
      <c r="G1455" s="17" t="str">
        <f t="shared" si="66"/>
        <v>點揀料單</v>
      </c>
      <c r="H1455" s="17">
        <f t="shared" si="67"/>
        <v>0</v>
      </c>
      <c r="I1455" t="str">
        <f t="shared" si="68"/>
        <v/>
      </c>
      <c r="J1455" t="str">
        <f>SUBSTITUTE(IF(COUNTIF(I$2:I1455,I1455)&gt;1,"",1)," ","")</f>
        <v/>
      </c>
    </row>
    <row r="1456" spans="1:10" x14ac:dyDescent="0.2">
      <c r="A1456" s="51" t="str">
        <f>IFERROR(VLOOKUP(B1456,點上線資訊!A:R,18,0),"")</f>
        <v/>
      </c>
      <c r="B1456" s="41">
        <f>'MB51'!A1456</f>
        <v>0</v>
      </c>
      <c r="C1456" s="60" t="str">
        <f>IFERROR(VLOOKUP(B1456,'MB51'!A:I,9,0),"")</f>
        <v/>
      </c>
      <c r="D1456" s="61" t="str">
        <f>IFERROR(VLOOKUP(B1456,'MB51'!A:J,10,0),"")</f>
        <v/>
      </c>
      <c r="E1456" s="62" t="str">
        <f>IFERROR(VLOOKUP(B1456,'MB51'!A:K,11,0),"")</f>
        <v/>
      </c>
      <c r="F1456" s="42" t="str">
        <f>IFERROR(VLOOKUP(B1456,'MB51'!A:F,6,0),"")</f>
        <v/>
      </c>
      <c r="G1456" s="17" t="str">
        <f t="shared" si="66"/>
        <v>點揀料單</v>
      </c>
      <c r="H1456" s="17">
        <f t="shared" si="67"/>
        <v>0</v>
      </c>
      <c r="I1456" t="str">
        <f t="shared" si="68"/>
        <v/>
      </c>
      <c r="J1456" t="str">
        <f>SUBSTITUTE(IF(COUNTIF(I$2:I1456,I1456)&gt;1,"",1)," ","")</f>
        <v/>
      </c>
    </row>
    <row r="1457" spans="1:10" x14ac:dyDescent="0.2">
      <c r="A1457" s="51" t="str">
        <f>IFERROR(VLOOKUP(B1457,點上線資訊!A:R,18,0),"")</f>
        <v/>
      </c>
      <c r="B1457" s="41">
        <f>'MB51'!A1457</f>
        <v>0</v>
      </c>
      <c r="C1457" s="60" t="str">
        <f>IFERROR(VLOOKUP(B1457,'MB51'!A:I,9,0),"")</f>
        <v/>
      </c>
      <c r="D1457" s="61" t="str">
        <f>IFERROR(VLOOKUP(B1457,'MB51'!A:J,10,0),"")</f>
        <v/>
      </c>
      <c r="E1457" s="62" t="str">
        <f>IFERROR(VLOOKUP(B1457,'MB51'!A:K,11,0),"")</f>
        <v/>
      </c>
      <c r="F1457" s="42" t="str">
        <f>IFERROR(VLOOKUP(B1457,'MB51'!A:F,6,0),"")</f>
        <v/>
      </c>
      <c r="G1457" s="17" t="str">
        <f t="shared" si="66"/>
        <v>點揀料單</v>
      </c>
      <c r="H1457" s="17">
        <f t="shared" si="67"/>
        <v>0</v>
      </c>
      <c r="I1457" t="str">
        <f t="shared" si="68"/>
        <v/>
      </c>
      <c r="J1457" t="str">
        <f>SUBSTITUTE(IF(COUNTIF(I$2:I1457,I1457)&gt;1,"",1)," ","")</f>
        <v/>
      </c>
    </row>
    <row r="1458" spans="1:10" x14ac:dyDescent="0.2">
      <c r="A1458" s="51" t="str">
        <f>IFERROR(VLOOKUP(B1458,點上線資訊!A:R,18,0),"")</f>
        <v/>
      </c>
      <c r="B1458" s="41">
        <f>'MB51'!A1458</f>
        <v>0</v>
      </c>
      <c r="C1458" s="60" t="str">
        <f>IFERROR(VLOOKUP(B1458,'MB51'!A:I,9,0),"")</f>
        <v/>
      </c>
      <c r="D1458" s="61" t="str">
        <f>IFERROR(VLOOKUP(B1458,'MB51'!A:J,10,0),"")</f>
        <v/>
      </c>
      <c r="E1458" s="62" t="str">
        <f>IFERROR(VLOOKUP(B1458,'MB51'!A:K,11,0),"")</f>
        <v/>
      </c>
      <c r="F1458" s="42" t="str">
        <f>IFERROR(VLOOKUP(B1458,'MB51'!A:F,6,0),"")</f>
        <v/>
      </c>
      <c r="G1458" s="17" t="str">
        <f t="shared" si="66"/>
        <v>點揀料單</v>
      </c>
      <c r="H1458" s="17">
        <f t="shared" si="67"/>
        <v>0</v>
      </c>
      <c r="I1458" t="str">
        <f t="shared" si="68"/>
        <v/>
      </c>
      <c r="J1458" t="str">
        <f>SUBSTITUTE(IF(COUNTIF(I$2:I1458,I1458)&gt;1,"",1)," ","")</f>
        <v/>
      </c>
    </row>
    <row r="1459" spans="1:10" x14ac:dyDescent="0.2">
      <c r="A1459" s="51" t="str">
        <f>IFERROR(VLOOKUP(B1459,點上線資訊!A:R,18,0),"")</f>
        <v/>
      </c>
      <c r="B1459" s="41">
        <f>'MB51'!A1459</f>
        <v>0</v>
      </c>
      <c r="C1459" s="60" t="str">
        <f>IFERROR(VLOOKUP(B1459,'MB51'!A:I,9,0),"")</f>
        <v/>
      </c>
      <c r="D1459" s="61" t="str">
        <f>IFERROR(VLOOKUP(B1459,'MB51'!A:J,10,0),"")</f>
        <v/>
      </c>
      <c r="E1459" s="62" t="str">
        <f>IFERROR(VLOOKUP(B1459,'MB51'!A:K,11,0),"")</f>
        <v/>
      </c>
      <c r="F1459" s="42" t="str">
        <f>IFERROR(VLOOKUP(B1459,'MB51'!A:F,6,0),"")</f>
        <v/>
      </c>
      <c r="G1459" s="17" t="str">
        <f t="shared" si="66"/>
        <v>點揀料單</v>
      </c>
      <c r="H1459" s="17">
        <f t="shared" si="67"/>
        <v>0</v>
      </c>
      <c r="I1459" t="str">
        <f t="shared" si="68"/>
        <v/>
      </c>
      <c r="J1459" t="str">
        <f>SUBSTITUTE(IF(COUNTIF(I$2:I1459,I1459)&gt;1,"",1)," ","")</f>
        <v/>
      </c>
    </row>
    <row r="1460" spans="1:10" x14ac:dyDescent="0.2">
      <c r="A1460" s="51" t="str">
        <f>IFERROR(VLOOKUP(B1460,點上線資訊!A:R,18,0),"")</f>
        <v/>
      </c>
      <c r="B1460" s="41">
        <f>'MB51'!A1460</f>
        <v>0</v>
      </c>
      <c r="C1460" s="60" t="str">
        <f>IFERROR(VLOOKUP(B1460,'MB51'!A:I,9,0),"")</f>
        <v/>
      </c>
      <c r="D1460" s="61" t="str">
        <f>IFERROR(VLOOKUP(B1460,'MB51'!A:J,10,0),"")</f>
        <v/>
      </c>
      <c r="E1460" s="62" t="str">
        <f>IFERROR(VLOOKUP(B1460,'MB51'!A:K,11,0),"")</f>
        <v/>
      </c>
      <c r="F1460" s="42" t="str">
        <f>IFERROR(VLOOKUP(B1460,'MB51'!A:F,6,0),"")</f>
        <v/>
      </c>
      <c r="G1460" s="17" t="str">
        <f t="shared" si="66"/>
        <v>點揀料單</v>
      </c>
      <c r="H1460" s="17">
        <f t="shared" si="67"/>
        <v>0</v>
      </c>
      <c r="I1460" t="str">
        <f t="shared" si="68"/>
        <v/>
      </c>
      <c r="J1460" t="str">
        <f>SUBSTITUTE(IF(COUNTIF(I$2:I1460,I1460)&gt;1,"",1)," ","")</f>
        <v/>
      </c>
    </row>
    <row r="1461" spans="1:10" x14ac:dyDescent="0.2">
      <c r="A1461" s="51" t="str">
        <f>IFERROR(VLOOKUP(B1461,點上線資訊!A:R,18,0),"")</f>
        <v/>
      </c>
      <c r="B1461" s="41">
        <f>'MB51'!A1461</f>
        <v>0</v>
      </c>
      <c r="C1461" s="60" t="str">
        <f>IFERROR(VLOOKUP(B1461,'MB51'!A:I,9,0),"")</f>
        <v/>
      </c>
      <c r="D1461" s="61" t="str">
        <f>IFERROR(VLOOKUP(B1461,'MB51'!A:J,10,0),"")</f>
        <v/>
      </c>
      <c r="E1461" s="62" t="str">
        <f>IFERROR(VLOOKUP(B1461,'MB51'!A:K,11,0),"")</f>
        <v/>
      </c>
      <c r="F1461" s="42" t="str">
        <f>IFERROR(VLOOKUP(B1461,'MB51'!A:F,6,0),"")</f>
        <v/>
      </c>
      <c r="G1461" s="17" t="str">
        <f t="shared" si="66"/>
        <v>點揀料單</v>
      </c>
      <c r="H1461" s="17">
        <f t="shared" si="67"/>
        <v>0</v>
      </c>
      <c r="I1461" t="str">
        <f t="shared" si="68"/>
        <v/>
      </c>
      <c r="J1461" t="str">
        <f>SUBSTITUTE(IF(COUNTIF(I$2:I1461,I1461)&gt;1,"",1)," ","")</f>
        <v/>
      </c>
    </row>
    <row r="1462" spans="1:10" x14ac:dyDescent="0.2">
      <c r="A1462" s="51" t="str">
        <f>IFERROR(VLOOKUP(B1462,點上線資訊!A:R,18,0),"")</f>
        <v/>
      </c>
      <c r="B1462" s="41">
        <f>'MB51'!A1462</f>
        <v>0</v>
      </c>
      <c r="C1462" s="60" t="str">
        <f>IFERROR(VLOOKUP(B1462,'MB51'!A:I,9,0),"")</f>
        <v/>
      </c>
      <c r="D1462" s="61" t="str">
        <f>IFERROR(VLOOKUP(B1462,'MB51'!A:J,10,0),"")</f>
        <v/>
      </c>
      <c r="E1462" s="62" t="str">
        <f>IFERROR(VLOOKUP(B1462,'MB51'!A:K,11,0),"")</f>
        <v/>
      </c>
      <c r="F1462" s="42" t="str">
        <f>IFERROR(VLOOKUP(B1462,'MB51'!A:F,6,0),"")</f>
        <v/>
      </c>
      <c r="G1462" s="17" t="str">
        <f t="shared" si="66"/>
        <v>點揀料單</v>
      </c>
      <c r="H1462" s="17">
        <f t="shared" si="67"/>
        <v>0</v>
      </c>
      <c r="I1462" t="str">
        <f t="shared" si="68"/>
        <v/>
      </c>
      <c r="J1462" t="str">
        <f>SUBSTITUTE(IF(COUNTIF(I$2:I1462,I1462)&gt;1,"",1)," ","")</f>
        <v/>
      </c>
    </row>
    <row r="1463" spans="1:10" x14ac:dyDescent="0.2">
      <c r="A1463" s="51" t="str">
        <f>IFERROR(VLOOKUP(B1463,點上線資訊!A:R,18,0),"")</f>
        <v/>
      </c>
      <c r="B1463" s="41">
        <f>'MB51'!A1463</f>
        <v>0</v>
      </c>
      <c r="C1463" s="60" t="str">
        <f>IFERROR(VLOOKUP(B1463,'MB51'!A:I,9,0),"")</f>
        <v/>
      </c>
      <c r="D1463" s="61" t="str">
        <f>IFERROR(VLOOKUP(B1463,'MB51'!A:J,10,0),"")</f>
        <v/>
      </c>
      <c r="E1463" s="62" t="str">
        <f>IFERROR(VLOOKUP(B1463,'MB51'!A:K,11,0),"")</f>
        <v/>
      </c>
      <c r="F1463" s="42" t="str">
        <f>IFERROR(VLOOKUP(B1463,'MB51'!A:F,6,0),"")</f>
        <v/>
      </c>
      <c r="G1463" s="17" t="str">
        <f t="shared" si="66"/>
        <v>點揀料單</v>
      </c>
      <c r="H1463" s="17">
        <f t="shared" si="67"/>
        <v>0</v>
      </c>
      <c r="I1463" t="str">
        <f t="shared" si="68"/>
        <v/>
      </c>
      <c r="J1463" t="str">
        <f>SUBSTITUTE(IF(COUNTIF(I$2:I1463,I1463)&gt;1,"",1)," ","")</f>
        <v/>
      </c>
    </row>
    <row r="1464" spans="1:10" x14ac:dyDescent="0.2">
      <c r="A1464" s="51" t="str">
        <f>IFERROR(VLOOKUP(B1464,點上線資訊!A:R,18,0),"")</f>
        <v/>
      </c>
      <c r="B1464" s="41">
        <f>'MB51'!A1464</f>
        <v>0</v>
      </c>
      <c r="C1464" s="60" t="str">
        <f>IFERROR(VLOOKUP(B1464,'MB51'!A:I,9,0),"")</f>
        <v/>
      </c>
      <c r="D1464" s="61" t="str">
        <f>IFERROR(VLOOKUP(B1464,'MB51'!A:J,10,0),"")</f>
        <v/>
      </c>
      <c r="E1464" s="62" t="str">
        <f>IFERROR(VLOOKUP(B1464,'MB51'!A:K,11,0),"")</f>
        <v/>
      </c>
      <c r="F1464" s="42" t="str">
        <f>IFERROR(VLOOKUP(B1464,'MB51'!A:F,6,0),"")</f>
        <v/>
      </c>
      <c r="G1464" s="17" t="str">
        <f t="shared" si="66"/>
        <v>點揀料單</v>
      </c>
      <c r="H1464" s="17">
        <f t="shared" si="67"/>
        <v>0</v>
      </c>
      <c r="I1464" t="str">
        <f t="shared" si="68"/>
        <v/>
      </c>
      <c r="J1464" t="str">
        <f>SUBSTITUTE(IF(COUNTIF(I$2:I1464,I1464)&gt;1,"",1)," ","")</f>
        <v/>
      </c>
    </row>
    <row r="1465" spans="1:10" x14ac:dyDescent="0.2">
      <c r="A1465" s="51" t="str">
        <f>IFERROR(VLOOKUP(B1465,點上線資訊!A:R,18,0),"")</f>
        <v/>
      </c>
      <c r="B1465" s="41">
        <f>'MB51'!A1465</f>
        <v>0</v>
      </c>
      <c r="C1465" s="60" t="str">
        <f>IFERROR(VLOOKUP(B1465,'MB51'!A:I,9,0),"")</f>
        <v/>
      </c>
      <c r="D1465" s="61" t="str">
        <f>IFERROR(VLOOKUP(B1465,'MB51'!A:J,10,0),"")</f>
        <v/>
      </c>
      <c r="E1465" s="62" t="str">
        <f>IFERROR(VLOOKUP(B1465,'MB51'!A:K,11,0),"")</f>
        <v/>
      </c>
      <c r="F1465" s="42" t="str">
        <f>IFERROR(VLOOKUP(B1465,'MB51'!A:F,6,0),"")</f>
        <v/>
      </c>
      <c r="G1465" s="17" t="str">
        <f t="shared" si="66"/>
        <v>點揀料單</v>
      </c>
      <c r="H1465" s="17">
        <f t="shared" si="67"/>
        <v>0</v>
      </c>
      <c r="I1465" t="str">
        <f t="shared" si="68"/>
        <v/>
      </c>
      <c r="J1465" t="str">
        <f>SUBSTITUTE(IF(COUNTIF(I$2:I1465,I1465)&gt;1,"",1)," ","")</f>
        <v/>
      </c>
    </row>
    <row r="1466" spans="1:10" x14ac:dyDescent="0.2">
      <c r="A1466" s="51" t="str">
        <f>IFERROR(VLOOKUP(B1466,點上線資訊!A:R,18,0),"")</f>
        <v/>
      </c>
      <c r="B1466" s="41">
        <f>'MB51'!A1466</f>
        <v>0</v>
      </c>
      <c r="C1466" s="60" t="str">
        <f>IFERROR(VLOOKUP(B1466,'MB51'!A:I,9,0),"")</f>
        <v/>
      </c>
      <c r="D1466" s="61" t="str">
        <f>IFERROR(VLOOKUP(B1466,'MB51'!A:J,10,0),"")</f>
        <v/>
      </c>
      <c r="E1466" s="62" t="str">
        <f>IFERROR(VLOOKUP(B1466,'MB51'!A:K,11,0),"")</f>
        <v/>
      </c>
      <c r="F1466" s="42" t="str">
        <f>IFERROR(VLOOKUP(B1466,'MB51'!A:F,6,0),"")</f>
        <v/>
      </c>
      <c r="G1466" s="17" t="str">
        <f t="shared" si="66"/>
        <v>點揀料單</v>
      </c>
      <c r="H1466" s="17">
        <f t="shared" si="67"/>
        <v>0</v>
      </c>
      <c r="I1466" t="str">
        <f t="shared" si="68"/>
        <v/>
      </c>
      <c r="J1466" t="str">
        <f>SUBSTITUTE(IF(COUNTIF(I$2:I1466,I1466)&gt;1,"",1)," ","")</f>
        <v/>
      </c>
    </row>
    <row r="1467" spans="1:10" x14ac:dyDescent="0.2">
      <c r="A1467" s="51" t="str">
        <f>IFERROR(VLOOKUP(B1467,點上線資訊!A:R,18,0),"")</f>
        <v/>
      </c>
      <c r="B1467" s="41">
        <f>'MB51'!A1467</f>
        <v>0</v>
      </c>
      <c r="C1467" s="60" t="str">
        <f>IFERROR(VLOOKUP(B1467,'MB51'!A:I,9,0),"")</f>
        <v/>
      </c>
      <c r="D1467" s="61" t="str">
        <f>IFERROR(VLOOKUP(B1467,'MB51'!A:J,10,0),"")</f>
        <v/>
      </c>
      <c r="E1467" s="62" t="str">
        <f>IFERROR(VLOOKUP(B1467,'MB51'!A:K,11,0),"")</f>
        <v/>
      </c>
      <c r="F1467" s="42" t="str">
        <f>IFERROR(VLOOKUP(B1467,'MB51'!A:F,6,0),"")</f>
        <v/>
      </c>
      <c r="G1467" s="17" t="str">
        <f t="shared" si="66"/>
        <v>點揀料單</v>
      </c>
      <c r="H1467" s="17">
        <f t="shared" si="67"/>
        <v>0</v>
      </c>
      <c r="I1467" t="str">
        <f t="shared" si="68"/>
        <v/>
      </c>
      <c r="J1467" t="str">
        <f>SUBSTITUTE(IF(COUNTIF(I$2:I1467,I1467)&gt;1,"",1)," ","")</f>
        <v/>
      </c>
    </row>
    <row r="1468" spans="1:10" x14ac:dyDescent="0.2">
      <c r="A1468" s="51" t="str">
        <f>IFERROR(VLOOKUP(B1468,點上線資訊!A:R,18,0),"")</f>
        <v/>
      </c>
      <c r="B1468" s="41">
        <f>'MB51'!A1468</f>
        <v>0</v>
      </c>
      <c r="C1468" s="60" t="str">
        <f>IFERROR(VLOOKUP(B1468,'MB51'!A:I,9,0),"")</f>
        <v/>
      </c>
      <c r="D1468" s="61" t="str">
        <f>IFERROR(VLOOKUP(B1468,'MB51'!A:J,10,0),"")</f>
        <v/>
      </c>
      <c r="E1468" s="62" t="str">
        <f>IFERROR(VLOOKUP(B1468,'MB51'!A:K,11,0),"")</f>
        <v/>
      </c>
      <c r="F1468" s="42" t="str">
        <f>IFERROR(VLOOKUP(B1468,'MB51'!A:F,6,0),"")</f>
        <v/>
      </c>
      <c r="G1468" s="17" t="str">
        <f t="shared" si="66"/>
        <v>點揀料單</v>
      </c>
      <c r="H1468" s="17">
        <f t="shared" si="67"/>
        <v>0</v>
      </c>
      <c r="I1468" t="str">
        <f t="shared" si="68"/>
        <v/>
      </c>
      <c r="J1468" t="str">
        <f>SUBSTITUTE(IF(COUNTIF(I$2:I1468,I1468)&gt;1,"",1)," ","")</f>
        <v/>
      </c>
    </row>
    <row r="1469" spans="1:10" x14ac:dyDescent="0.2">
      <c r="A1469" s="51" t="str">
        <f>IFERROR(VLOOKUP(B1469,點上線資訊!A:R,18,0),"")</f>
        <v/>
      </c>
      <c r="B1469" s="41">
        <f>'MB51'!A1469</f>
        <v>0</v>
      </c>
      <c r="C1469" s="60" t="str">
        <f>IFERROR(VLOOKUP(B1469,'MB51'!A:I,9,0),"")</f>
        <v/>
      </c>
      <c r="D1469" s="61" t="str">
        <f>IFERROR(VLOOKUP(B1469,'MB51'!A:J,10,0),"")</f>
        <v/>
      </c>
      <c r="E1469" s="62" t="str">
        <f>IFERROR(VLOOKUP(B1469,'MB51'!A:K,11,0),"")</f>
        <v/>
      </c>
      <c r="F1469" s="42" t="str">
        <f>IFERROR(VLOOKUP(B1469,'MB51'!A:F,6,0),"")</f>
        <v/>
      </c>
      <c r="G1469" s="17" t="str">
        <f t="shared" si="66"/>
        <v>點揀料單</v>
      </c>
      <c r="H1469" s="17">
        <f t="shared" si="67"/>
        <v>0</v>
      </c>
      <c r="I1469" t="str">
        <f t="shared" si="68"/>
        <v/>
      </c>
      <c r="J1469" t="str">
        <f>SUBSTITUTE(IF(COUNTIF(I$2:I1469,I1469)&gt;1,"",1)," ","")</f>
        <v/>
      </c>
    </row>
    <row r="1470" spans="1:10" x14ac:dyDescent="0.2">
      <c r="A1470" s="51" t="str">
        <f>IFERROR(VLOOKUP(B1470,點上線資訊!A:R,18,0),"")</f>
        <v/>
      </c>
      <c r="B1470" s="41">
        <f>'MB51'!A1470</f>
        <v>0</v>
      </c>
      <c r="C1470" s="60" t="str">
        <f>IFERROR(VLOOKUP(B1470,'MB51'!A:I,9,0),"")</f>
        <v/>
      </c>
      <c r="D1470" s="61" t="str">
        <f>IFERROR(VLOOKUP(B1470,'MB51'!A:J,10,0),"")</f>
        <v/>
      </c>
      <c r="E1470" s="62" t="str">
        <f>IFERROR(VLOOKUP(B1470,'MB51'!A:K,11,0),"")</f>
        <v/>
      </c>
      <c r="F1470" s="42" t="str">
        <f>IFERROR(VLOOKUP(B1470,'MB51'!A:F,6,0),"")</f>
        <v/>
      </c>
      <c r="G1470" s="17" t="str">
        <f t="shared" si="66"/>
        <v>點揀料單</v>
      </c>
      <c r="H1470" s="17">
        <f t="shared" si="67"/>
        <v>0</v>
      </c>
      <c r="I1470" t="str">
        <f t="shared" si="68"/>
        <v/>
      </c>
      <c r="J1470" t="str">
        <f>SUBSTITUTE(IF(COUNTIF(I$2:I1470,I1470)&gt;1,"",1)," ","")</f>
        <v/>
      </c>
    </row>
    <row r="1471" spans="1:10" x14ac:dyDescent="0.2">
      <c r="A1471" s="51" t="str">
        <f>IFERROR(VLOOKUP(B1471,點上線資訊!A:R,18,0),"")</f>
        <v/>
      </c>
      <c r="B1471" s="41">
        <f>'MB51'!A1471</f>
        <v>0</v>
      </c>
      <c r="C1471" s="60" t="str">
        <f>IFERROR(VLOOKUP(B1471,'MB51'!A:I,9,0),"")</f>
        <v/>
      </c>
      <c r="D1471" s="61" t="str">
        <f>IFERROR(VLOOKUP(B1471,'MB51'!A:J,10,0),"")</f>
        <v/>
      </c>
      <c r="E1471" s="62" t="str">
        <f>IFERROR(VLOOKUP(B1471,'MB51'!A:K,11,0),"")</f>
        <v/>
      </c>
      <c r="F1471" s="42" t="str">
        <f>IFERROR(VLOOKUP(B1471,'MB51'!A:F,6,0),"")</f>
        <v/>
      </c>
      <c r="G1471" s="17" t="str">
        <f t="shared" si="66"/>
        <v>點揀料單</v>
      </c>
      <c r="H1471" s="17">
        <f t="shared" si="67"/>
        <v>0</v>
      </c>
      <c r="I1471" t="str">
        <f t="shared" si="68"/>
        <v/>
      </c>
      <c r="J1471" t="str">
        <f>SUBSTITUTE(IF(COUNTIF(I$2:I1471,I1471)&gt;1,"",1)," ","")</f>
        <v/>
      </c>
    </row>
    <row r="1472" spans="1:10" x14ac:dyDescent="0.2">
      <c r="A1472" s="51" t="str">
        <f>IFERROR(VLOOKUP(B1472,點上線資訊!A:R,18,0),"")</f>
        <v/>
      </c>
      <c r="B1472" s="41">
        <f>'MB51'!A1472</f>
        <v>0</v>
      </c>
      <c r="C1472" s="60" t="str">
        <f>IFERROR(VLOOKUP(B1472,'MB51'!A:I,9,0),"")</f>
        <v/>
      </c>
      <c r="D1472" s="61" t="str">
        <f>IFERROR(VLOOKUP(B1472,'MB51'!A:J,10,0),"")</f>
        <v/>
      </c>
      <c r="E1472" s="62" t="str">
        <f>IFERROR(VLOOKUP(B1472,'MB51'!A:K,11,0),"")</f>
        <v/>
      </c>
      <c r="F1472" s="42" t="str">
        <f>IFERROR(VLOOKUP(B1472,'MB51'!A:F,6,0),"")</f>
        <v/>
      </c>
      <c r="G1472" s="17" t="str">
        <f t="shared" si="66"/>
        <v>點揀料單</v>
      </c>
      <c r="H1472" s="17">
        <f t="shared" si="67"/>
        <v>0</v>
      </c>
      <c r="I1472" t="str">
        <f t="shared" si="68"/>
        <v/>
      </c>
      <c r="J1472" t="str">
        <f>SUBSTITUTE(IF(COUNTIF(I$2:I1472,I1472)&gt;1,"",1)," ","")</f>
        <v/>
      </c>
    </row>
    <row r="1473" spans="1:10" x14ac:dyDescent="0.2">
      <c r="A1473" s="51" t="str">
        <f>IFERROR(VLOOKUP(B1473,點上線資訊!A:R,18,0),"")</f>
        <v/>
      </c>
      <c r="B1473" s="41">
        <f>'MB51'!A1473</f>
        <v>0</v>
      </c>
      <c r="C1473" s="60" t="str">
        <f>IFERROR(VLOOKUP(B1473,'MB51'!A:I,9,0),"")</f>
        <v/>
      </c>
      <c r="D1473" s="61" t="str">
        <f>IFERROR(VLOOKUP(B1473,'MB51'!A:J,10,0),"")</f>
        <v/>
      </c>
      <c r="E1473" s="62" t="str">
        <f>IFERROR(VLOOKUP(B1473,'MB51'!A:K,11,0),"")</f>
        <v/>
      </c>
      <c r="F1473" s="42" t="str">
        <f>IFERROR(VLOOKUP(B1473,'MB51'!A:F,6,0),"")</f>
        <v/>
      </c>
      <c r="G1473" s="17" t="str">
        <f t="shared" si="66"/>
        <v>點揀料單</v>
      </c>
      <c r="H1473" s="17">
        <f t="shared" si="67"/>
        <v>0</v>
      </c>
      <c r="I1473" t="str">
        <f t="shared" si="68"/>
        <v/>
      </c>
      <c r="J1473" t="str">
        <f>SUBSTITUTE(IF(COUNTIF(I$2:I1473,I1473)&gt;1,"",1)," ","")</f>
        <v/>
      </c>
    </row>
    <row r="1474" spans="1:10" x14ac:dyDescent="0.2">
      <c r="A1474" s="51" t="str">
        <f>IFERROR(VLOOKUP(B1474,點上線資訊!A:R,18,0),"")</f>
        <v/>
      </c>
      <c r="B1474" s="41">
        <f>'MB51'!A1474</f>
        <v>0</v>
      </c>
      <c r="C1474" s="60" t="str">
        <f>IFERROR(VLOOKUP(B1474,'MB51'!A:I,9,0),"")</f>
        <v/>
      </c>
      <c r="D1474" s="61" t="str">
        <f>IFERROR(VLOOKUP(B1474,'MB51'!A:J,10,0),"")</f>
        <v/>
      </c>
      <c r="E1474" s="62" t="str">
        <f>IFERROR(VLOOKUP(B1474,'MB51'!A:K,11,0),"")</f>
        <v/>
      </c>
      <c r="F1474" s="42" t="str">
        <f>IFERROR(VLOOKUP(B1474,'MB51'!A:F,6,0),"")</f>
        <v/>
      </c>
      <c r="G1474" s="17" t="str">
        <f t="shared" si="66"/>
        <v>點揀料單</v>
      </c>
      <c r="H1474" s="17">
        <f t="shared" si="67"/>
        <v>0</v>
      </c>
      <c r="I1474" t="str">
        <f t="shared" si="68"/>
        <v/>
      </c>
      <c r="J1474" t="str">
        <f>SUBSTITUTE(IF(COUNTIF(I$2:I1474,I1474)&gt;1,"",1)," ","")</f>
        <v/>
      </c>
    </row>
    <row r="1475" spans="1:10" x14ac:dyDescent="0.2">
      <c r="A1475" s="51" t="str">
        <f>IFERROR(VLOOKUP(B1475,點上線資訊!A:R,18,0),"")</f>
        <v/>
      </c>
      <c r="B1475" s="41">
        <f>'MB51'!A1475</f>
        <v>0</v>
      </c>
      <c r="C1475" s="60" t="str">
        <f>IFERROR(VLOOKUP(B1475,'MB51'!A:I,9,0),"")</f>
        <v/>
      </c>
      <c r="D1475" s="61" t="str">
        <f>IFERROR(VLOOKUP(B1475,'MB51'!A:J,10,0),"")</f>
        <v/>
      </c>
      <c r="E1475" s="62" t="str">
        <f>IFERROR(VLOOKUP(B1475,'MB51'!A:K,11,0),"")</f>
        <v/>
      </c>
      <c r="F1475" s="42" t="str">
        <f>IFERROR(VLOOKUP(B1475,'MB51'!A:F,6,0),"")</f>
        <v/>
      </c>
      <c r="G1475" s="17" t="str">
        <f t="shared" ref="G1475:G1538" si="69">TEXT(D1475,"MM/DD")&amp;TEXT(E1475,"  HH")&amp;"點揀料單"</f>
        <v>點揀料單</v>
      </c>
      <c r="H1475" s="17">
        <f t="shared" ref="H1475:H1538" si="70">ABS(SUMIF(C:C,C1475,F:F))</f>
        <v>0</v>
      </c>
      <c r="I1475" t="str">
        <f t="shared" ref="I1475:I1538" si="71">RIGHTB(C1475,10)</f>
        <v/>
      </c>
      <c r="J1475" t="str">
        <f>SUBSTITUTE(IF(COUNTIF(I$2:I1475,I1475)&gt;1,"",1)," ","")</f>
        <v/>
      </c>
    </row>
    <row r="1476" spans="1:10" x14ac:dyDescent="0.2">
      <c r="A1476" s="51" t="str">
        <f>IFERROR(VLOOKUP(B1476,點上線資訊!A:R,18,0),"")</f>
        <v/>
      </c>
      <c r="B1476" s="41">
        <f>'MB51'!A1476</f>
        <v>0</v>
      </c>
      <c r="C1476" s="60" t="str">
        <f>IFERROR(VLOOKUP(B1476,'MB51'!A:I,9,0),"")</f>
        <v/>
      </c>
      <c r="D1476" s="61" t="str">
        <f>IFERROR(VLOOKUP(B1476,'MB51'!A:J,10,0),"")</f>
        <v/>
      </c>
      <c r="E1476" s="62" t="str">
        <f>IFERROR(VLOOKUP(B1476,'MB51'!A:K,11,0),"")</f>
        <v/>
      </c>
      <c r="F1476" s="42" t="str">
        <f>IFERROR(VLOOKUP(B1476,'MB51'!A:F,6,0),"")</f>
        <v/>
      </c>
      <c r="G1476" s="17" t="str">
        <f t="shared" si="69"/>
        <v>點揀料單</v>
      </c>
      <c r="H1476" s="17">
        <f t="shared" si="70"/>
        <v>0</v>
      </c>
      <c r="I1476" t="str">
        <f t="shared" si="71"/>
        <v/>
      </c>
      <c r="J1476" t="str">
        <f>SUBSTITUTE(IF(COUNTIF(I$2:I1476,I1476)&gt;1,"",1)," ","")</f>
        <v/>
      </c>
    </row>
    <row r="1477" spans="1:10" x14ac:dyDescent="0.2">
      <c r="A1477" s="51" t="str">
        <f>IFERROR(VLOOKUP(B1477,點上線資訊!A:R,18,0),"")</f>
        <v/>
      </c>
      <c r="B1477" s="41">
        <f>'MB51'!A1477</f>
        <v>0</v>
      </c>
      <c r="C1477" s="60" t="str">
        <f>IFERROR(VLOOKUP(B1477,'MB51'!A:I,9,0),"")</f>
        <v/>
      </c>
      <c r="D1477" s="61" t="str">
        <f>IFERROR(VLOOKUP(B1477,'MB51'!A:J,10,0),"")</f>
        <v/>
      </c>
      <c r="E1477" s="62" t="str">
        <f>IFERROR(VLOOKUP(B1477,'MB51'!A:K,11,0),"")</f>
        <v/>
      </c>
      <c r="F1477" s="42" t="str">
        <f>IFERROR(VLOOKUP(B1477,'MB51'!A:F,6,0),"")</f>
        <v/>
      </c>
      <c r="G1477" s="17" t="str">
        <f t="shared" si="69"/>
        <v>點揀料單</v>
      </c>
      <c r="H1477" s="17">
        <f t="shared" si="70"/>
        <v>0</v>
      </c>
      <c r="I1477" t="str">
        <f t="shared" si="71"/>
        <v/>
      </c>
      <c r="J1477" t="str">
        <f>SUBSTITUTE(IF(COUNTIF(I$2:I1477,I1477)&gt;1,"",1)," ","")</f>
        <v/>
      </c>
    </row>
    <row r="1478" spans="1:10" x14ac:dyDescent="0.2">
      <c r="A1478" s="51" t="str">
        <f>IFERROR(VLOOKUP(B1478,點上線資訊!A:R,18,0),"")</f>
        <v/>
      </c>
      <c r="B1478" s="41">
        <f>'MB51'!A1478</f>
        <v>0</v>
      </c>
      <c r="C1478" s="60" t="str">
        <f>IFERROR(VLOOKUP(B1478,'MB51'!A:I,9,0),"")</f>
        <v/>
      </c>
      <c r="D1478" s="61" t="str">
        <f>IFERROR(VLOOKUP(B1478,'MB51'!A:J,10,0),"")</f>
        <v/>
      </c>
      <c r="E1478" s="62" t="str">
        <f>IFERROR(VLOOKUP(B1478,'MB51'!A:K,11,0),"")</f>
        <v/>
      </c>
      <c r="F1478" s="42" t="str">
        <f>IFERROR(VLOOKUP(B1478,'MB51'!A:F,6,0),"")</f>
        <v/>
      </c>
      <c r="G1478" s="17" t="str">
        <f t="shared" si="69"/>
        <v>點揀料單</v>
      </c>
      <c r="H1478" s="17">
        <f t="shared" si="70"/>
        <v>0</v>
      </c>
      <c r="I1478" t="str">
        <f t="shared" si="71"/>
        <v/>
      </c>
      <c r="J1478" t="str">
        <f>SUBSTITUTE(IF(COUNTIF(I$2:I1478,I1478)&gt;1,"",1)," ","")</f>
        <v/>
      </c>
    </row>
    <row r="1479" spans="1:10" x14ac:dyDescent="0.2">
      <c r="A1479" s="51" t="str">
        <f>IFERROR(VLOOKUP(B1479,點上線資訊!A:R,18,0),"")</f>
        <v/>
      </c>
      <c r="B1479" s="41">
        <f>'MB51'!A1479</f>
        <v>0</v>
      </c>
      <c r="C1479" s="60" t="str">
        <f>IFERROR(VLOOKUP(B1479,'MB51'!A:I,9,0),"")</f>
        <v/>
      </c>
      <c r="D1479" s="61" t="str">
        <f>IFERROR(VLOOKUP(B1479,'MB51'!A:J,10,0),"")</f>
        <v/>
      </c>
      <c r="E1479" s="62" t="str">
        <f>IFERROR(VLOOKUP(B1479,'MB51'!A:K,11,0),"")</f>
        <v/>
      </c>
      <c r="F1479" s="42" t="str">
        <f>IFERROR(VLOOKUP(B1479,'MB51'!A:F,6,0),"")</f>
        <v/>
      </c>
      <c r="G1479" s="17" t="str">
        <f t="shared" si="69"/>
        <v>點揀料單</v>
      </c>
      <c r="H1479" s="17">
        <f t="shared" si="70"/>
        <v>0</v>
      </c>
      <c r="I1479" t="str">
        <f t="shared" si="71"/>
        <v/>
      </c>
      <c r="J1479" t="str">
        <f>SUBSTITUTE(IF(COUNTIF(I$2:I1479,I1479)&gt;1,"",1)," ","")</f>
        <v/>
      </c>
    </row>
    <row r="1480" spans="1:10" x14ac:dyDescent="0.2">
      <c r="A1480" s="51" t="str">
        <f>IFERROR(VLOOKUP(B1480,點上線資訊!A:R,18,0),"")</f>
        <v/>
      </c>
      <c r="B1480" s="41">
        <f>'MB51'!A1480</f>
        <v>0</v>
      </c>
      <c r="C1480" s="60" t="str">
        <f>IFERROR(VLOOKUP(B1480,'MB51'!A:I,9,0),"")</f>
        <v/>
      </c>
      <c r="D1480" s="61" t="str">
        <f>IFERROR(VLOOKUP(B1480,'MB51'!A:J,10,0),"")</f>
        <v/>
      </c>
      <c r="E1480" s="62" t="str">
        <f>IFERROR(VLOOKUP(B1480,'MB51'!A:K,11,0),"")</f>
        <v/>
      </c>
      <c r="F1480" s="42" t="str">
        <f>IFERROR(VLOOKUP(B1480,'MB51'!A:F,6,0),"")</f>
        <v/>
      </c>
      <c r="G1480" s="17" t="str">
        <f t="shared" si="69"/>
        <v>點揀料單</v>
      </c>
      <c r="H1480" s="17">
        <f t="shared" si="70"/>
        <v>0</v>
      </c>
      <c r="I1480" t="str">
        <f t="shared" si="71"/>
        <v/>
      </c>
      <c r="J1480" t="str">
        <f>SUBSTITUTE(IF(COUNTIF(I$2:I1480,I1480)&gt;1,"",1)," ","")</f>
        <v/>
      </c>
    </row>
    <row r="1481" spans="1:10" x14ac:dyDescent="0.2">
      <c r="A1481" s="51" t="str">
        <f>IFERROR(VLOOKUP(B1481,點上線資訊!A:R,18,0),"")</f>
        <v/>
      </c>
      <c r="B1481" s="41">
        <f>'MB51'!A1481</f>
        <v>0</v>
      </c>
      <c r="C1481" s="60" t="str">
        <f>IFERROR(VLOOKUP(B1481,'MB51'!A:I,9,0),"")</f>
        <v/>
      </c>
      <c r="D1481" s="61" t="str">
        <f>IFERROR(VLOOKUP(B1481,'MB51'!A:J,10,0),"")</f>
        <v/>
      </c>
      <c r="E1481" s="62" t="str">
        <f>IFERROR(VLOOKUP(B1481,'MB51'!A:K,11,0),"")</f>
        <v/>
      </c>
      <c r="F1481" s="42" t="str">
        <f>IFERROR(VLOOKUP(B1481,'MB51'!A:F,6,0),"")</f>
        <v/>
      </c>
      <c r="G1481" s="17" t="str">
        <f t="shared" si="69"/>
        <v>點揀料單</v>
      </c>
      <c r="H1481" s="17">
        <f t="shared" si="70"/>
        <v>0</v>
      </c>
      <c r="I1481" t="str">
        <f t="shared" si="71"/>
        <v/>
      </c>
      <c r="J1481" t="str">
        <f>SUBSTITUTE(IF(COUNTIF(I$2:I1481,I1481)&gt;1,"",1)," ","")</f>
        <v/>
      </c>
    </row>
    <row r="1482" spans="1:10" x14ac:dyDescent="0.2">
      <c r="A1482" s="51" t="str">
        <f>IFERROR(VLOOKUP(B1482,點上線資訊!A:R,18,0),"")</f>
        <v/>
      </c>
      <c r="B1482" s="41">
        <f>'MB51'!A1482</f>
        <v>0</v>
      </c>
      <c r="C1482" s="60" t="str">
        <f>IFERROR(VLOOKUP(B1482,'MB51'!A:I,9,0),"")</f>
        <v/>
      </c>
      <c r="D1482" s="61" t="str">
        <f>IFERROR(VLOOKUP(B1482,'MB51'!A:J,10,0),"")</f>
        <v/>
      </c>
      <c r="E1482" s="62" t="str">
        <f>IFERROR(VLOOKUP(B1482,'MB51'!A:K,11,0),"")</f>
        <v/>
      </c>
      <c r="F1482" s="42" t="str">
        <f>IFERROR(VLOOKUP(B1482,'MB51'!A:F,6,0),"")</f>
        <v/>
      </c>
      <c r="G1482" s="17" t="str">
        <f t="shared" si="69"/>
        <v>點揀料單</v>
      </c>
      <c r="H1482" s="17">
        <f t="shared" si="70"/>
        <v>0</v>
      </c>
      <c r="I1482" t="str">
        <f t="shared" si="71"/>
        <v/>
      </c>
      <c r="J1482" t="str">
        <f>SUBSTITUTE(IF(COUNTIF(I$2:I1482,I1482)&gt;1,"",1)," ","")</f>
        <v/>
      </c>
    </row>
    <row r="1483" spans="1:10" x14ac:dyDescent="0.2">
      <c r="A1483" s="51" t="str">
        <f>IFERROR(VLOOKUP(B1483,點上線資訊!A:R,18,0),"")</f>
        <v/>
      </c>
      <c r="B1483" s="41">
        <f>'MB51'!A1483</f>
        <v>0</v>
      </c>
      <c r="C1483" s="60" t="str">
        <f>IFERROR(VLOOKUP(B1483,'MB51'!A:I,9,0),"")</f>
        <v/>
      </c>
      <c r="D1483" s="61" t="str">
        <f>IFERROR(VLOOKUP(B1483,'MB51'!A:J,10,0),"")</f>
        <v/>
      </c>
      <c r="E1483" s="62" t="str">
        <f>IFERROR(VLOOKUP(B1483,'MB51'!A:K,11,0),"")</f>
        <v/>
      </c>
      <c r="F1483" s="42" t="str">
        <f>IFERROR(VLOOKUP(B1483,'MB51'!A:F,6,0),"")</f>
        <v/>
      </c>
      <c r="G1483" s="17" t="str">
        <f t="shared" si="69"/>
        <v>點揀料單</v>
      </c>
      <c r="H1483" s="17">
        <f t="shared" si="70"/>
        <v>0</v>
      </c>
      <c r="I1483" t="str">
        <f t="shared" si="71"/>
        <v/>
      </c>
      <c r="J1483" t="str">
        <f>SUBSTITUTE(IF(COUNTIF(I$2:I1483,I1483)&gt;1,"",1)," ","")</f>
        <v/>
      </c>
    </row>
    <row r="1484" spans="1:10" x14ac:dyDescent="0.2">
      <c r="A1484" s="51" t="str">
        <f>IFERROR(VLOOKUP(B1484,點上線資訊!A:R,18,0),"")</f>
        <v/>
      </c>
      <c r="B1484" s="41">
        <f>'MB51'!A1484</f>
        <v>0</v>
      </c>
      <c r="C1484" s="60" t="str">
        <f>IFERROR(VLOOKUP(B1484,'MB51'!A:I,9,0),"")</f>
        <v/>
      </c>
      <c r="D1484" s="61" t="str">
        <f>IFERROR(VLOOKUP(B1484,'MB51'!A:J,10,0),"")</f>
        <v/>
      </c>
      <c r="E1484" s="62" t="str">
        <f>IFERROR(VLOOKUP(B1484,'MB51'!A:K,11,0),"")</f>
        <v/>
      </c>
      <c r="F1484" s="42" t="str">
        <f>IFERROR(VLOOKUP(B1484,'MB51'!A:F,6,0),"")</f>
        <v/>
      </c>
      <c r="G1484" s="17" t="str">
        <f t="shared" si="69"/>
        <v>點揀料單</v>
      </c>
      <c r="H1484" s="17">
        <f t="shared" si="70"/>
        <v>0</v>
      </c>
      <c r="I1484" t="str">
        <f t="shared" si="71"/>
        <v/>
      </c>
      <c r="J1484" t="str">
        <f>SUBSTITUTE(IF(COUNTIF(I$2:I1484,I1484)&gt;1,"",1)," ","")</f>
        <v/>
      </c>
    </row>
    <row r="1485" spans="1:10" x14ac:dyDescent="0.2">
      <c r="A1485" s="51" t="str">
        <f>IFERROR(VLOOKUP(B1485,點上線資訊!A:R,18,0),"")</f>
        <v/>
      </c>
      <c r="B1485" s="41">
        <f>'MB51'!A1485</f>
        <v>0</v>
      </c>
      <c r="C1485" s="60" t="str">
        <f>IFERROR(VLOOKUP(B1485,'MB51'!A:I,9,0),"")</f>
        <v/>
      </c>
      <c r="D1485" s="61" t="str">
        <f>IFERROR(VLOOKUP(B1485,'MB51'!A:J,10,0),"")</f>
        <v/>
      </c>
      <c r="E1485" s="62" t="str">
        <f>IFERROR(VLOOKUP(B1485,'MB51'!A:K,11,0),"")</f>
        <v/>
      </c>
      <c r="F1485" s="42" t="str">
        <f>IFERROR(VLOOKUP(B1485,'MB51'!A:F,6,0),"")</f>
        <v/>
      </c>
      <c r="G1485" s="17" t="str">
        <f t="shared" si="69"/>
        <v>點揀料單</v>
      </c>
      <c r="H1485" s="17">
        <f t="shared" si="70"/>
        <v>0</v>
      </c>
      <c r="I1485" t="str">
        <f t="shared" si="71"/>
        <v/>
      </c>
      <c r="J1485" t="str">
        <f>SUBSTITUTE(IF(COUNTIF(I$2:I1485,I1485)&gt;1,"",1)," ","")</f>
        <v/>
      </c>
    </row>
    <row r="1486" spans="1:10" x14ac:dyDescent="0.2">
      <c r="A1486" s="51" t="str">
        <f>IFERROR(VLOOKUP(B1486,點上線資訊!A:R,18,0),"")</f>
        <v/>
      </c>
      <c r="B1486" s="41">
        <f>'MB51'!A1486</f>
        <v>0</v>
      </c>
      <c r="C1486" s="60" t="str">
        <f>IFERROR(VLOOKUP(B1486,'MB51'!A:I,9,0),"")</f>
        <v/>
      </c>
      <c r="D1486" s="61" t="str">
        <f>IFERROR(VLOOKUP(B1486,'MB51'!A:J,10,0),"")</f>
        <v/>
      </c>
      <c r="E1486" s="62" t="str">
        <f>IFERROR(VLOOKUP(B1486,'MB51'!A:K,11,0),"")</f>
        <v/>
      </c>
      <c r="F1486" s="42" t="str">
        <f>IFERROR(VLOOKUP(B1486,'MB51'!A:F,6,0),"")</f>
        <v/>
      </c>
      <c r="G1486" s="17" t="str">
        <f t="shared" si="69"/>
        <v>點揀料單</v>
      </c>
      <c r="H1486" s="17">
        <f t="shared" si="70"/>
        <v>0</v>
      </c>
      <c r="I1486" t="str">
        <f t="shared" si="71"/>
        <v/>
      </c>
      <c r="J1486" t="str">
        <f>SUBSTITUTE(IF(COUNTIF(I$2:I1486,I1486)&gt;1,"",1)," ","")</f>
        <v/>
      </c>
    </row>
    <row r="1487" spans="1:10" x14ac:dyDescent="0.2">
      <c r="A1487" s="51" t="str">
        <f>IFERROR(VLOOKUP(B1487,點上線資訊!A:R,18,0),"")</f>
        <v/>
      </c>
      <c r="B1487" s="41">
        <f>'MB51'!A1487</f>
        <v>0</v>
      </c>
      <c r="C1487" s="60" t="str">
        <f>IFERROR(VLOOKUP(B1487,'MB51'!A:I,9,0),"")</f>
        <v/>
      </c>
      <c r="D1487" s="61" t="str">
        <f>IFERROR(VLOOKUP(B1487,'MB51'!A:J,10,0),"")</f>
        <v/>
      </c>
      <c r="E1487" s="62" t="str">
        <f>IFERROR(VLOOKUP(B1487,'MB51'!A:K,11,0),"")</f>
        <v/>
      </c>
      <c r="F1487" s="42" t="str">
        <f>IFERROR(VLOOKUP(B1487,'MB51'!A:F,6,0),"")</f>
        <v/>
      </c>
      <c r="G1487" s="17" t="str">
        <f t="shared" si="69"/>
        <v>點揀料單</v>
      </c>
      <c r="H1487" s="17">
        <f t="shared" si="70"/>
        <v>0</v>
      </c>
      <c r="I1487" t="str">
        <f t="shared" si="71"/>
        <v/>
      </c>
      <c r="J1487" t="str">
        <f>SUBSTITUTE(IF(COUNTIF(I$2:I1487,I1487)&gt;1,"",1)," ","")</f>
        <v/>
      </c>
    </row>
    <row r="1488" spans="1:10" x14ac:dyDescent="0.2">
      <c r="A1488" s="51" t="str">
        <f>IFERROR(VLOOKUP(B1488,點上線資訊!A:R,18,0),"")</f>
        <v/>
      </c>
      <c r="B1488" s="41">
        <f>'MB51'!A1488</f>
        <v>0</v>
      </c>
      <c r="C1488" s="60" t="str">
        <f>IFERROR(VLOOKUP(B1488,'MB51'!A:I,9,0),"")</f>
        <v/>
      </c>
      <c r="D1488" s="61" t="str">
        <f>IFERROR(VLOOKUP(B1488,'MB51'!A:J,10,0),"")</f>
        <v/>
      </c>
      <c r="E1488" s="62" t="str">
        <f>IFERROR(VLOOKUP(B1488,'MB51'!A:K,11,0),"")</f>
        <v/>
      </c>
      <c r="F1488" s="42" t="str">
        <f>IFERROR(VLOOKUP(B1488,'MB51'!A:F,6,0),"")</f>
        <v/>
      </c>
      <c r="G1488" s="17" t="str">
        <f t="shared" si="69"/>
        <v>點揀料單</v>
      </c>
      <c r="H1488" s="17">
        <f t="shared" si="70"/>
        <v>0</v>
      </c>
      <c r="I1488" t="str">
        <f t="shared" si="71"/>
        <v/>
      </c>
      <c r="J1488" t="str">
        <f>SUBSTITUTE(IF(COUNTIF(I$2:I1488,I1488)&gt;1,"",1)," ","")</f>
        <v/>
      </c>
    </row>
    <row r="1489" spans="1:10" x14ac:dyDescent="0.2">
      <c r="A1489" s="51" t="str">
        <f>IFERROR(VLOOKUP(B1489,點上線資訊!A:R,18,0),"")</f>
        <v/>
      </c>
      <c r="B1489" s="41">
        <f>'MB51'!A1489</f>
        <v>0</v>
      </c>
      <c r="C1489" s="60" t="str">
        <f>IFERROR(VLOOKUP(B1489,'MB51'!A:I,9,0),"")</f>
        <v/>
      </c>
      <c r="D1489" s="61" t="str">
        <f>IFERROR(VLOOKUP(B1489,'MB51'!A:J,10,0),"")</f>
        <v/>
      </c>
      <c r="E1489" s="62" t="str">
        <f>IFERROR(VLOOKUP(B1489,'MB51'!A:K,11,0),"")</f>
        <v/>
      </c>
      <c r="F1489" s="42" t="str">
        <f>IFERROR(VLOOKUP(B1489,'MB51'!A:F,6,0),"")</f>
        <v/>
      </c>
      <c r="G1489" s="17" t="str">
        <f t="shared" si="69"/>
        <v>點揀料單</v>
      </c>
      <c r="H1489" s="17">
        <f t="shared" si="70"/>
        <v>0</v>
      </c>
      <c r="I1489" t="str">
        <f t="shared" si="71"/>
        <v/>
      </c>
      <c r="J1489" t="str">
        <f>SUBSTITUTE(IF(COUNTIF(I$2:I1489,I1489)&gt;1,"",1)," ","")</f>
        <v/>
      </c>
    </row>
    <row r="1490" spans="1:10" x14ac:dyDescent="0.2">
      <c r="A1490" s="51" t="str">
        <f>IFERROR(VLOOKUP(B1490,點上線資訊!A:R,18,0),"")</f>
        <v/>
      </c>
      <c r="B1490" s="41">
        <f>'MB51'!A1490</f>
        <v>0</v>
      </c>
      <c r="C1490" s="60" t="str">
        <f>IFERROR(VLOOKUP(B1490,'MB51'!A:I,9,0),"")</f>
        <v/>
      </c>
      <c r="D1490" s="61" t="str">
        <f>IFERROR(VLOOKUP(B1490,'MB51'!A:J,10,0),"")</f>
        <v/>
      </c>
      <c r="E1490" s="62" t="str">
        <f>IFERROR(VLOOKUP(B1490,'MB51'!A:K,11,0),"")</f>
        <v/>
      </c>
      <c r="F1490" s="42" t="str">
        <f>IFERROR(VLOOKUP(B1490,'MB51'!A:F,6,0),"")</f>
        <v/>
      </c>
      <c r="G1490" s="17" t="str">
        <f t="shared" si="69"/>
        <v>點揀料單</v>
      </c>
      <c r="H1490" s="17">
        <f t="shared" si="70"/>
        <v>0</v>
      </c>
      <c r="I1490" t="str">
        <f t="shared" si="71"/>
        <v/>
      </c>
      <c r="J1490" t="str">
        <f>SUBSTITUTE(IF(COUNTIF(I$2:I1490,I1490)&gt;1,"",1)," ","")</f>
        <v/>
      </c>
    </row>
    <row r="1491" spans="1:10" x14ac:dyDescent="0.2">
      <c r="A1491" s="51" t="str">
        <f>IFERROR(VLOOKUP(B1491,點上線資訊!A:R,18,0),"")</f>
        <v/>
      </c>
      <c r="B1491" s="41">
        <f>'MB51'!A1491</f>
        <v>0</v>
      </c>
      <c r="C1491" s="60" t="str">
        <f>IFERROR(VLOOKUP(B1491,'MB51'!A:I,9,0),"")</f>
        <v/>
      </c>
      <c r="D1491" s="61" t="str">
        <f>IFERROR(VLOOKUP(B1491,'MB51'!A:J,10,0),"")</f>
        <v/>
      </c>
      <c r="E1491" s="62" t="str">
        <f>IFERROR(VLOOKUP(B1491,'MB51'!A:K,11,0),"")</f>
        <v/>
      </c>
      <c r="F1491" s="42" t="str">
        <f>IFERROR(VLOOKUP(B1491,'MB51'!A:F,6,0),"")</f>
        <v/>
      </c>
      <c r="G1491" s="17" t="str">
        <f t="shared" si="69"/>
        <v>點揀料單</v>
      </c>
      <c r="H1491" s="17">
        <f t="shared" si="70"/>
        <v>0</v>
      </c>
      <c r="I1491" t="str">
        <f t="shared" si="71"/>
        <v/>
      </c>
      <c r="J1491" t="str">
        <f>SUBSTITUTE(IF(COUNTIF(I$2:I1491,I1491)&gt;1,"",1)," ","")</f>
        <v/>
      </c>
    </row>
    <row r="1492" spans="1:10" x14ac:dyDescent="0.2">
      <c r="A1492" s="51" t="str">
        <f>IFERROR(VLOOKUP(B1492,點上線資訊!A:R,18,0),"")</f>
        <v/>
      </c>
      <c r="B1492" s="41">
        <f>'MB51'!A1492</f>
        <v>0</v>
      </c>
      <c r="C1492" s="60" t="str">
        <f>IFERROR(VLOOKUP(B1492,'MB51'!A:I,9,0),"")</f>
        <v/>
      </c>
      <c r="D1492" s="61" t="str">
        <f>IFERROR(VLOOKUP(B1492,'MB51'!A:J,10,0),"")</f>
        <v/>
      </c>
      <c r="E1492" s="62" t="str">
        <f>IFERROR(VLOOKUP(B1492,'MB51'!A:K,11,0),"")</f>
        <v/>
      </c>
      <c r="F1492" s="42" t="str">
        <f>IFERROR(VLOOKUP(B1492,'MB51'!A:F,6,0),"")</f>
        <v/>
      </c>
      <c r="G1492" s="17" t="str">
        <f t="shared" si="69"/>
        <v>點揀料單</v>
      </c>
      <c r="H1492" s="17">
        <f t="shared" si="70"/>
        <v>0</v>
      </c>
      <c r="I1492" t="str">
        <f t="shared" si="71"/>
        <v/>
      </c>
      <c r="J1492" t="str">
        <f>SUBSTITUTE(IF(COUNTIF(I$2:I1492,I1492)&gt;1,"",1)," ","")</f>
        <v/>
      </c>
    </row>
    <row r="1493" spans="1:10" x14ac:dyDescent="0.2">
      <c r="A1493" s="51" t="str">
        <f>IFERROR(VLOOKUP(B1493,點上線資訊!A:R,18,0),"")</f>
        <v/>
      </c>
      <c r="B1493" s="41">
        <f>'MB51'!A1493</f>
        <v>0</v>
      </c>
      <c r="C1493" s="60" t="str">
        <f>IFERROR(VLOOKUP(B1493,'MB51'!A:I,9,0),"")</f>
        <v/>
      </c>
      <c r="D1493" s="61" t="str">
        <f>IFERROR(VLOOKUP(B1493,'MB51'!A:J,10,0),"")</f>
        <v/>
      </c>
      <c r="E1493" s="62" t="str">
        <f>IFERROR(VLOOKUP(B1493,'MB51'!A:K,11,0),"")</f>
        <v/>
      </c>
      <c r="F1493" s="42" t="str">
        <f>IFERROR(VLOOKUP(B1493,'MB51'!A:F,6,0),"")</f>
        <v/>
      </c>
      <c r="G1493" s="17" t="str">
        <f t="shared" si="69"/>
        <v>點揀料單</v>
      </c>
      <c r="H1493" s="17">
        <f t="shared" si="70"/>
        <v>0</v>
      </c>
      <c r="I1493" t="str">
        <f t="shared" si="71"/>
        <v/>
      </c>
      <c r="J1493" t="str">
        <f>SUBSTITUTE(IF(COUNTIF(I$2:I1493,I1493)&gt;1,"",1)," ","")</f>
        <v/>
      </c>
    </row>
    <row r="1494" spans="1:10" x14ac:dyDescent="0.2">
      <c r="A1494" s="51" t="str">
        <f>IFERROR(VLOOKUP(B1494,點上線資訊!A:R,18,0),"")</f>
        <v/>
      </c>
      <c r="B1494" s="41">
        <f>'MB51'!A1494</f>
        <v>0</v>
      </c>
      <c r="C1494" s="60" t="str">
        <f>IFERROR(VLOOKUP(B1494,'MB51'!A:I,9,0),"")</f>
        <v/>
      </c>
      <c r="D1494" s="61" t="str">
        <f>IFERROR(VLOOKUP(B1494,'MB51'!A:J,10,0),"")</f>
        <v/>
      </c>
      <c r="E1494" s="62" t="str">
        <f>IFERROR(VLOOKUP(B1494,'MB51'!A:K,11,0),"")</f>
        <v/>
      </c>
      <c r="F1494" s="42" t="str">
        <f>IFERROR(VLOOKUP(B1494,'MB51'!A:F,6,0),"")</f>
        <v/>
      </c>
      <c r="G1494" s="17" t="str">
        <f t="shared" si="69"/>
        <v>點揀料單</v>
      </c>
      <c r="H1494" s="17">
        <f t="shared" si="70"/>
        <v>0</v>
      </c>
      <c r="I1494" t="str">
        <f t="shared" si="71"/>
        <v/>
      </c>
      <c r="J1494" t="str">
        <f>SUBSTITUTE(IF(COUNTIF(I$2:I1494,I1494)&gt;1,"",1)," ","")</f>
        <v/>
      </c>
    </row>
    <row r="1495" spans="1:10" x14ac:dyDescent="0.2">
      <c r="A1495" s="51" t="str">
        <f>IFERROR(VLOOKUP(B1495,點上線資訊!A:R,18,0),"")</f>
        <v/>
      </c>
      <c r="B1495" s="41">
        <f>'MB51'!A1495</f>
        <v>0</v>
      </c>
      <c r="C1495" s="60" t="str">
        <f>IFERROR(VLOOKUP(B1495,'MB51'!A:I,9,0),"")</f>
        <v/>
      </c>
      <c r="D1495" s="61" t="str">
        <f>IFERROR(VLOOKUP(B1495,'MB51'!A:J,10,0),"")</f>
        <v/>
      </c>
      <c r="E1495" s="62" t="str">
        <f>IFERROR(VLOOKUP(B1495,'MB51'!A:K,11,0),"")</f>
        <v/>
      </c>
      <c r="F1495" s="42" t="str">
        <f>IFERROR(VLOOKUP(B1495,'MB51'!A:F,6,0),"")</f>
        <v/>
      </c>
      <c r="G1495" s="17" t="str">
        <f t="shared" si="69"/>
        <v>點揀料單</v>
      </c>
      <c r="H1495" s="17">
        <f t="shared" si="70"/>
        <v>0</v>
      </c>
      <c r="I1495" t="str">
        <f t="shared" si="71"/>
        <v/>
      </c>
      <c r="J1495" t="str">
        <f>SUBSTITUTE(IF(COUNTIF(I$2:I1495,I1495)&gt;1,"",1)," ","")</f>
        <v/>
      </c>
    </row>
    <row r="1496" spans="1:10" x14ac:dyDescent="0.2">
      <c r="A1496" s="51" t="str">
        <f>IFERROR(VLOOKUP(B1496,點上線資訊!A:R,18,0),"")</f>
        <v/>
      </c>
      <c r="B1496" s="41">
        <f>'MB51'!A1496</f>
        <v>0</v>
      </c>
      <c r="C1496" s="60" t="str">
        <f>IFERROR(VLOOKUP(B1496,'MB51'!A:I,9,0),"")</f>
        <v/>
      </c>
      <c r="D1496" s="61" t="str">
        <f>IFERROR(VLOOKUP(B1496,'MB51'!A:J,10,0),"")</f>
        <v/>
      </c>
      <c r="E1496" s="62" t="str">
        <f>IFERROR(VLOOKUP(B1496,'MB51'!A:K,11,0),"")</f>
        <v/>
      </c>
      <c r="F1496" s="42" t="str">
        <f>IFERROR(VLOOKUP(B1496,'MB51'!A:F,6,0),"")</f>
        <v/>
      </c>
      <c r="G1496" s="17" t="str">
        <f t="shared" si="69"/>
        <v>點揀料單</v>
      </c>
      <c r="H1496" s="17">
        <f t="shared" si="70"/>
        <v>0</v>
      </c>
      <c r="I1496" t="str">
        <f t="shared" si="71"/>
        <v/>
      </c>
      <c r="J1496" t="str">
        <f>SUBSTITUTE(IF(COUNTIF(I$2:I1496,I1496)&gt;1,"",1)," ","")</f>
        <v/>
      </c>
    </row>
    <row r="1497" spans="1:10" x14ac:dyDescent="0.2">
      <c r="A1497" s="51" t="str">
        <f>IFERROR(VLOOKUP(B1497,點上線資訊!A:R,18,0),"")</f>
        <v/>
      </c>
      <c r="B1497" s="41">
        <f>'MB51'!A1497</f>
        <v>0</v>
      </c>
      <c r="C1497" s="60" t="str">
        <f>IFERROR(VLOOKUP(B1497,'MB51'!A:I,9,0),"")</f>
        <v/>
      </c>
      <c r="D1497" s="61" t="str">
        <f>IFERROR(VLOOKUP(B1497,'MB51'!A:J,10,0),"")</f>
        <v/>
      </c>
      <c r="E1497" s="62" t="str">
        <f>IFERROR(VLOOKUP(B1497,'MB51'!A:K,11,0),"")</f>
        <v/>
      </c>
      <c r="F1497" s="42" t="str">
        <f>IFERROR(VLOOKUP(B1497,'MB51'!A:F,6,0),"")</f>
        <v/>
      </c>
      <c r="G1497" s="17" t="str">
        <f t="shared" si="69"/>
        <v>點揀料單</v>
      </c>
      <c r="H1497" s="17">
        <f t="shared" si="70"/>
        <v>0</v>
      </c>
      <c r="I1497" t="str">
        <f t="shared" si="71"/>
        <v/>
      </c>
      <c r="J1497" t="str">
        <f>SUBSTITUTE(IF(COUNTIF(I$2:I1497,I1497)&gt;1,"",1)," ","")</f>
        <v/>
      </c>
    </row>
    <row r="1498" spans="1:10" x14ac:dyDescent="0.2">
      <c r="A1498" s="51" t="str">
        <f>IFERROR(VLOOKUP(B1498,點上線資訊!A:R,18,0),"")</f>
        <v/>
      </c>
      <c r="B1498" s="41">
        <f>'MB51'!A1498</f>
        <v>0</v>
      </c>
      <c r="C1498" s="60" t="str">
        <f>IFERROR(VLOOKUP(B1498,'MB51'!A:I,9,0),"")</f>
        <v/>
      </c>
      <c r="D1498" s="61" t="str">
        <f>IFERROR(VLOOKUP(B1498,'MB51'!A:J,10,0),"")</f>
        <v/>
      </c>
      <c r="E1498" s="62" t="str">
        <f>IFERROR(VLOOKUP(B1498,'MB51'!A:K,11,0),"")</f>
        <v/>
      </c>
      <c r="F1498" s="42" t="str">
        <f>IFERROR(VLOOKUP(B1498,'MB51'!A:F,6,0),"")</f>
        <v/>
      </c>
      <c r="G1498" s="17" t="str">
        <f t="shared" si="69"/>
        <v>點揀料單</v>
      </c>
      <c r="H1498" s="17">
        <f t="shared" si="70"/>
        <v>0</v>
      </c>
      <c r="I1498" t="str">
        <f t="shared" si="71"/>
        <v/>
      </c>
      <c r="J1498" t="str">
        <f>SUBSTITUTE(IF(COUNTIF(I$2:I1498,I1498)&gt;1,"",1)," ","")</f>
        <v/>
      </c>
    </row>
    <row r="1499" spans="1:10" x14ac:dyDescent="0.2">
      <c r="A1499" s="51" t="str">
        <f>IFERROR(VLOOKUP(B1499,點上線資訊!A:R,18,0),"")</f>
        <v/>
      </c>
      <c r="B1499" s="41">
        <f>'MB51'!A1499</f>
        <v>0</v>
      </c>
      <c r="C1499" s="60" t="str">
        <f>IFERROR(VLOOKUP(B1499,'MB51'!A:I,9,0),"")</f>
        <v/>
      </c>
      <c r="D1499" s="61" t="str">
        <f>IFERROR(VLOOKUP(B1499,'MB51'!A:J,10,0),"")</f>
        <v/>
      </c>
      <c r="E1499" s="62" t="str">
        <f>IFERROR(VLOOKUP(B1499,'MB51'!A:K,11,0),"")</f>
        <v/>
      </c>
      <c r="F1499" s="42" t="str">
        <f>IFERROR(VLOOKUP(B1499,'MB51'!A:F,6,0),"")</f>
        <v/>
      </c>
      <c r="G1499" s="17" t="str">
        <f t="shared" si="69"/>
        <v>點揀料單</v>
      </c>
      <c r="H1499" s="17">
        <f t="shared" si="70"/>
        <v>0</v>
      </c>
      <c r="I1499" t="str">
        <f t="shared" si="71"/>
        <v/>
      </c>
      <c r="J1499" t="str">
        <f>SUBSTITUTE(IF(COUNTIF(I$2:I1499,I1499)&gt;1,"",1)," ","")</f>
        <v/>
      </c>
    </row>
    <row r="1500" spans="1:10" x14ac:dyDescent="0.2">
      <c r="A1500" s="51" t="str">
        <f>IFERROR(VLOOKUP(B1500,點上線資訊!A:R,18,0),"")</f>
        <v/>
      </c>
      <c r="B1500" s="41">
        <f>'MB51'!A1500</f>
        <v>0</v>
      </c>
      <c r="C1500" s="60" t="str">
        <f>IFERROR(VLOOKUP(B1500,'MB51'!A:I,9,0),"")</f>
        <v/>
      </c>
      <c r="D1500" s="61" t="str">
        <f>IFERROR(VLOOKUP(B1500,'MB51'!A:J,10,0),"")</f>
        <v/>
      </c>
      <c r="E1500" s="62" t="str">
        <f>IFERROR(VLOOKUP(B1500,'MB51'!A:K,11,0),"")</f>
        <v/>
      </c>
      <c r="F1500" s="42" t="str">
        <f>IFERROR(VLOOKUP(B1500,'MB51'!A:F,6,0),"")</f>
        <v/>
      </c>
      <c r="G1500" s="17" t="str">
        <f t="shared" si="69"/>
        <v>點揀料單</v>
      </c>
      <c r="H1500" s="17">
        <f t="shared" si="70"/>
        <v>0</v>
      </c>
      <c r="I1500" t="str">
        <f t="shared" si="71"/>
        <v/>
      </c>
      <c r="J1500" t="str">
        <f>SUBSTITUTE(IF(COUNTIF(I$2:I1500,I1500)&gt;1,"",1)," ","")</f>
        <v/>
      </c>
    </row>
    <row r="1501" spans="1:10" x14ac:dyDescent="0.2">
      <c r="A1501" s="51" t="str">
        <f>IFERROR(VLOOKUP(B1501,點上線資訊!A:R,18,0),"")</f>
        <v/>
      </c>
      <c r="B1501" s="41">
        <f>'MB51'!A1501</f>
        <v>0</v>
      </c>
      <c r="C1501" s="60" t="str">
        <f>IFERROR(VLOOKUP(B1501,'MB51'!A:I,9,0),"")</f>
        <v/>
      </c>
      <c r="D1501" s="61" t="str">
        <f>IFERROR(VLOOKUP(B1501,'MB51'!A:J,10,0),"")</f>
        <v/>
      </c>
      <c r="E1501" s="62" t="str">
        <f>IFERROR(VLOOKUP(B1501,'MB51'!A:K,11,0),"")</f>
        <v/>
      </c>
      <c r="F1501" s="42" t="str">
        <f>IFERROR(VLOOKUP(B1501,'MB51'!A:F,6,0),"")</f>
        <v/>
      </c>
      <c r="G1501" s="17" t="str">
        <f t="shared" si="69"/>
        <v>點揀料單</v>
      </c>
      <c r="H1501" s="17">
        <f t="shared" si="70"/>
        <v>0</v>
      </c>
      <c r="I1501" t="str">
        <f t="shared" si="71"/>
        <v/>
      </c>
      <c r="J1501" t="str">
        <f>SUBSTITUTE(IF(COUNTIF(I$2:I1501,I1501)&gt;1,"",1)," ","")</f>
        <v/>
      </c>
    </row>
    <row r="1502" spans="1:10" x14ac:dyDescent="0.2">
      <c r="A1502" s="51" t="str">
        <f>IFERROR(VLOOKUP(B1502,點上線資訊!A:R,18,0),"")</f>
        <v/>
      </c>
      <c r="B1502" s="41">
        <f>'MB51'!A1502</f>
        <v>0</v>
      </c>
      <c r="C1502" s="60" t="str">
        <f>IFERROR(VLOOKUP(B1502,'MB51'!A:I,9,0),"")</f>
        <v/>
      </c>
      <c r="D1502" s="61" t="str">
        <f>IFERROR(VLOOKUP(B1502,'MB51'!A:J,10,0),"")</f>
        <v/>
      </c>
      <c r="E1502" s="62" t="str">
        <f>IFERROR(VLOOKUP(B1502,'MB51'!A:K,11,0),"")</f>
        <v/>
      </c>
      <c r="F1502" s="42" t="str">
        <f>IFERROR(VLOOKUP(B1502,'MB51'!A:F,6,0),"")</f>
        <v/>
      </c>
      <c r="G1502" s="17" t="str">
        <f t="shared" si="69"/>
        <v>點揀料單</v>
      </c>
      <c r="H1502" s="17">
        <f t="shared" si="70"/>
        <v>0</v>
      </c>
      <c r="I1502" t="str">
        <f t="shared" si="71"/>
        <v/>
      </c>
      <c r="J1502" t="str">
        <f>SUBSTITUTE(IF(COUNTIF(I$2:I1502,I1502)&gt;1,"",1)," ","")</f>
        <v/>
      </c>
    </row>
    <row r="1503" spans="1:10" x14ac:dyDescent="0.2">
      <c r="A1503" s="51" t="str">
        <f>IFERROR(VLOOKUP(B1503,點上線資訊!A:R,18,0),"")</f>
        <v/>
      </c>
      <c r="B1503" s="41">
        <f>'MB51'!A1503</f>
        <v>0</v>
      </c>
      <c r="C1503" s="60" t="str">
        <f>IFERROR(VLOOKUP(B1503,'MB51'!A:I,9,0),"")</f>
        <v/>
      </c>
      <c r="D1503" s="61" t="str">
        <f>IFERROR(VLOOKUP(B1503,'MB51'!A:J,10,0),"")</f>
        <v/>
      </c>
      <c r="E1503" s="62" t="str">
        <f>IFERROR(VLOOKUP(B1503,'MB51'!A:K,11,0),"")</f>
        <v/>
      </c>
      <c r="F1503" s="42" t="str">
        <f>IFERROR(VLOOKUP(B1503,'MB51'!A:F,6,0),"")</f>
        <v/>
      </c>
      <c r="G1503" s="17" t="str">
        <f t="shared" si="69"/>
        <v>點揀料單</v>
      </c>
      <c r="H1503" s="17">
        <f t="shared" si="70"/>
        <v>0</v>
      </c>
      <c r="I1503" t="str">
        <f t="shared" si="71"/>
        <v/>
      </c>
      <c r="J1503" t="str">
        <f>SUBSTITUTE(IF(COUNTIF(I$2:I1503,I1503)&gt;1,"",1)," ","")</f>
        <v/>
      </c>
    </row>
    <row r="1504" spans="1:10" x14ac:dyDescent="0.2">
      <c r="A1504" s="51" t="str">
        <f>IFERROR(VLOOKUP(B1504,點上線資訊!A:R,18,0),"")</f>
        <v/>
      </c>
      <c r="B1504" s="41">
        <f>'MB51'!A1504</f>
        <v>0</v>
      </c>
      <c r="C1504" s="60" t="str">
        <f>IFERROR(VLOOKUP(B1504,'MB51'!A:I,9,0),"")</f>
        <v/>
      </c>
      <c r="D1504" s="61" t="str">
        <f>IFERROR(VLOOKUP(B1504,'MB51'!A:J,10,0),"")</f>
        <v/>
      </c>
      <c r="E1504" s="62" t="str">
        <f>IFERROR(VLOOKUP(B1504,'MB51'!A:K,11,0),"")</f>
        <v/>
      </c>
      <c r="F1504" s="42" t="str">
        <f>IFERROR(VLOOKUP(B1504,'MB51'!A:F,6,0),"")</f>
        <v/>
      </c>
      <c r="G1504" s="17" t="str">
        <f t="shared" si="69"/>
        <v>點揀料單</v>
      </c>
      <c r="H1504" s="17">
        <f t="shared" si="70"/>
        <v>0</v>
      </c>
      <c r="I1504" t="str">
        <f t="shared" si="71"/>
        <v/>
      </c>
      <c r="J1504" t="str">
        <f>SUBSTITUTE(IF(COUNTIF(I$2:I1504,I1504)&gt;1,"",1)," ","")</f>
        <v/>
      </c>
    </row>
    <row r="1505" spans="1:10" x14ac:dyDescent="0.2">
      <c r="A1505" s="51" t="str">
        <f>IFERROR(VLOOKUP(B1505,點上線資訊!A:R,18,0),"")</f>
        <v/>
      </c>
      <c r="B1505" s="41">
        <f>'MB51'!A1505</f>
        <v>0</v>
      </c>
      <c r="C1505" s="60" t="str">
        <f>IFERROR(VLOOKUP(B1505,'MB51'!A:I,9,0),"")</f>
        <v/>
      </c>
      <c r="D1505" s="61" t="str">
        <f>IFERROR(VLOOKUP(B1505,'MB51'!A:J,10,0),"")</f>
        <v/>
      </c>
      <c r="E1505" s="62" t="str">
        <f>IFERROR(VLOOKUP(B1505,'MB51'!A:K,11,0),"")</f>
        <v/>
      </c>
      <c r="F1505" s="42" t="str">
        <f>IFERROR(VLOOKUP(B1505,'MB51'!A:F,6,0),"")</f>
        <v/>
      </c>
      <c r="G1505" s="17" t="str">
        <f t="shared" si="69"/>
        <v>點揀料單</v>
      </c>
      <c r="H1505" s="17">
        <f t="shared" si="70"/>
        <v>0</v>
      </c>
      <c r="I1505" t="str">
        <f t="shared" si="71"/>
        <v/>
      </c>
      <c r="J1505" t="str">
        <f>SUBSTITUTE(IF(COUNTIF(I$2:I1505,I1505)&gt;1,"",1)," ","")</f>
        <v/>
      </c>
    </row>
    <row r="1506" spans="1:10" x14ac:dyDescent="0.2">
      <c r="A1506" s="51" t="str">
        <f>IFERROR(VLOOKUP(B1506,點上線資訊!A:R,18,0),"")</f>
        <v/>
      </c>
      <c r="B1506" s="41">
        <f>'MB51'!A1506</f>
        <v>0</v>
      </c>
      <c r="C1506" s="60" t="str">
        <f>IFERROR(VLOOKUP(B1506,'MB51'!A:I,9,0),"")</f>
        <v/>
      </c>
      <c r="D1506" s="61" t="str">
        <f>IFERROR(VLOOKUP(B1506,'MB51'!A:J,10,0),"")</f>
        <v/>
      </c>
      <c r="E1506" s="62" t="str">
        <f>IFERROR(VLOOKUP(B1506,'MB51'!A:K,11,0),"")</f>
        <v/>
      </c>
      <c r="F1506" s="42" t="str">
        <f>IFERROR(VLOOKUP(B1506,'MB51'!A:F,6,0),"")</f>
        <v/>
      </c>
      <c r="G1506" s="17" t="str">
        <f t="shared" si="69"/>
        <v>點揀料單</v>
      </c>
      <c r="H1506" s="17">
        <f t="shared" si="70"/>
        <v>0</v>
      </c>
      <c r="I1506" t="str">
        <f t="shared" si="71"/>
        <v/>
      </c>
      <c r="J1506" t="str">
        <f>SUBSTITUTE(IF(COUNTIF(I$2:I1506,I1506)&gt;1,"",1)," ","")</f>
        <v/>
      </c>
    </row>
    <row r="1507" spans="1:10" x14ac:dyDescent="0.2">
      <c r="A1507" s="51" t="str">
        <f>IFERROR(VLOOKUP(B1507,點上線資訊!A:R,18,0),"")</f>
        <v/>
      </c>
      <c r="B1507" s="41">
        <f>'MB51'!A1507</f>
        <v>0</v>
      </c>
      <c r="C1507" s="60" t="str">
        <f>IFERROR(VLOOKUP(B1507,'MB51'!A:I,9,0),"")</f>
        <v/>
      </c>
      <c r="D1507" s="61" t="str">
        <f>IFERROR(VLOOKUP(B1507,'MB51'!A:J,10,0),"")</f>
        <v/>
      </c>
      <c r="E1507" s="62" t="str">
        <f>IFERROR(VLOOKUP(B1507,'MB51'!A:K,11,0),"")</f>
        <v/>
      </c>
      <c r="F1507" s="42" t="str">
        <f>IFERROR(VLOOKUP(B1507,'MB51'!A:F,6,0),"")</f>
        <v/>
      </c>
      <c r="G1507" s="17" t="str">
        <f t="shared" si="69"/>
        <v>點揀料單</v>
      </c>
      <c r="H1507" s="17">
        <f t="shared" si="70"/>
        <v>0</v>
      </c>
      <c r="I1507" t="str">
        <f t="shared" si="71"/>
        <v/>
      </c>
      <c r="J1507" t="str">
        <f>SUBSTITUTE(IF(COUNTIF(I$2:I1507,I1507)&gt;1,"",1)," ","")</f>
        <v/>
      </c>
    </row>
    <row r="1508" spans="1:10" x14ac:dyDescent="0.2">
      <c r="A1508" s="51" t="str">
        <f>IFERROR(VLOOKUP(B1508,點上線資訊!A:R,18,0),"")</f>
        <v/>
      </c>
      <c r="B1508" s="41">
        <f>'MB51'!A1508</f>
        <v>0</v>
      </c>
      <c r="C1508" s="60" t="str">
        <f>IFERROR(VLOOKUP(B1508,'MB51'!A:I,9,0),"")</f>
        <v/>
      </c>
      <c r="D1508" s="61" t="str">
        <f>IFERROR(VLOOKUP(B1508,'MB51'!A:J,10,0),"")</f>
        <v/>
      </c>
      <c r="E1508" s="62" t="str">
        <f>IFERROR(VLOOKUP(B1508,'MB51'!A:K,11,0),"")</f>
        <v/>
      </c>
      <c r="F1508" s="42" t="str">
        <f>IFERROR(VLOOKUP(B1508,'MB51'!A:F,6,0),"")</f>
        <v/>
      </c>
      <c r="G1508" s="17" t="str">
        <f t="shared" si="69"/>
        <v>點揀料單</v>
      </c>
      <c r="H1508" s="17">
        <f t="shared" si="70"/>
        <v>0</v>
      </c>
      <c r="I1508" t="str">
        <f t="shared" si="71"/>
        <v/>
      </c>
      <c r="J1508" t="str">
        <f>SUBSTITUTE(IF(COUNTIF(I$2:I1508,I1508)&gt;1,"",1)," ","")</f>
        <v/>
      </c>
    </row>
    <row r="1509" spans="1:10" x14ac:dyDescent="0.2">
      <c r="A1509" s="51" t="str">
        <f>IFERROR(VLOOKUP(B1509,點上線資訊!A:R,18,0),"")</f>
        <v/>
      </c>
      <c r="B1509" s="41">
        <f>'MB51'!A1509</f>
        <v>0</v>
      </c>
      <c r="C1509" s="60" t="str">
        <f>IFERROR(VLOOKUP(B1509,'MB51'!A:I,9,0),"")</f>
        <v/>
      </c>
      <c r="D1509" s="61" t="str">
        <f>IFERROR(VLOOKUP(B1509,'MB51'!A:J,10,0),"")</f>
        <v/>
      </c>
      <c r="E1509" s="62" t="str">
        <f>IFERROR(VLOOKUP(B1509,'MB51'!A:K,11,0),"")</f>
        <v/>
      </c>
      <c r="F1509" s="42" t="str">
        <f>IFERROR(VLOOKUP(B1509,'MB51'!A:F,6,0),"")</f>
        <v/>
      </c>
      <c r="G1509" s="17" t="str">
        <f t="shared" si="69"/>
        <v>點揀料單</v>
      </c>
      <c r="H1509" s="17">
        <f t="shared" si="70"/>
        <v>0</v>
      </c>
      <c r="I1509" t="str">
        <f t="shared" si="71"/>
        <v/>
      </c>
      <c r="J1509" t="str">
        <f>SUBSTITUTE(IF(COUNTIF(I$2:I1509,I1509)&gt;1,"",1)," ","")</f>
        <v/>
      </c>
    </row>
    <row r="1510" spans="1:10" x14ac:dyDescent="0.2">
      <c r="A1510" s="51" t="str">
        <f>IFERROR(VLOOKUP(B1510,點上線資訊!A:R,18,0),"")</f>
        <v/>
      </c>
      <c r="B1510" s="41">
        <f>'MB51'!A1510</f>
        <v>0</v>
      </c>
      <c r="C1510" s="60" t="str">
        <f>IFERROR(VLOOKUP(B1510,'MB51'!A:I,9,0),"")</f>
        <v/>
      </c>
      <c r="D1510" s="61" t="str">
        <f>IFERROR(VLOOKUP(B1510,'MB51'!A:J,10,0),"")</f>
        <v/>
      </c>
      <c r="E1510" s="62" t="str">
        <f>IFERROR(VLOOKUP(B1510,'MB51'!A:K,11,0),"")</f>
        <v/>
      </c>
      <c r="F1510" s="42" t="str">
        <f>IFERROR(VLOOKUP(B1510,'MB51'!A:F,6,0),"")</f>
        <v/>
      </c>
      <c r="G1510" s="17" t="str">
        <f t="shared" si="69"/>
        <v>點揀料單</v>
      </c>
      <c r="H1510" s="17">
        <f t="shared" si="70"/>
        <v>0</v>
      </c>
      <c r="I1510" t="str">
        <f t="shared" si="71"/>
        <v/>
      </c>
      <c r="J1510" t="str">
        <f>SUBSTITUTE(IF(COUNTIF(I$2:I1510,I1510)&gt;1,"",1)," ","")</f>
        <v/>
      </c>
    </row>
    <row r="1511" spans="1:10" x14ac:dyDescent="0.2">
      <c r="A1511" s="51" t="str">
        <f>IFERROR(VLOOKUP(B1511,點上線資訊!A:R,18,0),"")</f>
        <v/>
      </c>
      <c r="B1511" s="41">
        <f>'MB51'!A1511</f>
        <v>0</v>
      </c>
      <c r="C1511" s="60" t="str">
        <f>IFERROR(VLOOKUP(B1511,'MB51'!A:I,9,0),"")</f>
        <v/>
      </c>
      <c r="D1511" s="61" t="str">
        <f>IFERROR(VLOOKUP(B1511,'MB51'!A:J,10,0),"")</f>
        <v/>
      </c>
      <c r="E1511" s="62" t="str">
        <f>IFERROR(VLOOKUP(B1511,'MB51'!A:K,11,0),"")</f>
        <v/>
      </c>
      <c r="F1511" s="42" t="str">
        <f>IFERROR(VLOOKUP(B1511,'MB51'!A:F,6,0),"")</f>
        <v/>
      </c>
      <c r="G1511" s="17" t="str">
        <f t="shared" si="69"/>
        <v>點揀料單</v>
      </c>
      <c r="H1511" s="17">
        <f t="shared" si="70"/>
        <v>0</v>
      </c>
      <c r="I1511" t="str">
        <f t="shared" si="71"/>
        <v/>
      </c>
      <c r="J1511" t="str">
        <f>SUBSTITUTE(IF(COUNTIF(I$2:I1511,I1511)&gt;1,"",1)," ","")</f>
        <v/>
      </c>
    </row>
    <row r="1512" spans="1:10" x14ac:dyDescent="0.2">
      <c r="A1512" s="51" t="str">
        <f>IFERROR(VLOOKUP(B1512,點上線資訊!A:R,18,0),"")</f>
        <v/>
      </c>
      <c r="B1512" s="41">
        <f>'MB51'!A1512</f>
        <v>0</v>
      </c>
      <c r="C1512" s="60" t="str">
        <f>IFERROR(VLOOKUP(B1512,'MB51'!A:I,9,0),"")</f>
        <v/>
      </c>
      <c r="D1512" s="61" t="str">
        <f>IFERROR(VLOOKUP(B1512,'MB51'!A:J,10,0),"")</f>
        <v/>
      </c>
      <c r="E1512" s="62" t="str">
        <f>IFERROR(VLOOKUP(B1512,'MB51'!A:K,11,0),"")</f>
        <v/>
      </c>
      <c r="F1512" s="42" t="str">
        <f>IFERROR(VLOOKUP(B1512,'MB51'!A:F,6,0),"")</f>
        <v/>
      </c>
      <c r="G1512" s="17" t="str">
        <f t="shared" si="69"/>
        <v>點揀料單</v>
      </c>
      <c r="H1512" s="17">
        <f t="shared" si="70"/>
        <v>0</v>
      </c>
      <c r="I1512" t="str">
        <f t="shared" si="71"/>
        <v/>
      </c>
      <c r="J1512" t="str">
        <f>SUBSTITUTE(IF(COUNTIF(I$2:I1512,I1512)&gt;1,"",1)," ","")</f>
        <v/>
      </c>
    </row>
    <row r="1513" spans="1:10" x14ac:dyDescent="0.2">
      <c r="A1513" s="51" t="str">
        <f>IFERROR(VLOOKUP(B1513,點上線資訊!A:R,18,0),"")</f>
        <v/>
      </c>
      <c r="B1513" s="41">
        <f>'MB51'!A1513</f>
        <v>0</v>
      </c>
      <c r="C1513" s="60" t="str">
        <f>IFERROR(VLOOKUP(B1513,'MB51'!A:I,9,0),"")</f>
        <v/>
      </c>
      <c r="D1513" s="61" t="str">
        <f>IFERROR(VLOOKUP(B1513,'MB51'!A:J,10,0),"")</f>
        <v/>
      </c>
      <c r="E1513" s="62" t="str">
        <f>IFERROR(VLOOKUP(B1513,'MB51'!A:K,11,0),"")</f>
        <v/>
      </c>
      <c r="F1513" s="42" t="str">
        <f>IFERROR(VLOOKUP(B1513,'MB51'!A:F,6,0),"")</f>
        <v/>
      </c>
      <c r="G1513" s="17" t="str">
        <f t="shared" si="69"/>
        <v>點揀料單</v>
      </c>
      <c r="H1513" s="17">
        <f t="shared" si="70"/>
        <v>0</v>
      </c>
      <c r="I1513" t="str">
        <f t="shared" si="71"/>
        <v/>
      </c>
      <c r="J1513" t="str">
        <f>SUBSTITUTE(IF(COUNTIF(I$2:I1513,I1513)&gt;1,"",1)," ","")</f>
        <v/>
      </c>
    </row>
    <row r="1514" spans="1:10" x14ac:dyDescent="0.2">
      <c r="A1514" s="51" t="str">
        <f>IFERROR(VLOOKUP(B1514,點上線資訊!A:R,18,0),"")</f>
        <v/>
      </c>
      <c r="B1514" s="41">
        <f>'MB51'!A1514</f>
        <v>0</v>
      </c>
      <c r="C1514" s="60" t="str">
        <f>IFERROR(VLOOKUP(B1514,'MB51'!A:I,9,0),"")</f>
        <v/>
      </c>
      <c r="D1514" s="61" t="str">
        <f>IFERROR(VLOOKUP(B1514,'MB51'!A:J,10,0),"")</f>
        <v/>
      </c>
      <c r="E1514" s="62" t="str">
        <f>IFERROR(VLOOKUP(B1514,'MB51'!A:K,11,0),"")</f>
        <v/>
      </c>
      <c r="F1514" s="42" t="str">
        <f>IFERROR(VLOOKUP(B1514,'MB51'!A:F,6,0),"")</f>
        <v/>
      </c>
      <c r="G1514" s="17" t="str">
        <f t="shared" si="69"/>
        <v>點揀料單</v>
      </c>
      <c r="H1514" s="17">
        <f t="shared" si="70"/>
        <v>0</v>
      </c>
      <c r="I1514" t="str">
        <f t="shared" si="71"/>
        <v/>
      </c>
      <c r="J1514" t="str">
        <f>SUBSTITUTE(IF(COUNTIF(I$2:I1514,I1514)&gt;1,"",1)," ","")</f>
        <v/>
      </c>
    </row>
    <row r="1515" spans="1:10" x14ac:dyDescent="0.2">
      <c r="A1515" s="51" t="str">
        <f>IFERROR(VLOOKUP(B1515,點上線資訊!A:R,18,0),"")</f>
        <v/>
      </c>
      <c r="B1515" s="41">
        <f>'MB51'!A1515</f>
        <v>0</v>
      </c>
      <c r="C1515" s="60" t="str">
        <f>IFERROR(VLOOKUP(B1515,'MB51'!A:I,9,0),"")</f>
        <v/>
      </c>
      <c r="D1515" s="61" t="str">
        <f>IFERROR(VLOOKUP(B1515,'MB51'!A:J,10,0),"")</f>
        <v/>
      </c>
      <c r="E1515" s="62" t="str">
        <f>IFERROR(VLOOKUP(B1515,'MB51'!A:K,11,0),"")</f>
        <v/>
      </c>
      <c r="F1515" s="42" t="str">
        <f>IFERROR(VLOOKUP(B1515,'MB51'!A:F,6,0),"")</f>
        <v/>
      </c>
      <c r="G1515" s="17" t="str">
        <f t="shared" si="69"/>
        <v>點揀料單</v>
      </c>
      <c r="H1515" s="17">
        <f t="shared" si="70"/>
        <v>0</v>
      </c>
      <c r="I1515" t="str">
        <f t="shared" si="71"/>
        <v/>
      </c>
      <c r="J1515" t="str">
        <f>SUBSTITUTE(IF(COUNTIF(I$2:I1515,I1515)&gt;1,"",1)," ","")</f>
        <v/>
      </c>
    </row>
    <row r="1516" spans="1:10" x14ac:dyDescent="0.2">
      <c r="A1516" s="51" t="str">
        <f>IFERROR(VLOOKUP(B1516,點上線資訊!A:R,18,0),"")</f>
        <v/>
      </c>
      <c r="B1516" s="41">
        <f>'MB51'!A1516</f>
        <v>0</v>
      </c>
      <c r="C1516" s="60" t="str">
        <f>IFERROR(VLOOKUP(B1516,'MB51'!A:I,9,0),"")</f>
        <v/>
      </c>
      <c r="D1516" s="61" t="str">
        <f>IFERROR(VLOOKUP(B1516,'MB51'!A:J,10,0),"")</f>
        <v/>
      </c>
      <c r="E1516" s="62" t="str">
        <f>IFERROR(VLOOKUP(B1516,'MB51'!A:K,11,0),"")</f>
        <v/>
      </c>
      <c r="F1516" s="42" t="str">
        <f>IFERROR(VLOOKUP(B1516,'MB51'!A:F,6,0),"")</f>
        <v/>
      </c>
      <c r="G1516" s="17" t="str">
        <f t="shared" si="69"/>
        <v>點揀料單</v>
      </c>
      <c r="H1516" s="17">
        <f t="shared" si="70"/>
        <v>0</v>
      </c>
      <c r="I1516" t="str">
        <f t="shared" si="71"/>
        <v/>
      </c>
      <c r="J1516" t="str">
        <f>SUBSTITUTE(IF(COUNTIF(I$2:I1516,I1516)&gt;1,"",1)," ","")</f>
        <v/>
      </c>
    </row>
    <row r="1517" spans="1:10" x14ac:dyDescent="0.2">
      <c r="A1517" s="51" t="str">
        <f>IFERROR(VLOOKUP(B1517,點上線資訊!A:R,18,0),"")</f>
        <v/>
      </c>
      <c r="B1517" s="41">
        <f>'MB51'!A1517</f>
        <v>0</v>
      </c>
      <c r="C1517" s="60" t="str">
        <f>IFERROR(VLOOKUP(B1517,'MB51'!A:I,9,0),"")</f>
        <v/>
      </c>
      <c r="D1517" s="61" t="str">
        <f>IFERROR(VLOOKUP(B1517,'MB51'!A:J,10,0),"")</f>
        <v/>
      </c>
      <c r="E1517" s="62" t="str">
        <f>IFERROR(VLOOKUP(B1517,'MB51'!A:K,11,0),"")</f>
        <v/>
      </c>
      <c r="F1517" s="42" t="str">
        <f>IFERROR(VLOOKUP(B1517,'MB51'!A:F,6,0),"")</f>
        <v/>
      </c>
      <c r="G1517" s="17" t="str">
        <f t="shared" si="69"/>
        <v>點揀料單</v>
      </c>
      <c r="H1517" s="17">
        <f t="shared" si="70"/>
        <v>0</v>
      </c>
      <c r="I1517" t="str">
        <f t="shared" si="71"/>
        <v/>
      </c>
      <c r="J1517" t="str">
        <f>SUBSTITUTE(IF(COUNTIF(I$2:I1517,I1517)&gt;1,"",1)," ","")</f>
        <v/>
      </c>
    </row>
    <row r="1518" spans="1:10" x14ac:dyDescent="0.2">
      <c r="A1518" s="51" t="str">
        <f>IFERROR(VLOOKUP(B1518,點上線資訊!A:R,18,0),"")</f>
        <v/>
      </c>
      <c r="B1518" s="41">
        <f>'MB51'!A1518</f>
        <v>0</v>
      </c>
      <c r="C1518" s="60" t="str">
        <f>IFERROR(VLOOKUP(B1518,'MB51'!A:I,9,0),"")</f>
        <v/>
      </c>
      <c r="D1518" s="61" t="str">
        <f>IFERROR(VLOOKUP(B1518,'MB51'!A:J,10,0),"")</f>
        <v/>
      </c>
      <c r="E1518" s="62" t="str">
        <f>IFERROR(VLOOKUP(B1518,'MB51'!A:K,11,0),"")</f>
        <v/>
      </c>
      <c r="F1518" s="42" t="str">
        <f>IFERROR(VLOOKUP(B1518,'MB51'!A:F,6,0),"")</f>
        <v/>
      </c>
      <c r="G1518" s="17" t="str">
        <f t="shared" si="69"/>
        <v>點揀料單</v>
      </c>
      <c r="H1518" s="17">
        <f t="shared" si="70"/>
        <v>0</v>
      </c>
      <c r="I1518" t="str">
        <f t="shared" si="71"/>
        <v/>
      </c>
      <c r="J1518" t="str">
        <f>SUBSTITUTE(IF(COUNTIF(I$2:I1518,I1518)&gt;1,"",1)," ","")</f>
        <v/>
      </c>
    </row>
    <row r="1519" spans="1:10" x14ac:dyDescent="0.2">
      <c r="A1519" s="51" t="str">
        <f>IFERROR(VLOOKUP(B1519,點上線資訊!A:R,18,0),"")</f>
        <v/>
      </c>
      <c r="B1519" s="41">
        <f>'MB51'!A1519</f>
        <v>0</v>
      </c>
      <c r="C1519" s="60" t="str">
        <f>IFERROR(VLOOKUP(B1519,'MB51'!A:I,9,0),"")</f>
        <v/>
      </c>
      <c r="D1519" s="61" t="str">
        <f>IFERROR(VLOOKUP(B1519,'MB51'!A:J,10,0),"")</f>
        <v/>
      </c>
      <c r="E1519" s="62" t="str">
        <f>IFERROR(VLOOKUP(B1519,'MB51'!A:K,11,0),"")</f>
        <v/>
      </c>
      <c r="F1519" s="42" t="str">
        <f>IFERROR(VLOOKUP(B1519,'MB51'!A:F,6,0),"")</f>
        <v/>
      </c>
      <c r="G1519" s="17" t="str">
        <f t="shared" si="69"/>
        <v>點揀料單</v>
      </c>
      <c r="H1519" s="17">
        <f t="shared" si="70"/>
        <v>0</v>
      </c>
      <c r="I1519" t="str">
        <f t="shared" si="71"/>
        <v/>
      </c>
      <c r="J1519" t="str">
        <f>SUBSTITUTE(IF(COUNTIF(I$2:I1519,I1519)&gt;1,"",1)," ","")</f>
        <v/>
      </c>
    </row>
    <row r="1520" spans="1:10" x14ac:dyDescent="0.2">
      <c r="A1520" s="51" t="str">
        <f>IFERROR(VLOOKUP(B1520,點上線資訊!A:R,18,0),"")</f>
        <v/>
      </c>
      <c r="B1520" s="41">
        <f>'MB51'!A1520</f>
        <v>0</v>
      </c>
      <c r="C1520" s="60" t="str">
        <f>IFERROR(VLOOKUP(B1520,'MB51'!A:I,9,0),"")</f>
        <v/>
      </c>
      <c r="D1520" s="61" t="str">
        <f>IFERROR(VLOOKUP(B1520,'MB51'!A:J,10,0),"")</f>
        <v/>
      </c>
      <c r="E1520" s="62" t="str">
        <f>IFERROR(VLOOKUP(B1520,'MB51'!A:K,11,0),"")</f>
        <v/>
      </c>
      <c r="F1520" s="42" t="str">
        <f>IFERROR(VLOOKUP(B1520,'MB51'!A:F,6,0),"")</f>
        <v/>
      </c>
      <c r="G1520" s="17" t="str">
        <f t="shared" si="69"/>
        <v>點揀料單</v>
      </c>
      <c r="H1520" s="17">
        <f t="shared" si="70"/>
        <v>0</v>
      </c>
      <c r="I1520" t="str">
        <f t="shared" si="71"/>
        <v/>
      </c>
      <c r="J1520" t="str">
        <f>SUBSTITUTE(IF(COUNTIF(I$2:I1520,I1520)&gt;1,"",1)," ","")</f>
        <v/>
      </c>
    </row>
    <row r="1521" spans="1:10" x14ac:dyDescent="0.2">
      <c r="A1521" s="51" t="str">
        <f>IFERROR(VLOOKUP(B1521,點上線資訊!A:R,18,0),"")</f>
        <v/>
      </c>
      <c r="B1521" s="41">
        <f>'MB51'!A1521</f>
        <v>0</v>
      </c>
      <c r="C1521" s="60" t="str">
        <f>IFERROR(VLOOKUP(B1521,'MB51'!A:I,9,0),"")</f>
        <v/>
      </c>
      <c r="D1521" s="61" t="str">
        <f>IFERROR(VLOOKUP(B1521,'MB51'!A:J,10,0),"")</f>
        <v/>
      </c>
      <c r="E1521" s="62" t="str">
        <f>IFERROR(VLOOKUP(B1521,'MB51'!A:K,11,0),"")</f>
        <v/>
      </c>
      <c r="F1521" s="42" t="str">
        <f>IFERROR(VLOOKUP(B1521,'MB51'!A:F,6,0),"")</f>
        <v/>
      </c>
      <c r="G1521" s="17" t="str">
        <f t="shared" si="69"/>
        <v>點揀料單</v>
      </c>
      <c r="H1521" s="17">
        <f t="shared" si="70"/>
        <v>0</v>
      </c>
      <c r="I1521" t="str">
        <f t="shared" si="71"/>
        <v/>
      </c>
      <c r="J1521" t="str">
        <f>SUBSTITUTE(IF(COUNTIF(I$2:I1521,I1521)&gt;1,"",1)," ","")</f>
        <v/>
      </c>
    </row>
    <row r="1522" spans="1:10" x14ac:dyDescent="0.2">
      <c r="A1522" s="51" t="str">
        <f>IFERROR(VLOOKUP(B1522,點上線資訊!A:R,18,0),"")</f>
        <v/>
      </c>
      <c r="B1522" s="41">
        <f>'MB51'!A1522</f>
        <v>0</v>
      </c>
      <c r="C1522" s="60" t="str">
        <f>IFERROR(VLOOKUP(B1522,'MB51'!A:I,9,0),"")</f>
        <v/>
      </c>
      <c r="D1522" s="61" t="str">
        <f>IFERROR(VLOOKUP(B1522,'MB51'!A:J,10,0),"")</f>
        <v/>
      </c>
      <c r="E1522" s="62" t="str">
        <f>IFERROR(VLOOKUP(B1522,'MB51'!A:K,11,0),"")</f>
        <v/>
      </c>
      <c r="F1522" s="42" t="str">
        <f>IFERROR(VLOOKUP(B1522,'MB51'!A:F,6,0),"")</f>
        <v/>
      </c>
      <c r="G1522" s="17" t="str">
        <f t="shared" si="69"/>
        <v>點揀料單</v>
      </c>
      <c r="H1522" s="17">
        <f t="shared" si="70"/>
        <v>0</v>
      </c>
      <c r="I1522" t="str">
        <f t="shared" si="71"/>
        <v/>
      </c>
      <c r="J1522" t="str">
        <f>SUBSTITUTE(IF(COUNTIF(I$2:I1522,I1522)&gt;1,"",1)," ","")</f>
        <v/>
      </c>
    </row>
    <row r="1523" spans="1:10" x14ac:dyDescent="0.2">
      <c r="A1523" s="51" t="str">
        <f>IFERROR(VLOOKUP(B1523,點上線資訊!A:R,18,0),"")</f>
        <v/>
      </c>
      <c r="B1523" s="41">
        <f>'MB51'!A1523</f>
        <v>0</v>
      </c>
      <c r="C1523" s="60" t="str">
        <f>IFERROR(VLOOKUP(B1523,'MB51'!A:I,9,0),"")</f>
        <v/>
      </c>
      <c r="D1523" s="61" t="str">
        <f>IFERROR(VLOOKUP(B1523,'MB51'!A:J,10,0),"")</f>
        <v/>
      </c>
      <c r="E1523" s="62" t="str">
        <f>IFERROR(VLOOKUP(B1523,'MB51'!A:K,11,0),"")</f>
        <v/>
      </c>
      <c r="F1523" s="42" t="str">
        <f>IFERROR(VLOOKUP(B1523,'MB51'!A:F,6,0),"")</f>
        <v/>
      </c>
      <c r="G1523" s="17" t="str">
        <f t="shared" si="69"/>
        <v>點揀料單</v>
      </c>
      <c r="H1523" s="17">
        <f t="shared" si="70"/>
        <v>0</v>
      </c>
      <c r="I1523" t="str">
        <f t="shared" si="71"/>
        <v/>
      </c>
      <c r="J1523" t="str">
        <f>SUBSTITUTE(IF(COUNTIF(I$2:I1523,I1523)&gt;1,"",1)," ","")</f>
        <v/>
      </c>
    </row>
    <row r="1524" spans="1:10" x14ac:dyDescent="0.2">
      <c r="A1524" s="51" t="str">
        <f>IFERROR(VLOOKUP(B1524,點上線資訊!A:R,18,0),"")</f>
        <v/>
      </c>
      <c r="B1524" s="41">
        <f>'MB51'!A1524</f>
        <v>0</v>
      </c>
      <c r="C1524" s="60" t="str">
        <f>IFERROR(VLOOKUP(B1524,'MB51'!A:I,9,0),"")</f>
        <v/>
      </c>
      <c r="D1524" s="61" t="str">
        <f>IFERROR(VLOOKUP(B1524,'MB51'!A:J,10,0),"")</f>
        <v/>
      </c>
      <c r="E1524" s="62" t="str">
        <f>IFERROR(VLOOKUP(B1524,'MB51'!A:K,11,0),"")</f>
        <v/>
      </c>
      <c r="F1524" s="42" t="str">
        <f>IFERROR(VLOOKUP(B1524,'MB51'!A:F,6,0),"")</f>
        <v/>
      </c>
      <c r="G1524" s="17" t="str">
        <f t="shared" si="69"/>
        <v>點揀料單</v>
      </c>
      <c r="H1524" s="17">
        <f t="shared" si="70"/>
        <v>0</v>
      </c>
      <c r="I1524" t="str">
        <f t="shared" si="71"/>
        <v/>
      </c>
      <c r="J1524" t="str">
        <f>SUBSTITUTE(IF(COUNTIF(I$2:I1524,I1524)&gt;1,"",1)," ","")</f>
        <v/>
      </c>
    </row>
    <row r="1525" spans="1:10" x14ac:dyDescent="0.2">
      <c r="A1525" s="51" t="str">
        <f>IFERROR(VLOOKUP(B1525,點上線資訊!A:R,18,0),"")</f>
        <v/>
      </c>
      <c r="B1525" s="41">
        <f>'MB51'!A1525</f>
        <v>0</v>
      </c>
      <c r="C1525" s="60" t="str">
        <f>IFERROR(VLOOKUP(B1525,'MB51'!A:I,9,0),"")</f>
        <v/>
      </c>
      <c r="D1525" s="61" t="str">
        <f>IFERROR(VLOOKUP(B1525,'MB51'!A:J,10,0),"")</f>
        <v/>
      </c>
      <c r="E1525" s="62" t="str">
        <f>IFERROR(VLOOKUP(B1525,'MB51'!A:K,11,0),"")</f>
        <v/>
      </c>
      <c r="F1525" s="42" t="str">
        <f>IFERROR(VLOOKUP(B1525,'MB51'!A:F,6,0),"")</f>
        <v/>
      </c>
      <c r="G1525" s="17" t="str">
        <f t="shared" si="69"/>
        <v>點揀料單</v>
      </c>
      <c r="H1525" s="17">
        <f t="shared" si="70"/>
        <v>0</v>
      </c>
      <c r="I1525" t="str">
        <f t="shared" si="71"/>
        <v/>
      </c>
      <c r="J1525" t="str">
        <f>SUBSTITUTE(IF(COUNTIF(I$2:I1525,I1525)&gt;1,"",1)," ","")</f>
        <v/>
      </c>
    </row>
    <row r="1526" spans="1:10" x14ac:dyDescent="0.2">
      <c r="A1526" s="51" t="str">
        <f>IFERROR(VLOOKUP(B1526,點上線資訊!A:R,18,0),"")</f>
        <v/>
      </c>
      <c r="B1526" s="41">
        <f>'MB51'!A1526</f>
        <v>0</v>
      </c>
      <c r="C1526" s="60" t="str">
        <f>IFERROR(VLOOKUP(B1526,'MB51'!A:I,9,0),"")</f>
        <v/>
      </c>
      <c r="D1526" s="61" t="str">
        <f>IFERROR(VLOOKUP(B1526,'MB51'!A:J,10,0),"")</f>
        <v/>
      </c>
      <c r="E1526" s="62" t="str">
        <f>IFERROR(VLOOKUP(B1526,'MB51'!A:K,11,0),"")</f>
        <v/>
      </c>
      <c r="F1526" s="42" t="str">
        <f>IFERROR(VLOOKUP(B1526,'MB51'!A:F,6,0),"")</f>
        <v/>
      </c>
      <c r="G1526" s="17" t="str">
        <f t="shared" si="69"/>
        <v>點揀料單</v>
      </c>
      <c r="H1526" s="17">
        <f t="shared" si="70"/>
        <v>0</v>
      </c>
      <c r="I1526" t="str">
        <f t="shared" si="71"/>
        <v/>
      </c>
      <c r="J1526" t="str">
        <f>SUBSTITUTE(IF(COUNTIF(I$2:I1526,I1526)&gt;1,"",1)," ","")</f>
        <v/>
      </c>
    </row>
    <row r="1527" spans="1:10" x14ac:dyDescent="0.2">
      <c r="A1527" s="51" t="str">
        <f>IFERROR(VLOOKUP(B1527,點上線資訊!A:R,18,0),"")</f>
        <v/>
      </c>
      <c r="B1527" s="41">
        <f>'MB51'!A1527</f>
        <v>0</v>
      </c>
      <c r="C1527" s="60" t="str">
        <f>IFERROR(VLOOKUP(B1527,'MB51'!A:I,9,0),"")</f>
        <v/>
      </c>
      <c r="D1527" s="61" t="str">
        <f>IFERROR(VLOOKUP(B1527,'MB51'!A:J,10,0),"")</f>
        <v/>
      </c>
      <c r="E1527" s="62" t="str">
        <f>IFERROR(VLOOKUP(B1527,'MB51'!A:K,11,0),"")</f>
        <v/>
      </c>
      <c r="F1527" s="42" t="str">
        <f>IFERROR(VLOOKUP(B1527,'MB51'!A:F,6,0),"")</f>
        <v/>
      </c>
      <c r="G1527" s="17" t="str">
        <f t="shared" si="69"/>
        <v>點揀料單</v>
      </c>
      <c r="H1527" s="17">
        <f t="shared" si="70"/>
        <v>0</v>
      </c>
      <c r="I1527" t="str">
        <f t="shared" si="71"/>
        <v/>
      </c>
      <c r="J1527" t="str">
        <f>SUBSTITUTE(IF(COUNTIF(I$2:I1527,I1527)&gt;1,"",1)," ","")</f>
        <v/>
      </c>
    </row>
    <row r="1528" spans="1:10" x14ac:dyDescent="0.2">
      <c r="A1528" s="51" t="str">
        <f>IFERROR(VLOOKUP(B1528,點上線資訊!A:R,18,0),"")</f>
        <v/>
      </c>
      <c r="B1528" s="41">
        <f>'MB51'!A1528</f>
        <v>0</v>
      </c>
      <c r="C1528" s="60" t="str">
        <f>IFERROR(VLOOKUP(B1528,'MB51'!A:I,9,0),"")</f>
        <v/>
      </c>
      <c r="D1528" s="61" t="str">
        <f>IFERROR(VLOOKUP(B1528,'MB51'!A:J,10,0),"")</f>
        <v/>
      </c>
      <c r="E1528" s="62" t="str">
        <f>IFERROR(VLOOKUP(B1528,'MB51'!A:K,11,0),"")</f>
        <v/>
      </c>
      <c r="F1528" s="42" t="str">
        <f>IFERROR(VLOOKUP(B1528,'MB51'!A:F,6,0),"")</f>
        <v/>
      </c>
      <c r="G1528" s="17" t="str">
        <f t="shared" si="69"/>
        <v>點揀料單</v>
      </c>
      <c r="H1528" s="17">
        <f t="shared" si="70"/>
        <v>0</v>
      </c>
      <c r="I1528" t="str">
        <f t="shared" si="71"/>
        <v/>
      </c>
      <c r="J1528" t="str">
        <f>SUBSTITUTE(IF(COUNTIF(I$2:I1528,I1528)&gt;1,"",1)," ","")</f>
        <v/>
      </c>
    </row>
    <row r="1529" spans="1:10" x14ac:dyDescent="0.2">
      <c r="A1529" s="51" t="str">
        <f>IFERROR(VLOOKUP(B1529,點上線資訊!A:R,18,0),"")</f>
        <v/>
      </c>
      <c r="B1529" s="41">
        <f>'MB51'!A1529</f>
        <v>0</v>
      </c>
      <c r="C1529" s="60" t="str">
        <f>IFERROR(VLOOKUP(B1529,'MB51'!A:I,9,0),"")</f>
        <v/>
      </c>
      <c r="D1529" s="61" t="str">
        <f>IFERROR(VLOOKUP(B1529,'MB51'!A:J,10,0),"")</f>
        <v/>
      </c>
      <c r="E1529" s="62" t="str">
        <f>IFERROR(VLOOKUP(B1529,'MB51'!A:K,11,0),"")</f>
        <v/>
      </c>
      <c r="F1529" s="42" t="str">
        <f>IFERROR(VLOOKUP(B1529,'MB51'!A:F,6,0),"")</f>
        <v/>
      </c>
      <c r="G1529" s="17" t="str">
        <f t="shared" si="69"/>
        <v>點揀料單</v>
      </c>
      <c r="H1529" s="17">
        <f t="shared" si="70"/>
        <v>0</v>
      </c>
      <c r="I1529" t="str">
        <f t="shared" si="71"/>
        <v/>
      </c>
      <c r="J1529" t="str">
        <f>SUBSTITUTE(IF(COUNTIF(I$2:I1529,I1529)&gt;1,"",1)," ","")</f>
        <v/>
      </c>
    </row>
    <row r="1530" spans="1:10" x14ac:dyDescent="0.2">
      <c r="A1530" s="51" t="str">
        <f>IFERROR(VLOOKUP(B1530,點上線資訊!A:R,18,0),"")</f>
        <v/>
      </c>
      <c r="B1530" s="41">
        <f>'MB51'!A1530</f>
        <v>0</v>
      </c>
      <c r="C1530" s="60" t="str">
        <f>IFERROR(VLOOKUP(B1530,'MB51'!A:I,9,0),"")</f>
        <v/>
      </c>
      <c r="D1530" s="61" t="str">
        <f>IFERROR(VLOOKUP(B1530,'MB51'!A:J,10,0),"")</f>
        <v/>
      </c>
      <c r="E1530" s="62" t="str">
        <f>IFERROR(VLOOKUP(B1530,'MB51'!A:K,11,0),"")</f>
        <v/>
      </c>
      <c r="F1530" s="42" t="str">
        <f>IFERROR(VLOOKUP(B1530,'MB51'!A:F,6,0),"")</f>
        <v/>
      </c>
      <c r="G1530" s="17" t="str">
        <f t="shared" si="69"/>
        <v>點揀料單</v>
      </c>
      <c r="H1530" s="17">
        <f t="shared" si="70"/>
        <v>0</v>
      </c>
      <c r="I1530" t="str">
        <f t="shared" si="71"/>
        <v/>
      </c>
      <c r="J1530" t="str">
        <f>SUBSTITUTE(IF(COUNTIF(I$2:I1530,I1530)&gt;1,"",1)," ","")</f>
        <v/>
      </c>
    </row>
    <row r="1531" spans="1:10" x14ac:dyDescent="0.2">
      <c r="A1531" s="51" t="str">
        <f>IFERROR(VLOOKUP(B1531,點上線資訊!A:R,18,0),"")</f>
        <v/>
      </c>
      <c r="B1531" s="41">
        <f>'MB51'!A1531</f>
        <v>0</v>
      </c>
      <c r="C1531" s="60" t="str">
        <f>IFERROR(VLOOKUP(B1531,'MB51'!A:I,9,0),"")</f>
        <v/>
      </c>
      <c r="D1531" s="61" t="str">
        <f>IFERROR(VLOOKUP(B1531,'MB51'!A:J,10,0),"")</f>
        <v/>
      </c>
      <c r="E1531" s="62" t="str">
        <f>IFERROR(VLOOKUP(B1531,'MB51'!A:K,11,0),"")</f>
        <v/>
      </c>
      <c r="F1531" s="42" t="str">
        <f>IFERROR(VLOOKUP(B1531,'MB51'!A:F,6,0),"")</f>
        <v/>
      </c>
      <c r="G1531" s="17" t="str">
        <f t="shared" si="69"/>
        <v>點揀料單</v>
      </c>
      <c r="H1531" s="17">
        <f t="shared" si="70"/>
        <v>0</v>
      </c>
      <c r="I1531" t="str">
        <f t="shared" si="71"/>
        <v/>
      </c>
      <c r="J1531" t="str">
        <f>SUBSTITUTE(IF(COUNTIF(I$2:I1531,I1531)&gt;1,"",1)," ","")</f>
        <v/>
      </c>
    </row>
    <row r="1532" spans="1:10" x14ac:dyDescent="0.2">
      <c r="A1532" s="51" t="str">
        <f>IFERROR(VLOOKUP(B1532,點上線資訊!A:R,18,0),"")</f>
        <v/>
      </c>
      <c r="B1532" s="41">
        <f>'MB51'!A1532</f>
        <v>0</v>
      </c>
      <c r="C1532" s="60" t="str">
        <f>IFERROR(VLOOKUP(B1532,'MB51'!A:I,9,0),"")</f>
        <v/>
      </c>
      <c r="D1532" s="61" t="str">
        <f>IFERROR(VLOOKUP(B1532,'MB51'!A:J,10,0),"")</f>
        <v/>
      </c>
      <c r="E1532" s="62" t="str">
        <f>IFERROR(VLOOKUP(B1532,'MB51'!A:K,11,0),"")</f>
        <v/>
      </c>
      <c r="F1532" s="42" t="str">
        <f>IFERROR(VLOOKUP(B1532,'MB51'!A:F,6,0),"")</f>
        <v/>
      </c>
      <c r="G1532" s="17" t="str">
        <f t="shared" si="69"/>
        <v>點揀料單</v>
      </c>
      <c r="H1532" s="17">
        <f t="shared" si="70"/>
        <v>0</v>
      </c>
      <c r="I1532" t="str">
        <f t="shared" si="71"/>
        <v/>
      </c>
      <c r="J1532" t="str">
        <f>SUBSTITUTE(IF(COUNTIF(I$2:I1532,I1532)&gt;1,"",1)," ","")</f>
        <v/>
      </c>
    </row>
    <row r="1533" spans="1:10" x14ac:dyDescent="0.2">
      <c r="A1533" s="51" t="str">
        <f>IFERROR(VLOOKUP(B1533,點上線資訊!A:R,18,0),"")</f>
        <v/>
      </c>
      <c r="B1533" s="41">
        <f>'MB51'!A1533</f>
        <v>0</v>
      </c>
      <c r="C1533" s="60" t="str">
        <f>IFERROR(VLOOKUP(B1533,'MB51'!A:I,9,0),"")</f>
        <v/>
      </c>
      <c r="D1533" s="61" t="str">
        <f>IFERROR(VLOOKUP(B1533,'MB51'!A:J,10,0),"")</f>
        <v/>
      </c>
      <c r="E1533" s="62" t="str">
        <f>IFERROR(VLOOKUP(B1533,'MB51'!A:K,11,0),"")</f>
        <v/>
      </c>
      <c r="F1533" s="42" t="str">
        <f>IFERROR(VLOOKUP(B1533,'MB51'!A:F,6,0),"")</f>
        <v/>
      </c>
      <c r="G1533" s="17" t="str">
        <f t="shared" si="69"/>
        <v>點揀料單</v>
      </c>
      <c r="H1533" s="17">
        <f t="shared" si="70"/>
        <v>0</v>
      </c>
      <c r="I1533" t="str">
        <f t="shared" si="71"/>
        <v/>
      </c>
      <c r="J1533" t="str">
        <f>SUBSTITUTE(IF(COUNTIF(I$2:I1533,I1533)&gt;1,"",1)," ","")</f>
        <v/>
      </c>
    </row>
    <row r="1534" spans="1:10" x14ac:dyDescent="0.2">
      <c r="A1534" s="51" t="str">
        <f>IFERROR(VLOOKUP(B1534,點上線資訊!A:R,18,0),"")</f>
        <v/>
      </c>
      <c r="B1534" s="41">
        <f>'MB51'!A1534</f>
        <v>0</v>
      </c>
      <c r="C1534" s="60" t="str">
        <f>IFERROR(VLOOKUP(B1534,'MB51'!A:I,9,0),"")</f>
        <v/>
      </c>
      <c r="D1534" s="61" t="str">
        <f>IFERROR(VLOOKUP(B1534,'MB51'!A:J,10,0),"")</f>
        <v/>
      </c>
      <c r="E1534" s="62" t="str">
        <f>IFERROR(VLOOKUP(B1534,'MB51'!A:K,11,0),"")</f>
        <v/>
      </c>
      <c r="F1534" s="42" t="str">
        <f>IFERROR(VLOOKUP(B1534,'MB51'!A:F,6,0),"")</f>
        <v/>
      </c>
      <c r="G1534" s="17" t="str">
        <f t="shared" si="69"/>
        <v>點揀料單</v>
      </c>
      <c r="H1534" s="17">
        <f t="shared" si="70"/>
        <v>0</v>
      </c>
      <c r="I1534" t="str">
        <f t="shared" si="71"/>
        <v/>
      </c>
      <c r="J1534" t="str">
        <f>SUBSTITUTE(IF(COUNTIF(I$2:I1534,I1534)&gt;1,"",1)," ","")</f>
        <v/>
      </c>
    </row>
    <row r="1535" spans="1:10" x14ac:dyDescent="0.2">
      <c r="A1535" s="51" t="str">
        <f>IFERROR(VLOOKUP(B1535,點上線資訊!A:R,18,0),"")</f>
        <v/>
      </c>
      <c r="B1535" s="41">
        <f>'MB51'!A1535</f>
        <v>0</v>
      </c>
      <c r="C1535" s="60" t="str">
        <f>IFERROR(VLOOKUP(B1535,'MB51'!A:I,9,0),"")</f>
        <v/>
      </c>
      <c r="D1535" s="61" t="str">
        <f>IFERROR(VLOOKUP(B1535,'MB51'!A:J,10,0),"")</f>
        <v/>
      </c>
      <c r="E1535" s="62" t="str">
        <f>IFERROR(VLOOKUP(B1535,'MB51'!A:K,11,0),"")</f>
        <v/>
      </c>
      <c r="F1535" s="42" t="str">
        <f>IFERROR(VLOOKUP(B1535,'MB51'!A:F,6,0),"")</f>
        <v/>
      </c>
      <c r="G1535" s="17" t="str">
        <f t="shared" si="69"/>
        <v>點揀料單</v>
      </c>
      <c r="H1535" s="17">
        <f t="shared" si="70"/>
        <v>0</v>
      </c>
      <c r="I1535" t="str">
        <f t="shared" si="71"/>
        <v/>
      </c>
      <c r="J1535" t="str">
        <f>SUBSTITUTE(IF(COUNTIF(I$2:I1535,I1535)&gt;1,"",1)," ","")</f>
        <v/>
      </c>
    </row>
    <row r="1536" spans="1:10" x14ac:dyDescent="0.2">
      <c r="A1536" s="51" t="str">
        <f>IFERROR(VLOOKUP(B1536,點上線資訊!A:R,18,0),"")</f>
        <v/>
      </c>
      <c r="B1536" s="41">
        <f>'MB51'!A1536</f>
        <v>0</v>
      </c>
      <c r="C1536" s="60" t="str">
        <f>IFERROR(VLOOKUP(B1536,'MB51'!A:I,9,0),"")</f>
        <v/>
      </c>
      <c r="D1536" s="61" t="str">
        <f>IFERROR(VLOOKUP(B1536,'MB51'!A:J,10,0),"")</f>
        <v/>
      </c>
      <c r="E1536" s="62" t="str">
        <f>IFERROR(VLOOKUP(B1536,'MB51'!A:K,11,0),"")</f>
        <v/>
      </c>
      <c r="F1536" s="42" t="str">
        <f>IFERROR(VLOOKUP(B1536,'MB51'!A:F,6,0),"")</f>
        <v/>
      </c>
      <c r="G1536" s="17" t="str">
        <f t="shared" si="69"/>
        <v>點揀料單</v>
      </c>
      <c r="H1536" s="17">
        <f t="shared" si="70"/>
        <v>0</v>
      </c>
      <c r="I1536" t="str">
        <f t="shared" si="71"/>
        <v/>
      </c>
      <c r="J1536" t="str">
        <f>SUBSTITUTE(IF(COUNTIF(I$2:I1536,I1536)&gt;1,"",1)," ","")</f>
        <v/>
      </c>
    </row>
    <row r="1537" spans="1:10" x14ac:dyDescent="0.2">
      <c r="A1537" s="51" t="str">
        <f>IFERROR(VLOOKUP(B1537,點上線資訊!A:R,18,0),"")</f>
        <v/>
      </c>
      <c r="B1537" s="41">
        <f>'MB51'!A1537</f>
        <v>0</v>
      </c>
      <c r="C1537" s="60" t="str">
        <f>IFERROR(VLOOKUP(B1537,'MB51'!A:I,9,0),"")</f>
        <v/>
      </c>
      <c r="D1537" s="61" t="str">
        <f>IFERROR(VLOOKUP(B1537,'MB51'!A:J,10,0),"")</f>
        <v/>
      </c>
      <c r="E1537" s="62" t="str">
        <f>IFERROR(VLOOKUP(B1537,'MB51'!A:K,11,0),"")</f>
        <v/>
      </c>
      <c r="F1537" s="42" t="str">
        <f>IFERROR(VLOOKUP(B1537,'MB51'!A:F,6,0),"")</f>
        <v/>
      </c>
      <c r="G1537" s="17" t="str">
        <f t="shared" si="69"/>
        <v>點揀料單</v>
      </c>
      <c r="H1537" s="17">
        <f t="shared" si="70"/>
        <v>0</v>
      </c>
      <c r="I1537" t="str">
        <f t="shared" si="71"/>
        <v/>
      </c>
      <c r="J1537" t="str">
        <f>SUBSTITUTE(IF(COUNTIF(I$2:I1537,I1537)&gt;1,"",1)," ","")</f>
        <v/>
      </c>
    </row>
    <row r="1538" spans="1:10" x14ac:dyDescent="0.2">
      <c r="A1538" s="51" t="str">
        <f>IFERROR(VLOOKUP(B1538,點上線資訊!A:R,18,0),"")</f>
        <v/>
      </c>
      <c r="B1538" s="41">
        <f>'MB51'!A1538</f>
        <v>0</v>
      </c>
      <c r="C1538" s="60" t="str">
        <f>IFERROR(VLOOKUP(B1538,'MB51'!A:I,9,0),"")</f>
        <v/>
      </c>
      <c r="D1538" s="61" t="str">
        <f>IFERROR(VLOOKUP(B1538,'MB51'!A:J,10,0),"")</f>
        <v/>
      </c>
      <c r="E1538" s="62" t="str">
        <f>IFERROR(VLOOKUP(B1538,'MB51'!A:K,11,0),"")</f>
        <v/>
      </c>
      <c r="F1538" s="42" t="str">
        <f>IFERROR(VLOOKUP(B1538,'MB51'!A:F,6,0),"")</f>
        <v/>
      </c>
      <c r="G1538" s="17" t="str">
        <f t="shared" si="69"/>
        <v>點揀料單</v>
      </c>
      <c r="H1538" s="17">
        <f t="shared" si="70"/>
        <v>0</v>
      </c>
      <c r="I1538" t="str">
        <f t="shared" si="71"/>
        <v/>
      </c>
      <c r="J1538" t="str">
        <f>SUBSTITUTE(IF(COUNTIF(I$2:I1538,I1538)&gt;1,"",1)," ","")</f>
        <v/>
      </c>
    </row>
    <row r="1539" spans="1:10" x14ac:dyDescent="0.2">
      <c r="A1539" s="51" t="str">
        <f>IFERROR(VLOOKUP(B1539,點上線資訊!A:R,18,0),"")</f>
        <v/>
      </c>
      <c r="B1539" s="41">
        <f>'MB51'!A1539</f>
        <v>0</v>
      </c>
      <c r="C1539" s="60" t="str">
        <f>IFERROR(VLOOKUP(B1539,'MB51'!A:I,9,0),"")</f>
        <v/>
      </c>
      <c r="D1539" s="61" t="str">
        <f>IFERROR(VLOOKUP(B1539,'MB51'!A:J,10,0),"")</f>
        <v/>
      </c>
      <c r="E1539" s="62" t="str">
        <f>IFERROR(VLOOKUP(B1539,'MB51'!A:K,11,0),"")</f>
        <v/>
      </c>
      <c r="F1539" s="42" t="str">
        <f>IFERROR(VLOOKUP(B1539,'MB51'!A:F,6,0),"")</f>
        <v/>
      </c>
      <c r="G1539" s="17" t="str">
        <f t="shared" ref="G1539:G1563" si="72">TEXT(D1539,"MM/DD")&amp;TEXT(E1539,"  HH")&amp;"點揀料單"</f>
        <v>點揀料單</v>
      </c>
      <c r="H1539" s="17">
        <f t="shared" ref="H1539:H1563" si="73">ABS(SUMIF(C:C,C1539,F:F))</f>
        <v>0</v>
      </c>
      <c r="I1539" t="str">
        <f t="shared" ref="I1539:I1563" si="74">RIGHTB(C1539,10)</f>
        <v/>
      </c>
      <c r="J1539" t="str">
        <f>SUBSTITUTE(IF(COUNTIF(I$2:I1539,I1539)&gt;1,"",1)," ","")</f>
        <v/>
      </c>
    </row>
    <row r="1540" spans="1:10" x14ac:dyDescent="0.2">
      <c r="A1540" s="51" t="str">
        <f>IFERROR(VLOOKUP(B1540,點上線資訊!A:R,18,0),"")</f>
        <v/>
      </c>
      <c r="B1540" s="41">
        <f>'MB51'!A1540</f>
        <v>0</v>
      </c>
      <c r="C1540" s="60" t="str">
        <f>IFERROR(VLOOKUP(B1540,'MB51'!A:I,9,0),"")</f>
        <v/>
      </c>
      <c r="D1540" s="61" t="str">
        <f>IFERROR(VLOOKUP(B1540,'MB51'!A:J,10,0),"")</f>
        <v/>
      </c>
      <c r="E1540" s="62" t="str">
        <f>IFERROR(VLOOKUP(B1540,'MB51'!A:K,11,0),"")</f>
        <v/>
      </c>
      <c r="F1540" s="42" t="str">
        <f>IFERROR(VLOOKUP(B1540,'MB51'!A:F,6,0),"")</f>
        <v/>
      </c>
      <c r="G1540" s="17" t="str">
        <f t="shared" si="72"/>
        <v>點揀料單</v>
      </c>
      <c r="H1540" s="17">
        <f t="shared" si="73"/>
        <v>0</v>
      </c>
      <c r="I1540" t="str">
        <f t="shared" si="74"/>
        <v/>
      </c>
      <c r="J1540" t="str">
        <f>SUBSTITUTE(IF(COUNTIF(I$2:I1540,I1540)&gt;1,"",1)," ","")</f>
        <v/>
      </c>
    </row>
    <row r="1541" spans="1:10" x14ac:dyDescent="0.2">
      <c r="A1541" s="51" t="str">
        <f>IFERROR(VLOOKUP(B1541,點上線資訊!A:R,18,0),"")</f>
        <v/>
      </c>
      <c r="B1541" s="41">
        <f>'MB51'!A1541</f>
        <v>0</v>
      </c>
      <c r="C1541" s="60" t="str">
        <f>IFERROR(VLOOKUP(B1541,'MB51'!A:I,9,0),"")</f>
        <v/>
      </c>
      <c r="D1541" s="61" t="str">
        <f>IFERROR(VLOOKUP(B1541,'MB51'!A:J,10,0),"")</f>
        <v/>
      </c>
      <c r="E1541" s="62" t="str">
        <f>IFERROR(VLOOKUP(B1541,'MB51'!A:K,11,0),"")</f>
        <v/>
      </c>
      <c r="F1541" s="42" t="str">
        <f>IFERROR(VLOOKUP(B1541,'MB51'!A:F,6,0),"")</f>
        <v/>
      </c>
      <c r="G1541" s="17" t="str">
        <f t="shared" si="72"/>
        <v>點揀料單</v>
      </c>
      <c r="H1541" s="17">
        <f t="shared" si="73"/>
        <v>0</v>
      </c>
      <c r="I1541" t="str">
        <f t="shared" si="74"/>
        <v/>
      </c>
      <c r="J1541" t="str">
        <f>SUBSTITUTE(IF(COUNTIF(I$2:I1541,I1541)&gt;1,"",1)," ","")</f>
        <v/>
      </c>
    </row>
    <row r="1542" spans="1:10" x14ac:dyDescent="0.2">
      <c r="A1542" s="51" t="str">
        <f>IFERROR(VLOOKUP(B1542,點上線資訊!A:R,18,0),"")</f>
        <v/>
      </c>
      <c r="B1542" s="41">
        <f>'MB51'!A1542</f>
        <v>0</v>
      </c>
      <c r="C1542" s="60" t="str">
        <f>IFERROR(VLOOKUP(B1542,'MB51'!A:I,9,0),"")</f>
        <v/>
      </c>
      <c r="D1542" s="61" t="str">
        <f>IFERROR(VLOOKUP(B1542,'MB51'!A:J,10,0),"")</f>
        <v/>
      </c>
      <c r="E1542" s="62" t="str">
        <f>IFERROR(VLOOKUP(B1542,'MB51'!A:K,11,0),"")</f>
        <v/>
      </c>
      <c r="F1542" s="42" t="str">
        <f>IFERROR(VLOOKUP(B1542,'MB51'!A:F,6,0),"")</f>
        <v/>
      </c>
      <c r="G1542" s="17" t="str">
        <f t="shared" si="72"/>
        <v>點揀料單</v>
      </c>
      <c r="H1542" s="17">
        <f t="shared" si="73"/>
        <v>0</v>
      </c>
      <c r="I1542" t="str">
        <f t="shared" si="74"/>
        <v/>
      </c>
      <c r="J1542" t="str">
        <f>SUBSTITUTE(IF(COUNTIF(I$2:I1542,I1542)&gt;1,"",1)," ","")</f>
        <v/>
      </c>
    </row>
    <row r="1543" spans="1:10" x14ac:dyDescent="0.2">
      <c r="A1543" s="51" t="str">
        <f>IFERROR(VLOOKUP(B1543,點上線資訊!A:R,18,0),"")</f>
        <v/>
      </c>
      <c r="B1543" s="41">
        <f>'MB51'!A1543</f>
        <v>0</v>
      </c>
      <c r="C1543" s="60" t="str">
        <f>IFERROR(VLOOKUP(B1543,'MB51'!A:I,9,0),"")</f>
        <v/>
      </c>
      <c r="D1543" s="61" t="str">
        <f>IFERROR(VLOOKUP(B1543,'MB51'!A:J,10,0),"")</f>
        <v/>
      </c>
      <c r="E1543" s="62" t="str">
        <f>IFERROR(VLOOKUP(B1543,'MB51'!A:K,11,0),"")</f>
        <v/>
      </c>
      <c r="F1543" s="42" t="str">
        <f>IFERROR(VLOOKUP(B1543,'MB51'!A:F,6,0),"")</f>
        <v/>
      </c>
      <c r="G1543" s="17" t="str">
        <f t="shared" si="72"/>
        <v>點揀料單</v>
      </c>
      <c r="H1543" s="17">
        <f t="shared" si="73"/>
        <v>0</v>
      </c>
      <c r="I1543" t="str">
        <f t="shared" si="74"/>
        <v/>
      </c>
      <c r="J1543" t="str">
        <f>SUBSTITUTE(IF(COUNTIF(I$2:I1543,I1543)&gt;1,"",1)," ","")</f>
        <v/>
      </c>
    </row>
    <row r="1544" spans="1:10" x14ac:dyDescent="0.2">
      <c r="A1544" s="51" t="str">
        <f>IFERROR(VLOOKUP(B1544,點上線資訊!A:R,18,0),"")</f>
        <v/>
      </c>
      <c r="B1544" s="41">
        <f>'MB51'!A1544</f>
        <v>0</v>
      </c>
      <c r="C1544" s="60" t="str">
        <f>IFERROR(VLOOKUP(B1544,'MB51'!A:I,9,0),"")</f>
        <v/>
      </c>
      <c r="D1544" s="61" t="str">
        <f>IFERROR(VLOOKUP(B1544,'MB51'!A:J,10,0),"")</f>
        <v/>
      </c>
      <c r="E1544" s="62" t="str">
        <f>IFERROR(VLOOKUP(B1544,'MB51'!A:K,11,0),"")</f>
        <v/>
      </c>
      <c r="F1544" s="42" t="str">
        <f>IFERROR(VLOOKUP(B1544,'MB51'!A:F,6,0),"")</f>
        <v/>
      </c>
      <c r="G1544" s="17" t="str">
        <f t="shared" si="72"/>
        <v>點揀料單</v>
      </c>
      <c r="H1544" s="17">
        <f t="shared" si="73"/>
        <v>0</v>
      </c>
      <c r="I1544" t="str">
        <f t="shared" si="74"/>
        <v/>
      </c>
      <c r="J1544" t="str">
        <f>SUBSTITUTE(IF(COUNTIF(I$2:I1544,I1544)&gt;1,"",1)," ","")</f>
        <v/>
      </c>
    </row>
    <row r="1545" spans="1:10" x14ac:dyDescent="0.2">
      <c r="A1545" s="51" t="str">
        <f>IFERROR(VLOOKUP(B1545,點上線資訊!A:R,18,0),"")</f>
        <v/>
      </c>
      <c r="B1545" s="41">
        <f>'MB51'!A1545</f>
        <v>0</v>
      </c>
      <c r="C1545" s="60" t="str">
        <f>IFERROR(VLOOKUP(B1545,'MB51'!A:I,9,0),"")</f>
        <v/>
      </c>
      <c r="D1545" s="61" t="str">
        <f>IFERROR(VLOOKUP(B1545,'MB51'!A:J,10,0),"")</f>
        <v/>
      </c>
      <c r="E1545" s="62" t="str">
        <f>IFERROR(VLOOKUP(B1545,'MB51'!A:K,11,0),"")</f>
        <v/>
      </c>
      <c r="F1545" s="42" t="str">
        <f>IFERROR(VLOOKUP(B1545,'MB51'!A:F,6,0),"")</f>
        <v/>
      </c>
      <c r="G1545" s="17" t="str">
        <f t="shared" si="72"/>
        <v>點揀料單</v>
      </c>
      <c r="H1545" s="17">
        <f t="shared" si="73"/>
        <v>0</v>
      </c>
      <c r="I1545" t="str">
        <f t="shared" si="74"/>
        <v/>
      </c>
      <c r="J1545" t="str">
        <f>SUBSTITUTE(IF(COUNTIF(I$2:I1545,I1545)&gt;1,"",1)," ","")</f>
        <v/>
      </c>
    </row>
    <row r="1546" spans="1:10" x14ac:dyDescent="0.2">
      <c r="A1546" s="51" t="str">
        <f>IFERROR(VLOOKUP(B1546,點上線資訊!A:R,18,0),"")</f>
        <v/>
      </c>
      <c r="B1546" s="41">
        <f>'MB51'!A1546</f>
        <v>0</v>
      </c>
      <c r="C1546" s="60" t="str">
        <f>IFERROR(VLOOKUP(B1546,'MB51'!A:I,9,0),"")</f>
        <v/>
      </c>
      <c r="D1546" s="61" t="str">
        <f>IFERROR(VLOOKUP(B1546,'MB51'!A:J,10,0),"")</f>
        <v/>
      </c>
      <c r="E1546" s="62" t="str">
        <f>IFERROR(VLOOKUP(B1546,'MB51'!A:K,11,0),"")</f>
        <v/>
      </c>
      <c r="F1546" s="42" t="str">
        <f>IFERROR(VLOOKUP(B1546,'MB51'!A:F,6,0),"")</f>
        <v/>
      </c>
      <c r="G1546" s="17" t="str">
        <f t="shared" si="72"/>
        <v>點揀料單</v>
      </c>
      <c r="H1546" s="17">
        <f t="shared" si="73"/>
        <v>0</v>
      </c>
      <c r="I1546" t="str">
        <f t="shared" si="74"/>
        <v/>
      </c>
      <c r="J1546" t="str">
        <f>SUBSTITUTE(IF(COUNTIF(I$2:I1546,I1546)&gt;1,"",1)," ","")</f>
        <v/>
      </c>
    </row>
    <row r="1547" spans="1:10" x14ac:dyDescent="0.2">
      <c r="A1547" s="51" t="str">
        <f>IFERROR(VLOOKUP(B1547,點上線資訊!A:R,18,0),"")</f>
        <v/>
      </c>
      <c r="B1547" s="41">
        <f>'MB51'!A1547</f>
        <v>0</v>
      </c>
      <c r="C1547" s="60" t="str">
        <f>IFERROR(VLOOKUP(B1547,'MB51'!A:I,9,0),"")</f>
        <v/>
      </c>
      <c r="D1547" s="61" t="str">
        <f>IFERROR(VLOOKUP(B1547,'MB51'!A:J,10,0),"")</f>
        <v/>
      </c>
      <c r="E1547" s="62" t="str">
        <f>IFERROR(VLOOKUP(B1547,'MB51'!A:K,11,0),"")</f>
        <v/>
      </c>
      <c r="F1547" s="42" t="str">
        <f>IFERROR(VLOOKUP(B1547,'MB51'!A:F,6,0),"")</f>
        <v/>
      </c>
      <c r="G1547" s="17" t="str">
        <f t="shared" si="72"/>
        <v>點揀料單</v>
      </c>
      <c r="H1547" s="17">
        <f t="shared" si="73"/>
        <v>0</v>
      </c>
      <c r="I1547" t="str">
        <f t="shared" si="74"/>
        <v/>
      </c>
      <c r="J1547" t="str">
        <f>SUBSTITUTE(IF(COUNTIF(I$2:I1547,I1547)&gt;1,"",1)," ","")</f>
        <v/>
      </c>
    </row>
    <row r="1548" spans="1:10" x14ac:dyDescent="0.2">
      <c r="A1548" s="51" t="str">
        <f>IFERROR(VLOOKUP(B1548,點上線資訊!A:R,18,0),"")</f>
        <v/>
      </c>
      <c r="B1548" s="41">
        <f>'MB51'!A1548</f>
        <v>0</v>
      </c>
      <c r="C1548" s="60" t="str">
        <f>IFERROR(VLOOKUP(B1548,'MB51'!A:I,9,0),"")</f>
        <v/>
      </c>
      <c r="D1548" s="61" t="str">
        <f>IFERROR(VLOOKUP(B1548,'MB51'!A:J,10,0),"")</f>
        <v/>
      </c>
      <c r="E1548" s="62" t="str">
        <f>IFERROR(VLOOKUP(B1548,'MB51'!A:K,11,0),"")</f>
        <v/>
      </c>
      <c r="F1548" s="42" t="str">
        <f>IFERROR(VLOOKUP(B1548,'MB51'!A:F,6,0),"")</f>
        <v/>
      </c>
      <c r="G1548" s="17" t="str">
        <f t="shared" si="72"/>
        <v>點揀料單</v>
      </c>
      <c r="H1548" s="17">
        <f t="shared" si="73"/>
        <v>0</v>
      </c>
      <c r="I1548" t="str">
        <f t="shared" si="74"/>
        <v/>
      </c>
      <c r="J1548" t="str">
        <f>SUBSTITUTE(IF(COUNTIF(I$2:I1548,I1548)&gt;1,"",1)," ","")</f>
        <v/>
      </c>
    </row>
    <row r="1549" spans="1:10" x14ac:dyDescent="0.2">
      <c r="A1549" s="51" t="str">
        <f>IFERROR(VLOOKUP(B1549,點上線資訊!A:R,18,0),"")</f>
        <v/>
      </c>
      <c r="B1549" s="41">
        <f>'MB51'!A1549</f>
        <v>0</v>
      </c>
      <c r="C1549" s="60" t="str">
        <f>IFERROR(VLOOKUP(B1549,'MB51'!A:I,9,0),"")</f>
        <v/>
      </c>
      <c r="D1549" s="61" t="str">
        <f>IFERROR(VLOOKUP(B1549,'MB51'!A:J,10,0),"")</f>
        <v/>
      </c>
      <c r="E1549" s="62" t="str">
        <f>IFERROR(VLOOKUP(B1549,'MB51'!A:K,11,0),"")</f>
        <v/>
      </c>
      <c r="F1549" s="42" t="str">
        <f>IFERROR(VLOOKUP(B1549,'MB51'!A:F,6,0),"")</f>
        <v/>
      </c>
      <c r="G1549" s="17" t="str">
        <f t="shared" si="72"/>
        <v>點揀料單</v>
      </c>
      <c r="H1549" s="17">
        <f t="shared" si="73"/>
        <v>0</v>
      </c>
      <c r="I1549" t="str">
        <f t="shared" si="74"/>
        <v/>
      </c>
      <c r="J1549" t="str">
        <f>SUBSTITUTE(IF(COUNTIF(I$2:I1549,I1549)&gt;1,"",1)," ","")</f>
        <v/>
      </c>
    </row>
    <row r="1550" spans="1:10" x14ac:dyDescent="0.2">
      <c r="A1550" s="51" t="str">
        <f>IFERROR(VLOOKUP(B1550,點上線資訊!A:R,18,0),"")</f>
        <v/>
      </c>
      <c r="B1550" s="41">
        <f>'MB51'!A1550</f>
        <v>0</v>
      </c>
      <c r="C1550" s="60" t="str">
        <f>IFERROR(VLOOKUP(B1550,'MB51'!A:I,9,0),"")</f>
        <v/>
      </c>
      <c r="D1550" s="61" t="str">
        <f>IFERROR(VLOOKUP(B1550,'MB51'!A:J,10,0),"")</f>
        <v/>
      </c>
      <c r="E1550" s="62" t="str">
        <f>IFERROR(VLOOKUP(B1550,'MB51'!A:K,11,0),"")</f>
        <v/>
      </c>
      <c r="F1550" s="42" t="str">
        <f>IFERROR(VLOOKUP(B1550,'MB51'!A:F,6,0),"")</f>
        <v/>
      </c>
      <c r="G1550" s="17" t="str">
        <f t="shared" si="72"/>
        <v>點揀料單</v>
      </c>
      <c r="H1550" s="17">
        <f t="shared" si="73"/>
        <v>0</v>
      </c>
      <c r="I1550" t="str">
        <f t="shared" si="74"/>
        <v/>
      </c>
      <c r="J1550" t="str">
        <f>SUBSTITUTE(IF(COUNTIF(I$2:I1550,I1550)&gt;1,"",1)," ","")</f>
        <v/>
      </c>
    </row>
    <row r="1551" spans="1:10" x14ac:dyDescent="0.2">
      <c r="A1551" s="51" t="str">
        <f>IFERROR(VLOOKUP(B1551,點上線資訊!A:R,18,0),"")</f>
        <v/>
      </c>
      <c r="B1551" s="41">
        <f>'MB51'!A1551</f>
        <v>0</v>
      </c>
      <c r="C1551" s="60" t="str">
        <f>IFERROR(VLOOKUP(B1551,'MB51'!A:I,9,0),"")</f>
        <v/>
      </c>
      <c r="D1551" s="61" t="str">
        <f>IFERROR(VLOOKUP(B1551,'MB51'!A:J,10,0),"")</f>
        <v/>
      </c>
      <c r="E1551" s="62" t="str">
        <f>IFERROR(VLOOKUP(B1551,'MB51'!A:K,11,0),"")</f>
        <v/>
      </c>
      <c r="F1551" s="42" t="str">
        <f>IFERROR(VLOOKUP(B1551,'MB51'!A:F,6,0),"")</f>
        <v/>
      </c>
      <c r="G1551" s="17" t="str">
        <f t="shared" si="72"/>
        <v>點揀料單</v>
      </c>
      <c r="H1551" s="17">
        <f t="shared" si="73"/>
        <v>0</v>
      </c>
      <c r="I1551" t="str">
        <f t="shared" si="74"/>
        <v/>
      </c>
      <c r="J1551" t="str">
        <f>SUBSTITUTE(IF(COUNTIF(I$2:I1551,I1551)&gt;1,"",1)," ","")</f>
        <v/>
      </c>
    </row>
    <row r="1552" spans="1:10" x14ac:dyDescent="0.2">
      <c r="A1552" s="51" t="str">
        <f>IFERROR(VLOOKUP(B1552,點上線資訊!A:R,18,0),"")</f>
        <v/>
      </c>
      <c r="B1552" s="41">
        <f>'MB51'!A1552</f>
        <v>0</v>
      </c>
      <c r="C1552" s="60" t="str">
        <f>IFERROR(VLOOKUP(B1552,'MB51'!A:I,9,0),"")</f>
        <v/>
      </c>
      <c r="D1552" s="61" t="str">
        <f>IFERROR(VLOOKUP(B1552,'MB51'!A:J,10,0),"")</f>
        <v/>
      </c>
      <c r="E1552" s="62" t="str">
        <f>IFERROR(VLOOKUP(B1552,'MB51'!A:K,11,0),"")</f>
        <v/>
      </c>
      <c r="F1552" s="42" t="str">
        <f>IFERROR(VLOOKUP(B1552,'MB51'!A:F,6,0),"")</f>
        <v/>
      </c>
      <c r="G1552" s="17" t="str">
        <f t="shared" si="72"/>
        <v>點揀料單</v>
      </c>
      <c r="H1552" s="17">
        <f t="shared" si="73"/>
        <v>0</v>
      </c>
      <c r="I1552" t="str">
        <f t="shared" si="74"/>
        <v/>
      </c>
      <c r="J1552" t="str">
        <f>SUBSTITUTE(IF(COUNTIF(I$2:I1552,I1552)&gt;1,"",1)," ","")</f>
        <v/>
      </c>
    </row>
    <row r="1553" spans="1:10" x14ac:dyDescent="0.2">
      <c r="A1553" s="51" t="str">
        <f>IFERROR(VLOOKUP(B1553,點上線資訊!A:R,18,0),"")</f>
        <v/>
      </c>
      <c r="B1553" s="41">
        <f>'MB51'!A1553</f>
        <v>0</v>
      </c>
      <c r="C1553" s="60" t="str">
        <f>IFERROR(VLOOKUP(B1553,'MB51'!A:I,9,0),"")</f>
        <v/>
      </c>
      <c r="D1553" s="61" t="str">
        <f>IFERROR(VLOOKUP(B1553,'MB51'!A:J,10,0),"")</f>
        <v/>
      </c>
      <c r="E1553" s="62" t="str">
        <f>IFERROR(VLOOKUP(B1553,'MB51'!A:K,11,0),"")</f>
        <v/>
      </c>
      <c r="F1553" s="42" t="str">
        <f>IFERROR(VLOOKUP(B1553,'MB51'!A:F,6,0),"")</f>
        <v/>
      </c>
      <c r="G1553" s="17" t="str">
        <f t="shared" si="72"/>
        <v>點揀料單</v>
      </c>
      <c r="H1553" s="17">
        <f t="shared" si="73"/>
        <v>0</v>
      </c>
      <c r="I1553" t="str">
        <f t="shared" si="74"/>
        <v/>
      </c>
      <c r="J1553" t="str">
        <f>SUBSTITUTE(IF(COUNTIF(I$2:I1553,I1553)&gt;1,"",1)," ","")</f>
        <v/>
      </c>
    </row>
    <row r="1554" spans="1:10" x14ac:dyDescent="0.2">
      <c r="A1554" s="51" t="str">
        <f>IFERROR(VLOOKUP(B1554,點上線資訊!A:R,18,0),"")</f>
        <v/>
      </c>
      <c r="B1554" s="41">
        <f>'MB51'!A1554</f>
        <v>0</v>
      </c>
      <c r="C1554" s="60" t="str">
        <f>IFERROR(VLOOKUP(B1554,'MB51'!A:I,9,0),"")</f>
        <v/>
      </c>
      <c r="D1554" s="61" t="str">
        <f>IFERROR(VLOOKUP(B1554,'MB51'!A:J,10,0),"")</f>
        <v/>
      </c>
      <c r="E1554" s="62" t="str">
        <f>IFERROR(VLOOKUP(B1554,'MB51'!A:K,11,0),"")</f>
        <v/>
      </c>
      <c r="F1554" s="42" t="str">
        <f>IFERROR(VLOOKUP(B1554,'MB51'!A:F,6,0),"")</f>
        <v/>
      </c>
      <c r="G1554" s="17" t="str">
        <f t="shared" si="72"/>
        <v>點揀料單</v>
      </c>
      <c r="H1554" s="17">
        <f t="shared" si="73"/>
        <v>0</v>
      </c>
      <c r="I1554" t="str">
        <f t="shared" si="74"/>
        <v/>
      </c>
      <c r="J1554" t="str">
        <f>SUBSTITUTE(IF(COUNTIF(I$2:I1554,I1554)&gt;1,"",1)," ","")</f>
        <v/>
      </c>
    </row>
    <row r="1555" spans="1:10" x14ac:dyDescent="0.2">
      <c r="A1555" s="51" t="str">
        <f>IFERROR(VLOOKUP(B1555,點上線資訊!A:R,18,0),"")</f>
        <v/>
      </c>
      <c r="B1555" s="41">
        <f>'MB51'!A1555</f>
        <v>0</v>
      </c>
      <c r="C1555" s="60" t="str">
        <f>IFERROR(VLOOKUP(B1555,'MB51'!A:I,9,0),"")</f>
        <v/>
      </c>
      <c r="D1555" s="61" t="str">
        <f>IFERROR(VLOOKUP(B1555,'MB51'!A:J,10,0),"")</f>
        <v/>
      </c>
      <c r="E1555" s="62" t="str">
        <f>IFERROR(VLOOKUP(B1555,'MB51'!A:K,11,0),"")</f>
        <v/>
      </c>
      <c r="F1555" s="42" t="str">
        <f>IFERROR(VLOOKUP(B1555,'MB51'!A:F,6,0),"")</f>
        <v/>
      </c>
      <c r="G1555" s="17" t="str">
        <f t="shared" si="72"/>
        <v>點揀料單</v>
      </c>
      <c r="H1555" s="17">
        <f t="shared" si="73"/>
        <v>0</v>
      </c>
      <c r="I1555" t="str">
        <f t="shared" si="74"/>
        <v/>
      </c>
      <c r="J1555" t="str">
        <f>SUBSTITUTE(IF(COUNTIF(I$2:I1555,I1555)&gt;1,"",1)," ","")</f>
        <v/>
      </c>
    </row>
    <row r="1556" spans="1:10" x14ac:dyDescent="0.2">
      <c r="A1556" s="51" t="str">
        <f>IFERROR(VLOOKUP(B1556,點上線資訊!A:R,18,0),"")</f>
        <v/>
      </c>
      <c r="B1556" s="41">
        <f>'MB51'!A1556</f>
        <v>0</v>
      </c>
      <c r="C1556" s="60" t="str">
        <f>IFERROR(VLOOKUP(B1556,'MB51'!A:I,9,0),"")</f>
        <v/>
      </c>
      <c r="D1556" s="61" t="str">
        <f>IFERROR(VLOOKUP(B1556,'MB51'!A:J,10,0),"")</f>
        <v/>
      </c>
      <c r="E1556" s="62" t="str">
        <f>IFERROR(VLOOKUP(B1556,'MB51'!A:K,11,0),"")</f>
        <v/>
      </c>
      <c r="F1556" s="42" t="str">
        <f>IFERROR(VLOOKUP(B1556,'MB51'!A:F,6,0),"")</f>
        <v/>
      </c>
      <c r="G1556" s="17" t="str">
        <f t="shared" si="72"/>
        <v>點揀料單</v>
      </c>
      <c r="H1556" s="17">
        <f t="shared" si="73"/>
        <v>0</v>
      </c>
      <c r="I1556" t="str">
        <f t="shared" si="74"/>
        <v/>
      </c>
      <c r="J1556" t="str">
        <f>SUBSTITUTE(IF(COUNTIF(I$2:I1556,I1556)&gt;1,"",1)," ","")</f>
        <v/>
      </c>
    </row>
    <row r="1557" spans="1:10" x14ac:dyDescent="0.2">
      <c r="A1557" s="51" t="str">
        <f>IFERROR(VLOOKUP(B1557,點上線資訊!A:R,18,0),"")</f>
        <v/>
      </c>
      <c r="B1557" s="41">
        <f>'MB51'!A1557</f>
        <v>0</v>
      </c>
      <c r="C1557" s="60" t="str">
        <f>IFERROR(VLOOKUP(B1557,'MB51'!A:I,9,0),"")</f>
        <v/>
      </c>
      <c r="D1557" s="61" t="str">
        <f>IFERROR(VLOOKUP(B1557,'MB51'!A:J,10,0),"")</f>
        <v/>
      </c>
      <c r="E1557" s="62" t="str">
        <f>IFERROR(VLOOKUP(B1557,'MB51'!A:K,11,0),"")</f>
        <v/>
      </c>
      <c r="F1557" s="42" t="str">
        <f>IFERROR(VLOOKUP(B1557,'MB51'!A:F,6,0),"")</f>
        <v/>
      </c>
      <c r="G1557" s="17" t="str">
        <f t="shared" si="72"/>
        <v>點揀料單</v>
      </c>
      <c r="H1557" s="17">
        <f t="shared" si="73"/>
        <v>0</v>
      </c>
      <c r="I1557" t="str">
        <f t="shared" si="74"/>
        <v/>
      </c>
      <c r="J1557" t="str">
        <f>SUBSTITUTE(IF(COUNTIF(I$2:I1557,I1557)&gt;1,"",1)," ","")</f>
        <v/>
      </c>
    </row>
    <row r="1558" spans="1:10" x14ac:dyDescent="0.2">
      <c r="A1558" s="51" t="str">
        <f>IFERROR(VLOOKUP(B1558,點上線資訊!A:R,18,0),"")</f>
        <v/>
      </c>
      <c r="B1558" s="41">
        <f>'MB51'!A1558</f>
        <v>0</v>
      </c>
      <c r="C1558" s="60" t="str">
        <f>IFERROR(VLOOKUP(B1558,'MB51'!A:I,9,0),"")</f>
        <v/>
      </c>
      <c r="D1558" s="61" t="str">
        <f>IFERROR(VLOOKUP(B1558,'MB51'!A:J,10,0),"")</f>
        <v/>
      </c>
      <c r="E1558" s="62" t="str">
        <f>IFERROR(VLOOKUP(B1558,'MB51'!A:K,11,0),"")</f>
        <v/>
      </c>
      <c r="F1558" s="42" t="str">
        <f>IFERROR(VLOOKUP(B1558,'MB51'!A:F,6,0),"")</f>
        <v/>
      </c>
      <c r="G1558" s="17" t="str">
        <f t="shared" si="72"/>
        <v>點揀料單</v>
      </c>
      <c r="H1558" s="17">
        <f t="shared" si="73"/>
        <v>0</v>
      </c>
      <c r="I1558" t="str">
        <f t="shared" si="74"/>
        <v/>
      </c>
      <c r="J1558" t="str">
        <f>SUBSTITUTE(IF(COUNTIF(I$2:I1558,I1558)&gt;1,"",1)," ","")</f>
        <v/>
      </c>
    </row>
    <row r="1559" spans="1:10" x14ac:dyDescent="0.2">
      <c r="A1559" s="51" t="str">
        <f>IFERROR(VLOOKUP(B1559,點上線資訊!A:R,18,0),"")</f>
        <v/>
      </c>
      <c r="B1559" s="41">
        <f>'MB51'!A1559</f>
        <v>0</v>
      </c>
      <c r="C1559" s="60" t="str">
        <f>IFERROR(VLOOKUP(B1559,'MB51'!A:I,9,0),"")</f>
        <v/>
      </c>
      <c r="D1559" s="61" t="str">
        <f>IFERROR(VLOOKUP(B1559,'MB51'!A:J,10,0),"")</f>
        <v/>
      </c>
      <c r="E1559" s="62" t="str">
        <f>IFERROR(VLOOKUP(B1559,'MB51'!A:K,11,0),"")</f>
        <v/>
      </c>
      <c r="F1559" s="42" t="str">
        <f>IFERROR(VLOOKUP(B1559,'MB51'!A:F,6,0),"")</f>
        <v/>
      </c>
      <c r="G1559" s="17" t="str">
        <f t="shared" si="72"/>
        <v>點揀料單</v>
      </c>
      <c r="H1559" s="17">
        <f t="shared" si="73"/>
        <v>0</v>
      </c>
      <c r="I1559" t="str">
        <f t="shared" si="74"/>
        <v/>
      </c>
      <c r="J1559" t="str">
        <f>SUBSTITUTE(IF(COUNTIF(I$2:I1559,I1559)&gt;1,"",1)," ","")</f>
        <v/>
      </c>
    </row>
    <row r="1560" spans="1:10" x14ac:dyDescent="0.2">
      <c r="A1560" s="51" t="str">
        <f>IFERROR(VLOOKUP(B1560,點上線資訊!A:R,18,0),"")</f>
        <v/>
      </c>
      <c r="B1560" s="41">
        <f>'MB51'!A1560</f>
        <v>0</v>
      </c>
      <c r="C1560" s="60" t="str">
        <f>IFERROR(VLOOKUP(B1560,'MB51'!A:I,9,0),"")</f>
        <v/>
      </c>
      <c r="D1560" s="61" t="str">
        <f>IFERROR(VLOOKUP(B1560,'MB51'!A:J,10,0),"")</f>
        <v/>
      </c>
      <c r="E1560" s="62" t="str">
        <f>IFERROR(VLOOKUP(B1560,'MB51'!A:K,11,0),"")</f>
        <v/>
      </c>
      <c r="F1560" s="42" t="str">
        <f>IFERROR(VLOOKUP(B1560,'MB51'!A:F,6,0),"")</f>
        <v/>
      </c>
      <c r="G1560" s="17" t="str">
        <f t="shared" si="72"/>
        <v>點揀料單</v>
      </c>
      <c r="H1560" s="17">
        <f t="shared" si="73"/>
        <v>0</v>
      </c>
      <c r="I1560" t="str">
        <f t="shared" si="74"/>
        <v/>
      </c>
      <c r="J1560" t="str">
        <f>SUBSTITUTE(IF(COUNTIF(I$2:I1560,I1560)&gt;1,"",1)," ","")</f>
        <v/>
      </c>
    </row>
    <row r="1561" spans="1:10" x14ac:dyDescent="0.2">
      <c r="A1561" s="51" t="str">
        <f>IFERROR(VLOOKUP(B1561,點上線資訊!A:R,18,0),"")</f>
        <v/>
      </c>
      <c r="B1561" s="41">
        <f>'MB51'!A1561</f>
        <v>0</v>
      </c>
      <c r="C1561" s="60" t="str">
        <f>IFERROR(VLOOKUP(B1561,'MB51'!A:I,9,0),"")</f>
        <v/>
      </c>
      <c r="D1561" s="61" t="str">
        <f>IFERROR(VLOOKUP(B1561,'MB51'!A:J,10,0),"")</f>
        <v/>
      </c>
      <c r="E1561" s="62" t="str">
        <f>IFERROR(VLOOKUP(B1561,'MB51'!A:K,11,0),"")</f>
        <v/>
      </c>
      <c r="F1561" s="42" t="str">
        <f>IFERROR(VLOOKUP(B1561,'MB51'!A:F,6,0),"")</f>
        <v/>
      </c>
      <c r="G1561" s="17" t="str">
        <f t="shared" si="72"/>
        <v>點揀料單</v>
      </c>
      <c r="H1561" s="17">
        <f t="shared" si="73"/>
        <v>0</v>
      </c>
      <c r="I1561" t="str">
        <f t="shared" si="74"/>
        <v/>
      </c>
      <c r="J1561" t="str">
        <f>SUBSTITUTE(IF(COUNTIF(I$2:I1561,I1561)&gt;1,"",1)," ","")</f>
        <v/>
      </c>
    </row>
    <row r="1562" spans="1:10" x14ac:dyDescent="0.2">
      <c r="A1562" s="51" t="str">
        <f>IFERROR(VLOOKUP(B1562,點上線資訊!A:R,18,0),"")</f>
        <v/>
      </c>
      <c r="B1562" s="41">
        <f>'MB51'!A1562</f>
        <v>0</v>
      </c>
      <c r="C1562" s="60" t="str">
        <f>IFERROR(VLOOKUP(B1562,'MB51'!A:I,9,0),"")</f>
        <v/>
      </c>
      <c r="D1562" s="61" t="str">
        <f>IFERROR(VLOOKUP(B1562,'MB51'!A:J,10,0),"")</f>
        <v/>
      </c>
      <c r="E1562" s="62" t="str">
        <f>IFERROR(VLOOKUP(B1562,'MB51'!A:K,11,0),"")</f>
        <v/>
      </c>
      <c r="F1562" s="42" t="str">
        <f>IFERROR(VLOOKUP(B1562,'MB51'!A:F,6,0),"")</f>
        <v/>
      </c>
      <c r="G1562" s="17" t="str">
        <f t="shared" si="72"/>
        <v>點揀料單</v>
      </c>
      <c r="H1562" s="17">
        <f t="shared" si="73"/>
        <v>0</v>
      </c>
      <c r="I1562" t="str">
        <f t="shared" si="74"/>
        <v/>
      </c>
      <c r="J1562" t="str">
        <f>SUBSTITUTE(IF(COUNTIF(I$2:I1562,I1562)&gt;1,"",1)," ","")</f>
        <v/>
      </c>
    </row>
    <row r="1563" spans="1:10" x14ac:dyDescent="0.2">
      <c r="A1563" s="51" t="str">
        <f>IFERROR(VLOOKUP(B1563,點上線資訊!A:R,18,0),"")</f>
        <v/>
      </c>
      <c r="B1563" s="41">
        <f>'MB51'!A1563</f>
        <v>0</v>
      </c>
      <c r="C1563" s="60" t="str">
        <f>IFERROR(VLOOKUP(B1563,'MB51'!A:I,9,0),"")</f>
        <v/>
      </c>
      <c r="D1563" s="61" t="str">
        <f>IFERROR(VLOOKUP(B1563,'MB51'!A:J,10,0),"")</f>
        <v/>
      </c>
      <c r="E1563" s="62" t="str">
        <f>IFERROR(VLOOKUP(B1563,'MB51'!A:K,11,0),"")</f>
        <v/>
      </c>
      <c r="F1563" s="42" t="str">
        <f>IFERROR(VLOOKUP(B1563,'MB51'!A:F,6,0),"")</f>
        <v/>
      </c>
      <c r="G1563" s="17" t="str">
        <f t="shared" si="72"/>
        <v>點揀料單</v>
      </c>
      <c r="H1563" s="17">
        <f t="shared" si="73"/>
        <v>0</v>
      </c>
      <c r="I1563" t="str">
        <f t="shared" si="74"/>
        <v/>
      </c>
      <c r="J1563" t="str">
        <f>SUBSTITUTE(IF(COUNTIF(I$2:I1563,I1563)&gt;1,"",1)," ","")</f>
        <v/>
      </c>
    </row>
  </sheetData>
  <sheetProtection selectLockedCells="1"/>
  <customSheetViews>
    <customSheetView guid="{5DA7D1EB-F14D-48FB-BC54-1DED3BFC27CF}" scale="130">
      <selection activeCell="Q15" sqref="Q15"/>
      <pageMargins left="0.7" right="0.7" top="0.75" bottom="0.75" header="0.3" footer="0.3"/>
    </customSheetView>
    <customSheetView guid="{0BB82081-F5AA-4C00-AB7E-4917EF9D865E}" scale="130">
      <selection activeCell="Q15" sqref="Q15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14</xdr:col>
                <xdr:colOff>200025</xdr:colOff>
                <xdr:row>6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統計看板</vt:lpstr>
      <vt:lpstr>刷條碼區</vt:lpstr>
      <vt:lpstr>點上線資訊</vt:lpstr>
      <vt:lpstr>線別</vt:lpstr>
      <vt:lpstr>MB51</vt:lpstr>
      <vt:lpstr>已除帳印單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WebAS</dc:creator>
  <cp:lastModifiedBy>Jeff Yeh 葉嘉祐</cp:lastModifiedBy>
  <cp:revision>1</cp:revision>
  <dcterms:created xsi:type="dcterms:W3CDTF">2020-03-03T09:35:52Z</dcterms:created>
  <dcterms:modified xsi:type="dcterms:W3CDTF">2020-03-08T05:40:25Z</dcterms:modified>
</cp:coreProperties>
</file>